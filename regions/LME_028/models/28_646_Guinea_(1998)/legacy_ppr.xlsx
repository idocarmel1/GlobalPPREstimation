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mappings'!$A$4:$M$493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49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LME_028 — Guinea Current</t>
        </is>
      </c>
    </row>
    <row r="2">
      <c r="A2" s="2" t="inlineStr">
        <is>
          <t>Ecopath model: 28_646_Guinea_(1998)</t>
        </is>
      </c>
    </row>
    <row r="3">
      <c r="A3" s="3" t="inlineStr">
        <is>
          <t>Geographic transfer: model covers the coast of the country Guinea (111,932 km²), not the whole Guinea Current LME. Regional overlap requires validation. 28_646_Guinea_(1998)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5.11506</t>
        </is>
      </c>
    </row>
    <row r="7">
      <c r="A7" t="inlineStr">
        <is>
          <t>longitude</t>
        </is>
      </c>
      <c r="B7" t="inlineStr">
        <is>
          <t>-1.37888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375</v>
      </c>
    </row>
    <row r="10">
      <c r="A10" t="inlineStr">
        <is>
          <t>taxa apportioned across groups</t>
        </is>
      </c>
      <c r="B10" t="n">
        <v>43</v>
      </c>
    </row>
    <row r="11">
      <c r="A11" t="inlineStr">
        <is>
          <t>taxa unresolved</t>
        </is>
      </c>
      <c r="B11" t="n">
        <v>83</v>
      </c>
    </row>
    <row r="12">
      <c r="A12" t="inlineStr">
        <is>
          <t>catch tonnage on a named group, %</t>
        </is>
      </c>
      <c r="B12" t="n">
        <v>98.59999999999999</v>
      </c>
    </row>
    <row r="13">
      <c r="A13" t="inlineStr">
        <is>
          <t>SPPR methods</t>
        </is>
      </c>
      <c r="B13" t="n">
        <v>22</v>
      </c>
    </row>
    <row r="14">
      <c r="A14" t="inlineStr">
        <is>
          <t>methods flagged as unusable</t>
        </is>
      </c>
      <c r="B14" t="n">
        <v>7</v>
      </c>
    </row>
    <row r="15">
      <c r="A15" t="inlineStr">
        <is>
          <t>headline method below</t>
        </is>
      </c>
      <c r="B15" t="inlineStr">
        <is>
          <t>Ulanowicz_TE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ppr_Ulanowicz_TE</t>
        </is>
      </c>
      <c r="E17" s="4" t="inlineStr">
        <is>
          <t>ppr_simple / NPP %</t>
        </is>
      </c>
      <c r="F17" s="4" t="inlineStr">
        <is>
          <t>ppr_Ulanowicz_TE / NPP %</t>
        </is>
      </c>
    </row>
    <row r="18">
      <c r="A18" t="n">
        <v>1950</v>
      </c>
      <c r="B18" t="n">
        <v>482564.657</v>
      </c>
      <c r="C18" t="n">
        <v>157778971.433</v>
      </c>
      <c r="D18" t="n">
        <v>1205627959.997</v>
      </c>
    </row>
    <row r="19">
      <c r="A19" t="n">
        <v>1951</v>
      </c>
      <c r="B19" t="n">
        <v>503621.549</v>
      </c>
      <c r="C19" t="n">
        <v>164970011.909</v>
      </c>
      <c r="D19" t="n">
        <v>1245488823.736</v>
      </c>
    </row>
    <row r="20">
      <c r="A20" t="n">
        <v>1952</v>
      </c>
      <c r="B20" t="n">
        <v>510959.061</v>
      </c>
      <c r="C20" t="n">
        <v>165423960.447</v>
      </c>
      <c r="D20" t="n">
        <v>1291673331.613</v>
      </c>
    </row>
    <row r="21">
      <c r="A21" t="n">
        <v>1953</v>
      </c>
      <c r="B21" t="n">
        <v>548137.05</v>
      </c>
      <c r="C21" t="n">
        <v>178223193.532</v>
      </c>
      <c r="D21" t="n">
        <v>1356283247.434</v>
      </c>
    </row>
    <row r="22">
      <c r="A22" t="n">
        <v>1954</v>
      </c>
      <c r="B22" t="n">
        <v>559611.558</v>
      </c>
      <c r="C22" t="n">
        <v>179133478.62</v>
      </c>
      <c r="D22" t="n">
        <v>1377146463.869</v>
      </c>
    </row>
    <row r="23">
      <c r="A23" t="n">
        <v>1955</v>
      </c>
      <c r="B23" t="n">
        <v>557412.782</v>
      </c>
      <c r="C23" t="n">
        <v>179037778.796</v>
      </c>
      <c r="D23" t="n">
        <v>1370938949.855</v>
      </c>
    </row>
    <row r="24">
      <c r="A24" t="n">
        <v>1956</v>
      </c>
      <c r="B24" t="n">
        <v>630556.774</v>
      </c>
      <c r="C24" t="n">
        <v>207859743.041</v>
      </c>
      <c r="D24" t="n">
        <v>1632525525.9</v>
      </c>
    </row>
    <row r="25">
      <c r="A25" t="n">
        <v>1957</v>
      </c>
      <c r="B25" t="n">
        <v>712735.513</v>
      </c>
      <c r="C25" t="n">
        <v>305154364.918</v>
      </c>
      <c r="D25" t="n">
        <v>1772489039.051</v>
      </c>
    </row>
    <row r="26">
      <c r="A26" t="n">
        <v>1958</v>
      </c>
      <c r="B26" t="n">
        <v>720211.2340000001</v>
      </c>
      <c r="C26" t="n">
        <v>294576302.276</v>
      </c>
      <c r="D26" t="n">
        <v>1902362040.93</v>
      </c>
    </row>
    <row r="27">
      <c r="A27" t="n">
        <v>1959</v>
      </c>
      <c r="B27" t="n">
        <v>820932.821</v>
      </c>
      <c r="C27" t="n">
        <v>388459727.838</v>
      </c>
      <c r="D27" t="n">
        <v>2300598070.539</v>
      </c>
    </row>
    <row r="28">
      <c r="A28" t="n">
        <v>1960</v>
      </c>
      <c r="B28" t="n">
        <v>850142.775</v>
      </c>
      <c r="C28" t="n">
        <v>433501723.266</v>
      </c>
      <c r="D28" t="n">
        <v>2530761025.15</v>
      </c>
    </row>
    <row r="29">
      <c r="A29" t="n">
        <v>1961</v>
      </c>
      <c r="B29" t="n">
        <v>921744.674</v>
      </c>
      <c r="C29" t="n">
        <v>465381328.758</v>
      </c>
      <c r="D29" t="n">
        <v>2504651453.238</v>
      </c>
    </row>
    <row r="30">
      <c r="A30" t="n">
        <v>1962</v>
      </c>
      <c r="B30" t="n">
        <v>998277.6310000001</v>
      </c>
      <c r="C30" t="n">
        <v>541423399.414</v>
      </c>
      <c r="D30" t="n">
        <v>2772533085.441</v>
      </c>
    </row>
    <row r="31">
      <c r="A31" t="n">
        <v>1963</v>
      </c>
      <c r="B31" t="n">
        <v>1065842.212</v>
      </c>
      <c r="C31" t="n">
        <v>590046391.906</v>
      </c>
      <c r="D31" t="n">
        <v>3298506529.337</v>
      </c>
    </row>
    <row r="32">
      <c r="A32" t="n">
        <v>1964</v>
      </c>
      <c r="B32" t="n">
        <v>1203804.974</v>
      </c>
      <c r="C32" t="n">
        <v>704886009.715</v>
      </c>
      <c r="D32" t="n">
        <v>3648206586.938</v>
      </c>
    </row>
    <row r="33">
      <c r="A33" t="n">
        <v>1965</v>
      </c>
      <c r="B33" t="n">
        <v>1220299.521</v>
      </c>
      <c r="C33" t="n">
        <v>754445303.788</v>
      </c>
      <c r="D33" t="n">
        <v>3916434652.75</v>
      </c>
    </row>
    <row r="34">
      <c r="A34" t="n">
        <v>1966</v>
      </c>
      <c r="B34" t="n">
        <v>1245386.734</v>
      </c>
      <c r="C34" t="n">
        <v>669688401.102</v>
      </c>
      <c r="D34" t="n">
        <v>3853815493.092</v>
      </c>
    </row>
    <row r="35">
      <c r="A35" t="n">
        <v>1967</v>
      </c>
      <c r="B35" t="n">
        <v>1216555.424</v>
      </c>
      <c r="C35" t="n">
        <v>599579072.312</v>
      </c>
      <c r="D35" t="n">
        <v>3291908848.055</v>
      </c>
    </row>
    <row r="36">
      <c r="A36" t="n">
        <v>1968</v>
      </c>
      <c r="B36" t="n">
        <v>1259743.463</v>
      </c>
      <c r="C36" t="n">
        <v>682254902.031</v>
      </c>
      <c r="D36" t="n">
        <v>3625069203.434</v>
      </c>
    </row>
    <row r="37">
      <c r="A37" t="n">
        <v>1969</v>
      </c>
      <c r="B37" t="n">
        <v>1360514.187</v>
      </c>
      <c r="C37" t="n">
        <v>725493657.779</v>
      </c>
      <c r="D37" t="n">
        <v>3885318037.531</v>
      </c>
    </row>
    <row r="38">
      <c r="A38" t="n">
        <v>1970</v>
      </c>
      <c r="B38" t="n">
        <v>1482503.993</v>
      </c>
      <c r="C38" t="n">
        <v>767322094.311</v>
      </c>
      <c r="D38" t="n">
        <v>4308781358.325</v>
      </c>
    </row>
    <row r="39">
      <c r="A39" t="n">
        <v>1971</v>
      </c>
      <c r="B39" t="n">
        <v>1704512.333</v>
      </c>
      <c r="C39" t="n">
        <v>902112847.721</v>
      </c>
      <c r="D39" t="n">
        <v>4864258607.785</v>
      </c>
    </row>
    <row r="40">
      <c r="A40" t="n">
        <v>1972</v>
      </c>
      <c r="B40" t="n">
        <v>1807121.471</v>
      </c>
      <c r="C40" t="n">
        <v>942913948.7180001</v>
      </c>
      <c r="D40" t="n">
        <v>5038175000.809</v>
      </c>
    </row>
    <row r="41">
      <c r="A41" t="n">
        <v>1973</v>
      </c>
      <c r="B41" t="n">
        <v>1768830.481</v>
      </c>
      <c r="C41" t="n">
        <v>892003794.051</v>
      </c>
      <c r="D41" t="n">
        <v>5028932238.322</v>
      </c>
    </row>
    <row r="42">
      <c r="A42" t="n">
        <v>1974</v>
      </c>
      <c r="B42" t="n">
        <v>1896068.213</v>
      </c>
      <c r="C42" t="n">
        <v>1087375477.186</v>
      </c>
      <c r="D42" t="n">
        <v>5864873817.553</v>
      </c>
    </row>
    <row r="43">
      <c r="A43" t="n">
        <v>1975</v>
      </c>
      <c r="B43" t="n">
        <v>2010425.945</v>
      </c>
      <c r="C43" t="n">
        <v>1037332657.549</v>
      </c>
      <c r="D43" t="n">
        <v>6915211141.879</v>
      </c>
    </row>
    <row r="44">
      <c r="A44" t="n">
        <v>1976</v>
      </c>
      <c r="B44" t="n">
        <v>2120715.519</v>
      </c>
      <c r="C44" t="n">
        <v>1065868822.298</v>
      </c>
      <c r="D44" t="n">
        <v>6933867776.924</v>
      </c>
    </row>
    <row r="45">
      <c r="A45" t="n">
        <v>1977</v>
      </c>
      <c r="B45" t="n">
        <v>2359358.189</v>
      </c>
      <c r="C45" t="n">
        <v>1222075411.907</v>
      </c>
      <c r="D45" t="n">
        <v>7209764828.032</v>
      </c>
    </row>
    <row r="46">
      <c r="A46" t="n">
        <v>1978</v>
      </c>
      <c r="B46" t="n">
        <v>2417712.781</v>
      </c>
      <c r="C46" t="n">
        <v>1229640934.83</v>
      </c>
      <c r="D46" t="n">
        <v>7543831236.599</v>
      </c>
    </row>
    <row r="47">
      <c r="A47" t="n">
        <v>1979</v>
      </c>
      <c r="B47" t="n">
        <v>2243375.342</v>
      </c>
      <c r="C47" t="n">
        <v>1170320265.644</v>
      </c>
      <c r="D47" t="n">
        <v>7467904227.097</v>
      </c>
    </row>
    <row r="48">
      <c r="A48" t="n">
        <v>1980</v>
      </c>
      <c r="B48" t="n">
        <v>2599907.22</v>
      </c>
      <c r="C48" t="n">
        <v>1345888800.565</v>
      </c>
      <c r="D48" t="n">
        <v>8127320400.378</v>
      </c>
    </row>
    <row r="49">
      <c r="A49" t="n">
        <v>1981</v>
      </c>
      <c r="B49" t="n">
        <v>2674735.457</v>
      </c>
      <c r="C49" t="n">
        <v>1344062603.819</v>
      </c>
      <c r="D49" t="n">
        <v>7359269454.684</v>
      </c>
    </row>
    <row r="50">
      <c r="A50" t="n">
        <v>1982</v>
      </c>
      <c r="B50" t="n">
        <v>2639275.188</v>
      </c>
      <c r="C50" t="n">
        <v>1391733430.526</v>
      </c>
      <c r="D50" t="n">
        <v>8691093147.42</v>
      </c>
    </row>
    <row r="51">
      <c r="A51" t="n">
        <v>1983</v>
      </c>
      <c r="B51" t="n">
        <v>2608767.005</v>
      </c>
      <c r="C51" t="n">
        <v>1345225593.419</v>
      </c>
      <c r="D51" t="n">
        <v>8576448157.376</v>
      </c>
    </row>
    <row r="52">
      <c r="A52" t="n">
        <v>1984</v>
      </c>
      <c r="B52" t="n">
        <v>2456206.942</v>
      </c>
      <c r="C52" t="n">
        <v>989339626.467</v>
      </c>
      <c r="D52" t="n">
        <v>6787517593.681</v>
      </c>
    </row>
    <row r="53">
      <c r="A53" t="n">
        <v>1985</v>
      </c>
      <c r="B53" t="n">
        <v>2577318.05</v>
      </c>
      <c r="C53" t="n">
        <v>1038136445.735</v>
      </c>
      <c r="D53" t="n">
        <v>7349601999.226</v>
      </c>
    </row>
    <row r="54">
      <c r="A54" t="n">
        <v>1986</v>
      </c>
      <c r="B54" t="n">
        <v>2772281.7</v>
      </c>
      <c r="C54" t="n">
        <v>1143684623.084</v>
      </c>
      <c r="D54" t="n">
        <v>7539011148.099</v>
      </c>
    </row>
    <row r="55">
      <c r="A55" t="n">
        <v>1987</v>
      </c>
      <c r="B55" t="n">
        <v>3050619.454</v>
      </c>
      <c r="C55" t="n">
        <v>1283734623.612</v>
      </c>
      <c r="D55" t="n">
        <v>8237043481.201</v>
      </c>
    </row>
    <row r="56">
      <c r="A56" t="n">
        <v>1988</v>
      </c>
      <c r="B56" t="n">
        <v>2908157.07</v>
      </c>
      <c r="C56" t="n">
        <v>1217466024.917</v>
      </c>
      <c r="D56" t="n">
        <v>8160803743.17</v>
      </c>
    </row>
    <row r="57">
      <c r="A57" t="n">
        <v>1989</v>
      </c>
      <c r="B57" t="n">
        <v>2996878.242</v>
      </c>
      <c r="C57" t="n">
        <v>1308928389.664</v>
      </c>
      <c r="D57" t="n">
        <v>7884283461.618</v>
      </c>
    </row>
    <row r="58">
      <c r="A58" t="n">
        <v>1990</v>
      </c>
      <c r="B58" t="n">
        <v>3003941.811</v>
      </c>
      <c r="C58" t="n">
        <v>1304065215.923</v>
      </c>
      <c r="D58" t="n">
        <v>8287925117.027</v>
      </c>
    </row>
    <row r="59">
      <c r="A59" t="n">
        <v>1991</v>
      </c>
      <c r="B59" t="n">
        <v>2874645.717</v>
      </c>
      <c r="C59" t="n">
        <v>1349985395.582</v>
      </c>
      <c r="D59" t="n">
        <v>8053770983.432</v>
      </c>
    </row>
    <row r="60">
      <c r="A60" t="n">
        <v>1992</v>
      </c>
      <c r="B60" t="n">
        <v>2802199.438</v>
      </c>
      <c r="C60" t="n">
        <v>1278204584.132</v>
      </c>
      <c r="D60" t="n">
        <v>7915271616.582</v>
      </c>
    </row>
    <row r="61">
      <c r="A61" t="n">
        <v>1993</v>
      </c>
      <c r="B61" t="n">
        <v>2806606.43</v>
      </c>
      <c r="C61" t="n">
        <v>1324769141.125</v>
      </c>
      <c r="D61" t="n">
        <v>8708336111.934</v>
      </c>
    </row>
    <row r="62">
      <c r="A62" t="n">
        <v>1994</v>
      </c>
      <c r="B62" t="n">
        <v>2753673.592</v>
      </c>
      <c r="C62" t="n">
        <v>1229688844.63</v>
      </c>
      <c r="D62" t="n">
        <v>8716400003.892</v>
      </c>
    </row>
    <row r="63">
      <c r="A63" t="n">
        <v>1995</v>
      </c>
      <c r="B63" t="n">
        <v>2839628.512</v>
      </c>
      <c r="C63" t="n">
        <v>1228596533.715</v>
      </c>
      <c r="D63" t="n">
        <v>8066270769.863</v>
      </c>
    </row>
    <row r="64">
      <c r="A64" t="n">
        <v>1996</v>
      </c>
      <c r="B64" t="n">
        <v>3029412.881</v>
      </c>
      <c r="C64" t="n">
        <v>1329320955.155</v>
      </c>
      <c r="D64" t="n">
        <v>9165159080.615999</v>
      </c>
    </row>
    <row r="65">
      <c r="A65" t="n">
        <v>1997</v>
      </c>
      <c r="B65" t="n">
        <v>3136676.105</v>
      </c>
      <c r="C65" t="n">
        <v>1368711481.157</v>
      </c>
      <c r="D65" t="n">
        <v>9991820673.259001</v>
      </c>
    </row>
    <row r="66">
      <c r="A66" t="n">
        <v>1998</v>
      </c>
      <c r="B66" t="n">
        <v>3192647.428</v>
      </c>
      <c r="C66" t="n">
        <v>1437427303.39</v>
      </c>
      <c r="D66" t="n">
        <v>9926801359.348</v>
      </c>
      <c r="E66" t="n">
        <v>22.1635</v>
      </c>
      <c r="F66" t="n">
        <v>153.06</v>
      </c>
    </row>
    <row r="67">
      <c r="A67" t="n">
        <v>1999</v>
      </c>
      <c r="B67" t="n">
        <v>3303199.17</v>
      </c>
      <c r="C67" t="n">
        <v>1558406416.054</v>
      </c>
      <c r="D67" t="n">
        <v>11208286125.374</v>
      </c>
      <c r="E67" t="n">
        <v>24.4393</v>
      </c>
      <c r="F67" t="n">
        <v>175.7711</v>
      </c>
    </row>
    <row r="68">
      <c r="A68" t="n">
        <v>2000</v>
      </c>
      <c r="B68" t="n">
        <v>3557082.033</v>
      </c>
      <c r="C68" t="n">
        <v>1564006869.331</v>
      </c>
      <c r="D68" t="n">
        <v>10618239063.479</v>
      </c>
      <c r="E68" t="n">
        <v>23.6375</v>
      </c>
      <c r="F68" t="n">
        <v>160.4778</v>
      </c>
    </row>
    <row r="69">
      <c r="A69" t="n">
        <v>2001</v>
      </c>
      <c r="B69" t="n">
        <v>3477624.744</v>
      </c>
      <c r="C69" t="n">
        <v>1564280905.811</v>
      </c>
      <c r="D69" t="n">
        <v>10643540168.697</v>
      </c>
      <c r="E69" t="n">
        <v>24.262</v>
      </c>
      <c r="F69" t="n">
        <v>165.0811</v>
      </c>
    </row>
    <row r="70">
      <c r="A70" t="n">
        <v>2002</v>
      </c>
      <c r="B70" t="n">
        <v>3487727.157</v>
      </c>
      <c r="C70" t="n">
        <v>1512600948.394</v>
      </c>
      <c r="D70" t="n">
        <v>11006007949.623</v>
      </c>
      <c r="E70" t="n">
        <v>22.5102</v>
      </c>
      <c r="F70" t="n">
        <v>163.7892</v>
      </c>
    </row>
    <row r="71">
      <c r="A71" t="n">
        <v>2003</v>
      </c>
      <c r="B71" t="n">
        <v>3376002.429</v>
      </c>
      <c r="C71" t="n">
        <v>1514390512.086</v>
      </c>
      <c r="D71" t="n">
        <v>10464722125.038</v>
      </c>
      <c r="E71" t="n">
        <v>24.9169</v>
      </c>
      <c r="F71" t="n">
        <v>172.1802</v>
      </c>
    </row>
    <row r="72">
      <c r="A72" t="n">
        <v>2004</v>
      </c>
      <c r="B72" t="n">
        <v>3376872.518</v>
      </c>
      <c r="C72" t="n">
        <v>1585530660.393</v>
      </c>
      <c r="D72" t="n">
        <v>10991196004.336</v>
      </c>
      <c r="E72" t="n">
        <v>26.7382</v>
      </c>
      <c r="F72" t="n">
        <v>185.354</v>
      </c>
    </row>
    <row r="73">
      <c r="A73" t="n">
        <v>2005</v>
      </c>
      <c r="B73" t="n">
        <v>3300627.594</v>
      </c>
      <c r="C73" t="n">
        <v>1566987683.825</v>
      </c>
      <c r="D73" t="n">
        <v>11723746619.335</v>
      </c>
      <c r="E73" t="n">
        <v>26.4205</v>
      </c>
      <c r="F73" t="n">
        <v>197.6702</v>
      </c>
    </row>
    <row r="74">
      <c r="A74" t="n">
        <v>2006</v>
      </c>
      <c r="B74" t="n">
        <v>3300934.576</v>
      </c>
      <c r="C74" t="n">
        <v>1504947163.826</v>
      </c>
      <c r="D74" t="n">
        <v>10390151035.542</v>
      </c>
      <c r="E74" t="n">
        <v>25.1576</v>
      </c>
      <c r="F74" t="n">
        <v>173.6878</v>
      </c>
    </row>
    <row r="75">
      <c r="A75" t="n">
        <v>2007</v>
      </c>
      <c r="B75" t="n">
        <v>3375789.925</v>
      </c>
      <c r="C75" t="n">
        <v>1572933380.828</v>
      </c>
      <c r="D75" t="n">
        <v>11031253285.783</v>
      </c>
      <c r="E75" t="n">
        <v>26.7224</v>
      </c>
      <c r="F75" t="n">
        <v>187.4091</v>
      </c>
    </row>
    <row r="76">
      <c r="A76" t="n">
        <v>2008</v>
      </c>
      <c r="B76" t="n">
        <v>3504109.711</v>
      </c>
      <c r="C76" t="n">
        <v>1688361574.781</v>
      </c>
      <c r="D76" t="n">
        <v>11997444671.865</v>
      </c>
      <c r="E76" t="n">
        <v>28.558</v>
      </c>
      <c r="F76" t="n">
        <v>202.932</v>
      </c>
    </row>
    <row r="77">
      <c r="A77" t="n">
        <v>2009</v>
      </c>
      <c r="B77" t="n">
        <v>3395430.368</v>
      </c>
      <c r="C77" t="n">
        <v>1693150071.442</v>
      </c>
      <c r="D77" t="n">
        <v>12450846763.318</v>
      </c>
      <c r="E77" t="n">
        <v>28.2479</v>
      </c>
      <c r="F77" t="n">
        <v>207.7257</v>
      </c>
    </row>
    <row r="78">
      <c r="A78" t="n">
        <v>2010</v>
      </c>
      <c r="B78" t="n">
        <v>3641441.406</v>
      </c>
      <c r="C78" t="n">
        <v>1923872427.27</v>
      </c>
      <c r="D78" t="n">
        <v>14474569785.302</v>
      </c>
      <c r="E78" t="n">
        <v>31.5267</v>
      </c>
      <c r="F78" t="n">
        <v>237.1962</v>
      </c>
    </row>
    <row r="79">
      <c r="A79" t="n">
        <v>2011</v>
      </c>
      <c r="B79" t="n">
        <v>3767940.212</v>
      </c>
      <c r="C79" t="n">
        <v>1911713143.883</v>
      </c>
      <c r="D79" t="n">
        <v>14261487956.408</v>
      </c>
      <c r="E79" t="n">
        <v>32.2008</v>
      </c>
      <c r="F79" t="n">
        <v>240.22</v>
      </c>
    </row>
    <row r="80">
      <c r="A80" t="n">
        <v>2012</v>
      </c>
      <c r="B80" t="n">
        <v>3385670.764</v>
      </c>
      <c r="C80" t="n">
        <v>1838412628.775</v>
      </c>
      <c r="D80" t="n">
        <v>14233079291.179</v>
      </c>
      <c r="E80" t="n">
        <v>32.159</v>
      </c>
      <c r="F80" t="n">
        <v>248.9764</v>
      </c>
    </row>
    <row r="81">
      <c r="A81" t="n">
        <v>2013</v>
      </c>
      <c r="B81" t="n">
        <v>3605589.391</v>
      </c>
      <c r="C81" t="n">
        <v>1817256463.137</v>
      </c>
      <c r="D81" t="n">
        <v>14669499934.811</v>
      </c>
      <c r="E81" t="n">
        <v>30.46</v>
      </c>
      <c r="F81" t="n">
        <v>245.8834</v>
      </c>
    </row>
    <row r="82">
      <c r="A82" t="n">
        <v>2014</v>
      </c>
      <c r="B82" t="n">
        <v>3811393.056</v>
      </c>
      <c r="C82" t="n">
        <v>1875153785.241</v>
      </c>
      <c r="D82" t="n">
        <v>14533246654.887</v>
      </c>
      <c r="E82" t="n">
        <v>31.6315</v>
      </c>
      <c r="F82" t="n">
        <v>245.158</v>
      </c>
    </row>
    <row r="83">
      <c r="A83" t="n">
        <v>2015</v>
      </c>
      <c r="B83" t="n">
        <v>4013875.485</v>
      </c>
      <c r="C83" t="n">
        <v>2114190605.68</v>
      </c>
      <c r="D83" t="n">
        <v>15673854858.92</v>
      </c>
      <c r="E83" t="n">
        <v>33.4087</v>
      </c>
      <c r="F83" t="n">
        <v>247.6801</v>
      </c>
    </row>
    <row r="84">
      <c r="A84" t="n">
        <v>2016</v>
      </c>
      <c r="B84" t="n">
        <v>4028385.386</v>
      </c>
      <c r="C84" t="n">
        <v>2212467130.09</v>
      </c>
      <c r="D84" t="n">
        <v>15734016704.864</v>
      </c>
      <c r="E84" t="n">
        <v>35.8252</v>
      </c>
      <c r="F84" t="n">
        <v>254.7717</v>
      </c>
    </row>
    <row r="85">
      <c r="A85" t="n">
        <v>2017</v>
      </c>
      <c r="B85" t="n">
        <v>4238858.12</v>
      </c>
      <c r="C85" t="n">
        <v>2180922308.919</v>
      </c>
      <c r="D85" t="n">
        <v>14978428714.105</v>
      </c>
      <c r="E85" t="n">
        <v>35.6784</v>
      </c>
      <c r="F85" t="n">
        <v>245.0367</v>
      </c>
    </row>
    <row r="86">
      <c r="A86" t="n">
        <v>2018</v>
      </c>
      <c r="B86" t="n">
        <v>4311917.751</v>
      </c>
      <c r="C86" t="n">
        <v>2138356419.078</v>
      </c>
      <c r="D86" t="n">
        <v>14009131848.143</v>
      </c>
      <c r="E86" t="n">
        <v>36.0189</v>
      </c>
      <c r="F86" t="n">
        <v>235.9726</v>
      </c>
    </row>
    <row r="87">
      <c r="A87" t="n">
        <v>2019</v>
      </c>
      <c r="B87" t="n">
        <v>4469154.987</v>
      </c>
      <c r="C87" t="n">
        <v>2256398888.707</v>
      </c>
      <c r="D87" t="n">
        <v>14812058259.684</v>
      </c>
      <c r="E87" t="n">
        <v>35.172</v>
      </c>
      <c r="F87" t="n">
        <v>230.8858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129544.904</v>
      </c>
      <c r="F2" t="n">
        <v>135885.34</v>
      </c>
      <c r="G2" t="n">
        <v>142536.155</v>
      </c>
      <c r="H2" t="n">
        <v>149698.472</v>
      </c>
      <c r="I2" t="n">
        <v>156766.5</v>
      </c>
      <c r="J2" t="n">
        <v>142418.38</v>
      </c>
      <c r="K2" t="n">
        <v>176406.64</v>
      </c>
      <c r="L2" t="n">
        <v>191451.548</v>
      </c>
      <c r="M2" t="n">
        <v>189089.391</v>
      </c>
      <c r="N2" t="n">
        <v>236429.459</v>
      </c>
      <c r="O2" t="n">
        <v>233056.149</v>
      </c>
      <c r="P2" t="n">
        <v>227157.906</v>
      </c>
      <c r="Q2" t="n">
        <v>226239.709</v>
      </c>
      <c r="R2" t="n">
        <v>246613.092</v>
      </c>
      <c r="S2" t="n">
        <v>274130.946</v>
      </c>
      <c r="T2" t="n">
        <v>292383.085</v>
      </c>
      <c r="U2" t="n">
        <v>311556.495</v>
      </c>
      <c r="V2" t="n">
        <v>321198.913</v>
      </c>
      <c r="W2" t="n">
        <v>342659.16</v>
      </c>
      <c r="X2" t="n">
        <v>355872.684</v>
      </c>
      <c r="Y2" t="n">
        <v>383325.16</v>
      </c>
      <c r="Z2" t="n">
        <v>429736.085</v>
      </c>
      <c r="AA2" t="n">
        <v>435187.868</v>
      </c>
      <c r="AB2" t="n">
        <v>457367.848</v>
      </c>
      <c r="AC2" t="n">
        <v>480949.034</v>
      </c>
      <c r="AD2" t="n">
        <v>506181.582</v>
      </c>
      <c r="AE2" t="n">
        <v>599245.1</v>
      </c>
      <c r="AF2" t="n">
        <v>663201.045</v>
      </c>
      <c r="AG2" t="n">
        <v>673631.129</v>
      </c>
      <c r="AH2" t="n">
        <v>649164.537</v>
      </c>
      <c r="AI2" t="n">
        <v>787605.703</v>
      </c>
      <c r="AJ2" t="n">
        <v>842972.6459999999</v>
      </c>
      <c r="AK2" t="n">
        <v>799485.5159999999</v>
      </c>
      <c r="AL2" t="n">
        <v>804953.403</v>
      </c>
      <c r="AM2" t="n">
        <v>864268.985</v>
      </c>
      <c r="AN2" t="n">
        <v>909114.613</v>
      </c>
      <c r="AO2" t="n">
        <v>1052089.459</v>
      </c>
      <c r="AP2" t="n">
        <v>1155071.712</v>
      </c>
      <c r="AQ2" t="n">
        <v>1117918.859</v>
      </c>
      <c r="AR2" t="n">
        <v>1185644.486</v>
      </c>
      <c r="AS2" t="n">
        <v>1131457.756</v>
      </c>
      <c r="AT2" t="n">
        <v>929454.64</v>
      </c>
      <c r="AU2" t="n">
        <v>864736.6310000001</v>
      </c>
      <c r="AV2" t="n">
        <v>940415.763</v>
      </c>
      <c r="AW2" t="n">
        <v>965417.848</v>
      </c>
      <c r="AX2" t="n">
        <v>963355.268</v>
      </c>
      <c r="AY2" t="n">
        <v>999147.767</v>
      </c>
      <c r="AZ2" t="n">
        <v>1115269.155</v>
      </c>
      <c r="BA2" t="n">
        <v>1096263.665</v>
      </c>
      <c r="BB2" t="n">
        <v>1166649.047</v>
      </c>
      <c r="BC2" t="n">
        <v>1325115.738</v>
      </c>
      <c r="BD2" t="n">
        <v>1282738.006</v>
      </c>
      <c r="BE2" t="n">
        <v>1298793.879</v>
      </c>
      <c r="BF2" t="n">
        <v>1155217.455</v>
      </c>
      <c r="BG2" t="n">
        <v>1131700.101</v>
      </c>
      <c r="BH2" t="n">
        <v>1092579.367</v>
      </c>
      <c r="BI2" t="n">
        <v>1060241.13</v>
      </c>
      <c r="BJ2" t="n">
        <v>1105984.624</v>
      </c>
      <c r="BK2" t="n">
        <v>1079714.935</v>
      </c>
      <c r="BL2" t="n">
        <v>1019118.417</v>
      </c>
      <c r="BM2" t="n">
        <v>1062162.522</v>
      </c>
      <c r="BN2" t="n">
        <v>1238146.46</v>
      </c>
      <c r="BO2" t="n">
        <v>973016.838</v>
      </c>
      <c r="BP2" t="n">
        <v>1298368.366</v>
      </c>
      <c r="BQ2" t="n">
        <v>1356509.9</v>
      </c>
      <c r="BR2" t="n">
        <v>1379820.396</v>
      </c>
      <c r="BS2" t="n">
        <v>1420277.686</v>
      </c>
      <c r="BT2" t="n">
        <v>1393418.169</v>
      </c>
      <c r="BU2" t="n">
        <v>1448199.13</v>
      </c>
      <c r="BV2" t="n">
        <v>1534001.625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93103.94899999999</v>
      </c>
      <c r="F3" t="n">
        <v>95381.16899999999</v>
      </c>
      <c r="G3" t="n">
        <v>97418.859</v>
      </c>
      <c r="H3" t="n">
        <v>100050.183</v>
      </c>
      <c r="I3" t="n">
        <v>104756.149</v>
      </c>
      <c r="J3" t="n">
        <v>109269.282</v>
      </c>
      <c r="K3" t="n">
        <v>109138.331</v>
      </c>
      <c r="L3" t="n">
        <v>113234.684</v>
      </c>
      <c r="M3" t="n">
        <v>118823.976</v>
      </c>
      <c r="N3" t="n">
        <v>119968.338</v>
      </c>
      <c r="O3" t="n">
        <v>123140.67</v>
      </c>
      <c r="P3" t="n">
        <v>135933.905</v>
      </c>
      <c r="Q3" t="n">
        <v>138930.353</v>
      </c>
      <c r="R3" t="n">
        <v>141429.574</v>
      </c>
      <c r="S3" t="n">
        <v>148356.627</v>
      </c>
      <c r="T3" t="n">
        <v>147444.14</v>
      </c>
      <c r="U3" t="n">
        <v>157590.597</v>
      </c>
      <c r="V3" t="n">
        <v>157852.785</v>
      </c>
      <c r="W3" t="n">
        <v>163189.045</v>
      </c>
      <c r="X3" t="n">
        <v>154952.394</v>
      </c>
      <c r="Y3" t="n">
        <v>160831.341</v>
      </c>
      <c r="Z3" t="n">
        <v>164590.975</v>
      </c>
      <c r="AA3" t="n">
        <v>174122.27</v>
      </c>
      <c r="AB3" t="n">
        <v>181066.124</v>
      </c>
      <c r="AC3" t="n">
        <v>183926.459</v>
      </c>
      <c r="AD3" t="n">
        <v>194805.4</v>
      </c>
      <c r="AE3" t="n">
        <v>182121.53</v>
      </c>
      <c r="AF3" t="n">
        <v>195204.373</v>
      </c>
      <c r="AG3" t="n">
        <v>202685.642</v>
      </c>
      <c r="AH3" t="n">
        <v>212463.375</v>
      </c>
      <c r="AI3" t="n">
        <v>240696.124</v>
      </c>
      <c r="AJ3" t="n">
        <v>241736.582</v>
      </c>
      <c r="AK3" t="n">
        <v>244255.501</v>
      </c>
      <c r="AL3" t="n">
        <v>256509.876</v>
      </c>
      <c r="AM3" t="n">
        <v>248688.709</v>
      </c>
      <c r="AN3" t="n">
        <v>261117.057</v>
      </c>
      <c r="AO3" t="n">
        <v>246497.52</v>
      </c>
      <c r="AP3" t="n">
        <v>265772.221</v>
      </c>
      <c r="AQ3" t="n">
        <v>265921.544</v>
      </c>
      <c r="AR3" t="n">
        <v>267831.977</v>
      </c>
      <c r="AS3" t="n">
        <v>234262.073</v>
      </c>
      <c r="AT3" t="n">
        <v>221124.624</v>
      </c>
      <c r="AU3" t="n">
        <v>247990.736</v>
      </c>
      <c r="AV3" t="n">
        <v>231282.766</v>
      </c>
      <c r="AW3" t="n">
        <v>243237.713</v>
      </c>
      <c r="AX3" t="n">
        <v>235654.942</v>
      </c>
      <c r="AY3" t="n">
        <v>214393.941</v>
      </c>
      <c r="AZ3" t="n">
        <v>247583.716</v>
      </c>
      <c r="BA3" t="n">
        <v>237651.95</v>
      </c>
      <c r="BB3" t="n">
        <v>227055.338</v>
      </c>
      <c r="BC3" t="n">
        <v>232729.797</v>
      </c>
      <c r="BD3" t="n">
        <v>267900.461</v>
      </c>
      <c r="BE3" t="n">
        <v>299719.742</v>
      </c>
      <c r="BF3" t="n">
        <v>308904.421</v>
      </c>
      <c r="BG3" t="n">
        <v>299341.877</v>
      </c>
      <c r="BH3" t="n">
        <v>286054.982</v>
      </c>
      <c r="BI3" t="n">
        <v>319661.056</v>
      </c>
      <c r="BJ3" t="n">
        <v>326158.676</v>
      </c>
      <c r="BK3" t="n">
        <v>336004.269</v>
      </c>
      <c r="BL3" t="n">
        <v>347368.37</v>
      </c>
      <c r="BM3" t="n">
        <v>343136.708</v>
      </c>
      <c r="BN3" t="n">
        <v>332154.196</v>
      </c>
      <c r="BO3" t="n">
        <v>360762.765</v>
      </c>
      <c r="BP3" t="n">
        <v>377558.053</v>
      </c>
      <c r="BQ3" t="n">
        <v>372104.769</v>
      </c>
      <c r="BR3" t="n">
        <v>366431.836</v>
      </c>
      <c r="BS3" t="n">
        <v>341636.07</v>
      </c>
      <c r="BT3" t="n">
        <v>420919.157</v>
      </c>
      <c r="BU3" t="n">
        <v>429887.786</v>
      </c>
      <c r="BV3" t="n">
        <v>430372.007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44658.75</v>
      </c>
      <c r="F4" t="n">
        <v>45305.825</v>
      </c>
      <c r="G4" t="n">
        <v>50681.438</v>
      </c>
      <c r="H4" t="n">
        <v>53400.561</v>
      </c>
      <c r="I4" t="n">
        <v>59094.802</v>
      </c>
      <c r="J4" t="n">
        <v>61592.327</v>
      </c>
      <c r="K4" t="n">
        <v>63537.791</v>
      </c>
      <c r="L4" t="n">
        <v>65500.098</v>
      </c>
      <c r="M4" t="n">
        <v>68378.07799999999</v>
      </c>
      <c r="N4" t="n">
        <v>73325.64999999999</v>
      </c>
      <c r="O4" t="n">
        <v>65488.294</v>
      </c>
      <c r="P4" t="n">
        <v>70707.996</v>
      </c>
      <c r="Q4" t="n">
        <v>74502.91499999999</v>
      </c>
      <c r="R4" t="n">
        <v>65121.587</v>
      </c>
      <c r="S4" t="n">
        <v>90792.829</v>
      </c>
      <c r="T4" t="n">
        <v>68105.705</v>
      </c>
      <c r="U4" t="n">
        <v>77847.155</v>
      </c>
      <c r="V4" t="n">
        <v>99257.004</v>
      </c>
      <c r="W4" t="n">
        <v>76788.56299999999</v>
      </c>
      <c r="X4" t="n">
        <v>90099.352</v>
      </c>
      <c r="Y4" t="n">
        <v>110692.417</v>
      </c>
      <c r="Z4" t="n">
        <v>136816.122</v>
      </c>
      <c r="AA4" t="n">
        <v>188762.251</v>
      </c>
      <c r="AB4" t="n">
        <v>156875.555</v>
      </c>
      <c r="AC4" t="n">
        <v>121217.28</v>
      </c>
      <c r="AD4" t="n">
        <v>130316.809</v>
      </c>
      <c r="AE4" t="n">
        <v>121455.231</v>
      </c>
      <c r="AF4" t="n">
        <v>135195.126</v>
      </c>
      <c r="AG4" t="n">
        <v>164832.588</v>
      </c>
      <c r="AH4" t="n">
        <v>101449.728</v>
      </c>
      <c r="AI4" t="n">
        <v>99754.633</v>
      </c>
      <c r="AJ4" t="n">
        <v>103425.915</v>
      </c>
      <c r="AK4" t="n">
        <v>94764.88099999999</v>
      </c>
      <c r="AL4" t="n">
        <v>100517.002</v>
      </c>
      <c r="AM4" t="n">
        <v>90207.09600000001</v>
      </c>
      <c r="AN4" t="n">
        <v>87438.486</v>
      </c>
      <c r="AO4" t="n">
        <v>95469.095</v>
      </c>
      <c r="AP4" t="n">
        <v>96206.951</v>
      </c>
      <c r="AQ4" t="n">
        <v>95021.333</v>
      </c>
      <c r="AR4" t="n">
        <v>91369.93399999999</v>
      </c>
      <c r="AS4" t="n">
        <v>117830.055</v>
      </c>
      <c r="AT4" t="n">
        <v>176124.3</v>
      </c>
      <c r="AU4" t="n">
        <v>143302.269</v>
      </c>
      <c r="AV4" t="n">
        <v>106725.745</v>
      </c>
      <c r="AW4" t="n">
        <v>112931.634</v>
      </c>
      <c r="AX4" t="n">
        <v>191345.357</v>
      </c>
      <c r="AY4" t="n">
        <v>214925.283</v>
      </c>
      <c r="AZ4" t="n">
        <v>221826.73</v>
      </c>
      <c r="BA4" t="n">
        <v>222877.432</v>
      </c>
      <c r="BB4" t="n">
        <v>195525.44</v>
      </c>
      <c r="BC4" t="n">
        <v>193952.799</v>
      </c>
      <c r="BD4" t="n">
        <v>178177.311</v>
      </c>
      <c r="BE4" t="n">
        <v>180611.224</v>
      </c>
      <c r="BF4" t="n">
        <v>174405.814</v>
      </c>
      <c r="BG4" t="n">
        <v>162928.414</v>
      </c>
      <c r="BH4" t="n">
        <v>153811.351</v>
      </c>
      <c r="BI4" t="n">
        <v>175118.335</v>
      </c>
      <c r="BJ4" t="n">
        <v>193450.681</v>
      </c>
      <c r="BK4" t="n">
        <v>189450.542</v>
      </c>
      <c r="BL4" t="n">
        <v>198422.75</v>
      </c>
      <c r="BM4" t="n">
        <v>210053.523</v>
      </c>
      <c r="BN4" t="n">
        <v>211785.554</v>
      </c>
      <c r="BO4" t="n">
        <v>208095.494</v>
      </c>
      <c r="BP4" t="n">
        <v>180186.55</v>
      </c>
      <c r="BQ4" t="n">
        <v>210834.193</v>
      </c>
      <c r="BR4" t="n">
        <v>142805.966</v>
      </c>
      <c r="BS4" t="n">
        <v>109645.202</v>
      </c>
      <c r="BT4" t="n">
        <v>194243.047</v>
      </c>
      <c r="BU4" t="n">
        <v>187100.625</v>
      </c>
      <c r="BV4" t="n">
        <v>179011.427</v>
      </c>
    </row>
    <row r="5">
      <c r="A5" t="inlineStr">
        <is>
          <t>Engraulis encrasicolus</t>
        </is>
      </c>
      <c r="B5" t="inlineStr">
        <is>
          <t>European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7808.755</v>
      </c>
      <c r="F5" t="n">
        <v>8039.089</v>
      </c>
      <c r="G5" t="n">
        <v>8256.853999999999</v>
      </c>
      <c r="H5" t="n">
        <v>8323.495999999999</v>
      </c>
      <c r="I5" t="n">
        <v>8550.718999999999</v>
      </c>
      <c r="J5" t="n">
        <v>8835.409</v>
      </c>
      <c r="K5" t="n">
        <v>9550.548000000001</v>
      </c>
      <c r="L5" t="n">
        <v>9962.031999999999</v>
      </c>
      <c r="M5" t="n">
        <v>9836.523999999999</v>
      </c>
      <c r="N5" t="n">
        <v>10776.544</v>
      </c>
      <c r="O5" t="n">
        <v>10042.985</v>
      </c>
      <c r="P5" t="n">
        <v>10555.872</v>
      </c>
      <c r="Q5" t="n">
        <v>10869.108</v>
      </c>
      <c r="R5" t="n">
        <v>10088.914</v>
      </c>
      <c r="S5" t="n">
        <v>15216.769</v>
      </c>
      <c r="T5" t="n">
        <v>8656.867</v>
      </c>
      <c r="U5" t="n">
        <v>8191.68</v>
      </c>
      <c r="V5" t="n">
        <v>10698.966</v>
      </c>
      <c r="W5" t="n">
        <v>11056.605</v>
      </c>
      <c r="X5" t="n">
        <v>17345.362</v>
      </c>
      <c r="Y5" t="n">
        <v>27209.204</v>
      </c>
      <c r="Z5" t="n">
        <v>47164.584</v>
      </c>
      <c r="AA5" t="n">
        <v>35622.692</v>
      </c>
      <c r="AB5" t="n">
        <v>65808.51300000001</v>
      </c>
      <c r="AC5" t="n">
        <v>83086.963</v>
      </c>
      <c r="AD5" t="n">
        <v>94874.189</v>
      </c>
      <c r="AE5" t="n">
        <v>87357.114</v>
      </c>
      <c r="AF5" t="n">
        <v>113603.799</v>
      </c>
      <c r="AG5" t="n">
        <v>142026.206</v>
      </c>
      <c r="AH5" t="n">
        <v>53891.062</v>
      </c>
      <c r="AI5" t="n">
        <v>143110.8</v>
      </c>
      <c r="AJ5" t="n">
        <v>173994.491</v>
      </c>
      <c r="AK5" t="n">
        <v>144188.975</v>
      </c>
      <c r="AL5" t="n">
        <v>125729.782</v>
      </c>
      <c r="AM5" t="n">
        <v>113741.701</v>
      </c>
      <c r="AN5" t="n">
        <v>97372.105</v>
      </c>
      <c r="AO5" t="n">
        <v>92073.712</v>
      </c>
      <c r="AP5" t="n">
        <v>176482.037</v>
      </c>
      <c r="AQ5" t="n">
        <v>180469.078</v>
      </c>
      <c r="AR5" t="n">
        <v>164605.318</v>
      </c>
      <c r="AS5" t="n">
        <v>201676.777</v>
      </c>
      <c r="AT5" t="n">
        <v>169764.262</v>
      </c>
      <c r="AU5" t="n">
        <v>176931.741</v>
      </c>
      <c r="AV5" t="n">
        <v>170956.502</v>
      </c>
      <c r="AW5" t="n">
        <v>144598.562</v>
      </c>
      <c r="AX5" t="n">
        <v>159510.425</v>
      </c>
      <c r="AY5" t="n">
        <v>187460.122</v>
      </c>
      <c r="AZ5" t="n">
        <v>171455.428</v>
      </c>
      <c r="BA5" t="n">
        <v>139103.074</v>
      </c>
      <c r="BB5" t="n">
        <v>133567.607</v>
      </c>
      <c r="BC5" t="n">
        <v>177147.097</v>
      </c>
      <c r="BD5" t="n">
        <v>153014.119</v>
      </c>
      <c r="BE5" t="n">
        <v>152775.327</v>
      </c>
      <c r="BF5" t="n">
        <v>176555.899</v>
      </c>
      <c r="BG5" t="n">
        <v>118785.199</v>
      </c>
      <c r="BH5" t="n">
        <v>95539.06200000001</v>
      </c>
      <c r="BI5" t="n">
        <v>110064.328</v>
      </c>
      <c r="BJ5" t="n">
        <v>82537.364</v>
      </c>
      <c r="BK5" t="n">
        <v>103938.384</v>
      </c>
      <c r="BL5" t="n">
        <v>126514.511</v>
      </c>
      <c r="BM5" t="n">
        <v>116946.086</v>
      </c>
      <c r="BN5" t="n">
        <v>107128.517</v>
      </c>
      <c r="BO5" t="n">
        <v>90881.102</v>
      </c>
      <c r="BP5" t="n">
        <v>48581.229</v>
      </c>
      <c r="BQ5" t="n">
        <v>55384.157</v>
      </c>
      <c r="BR5" t="n">
        <v>56929.912</v>
      </c>
      <c r="BS5" t="n">
        <v>67039.269</v>
      </c>
      <c r="BT5" t="n">
        <v>90940.845</v>
      </c>
      <c r="BU5" t="n">
        <v>117155.044</v>
      </c>
      <c r="BV5" t="n">
        <v>101730.964</v>
      </c>
    </row>
    <row r="6">
      <c r="A6" t="inlineStr">
        <is>
          <t>Pseudotolithus</t>
        </is>
      </c>
      <c r="B6" t="inlineStr">
        <is>
          <t>African croakers</t>
        </is>
      </c>
      <c r="C6" t="inlineStr">
        <is>
          <t>Large demersals (&gt;=90 cm)</t>
        </is>
      </c>
      <c r="D6" t="inlineStr">
        <is>
          <t>Perch-likes</t>
        </is>
      </c>
      <c r="E6" t="n">
        <v>9403.593999999999</v>
      </c>
      <c r="F6" t="n">
        <v>9646.083000000001</v>
      </c>
      <c r="G6" t="n">
        <v>11432.638</v>
      </c>
      <c r="H6" t="n">
        <v>12050.124</v>
      </c>
      <c r="I6" t="n">
        <v>13270.444</v>
      </c>
      <c r="J6" t="n">
        <v>13905.025</v>
      </c>
      <c r="K6" t="n">
        <v>15829.158</v>
      </c>
      <c r="L6" t="n">
        <v>17352.157</v>
      </c>
      <c r="M6" t="n">
        <v>18369.885</v>
      </c>
      <c r="N6" t="n">
        <v>19218.039</v>
      </c>
      <c r="O6" t="n">
        <v>20849.976</v>
      </c>
      <c r="P6" t="n">
        <v>23559.909</v>
      </c>
      <c r="Q6" t="n">
        <v>24929.74</v>
      </c>
      <c r="R6" t="n">
        <v>30270.659</v>
      </c>
      <c r="S6" t="n">
        <v>30858.944</v>
      </c>
      <c r="T6" t="n">
        <v>34762.753</v>
      </c>
      <c r="U6" t="n">
        <v>37167.128</v>
      </c>
      <c r="V6" t="n">
        <v>34145.188</v>
      </c>
      <c r="W6" t="n">
        <v>34602.434</v>
      </c>
      <c r="X6" t="n">
        <v>34750.52</v>
      </c>
      <c r="Y6" t="n">
        <v>36509.74</v>
      </c>
      <c r="Z6" t="n">
        <v>53250.981</v>
      </c>
      <c r="AA6" t="n">
        <v>51169.762</v>
      </c>
      <c r="AB6" t="n">
        <v>50874.485</v>
      </c>
      <c r="AC6" t="n">
        <v>51163.031</v>
      </c>
      <c r="AD6" t="n">
        <v>53823.307</v>
      </c>
      <c r="AE6" t="n">
        <v>54490.246</v>
      </c>
      <c r="AF6" t="n">
        <v>57975.462</v>
      </c>
      <c r="AG6" t="n">
        <v>62032.009</v>
      </c>
      <c r="AH6" t="n">
        <v>62512.926</v>
      </c>
      <c r="AI6" t="n">
        <v>57358.233</v>
      </c>
      <c r="AJ6" t="n">
        <v>58655.308</v>
      </c>
      <c r="AK6" t="n">
        <v>61333.993</v>
      </c>
      <c r="AL6" t="n">
        <v>64909.873</v>
      </c>
      <c r="AM6" t="n">
        <v>68835.842</v>
      </c>
      <c r="AN6" t="n">
        <v>84472.44899999999</v>
      </c>
      <c r="AO6" t="n">
        <v>85321.035</v>
      </c>
      <c r="AP6" t="n">
        <v>70604.31200000001</v>
      </c>
      <c r="AQ6" t="n">
        <v>87412.799</v>
      </c>
      <c r="AR6" t="n">
        <v>103296.654</v>
      </c>
      <c r="AS6" t="n">
        <v>91317.052</v>
      </c>
      <c r="AT6" t="n">
        <v>106181.178</v>
      </c>
      <c r="AU6" t="n">
        <v>103246.127</v>
      </c>
      <c r="AV6" t="n">
        <v>118872.747</v>
      </c>
      <c r="AW6" t="n">
        <v>119667.228</v>
      </c>
      <c r="AX6" t="n">
        <v>103157.931</v>
      </c>
      <c r="AY6" t="n">
        <v>106062.727</v>
      </c>
      <c r="AZ6" t="n">
        <v>93686.88499999999</v>
      </c>
      <c r="BA6" t="n">
        <v>91196.43399999999</v>
      </c>
      <c r="BB6" t="n">
        <v>95401.04300000001</v>
      </c>
      <c r="BC6" t="n">
        <v>177154.57</v>
      </c>
      <c r="BD6" t="n">
        <v>179255.122</v>
      </c>
      <c r="BE6" t="n">
        <v>181135.917</v>
      </c>
      <c r="BF6" t="n">
        <v>178943.793</v>
      </c>
      <c r="BG6" t="n">
        <v>176458.638</v>
      </c>
      <c r="BH6" t="n">
        <v>174366.316</v>
      </c>
      <c r="BI6" t="n">
        <v>163223.306</v>
      </c>
      <c r="BJ6" t="n">
        <v>158761.447</v>
      </c>
      <c r="BK6" t="n">
        <v>153647.756</v>
      </c>
      <c r="BL6" t="n">
        <v>144230.352</v>
      </c>
      <c r="BM6" t="n">
        <v>138737.566</v>
      </c>
      <c r="BN6" t="n">
        <v>150997.079</v>
      </c>
      <c r="BO6" t="n">
        <v>119078.394</v>
      </c>
      <c r="BP6" t="n">
        <v>108435.084</v>
      </c>
      <c r="BQ6" t="n">
        <v>122926.477</v>
      </c>
      <c r="BR6" t="n">
        <v>156667.096</v>
      </c>
      <c r="BS6" t="n">
        <v>143295.226</v>
      </c>
      <c r="BT6" t="n">
        <v>149223.398</v>
      </c>
      <c r="BU6" t="n">
        <v>157337.701</v>
      </c>
      <c r="BV6" t="n">
        <v>157757.921</v>
      </c>
    </row>
    <row r="7">
      <c r="A7" t="inlineStr">
        <is>
          <t>Sardinella aurita</t>
        </is>
      </c>
      <c r="B7" t="inlineStr">
        <is>
          <t>Round sardinella</t>
        </is>
      </c>
      <c r="C7" t="inlineStr">
        <is>
          <t>Small pelagics (&lt;30 cm)</t>
        </is>
      </c>
      <c r="D7" t="inlineStr">
        <is>
          <t>Herring-likes</t>
        </is>
      </c>
      <c r="E7" t="n">
        <v>28110.347</v>
      </c>
      <c r="F7" t="n">
        <v>30043.708</v>
      </c>
      <c r="G7" t="n">
        <v>26637.786</v>
      </c>
      <c r="H7" t="n">
        <v>32417.786</v>
      </c>
      <c r="I7" t="n">
        <v>31141.293</v>
      </c>
      <c r="J7" t="n">
        <v>30378.473</v>
      </c>
      <c r="K7" t="n">
        <v>37743.153</v>
      </c>
      <c r="L7" t="n">
        <v>39403.038</v>
      </c>
      <c r="M7" t="n">
        <v>38580.175</v>
      </c>
      <c r="N7" t="n">
        <v>37094.287</v>
      </c>
      <c r="O7" t="n">
        <v>35224.423</v>
      </c>
      <c r="P7" t="n">
        <v>46152.578</v>
      </c>
      <c r="Q7" t="n">
        <v>46746.93</v>
      </c>
      <c r="R7" t="n">
        <v>59325.06</v>
      </c>
      <c r="S7" t="n">
        <v>49436.34</v>
      </c>
      <c r="T7" t="n">
        <v>42197.884</v>
      </c>
      <c r="U7" t="n">
        <v>45861.763</v>
      </c>
      <c r="V7" t="n">
        <v>39706.046</v>
      </c>
      <c r="W7" t="n">
        <v>31982.56</v>
      </c>
      <c r="X7" t="n">
        <v>40085.303</v>
      </c>
      <c r="Y7" t="n">
        <v>29600.647</v>
      </c>
      <c r="Z7" t="n">
        <v>32579.123</v>
      </c>
      <c r="AA7" t="n">
        <v>30149.817</v>
      </c>
      <c r="AB7" t="n">
        <v>15231.883</v>
      </c>
      <c r="AC7" t="n">
        <v>13224.21</v>
      </c>
      <c r="AD7" t="n">
        <v>20623.907</v>
      </c>
      <c r="AE7" t="n">
        <v>30930</v>
      </c>
      <c r="AF7" t="n">
        <v>35769.513</v>
      </c>
      <c r="AG7" t="n">
        <v>41214.707</v>
      </c>
      <c r="AH7" t="n">
        <v>46480.463</v>
      </c>
      <c r="AI7" t="n">
        <v>60976.869</v>
      </c>
      <c r="AJ7" t="n">
        <v>57334.519</v>
      </c>
      <c r="AK7" t="n">
        <v>68155.82000000001</v>
      </c>
      <c r="AL7" t="n">
        <v>94446.26300000001</v>
      </c>
      <c r="AM7" t="n">
        <v>67061.584</v>
      </c>
      <c r="AN7" t="n">
        <v>116991.096</v>
      </c>
      <c r="AO7" t="n">
        <v>130232.686</v>
      </c>
      <c r="AP7" t="n">
        <v>136769.389</v>
      </c>
      <c r="AQ7" t="n">
        <v>133830.084</v>
      </c>
      <c r="AR7" t="n">
        <v>127832.698</v>
      </c>
      <c r="AS7" t="n">
        <v>103498.437</v>
      </c>
      <c r="AT7" t="n">
        <v>125662.839</v>
      </c>
      <c r="AU7" t="n">
        <v>178410.932</v>
      </c>
      <c r="AV7" t="n">
        <v>128154.623</v>
      </c>
      <c r="AW7" t="n">
        <v>100621.282</v>
      </c>
      <c r="AX7" t="n">
        <v>101899.194</v>
      </c>
      <c r="AY7" t="n">
        <v>169872.796</v>
      </c>
      <c r="AZ7" t="n">
        <v>87337.2</v>
      </c>
      <c r="BA7" t="n">
        <v>99983.83900000001</v>
      </c>
      <c r="BB7" t="n">
        <v>111408.593</v>
      </c>
      <c r="BC7" t="n">
        <v>149953.132</v>
      </c>
      <c r="BD7" t="n">
        <v>109816.056</v>
      </c>
      <c r="BE7" t="n">
        <v>91910.14</v>
      </c>
      <c r="BF7" t="n">
        <v>105576.149</v>
      </c>
      <c r="BG7" t="n">
        <v>114593.692</v>
      </c>
      <c r="BH7" t="n">
        <v>105090.093</v>
      </c>
      <c r="BI7" t="n">
        <v>99937.348</v>
      </c>
      <c r="BJ7" t="n">
        <v>72485.448</v>
      </c>
      <c r="BK7" t="n">
        <v>57404.213</v>
      </c>
      <c r="BL7" t="n">
        <v>46078.9</v>
      </c>
      <c r="BM7" t="n">
        <v>63363.865</v>
      </c>
      <c r="BN7" t="n">
        <v>56139.665</v>
      </c>
      <c r="BO7" t="n">
        <v>63225.108</v>
      </c>
      <c r="BP7" t="n">
        <v>70179.183</v>
      </c>
      <c r="BQ7" t="n">
        <v>82185.118</v>
      </c>
      <c r="BR7" t="n">
        <v>67401.67999999999</v>
      </c>
      <c r="BS7" t="n">
        <v>86483.982</v>
      </c>
      <c r="BT7" t="n">
        <v>95217.625</v>
      </c>
      <c r="BU7" t="n">
        <v>75683.026</v>
      </c>
      <c r="BV7" t="n">
        <v>68993.489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n">
        <v>12470.615</v>
      </c>
      <c r="F8" t="n">
        <v>12897.987</v>
      </c>
      <c r="G8" t="n">
        <v>13353.765</v>
      </c>
      <c r="H8" t="n">
        <v>13910.615</v>
      </c>
      <c r="I8" t="n">
        <v>14332.164</v>
      </c>
      <c r="J8" t="n">
        <v>14785.447</v>
      </c>
      <c r="K8" t="n">
        <v>15140.992</v>
      </c>
      <c r="L8" t="n">
        <v>15648.886</v>
      </c>
      <c r="M8" t="n">
        <v>16102.892</v>
      </c>
      <c r="N8" t="n">
        <v>16557.744</v>
      </c>
      <c r="O8" t="n">
        <v>16955.602</v>
      </c>
      <c r="P8" t="n">
        <v>17409.985</v>
      </c>
      <c r="Q8" t="n">
        <v>17382.96</v>
      </c>
      <c r="R8" t="n">
        <v>17456.858</v>
      </c>
      <c r="S8" t="n">
        <v>17463.541</v>
      </c>
      <c r="T8" t="n">
        <v>17536.049</v>
      </c>
      <c r="U8" t="n">
        <v>17584.972</v>
      </c>
      <c r="V8" t="n">
        <v>17963.553</v>
      </c>
      <c r="W8" t="n">
        <v>18421.943</v>
      </c>
      <c r="X8" t="n">
        <v>18904.101</v>
      </c>
      <c r="Y8" t="n">
        <v>19404.651</v>
      </c>
      <c r="Z8" t="n">
        <v>19932.173</v>
      </c>
      <c r="AA8" t="n">
        <v>21403.254</v>
      </c>
      <c r="AB8" t="n">
        <v>25839.924</v>
      </c>
      <c r="AC8" t="n">
        <v>27908.79</v>
      </c>
      <c r="AD8" t="n">
        <v>27159.229</v>
      </c>
      <c r="AE8" t="n">
        <v>32292.785</v>
      </c>
      <c r="AF8" t="n">
        <v>47108.876</v>
      </c>
      <c r="AG8" t="n">
        <v>67944.916</v>
      </c>
      <c r="AH8" t="n">
        <v>68149.857</v>
      </c>
      <c r="AI8" t="n">
        <v>76704.769</v>
      </c>
      <c r="AJ8" t="n">
        <v>65779.231</v>
      </c>
      <c r="AK8" t="n">
        <v>67605.08500000001</v>
      </c>
      <c r="AL8" t="n">
        <v>71842.29399999999</v>
      </c>
      <c r="AM8" t="n">
        <v>68621.567</v>
      </c>
      <c r="AN8" t="n">
        <v>49416.921</v>
      </c>
      <c r="AO8" t="n">
        <v>56753.621</v>
      </c>
      <c r="AP8" t="n">
        <v>65587.508</v>
      </c>
      <c r="AQ8" t="n">
        <v>58412.691</v>
      </c>
      <c r="AR8" t="n">
        <v>38823.933</v>
      </c>
      <c r="AS8" t="n">
        <v>87349.736</v>
      </c>
      <c r="AT8" t="n">
        <v>88300.98</v>
      </c>
      <c r="AU8" t="n">
        <v>79950.053</v>
      </c>
      <c r="AV8" t="n">
        <v>76921.71799999999</v>
      </c>
      <c r="AW8" t="n">
        <v>76045.03999999999</v>
      </c>
      <c r="AX8" t="n">
        <v>95102.43399999999</v>
      </c>
      <c r="AY8" t="n">
        <v>89401.423</v>
      </c>
      <c r="AZ8" t="n">
        <v>141601.912</v>
      </c>
      <c r="BA8" t="n">
        <v>153586.006</v>
      </c>
      <c r="BB8" t="n">
        <v>117202.686</v>
      </c>
      <c r="BC8" t="n">
        <v>145972.381</v>
      </c>
      <c r="BD8" t="n">
        <v>134999.188</v>
      </c>
      <c r="BE8" t="n">
        <v>122519.557</v>
      </c>
      <c r="BF8" t="n">
        <v>129442.675</v>
      </c>
      <c r="BG8" t="n">
        <v>118367.724</v>
      </c>
      <c r="BH8" t="n">
        <v>137972.902</v>
      </c>
      <c r="BI8" t="n">
        <v>152817.51</v>
      </c>
      <c r="BJ8" t="n">
        <v>153694.176</v>
      </c>
      <c r="BK8" t="n">
        <v>153207.97</v>
      </c>
      <c r="BL8" t="n">
        <v>151406.349</v>
      </c>
      <c r="BM8" t="n">
        <v>149654.399</v>
      </c>
      <c r="BN8" t="n">
        <v>92547.659</v>
      </c>
      <c r="BO8" t="n">
        <v>88549.44100000001</v>
      </c>
      <c r="BP8" t="n">
        <v>84576.423</v>
      </c>
      <c r="BQ8" t="n">
        <v>86765.711</v>
      </c>
      <c r="BR8" t="n">
        <v>88482.632</v>
      </c>
      <c r="BS8" t="n">
        <v>93411.955</v>
      </c>
      <c r="BT8" t="n">
        <v>104863.549</v>
      </c>
      <c r="BU8" t="n">
        <v>115524.646</v>
      </c>
      <c r="BV8" t="n">
        <v>123598.055</v>
      </c>
    </row>
    <row r="9">
      <c r="A9" t="inlineStr">
        <is>
          <t>Brachydeuterus auritus</t>
        </is>
      </c>
      <c r="B9" t="inlineStr">
        <is>
          <t>Bigeye grunt</t>
        </is>
      </c>
      <c r="C9" t="inlineStr">
        <is>
          <t>Small demersals (&lt;30 cm)</t>
        </is>
      </c>
      <c r="D9" t="inlineStr">
        <is>
          <t>Perch-likes</t>
        </is>
      </c>
      <c r="E9" t="n">
        <v>5029.515</v>
      </c>
      <c r="F9" t="n">
        <v>5115.217</v>
      </c>
      <c r="G9" t="n">
        <v>5572.808</v>
      </c>
      <c r="H9" t="n">
        <v>5773.311</v>
      </c>
      <c r="I9" t="n">
        <v>7947.116</v>
      </c>
      <c r="J9" t="n">
        <v>8624.217000000001</v>
      </c>
      <c r="K9" t="n">
        <v>9784.083000000001</v>
      </c>
      <c r="L9" t="n">
        <v>11687.802</v>
      </c>
      <c r="M9" t="n">
        <v>13915.037</v>
      </c>
      <c r="N9" t="n">
        <v>10633.605</v>
      </c>
      <c r="O9" t="n">
        <v>14217.319</v>
      </c>
      <c r="P9" t="n">
        <v>16697.368</v>
      </c>
      <c r="Q9" t="n">
        <v>19477.463</v>
      </c>
      <c r="R9" t="n">
        <v>21682.793</v>
      </c>
      <c r="S9" t="n">
        <v>21113.885</v>
      </c>
      <c r="T9" t="n">
        <v>29042.874</v>
      </c>
      <c r="U9" t="n">
        <v>28178.98</v>
      </c>
      <c r="V9" t="n">
        <v>24014.532</v>
      </c>
      <c r="W9" t="n">
        <v>22976.902</v>
      </c>
      <c r="X9" t="n">
        <v>29866.543</v>
      </c>
      <c r="Y9" t="n">
        <v>28753.46</v>
      </c>
      <c r="Z9" t="n">
        <v>33933.118</v>
      </c>
      <c r="AA9" t="n">
        <v>39935.091</v>
      </c>
      <c r="AB9" t="n">
        <v>38145.273</v>
      </c>
      <c r="AC9" t="n">
        <v>38373.377</v>
      </c>
      <c r="AD9" t="n">
        <v>37926.715</v>
      </c>
      <c r="AE9" t="n">
        <v>42239.982</v>
      </c>
      <c r="AF9" t="n">
        <v>50248.888</v>
      </c>
      <c r="AG9" t="n">
        <v>54035.05</v>
      </c>
      <c r="AH9" t="n">
        <v>49717.332</v>
      </c>
      <c r="AI9" t="n">
        <v>48049.823</v>
      </c>
      <c r="AJ9" t="n">
        <v>56636.642</v>
      </c>
      <c r="AK9" t="n">
        <v>59990.286</v>
      </c>
      <c r="AL9" t="n">
        <v>52400.006</v>
      </c>
      <c r="AM9" t="n">
        <v>56223.774</v>
      </c>
      <c r="AN9" t="n">
        <v>54146.783</v>
      </c>
      <c r="AO9" t="n">
        <v>68473.54399999999</v>
      </c>
      <c r="AP9" t="n">
        <v>63609.903</v>
      </c>
      <c r="AQ9" t="n">
        <v>60129.233</v>
      </c>
      <c r="AR9" t="n">
        <v>57203.405</v>
      </c>
      <c r="AS9" t="n">
        <v>74630.81200000001</v>
      </c>
      <c r="AT9" t="n">
        <v>63655.618</v>
      </c>
      <c r="AU9" t="n">
        <v>54212.546</v>
      </c>
      <c r="AV9" t="n">
        <v>51677.141</v>
      </c>
      <c r="AW9" t="n">
        <v>61353.933</v>
      </c>
      <c r="AX9" t="n">
        <v>58249.374</v>
      </c>
      <c r="AY9" t="n">
        <v>56245.307</v>
      </c>
      <c r="AZ9" t="n">
        <v>65006.581</v>
      </c>
      <c r="BA9" t="n">
        <v>53764.603</v>
      </c>
      <c r="BB9" t="n">
        <v>57142.971</v>
      </c>
      <c r="BC9" t="n">
        <v>61287.79</v>
      </c>
      <c r="BD9" t="n">
        <v>55516.732</v>
      </c>
      <c r="BE9" t="n">
        <v>51404.959</v>
      </c>
      <c r="BF9" t="n">
        <v>48534.742</v>
      </c>
      <c r="BG9" t="n">
        <v>66423.675</v>
      </c>
      <c r="BH9" t="n">
        <v>60353.875</v>
      </c>
      <c r="BI9" t="n">
        <v>57939.268</v>
      </c>
      <c r="BJ9" t="n">
        <v>60640.444</v>
      </c>
      <c r="BK9" t="n">
        <v>58491.043</v>
      </c>
      <c r="BL9" t="n">
        <v>52963.621</v>
      </c>
      <c r="BM9" t="n">
        <v>58164.13</v>
      </c>
      <c r="BN9" t="n">
        <v>75097.32000000001</v>
      </c>
      <c r="BO9" t="n">
        <v>52678.532</v>
      </c>
      <c r="BP9" t="n">
        <v>48227.445</v>
      </c>
      <c r="BQ9" t="n">
        <v>57538.24</v>
      </c>
      <c r="BR9" t="n">
        <v>79605.095</v>
      </c>
      <c r="BS9" t="n">
        <v>76943.496</v>
      </c>
      <c r="BT9" t="n">
        <v>73063.39200000001</v>
      </c>
      <c r="BU9" t="n">
        <v>84724.05899999999</v>
      </c>
      <c r="BV9" t="n">
        <v>102356.771</v>
      </c>
    </row>
    <row r="10">
      <c r="A10" t="inlineStr">
        <is>
          <t>Trachurus</t>
        </is>
      </c>
      <c r="B10" t="inlineStr">
        <is>
          <t>Jacks, horse mackerels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198.066</v>
      </c>
      <c r="F10" t="n">
        <v>196.61</v>
      </c>
      <c r="G10" t="n">
        <v>200.654</v>
      </c>
      <c r="H10" t="n">
        <v>240.655</v>
      </c>
      <c r="I10" t="n">
        <v>236.436</v>
      </c>
      <c r="J10" t="n">
        <v>229.642</v>
      </c>
      <c r="K10" t="n">
        <v>315.068</v>
      </c>
      <c r="L10" t="n">
        <v>334.882</v>
      </c>
      <c r="M10" t="n">
        <v>728.046</v>
      </c>
      <c r="N10" t="n">
        <v>653.175</v>
      </c>
      <c r="O10" t="n">
        <v>7405.265</v>
      </c>
      <c r="P10" t="n">
        <v>27050.335</v>
      </c>
      <c r="Q10" t="n">
        <v>24186.73</v>
      </c>
      <c r="R10" t="n">
        <v>21091.812</v>
      </c>
      <c r="S10" t="n">
        <v>20885.49</v>
      </c>
      <c r="T10" t="n">
        <v>14489.449</v>
      </c>
      <c r="U10" t="n">
        <v>7335.636</v>
      </c>
      <c r="V10" t="n">
        <v>16331.603</v>
      </c>
      <c r="W10" t="n">
        <v>17710.337</v>
      </c>
      <c r="X10" t="n">
        <v>21422.565</v>
      </c>
      <c r="Y10" t="n">
        <v>27728.221</v>
      </c>
      <c r="Z10" t="n">
        <v>48146.106</v>
      </c>
      <c r="AA10" t="n">
        <v>45334.095</v>
      </c>
      <c r="AB10" t="n">
        <v>39759.327</v>
      </c>
      <c r="AC10" t="n">
        <v>48263.742</v>
      </c>
      <c r="AD10" t="n">
        <v>52263.658</v>
      </c>
      <c r="AE10" t="n">
        <v>67264.447</v>
      </c>
      <c r="AF10" t="n">
        <v>75806.41800000001</v>
      </c>
      <c r="AG10" t="n">
        <v>55864.717</v>
      </c>
      <c r="AH10" t="n">
        <v>50659.298</v>
      </c>
      <c r="AI10" t="n">
        <v>101318.361</v>
      </c>
      <c r="AJ10" t="n">
        <v>85381.02499999999</v>
      </c>
      <c r="AK10" t="n">
        <v>100272.161</v>
      </c>
      <c r="AL10" t="n">
        <v>82839.201</v>
      </c>
      <c r="AM10" t="n">
        <v>57466.021</v>
      </c>
      <c r="AN10" t="n">
        <v>60708.269</v>
      </c>
      <c r="AO10" t="n">
        <v>70299.348</v>
      </c>
      <c r="AP10" t="n">
        <v>87844.337</v>
      </c>
      <c r="AQ10" t="n">
        <v>51096.78</v>
      </c>
      <c r="AR10" t="n">
        <v>45042.306</v>
      </c>
      <c r="AS10" t="n">
        <v>27251.897</v>
      </c>
      <c r="AT10" t="n">
        <v>22306.774</v>
      </c>
      <c r="AU10" t="n">
        <v>15949.068</v>
      </c>
      <c r="AV10" t="n">
        <v>12328.362</v>
      </c>
      <c r="AW10" t="n">
        <v>10107.17</v>
      </c>
      <c r="AX10" t="n">
        <v>21437.598</v>
      </c>
      <c r="AY10" t="n">
        <v>15801.42</v>
      </c>
      <c r="AZ10" t="n">
        <v>21054.503</v>
      </c>
      <c r="BA10" t="n">
        <v>28558.32</v>
      </c>
      <c r="BB10" t="n">
        <v>18521.49</v>
      </c>
      <c r="BC10" t="n">
        <v>37028.52</v>
      </c>
      <c r="BD10" t="n">
        <v>30525.136</v>
      </c>
      <c r="BE10" t="n">
        <v>22379.454</v>
      </c>
      <c r="BF10" t="n">
        <v>23227.882</v>
      </c>
      <c r="BG10" t="n">
        <v>39974.06</v>
      </c>
      <c r="BH10" t="n">
        <v>53695.264</v>
      </c>
      <c r="BI10" t="n">
        <v>77344.817</v>
      </c>
      <c r="BJ10" t="n">
        <v>104767.063</v>
      </c>
      <c r="BK10" t="n">
        <v>144044.283</v>
      </c>
      <c r="BL10" t="n">
        <v>128688.424</v>
      </c>
      <c r="BM10" t="n">
        <v>195347.012</v>
      </c>
      <c r="BN10" t="n">
        <v>99644.10400000001</v>
      </c>
      <c r="BO10" t="n">
        <v>49590.014</v>
      </c>
      <c r="BP10" t="n">
        <v>46311.074</v>
      </c>
      <c r="BQ10" t="n">
        <v>56227.719</v>
      </c>
      <c r="BR10" t="n">
        <v>48595.697</v>
      </c>
      <c r="BS10" t="n">
        <v>67099.39200000001</v>
      </c>
      <c r="BT10" t="n">
        <v>61818.033</v>
      </c>
      <c r="BU10" t="n">
        <v>71003.86500000001</v>
      </c>
      <c r="BV10" t="n">
        <v>84019.575</v>
      </c>
    </row>
    <row r="11">
      <c r="A11" t="inlineStr">
        <is>
          <t>Sardinella maderensis</t>
        </is>
      </c>
      <c r="B11" t="inlineStr">
        <is>
          <t>Madeiran sardinella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9454.906999999999</v>
      </c>
      <c r="F11" t="n">
        <v>9888.645</v>
      </c>
      <c r="G11" t="n">
        <v>10272.701</v>
      </c>
      <c r="H11" t="n">
        <v>10975.005</v>
      </c>
      <c r="I11" t="n">
        <v>11144.413</v>
      </c>
      <c r="J11" t="n">
        <v>11373.495</v>
      </c>
      <c r="K11" t="n">
        <v>13232.441</v>
      </c>
      <c r="L11" t="n">
        <v>14778.903</v>
      </c>
      <c r="M11" t="n">
        <v>16413.673</v>
      </c>
      <c r="N11" t="n">
        <v>17401.126</v>
      </c>
      <c r="O11" t="n">
        <v>18838.843</v>
      </c>
      <c r="P11" t="n">
        <v>21231.094</v>
      </c>
      <c r="Q11" t="n">
        <v>23299.655</v>
      </c>
      <c r="R11" t="n">
        <v>26063.959</v>
      </c>
      <c r="S11" t="n">
        <v>33164.904</v>
      </c>
      <c r="T11" t="n">
        <v>39227.54</v>
      </c>
      <c r="U11" t="n">
        <v>45024.174</v>
      </c>
      <c r="V11" t="n">
        <v>20262.098</v>
      </c>
      <c r="W11" t="n">
        <v>20891.792</v>
      </c>
      <c r="X11" t="n">
        <v>20795.693</v>
      </c>
      <c r="Y11" t="n">
        <v>36849.373</v>
      </c>
      <c r="Z11" t="n">
        <v>52485.267</v>
      </c>
      <c r="AA11" t="n">
        <v>49584.54</v>
      </c>
      <c r="AB11" t="n">
        <v>58986.777</v>
      </c>
      <c r="AC11" t="n">
        <v>69251.726</v>
      </c>
      <c r="AD11" t="n">
        <v>87461.383</v>
      </c>
      <c r="AE11" t="n">
        <v>75548.10400000001</v>
      </c>
      <c r="AF11" t="n">
        <v>61884.838</v>
      </c>
      <c r="AG11" t="n">
        <v>35225.423</v>
      </c>
      <c r="AH11" t="n">
        <v>56678.023</v>
      </c>
      <c r="AI11" t="n">
        <v>49165.426</v>
      </c>
      <c r="AJ11" t="n">
        <v>51336.473</v>
      </c>
      <c r="AK11" t="n">
        <v>44708.224</v>
      </c>
      <c r="AL11" t="n">
        <v>38096.171</v>
      </c>
      <c r="AM11" t="n">
        <v>41809.646</v>
      </c>
      <c r="AN11" t="n">
        <v>50089.333</v>
      </c>
      <c r="AO11" t="n">
        <v>42784.032</v>
      </c>
      <c r="AP11" t="n">
        <v>55619.647</v>
      </c>
      <c r="AQ11" t="n">
        <v>33352.666</v>
      </c>
      <c r="AR11" t="n">
        <v>37652.842</v>
      </c>
      <c r="AS11" t="n">
        <v>41420.465</v>
      </c>
      <c r="AT11" t="n">
        <v>38091.468</v>
      </c>
      <c r="AU11" t="n">
        <v>31229.602</v>
      </c>
      <c r="AV11" t="n">
        <v>33801.773</v>
      </c>
      <c r="AW11" t="n">
        <v>32149.585</v>
      </c>
      <c r="AX11" t="n">
        <v>29703.608</v>
      </c>
      <c r="AY11" t="n">
        <v>31780.886</v>
      </c>
      <c r="AZ11" t="n">
        <v>41049.645</v>
      </c>
      <c r="BA11" t="n">
        <v>46030.975</v>
      </c>
      <c r="BB11" t="n">
        <v>41803.55</v>
      </c>
      <c r="BC11" t="n">
        <v>40451.605</v>
      </c>
      <c r="BD11" t="n">
        <v>43608.408</v>
      </c>
      <c r="BE11" t="n">
        <v>45580.241</v>
      </c>
      <c r="BF11" t="n">
        <v>41631.388</v>
      </c>
      <c r="BG11" t="n">
        <v>64305.121</v>
      </c>
      <c r="BH11" t="n">
        <v>44865.941</v>
      </c>
      <c r="BI11" t="n">
        <v>52772.582</v>
      </c>
      <c r="BJ11" t="n">
        <v>43690.698</v>
      </c>
      <c r="BK11" t="n">
        <v>55501.29</v>
      </c>
      <c r="BL11" t="n">
        <v>36372.334</v>
      </c>
      <c r="BM11" t="n">
        <v>43211.869</v>
      </c>
      <c r="BN11" t="n">
        <v>49715.365</v>
      </c>
      <c r="BO11" t="n">
        <v>42113.166</v>
      </c>
      <c r="BP11" t="n">
        <v>39669.489</v>
      </c>
      <c r="BQ11" t="n">
        <v>38491.453</v>
      </c>
      <c r="BR11" t="n">
        <v>45584.319</v>
      </c>
      <c r="BS11" t="n">
        <v>38497.948</v>
      </c>
      <c r="BT11" t="n">
        <v>52613.453</v>
      </c>
      <c r="BU11" t="n">
        <v>55109.322</v>
      </c>
      <c r="BV11" t="n">
        <v>48855.377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8.862</v>
      </c>
      <c r="F12" t="n">
        <v>8.917999999999999</v>
      </c>
      <c r="G12" t="n">
        <v>8.974</v>
      </c>
      <c r="H12" t="n">
        <v>265.875</v>
      </c>
      <c r="I12" t="n">
        <v>283.778</v>
      </c>
      <c r="J12" t="n">
        <v>9.206</v>
      </c>
      <c r="K12" t="n">
        <v>9.247</v>
      </c>
      <c r="L12" t="n">
        <v>12.014</v>
      </c>
      <c r="M12" t="n">
        <v>9.407</v>
      </c>
      <c r="N12" t="n">
        <v>9.537000000000001</v>
      </c>
      <c r="O12" t="n">
        <v>30.604</v>
      </c>
      <c r="P12" t="n">
        <v>13.679</v>
      </c>
      <c r="Q12" t="n">
        <v>1418.858</v>
      </c>
      <c r="R12" t="n">
        <v>4135.642</v>
      </c>
      <c r="S12" t="n">
        <v>3820.353</v>
      </c>
      <c r="T12" t="n">
        <v>9306.165999999999</v>
      </c>
      <c r="U12" t="n">
        <v>8256.715</v>
      </c>
      <c r="V12" t="n">
        <v>8313.337</v>
      </c>
      <c r="W12" t="n">
        <v>21735.906</v>
      </c>
      <c r="X12" t="n">
        <v>13007.081</v>
      </c>
      <c r="Y12" t="n">
        <v>28277.379</v>
      </c>
      <c r="Z12" t="n">
        <v>34739.506</v>
      </c>
      <c r="AA12" t="n">
        <v>32186.937</v>
      </c>
      <c r="AB12" t="n">
        <v>21265.935</v>
      </c>
      <c r="AC12" t="n">
        <v>43308.822</v>
      </c>
      <c r="AD12" t="n">
        <v>20010.953</v>
      </c>
      <c r="AE12" t="n">
        <v>30265.335</v>
      </c>
      <c r="AF12" t="n">
        <v>42130.279</v>
      </c>
      <c r="AG12" t="n">
        <v>55134.57</v>
      </c>
      <c r="AH12" t="n">
        <v>36024.515</v>
      </c>
      <c r="AI12" t="n">
        <v>51284.5</v>
      </c>
      <c r="AJ12" t="n">
        <v>54560.758</v>
      </c>
      <c r="AK12" t="n">
        <v>49262.969</v>
      </c>
      <c r="AL12" t="n">
        <v>53442.065</v>
      </c>
      <c r="AM12" t="n">
        <v>19834.872</v>
      </c>
      <c r="AN12" t="n">
        <v>15854.236</v>
      </c>
      <c r="AO12" t="n">
        <v>20873.553</v>
      </c>
      <c r="AP12" t="n">
        <v>23029.455</v>
      </c>
      <c r="AQ12" t="n">
        <v>29630.666</v>
      </c>
      <c r="AR12" t="n">
        <v>28990.915</v>
      </c>
      <c r="AS12" t="n">
        <v>36300.315</v>
      </c>
      <c r="AT12" t="n">
        <v>52862.884</v>
      </c>
      <c r="AU12" t="n">
        <v>37289.494</v>
      </c>
      <c r="AV12" t="n">
        <v>47301.67</v>
      </c>
      <c r="AW12" t="n">
        <v>37696.242</v>
      </c>
      <c r="AX12" t="n">
        <v>37455.572</v>
      </c>
      <c r="AY12" t="n">
        <v>43906.749</v>
      </c>
      <c r="AZ12" t="n">
        <v>33006.446</v>
      </c>
      <c r="BA12" t="n">
        <v>37996.191</v>
      </c>
      <c r="BB12" t="n">
        <v>53964.388</v>
      </c>
      <c r="BC12" t="n">
        <v>47255.074</v>
      </c>
      <c r="BD12" t="n">
        <v>48926.086</v>
      </c>
      <c r="BE12" t="n">
        <v>36154.464</v>
      </c>
      <c r="BF12" t="n">
        <v>42541.253</v>
      </c>
      <c r="BG12" t="n">
        <v>49776.336</v>
      </c>
      <c r="BH12" t="n">
        <v>44706.975</v>
      </c>
      <c r="BI12" t="n">
        <v>33385.244</v>
      </c>
      <c r="BJ12" t="n">
        <v>41835.299</v>
      </c>
      <c r="BK12" t="n">
        <v>48770.295</v>
      </c>
      <c r="BL12" t="n">
        <v>56301.452</v>
      </c>
      <c r="BM12" t="n">
        <v>61623.329</v>
      </c>
      <c r="BN12" t="n">
        <v>78167.944</v>
      </c>
      <c r="BO12" t="n">
        <v>81627.12699999999</v>
      </c>
      <c r="BP12" t="n">
        <v>75016.785</v>
      </c>
      <c r="BQ12" t="n">
        <v>55356.633</v>
      </c>
      <c r="BR12" t="n">
        <v>73322.383</v>
      </c>
      <c r="BS12" t="n">
        <v>78982.474</v>
      </c>
      <c r="BT12" t="n">
        <v>71258.28200000001</v>
      </c>
      <c r="BU12" t="n">
        <v>75037.405</v>
      </c>
      <c r="BV12" t="n">
        <v>71353.80899999999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5.299</v>
      </c>
      <c r="F13" t="n">
        <v>5.332</v>
      </c>
      <c r="G13" t="n">
        <v>5.366</v>
      </c>
      <c r="H13" t="n">
        <v>5.401</v>
      </c>
      <c r="I13" t="n">
        <v>9.945</v>
      </c>
      <c r="J13" t="n">
        <v>5.471</v>
      </c>
      <c r="K13" t="n">
        <v>595.187</v>
      </c>
      <c r="L13" t="n">
        <v>10301.169</v>
      </c>
      <c r="M13" t="n">
        <v>21516.299</v>
      </c>
      <c r="N13" t="n">
        <v>35462.429</v>
      </c>
      <c r="O13" t="n">
        <v>41425.995</v>
      </c>
      <c r="P13" t="n">
        <v>35633.561</v>
      </c>
      <c r="Q13" t="n">
        <v>33692.611</v>
      </c>
      <c r="R13" t="n">
        <v>30704.83</v>
      </c>
      <c r="S13" t="n">
        <v>42516.831</v>
      </c>
      <c r="T13" t="n">
        <v>43342.435</v>
      </c>
      <c r="U13" t="n">
        <v>35839.671</v>
      </c>
      <c r="V13" t="n">
        <v>30965.524</v>
      </c>
      <c r="W13" t="n">
        <v>44592.03</v>
      </c>
      <c r="X13" t="n">
        <v>48927.046</v>
      </c>
      <c r="Y13" t="n">
        <v>34783.78</v>
      </c>
      <c r="Z13" t="n">
        <v>34167.792</v>
      </c>
      <c r="AA13" t="n">
        <v>47250.865</v>
      </c>
      <c r="AB13" t="n">
        <v>40145.422</v>
      </c>
      <c r="AC13" t="n">
        <v>45862.863</v>
      </c>
      <c r="AD13" t="n">
        <v>35778.348</v>
      </c>
      <c r="AE13" t="n">
        <v>38160.519</v>
      </c>
      <c r="AF13" t="n">
        <v>38961.764</v>
      </c>
      <c r="AG13" t="n">
        <v>59357.977</v>
      </c>
      <c r="AH13" t="n">
        <v>55054.968</v>
      </c>
      <c r="AI13" t="n">
        <v>59271.861</v>
      </c>
      <c r="AJ13" t="n">
        <v>66168.747</v>
      </c>
      <c r="AK13" t="n">
        <v>60158.716</v>
      </c>
      <c r="AL13" t="n">
        <v>57454.023</v>
      </c>
      <c r="AM13" t="n">
        <v>10560.13</v>
      </c>
      <c r="AN13" t="n">
        <v>12025.552</v>
      </c>
      <c r="AO13" t="n">
        <v>24979.156</v>
      </c>
      <c r="AP13" t="n">
        <v>26512.099</v>
      </c>
      <c r="AQ13" t="n">
        <v>25896.3</v>
      </c>
      <c r="AR13" t="n">
        <v>24282.835</v>
      </c>
      <c r="AS13" t="n">
        <v>38997.191</v>
      </c>
      <c r="AT13" t="n">
        <v>30760.437</v>
      </c>
      <c r="AU13" t="n">
        <v>33501.697</v>
      </c>
      <c r="AV13" t="n">
        <v>40115.308</v>
      </c>
      <c r="AW13" t="n">
        <v>25272.753</v>
      </c>
      <c r="AX13" t="n">
        <v>23995.779</v>
      </c>
      <c r="AY13" t="n">
        <v>31288.575</v>
      </c>
      <c r="AZ13" t="n">
        <v>31598.935</v>
      </c>
      <c r="BA13" t="n">
        <v>31264.101</v>
      </c>
      <c r="BB13" t="n">
        <v>35853.871</v>
      </c>
      <c r="BC13" t="n">
        <v>38909.078</v>
      </c>
      <c r="BD13" t="n">
        <v>42897.75</v>
      </c>
      <c r="BE13" t="n">
        <v>32158.54</v>
      </c>
      <c r="BF13" t="n">
        <v>36835.859</v>
      </c>
      <c r="BG13" t="n">
        <v>34575.573</v>
      </c>
      <c r="BH13" t="n">
        <v>24367.921</v>
      </c>
      <c r="BI13" t="n">
        <v>21663.687</v>
      </c>
      <c r="BJ13" t="n">
        <v>21558.955</v>
      </c>
      <c r="BK13" t="n">
        <v>32593.696</v>
      </c>
      <c r="BL13" t="n">
        <v>32590.696</v>
      </c>
      <c r="BM13" t="n">
        <v>38868.535</v>
      </c>
      <c r="BN13" t="n">
        <v>34922.992</v>
      </c>
      <c r="BO13" t="n">
        <v>38475.276</v>
      </c>
      <c r="BP13" t="n">
        <v>37460.761</v>
      </c>
      <c r="BQ13" t="n">
        <v>41697.617</v>
      </c>
      <c r="BR13" t="n">
        <v>43477.21</v>
      </c>
      <c r="BS13" t="n">
        <v>56230.159</v>
      </c>
      <c r="BT13" t="n">
        <v>43120.948</v>
      </c>
      <c r="BU13" t="n">
        <v>36405.307</v>
      </c>
      <c r="BV13" t="n">
        <v>39289.993</v>
      </c>
    </row>
    <row r="14">
      <c r="A14" t="inlineStr">
        <is>
          <t>Galeoides decadactylus</t>
        </is>
      </c>
      <c r="B14" t="inlineStr">
        <is>
          <t>Lesser African threadfin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2082.887</v>
      </c>
      <c r="F14" t="n">
        <v>2383.734</v>
      </c>
      <c r="G14" t="n">
        <v>3449.961</v>
      </c>
      <c r="H14" t="n">
        <v>3898.536</v>
      </c>
      <c r="I14" t="n">
        <v>4352.462</v>
      </c>
      <c r="J14" t="n">
        <v>4721.862</v>
      </c>
      <c r="K14" t="n">
        <v>5638.75</v>
      </c>
      <c r="L14" t="n">
        <v>6601.569</v>
      </c>
      <c r="M14" t="n">
        <v>7593.395</v>
      </c>
      <c r="N14" t="n">
        <v>8861.046</v>
      </c>
      <c r="O14" t="n">
        <v>10212.707</v>
      </c>
      <c r="P14" t="n">
        <v>10503.128</v>
      </c>
      <c r="Q14" t="n">
        <v>11150.572</v>
      </c>
      <c r="R14" t="n">
        <v>16399.077</v>
      </c>
      <c r="S14" t="n">
        <v>15041.42</v>
      </c>
      <c r="T14" t="n">
        <v>16472.544</v>
      </c>
      <c r="U14" t="n">
        <v>19007.351</v>
      </c>
      <c r="V14" t="n">
        <v>14800.296</v>
      </c>
      <c r="W14" t="n">
        <v>16210.65</v>
      </c>
      <c r="X14" t="n">
        <v>17243.167</v>
      </c>
      <c r="Y14" t="n">
        <v>17530.93</v>
      </c>
      <c r="Z14" t="n">
        <v>18746.156</v>
      </c>
      <c r="AA14" t="n">
        <v>20131.1</v>
      </c>
      <c r="AB14" t="n">
        <v>19878.776</v>
      </c>
      <c r="AC14" t="n">
        <v>21150.256</v>
      </c>
      <c r="AD14" t="n">
        <v>22191.361</v>
      </c>
      <c r="AE14" t="n">
        <v>25244.955</v>
      </c>
      <c r="AF14" t="n">
        <v>29850.79</v>
      </c>
      <c r="AG14" t="n">
        <v>31536.171</v>
      </c>
      <c r="AH14" t="n">
        <v>33543.027</v>
      </c>
      <c r="AI14" t="n">
        <v>29970.514</v>
      </c>
      <c r="AJ14" t="n">
        <v>27827.316</v>
      </c>
      <c r="AK14" t="n">
        <v>31140.338</v>
      </c>
      <c r="AL14" t="n">
        <v>28915.783</v>
      </c>
      <c r="AM14" t="n">
        <v>29335.166</v>
      </c>
      <c r="AN14" t="n">
        <v>29015.417</v>
      </c>
      <c r="AO14" t="n">
        <v>30444.662</v>
      </c>
      <c r="AP14" t="n">
        <v>30297.605</v>
      </c>
      <c r="AQ14" t="n">
        <v>35544.274</v>
      </c>
      <c r="AR14" t="n">
        <v>27421.595</v>
      </c>
      <c r="AS14" t="n">
        <v>26533.876</v>
      </c>
      <c r="AT14" t="n">
        <v>30130.734</v>
      </c>
      <c r="AU14" t="n">
        <v>26023.928</v>
      </c>
      <c r="AV14" t="n">
        <v>25647.497</v>
      </c>
      <c r="AW14" t="n">
        <v>26177.04</v>
      </c>
      <c r="AX14" t="n">
        <v>26540.28</v>
      </c>
      <c r="AY14" t="n">
        <v>32025.085</v>
      </c>
      <c r="AZ14" t="n">
        <v>33330.365</v>
      </c>
      <c r="BA14" t="n">
        <v>28239.201</v>
      </c>
      <c r="BB14" t="n">
        <v>28133.642</v>
      </c>
      <c r="BC14" t="n">
        <v>36107.514</v>
      </c>
      <c r="BD14" t="n">
        <v>38059.763</v>
      </c>
      <c r="BE14" t="n">
        <v>37991.041</v>
      </c>
      <c r="BF14" t="n">
        <v>35244.637</v>
      </c>
      <c r="BG14" t="n">
        <v>34632.483</v>
      </c>
      <c r="BH14" t="n">
        <v>33246.034</v>
      </c>
      <c r="BI14" t="n">
        <v>36317.626</v>
      </c>
      <c r="BJ14" t="n">
        <v>35852.825</v>
      </c>
      <c r="BK14" t="n">
        <v>33251.259</v>
      </c>
      <c r="BL14" t="n">
        <v>31679.852</v>
      </c>
      <c r="BM14" t="n">
        <v>34514.021</v>
      </c>
      <c r="BN14" t="n">
        <v>55044.89</v>
      </c>
      <c r="BO14" t="n">
        <v>37901.186</v>
      </c>
      <c r="BP14" t="n">
        <v>33312.08</v>
      </c>
      <c r="BQ14" t="n">
        <v>47975.968</v>
      </c>
      <c r="BR14" t="n">
        <v>71251.27800000001</v>
      </c>
      <c r="BS14" t="n">
        <v>66973.861</v>
      </c>
      <c r="BT14" t="n">
        <v>72476.96400000001</v>
      </c>
      <c r="BU14" t="n">
        <v>72180.005</v>
      </c>
      <c r="BV14" t="n">
        <v>74426.923</v>
      </c>
    </row>
    <row r="15">
      <c r="A15" t="inlineStr">
        <is>
          <t>Pseudotolithus elongatus</t>
        </is>
      </c>
      <c r="B15" t="inlineStr">
        <is>
          <t>Bobo croaker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1996.349</v>
      </c>
      <c r="F15" t="n">
        <v>2256.954</v>
      </c>
      <c r="G15" t="n">
        <v>2864.464</v>
      </c>
      <c r="H15" t="n">
        <v>3243.59</v>
      </c>
      <c r="I15" t="n">
        <v>3553.411</v>
      </c>
      <c r="J15" t="n">
        <v>3927.907</v>
      </c>
      <c r="K15" t="n">
        <v>4338.676</v>
      </c>
      <c r="L15" t="n">
        <v>5232.442</v>
      </c>
      <c r="M15" t="n">
        <v>6046.228</v>
      </c>
      <c r="N15" t="n">
        <v>5809.668</v>
      </c>
      <c r="O15" t="n">
        <v>6139.881</v>
      </c>
      <c r="P15" t="n">
        <v>7068.501</v>
      </c>
      <c r="Q15" t="n">
        <v>7373.091</v>
      </c>
      <c r="R15" t="n">
        <v>7785.654</v>
      </c>
      <c r="S15" t="n">
        <v>8671.780000000001</v>
      </c>
      <c r="T15" t="n">
        <v>8450.32</v>
      </c>
      <c r="U15" t="n">
        <v>8918.754999999999</v>
      </c>
      <c r="V15" t="n">
        <v>9226.300999999999</v>
      </c>
      <c r="W15" t="n">
        <v>9508.672</v>
      </c>
      <c r="X15" t="n">
        <v>9910.223</v>
      </c>
      <c r="Y15" t="n">
        <v>10543.242</v>
      </c>
      <c r="Z15" t="n">
        <v>10987.842</v>
      </c>
      <c r="AA15" t="n">
        <v>10960.881</v>
      </c>
      <c r="AB15" t="n">
        <v>11838.078</v>
      </c>
      <c r="AC15" t="n">
        <v>11957.638</v>
      </c>
      <c r="AD15" t="n">
        <v>13727.024</v>
      </c>
      <c r="AE15" t="n">
        <v>18244.96</v>
      </c>
      <c r="AF15" t="n">
        <v>19873.586</v>
      </c>
      <c r="AG15" t="n">
        <v>25122.813</v>
      </c>
      <c r="AH15" t="n">
        <v>25580.777</v>
      </c>
      <c r="AI15" t="n">
        <v>22043.879</v>
      </c>
      <c r="AJ15" t="n">
        <v>21597.879</v>
      </c>
      <c r="AK15" t="n">
        <v>21629.295</v>
      </c>
      <c r="AL15" t="n">
        <v>21588.177</v>
      </c>
      <c r="AM15" t="n">
        <v>22026.847</v>
      </c>
      <c r="AN15" t="n">
        <v>26660.855</v>
      </c>
      <c r="AO15" t="n">
        <v>26309.875</v>
      </c>
      <c r="AP15" t="n">
        <v>25636.757</v>
      </c>
      <c r="AQ15" t="n">
        <v>24751.168</v>
      </c>
      <c r="AR15" t="n">
        <v>23592.087</v>
      </c>
      <c r="AS15" t="n">
        <v>24117.291</v>
      </c>
      <c r="AT15" t="n">
        <v>28782.092</v>
      </c>
      <c r="AU15" t="n">
        <v>31196.854</v>
      </c>
      <c r="AV15" t="n">
        <v>25308.359</v>
      </c>
      <c r="AW15" t="n">
        <v>32762.671</v>
      </c>
      <c r="AX15" t="n">
        <v>34931.095</v>
      </c>
      <c r="AY15" t="n">
        <v>29464.505</v>
      </c>
      <c r="AZ15" t="n">
        <v>27706.268</v>
      </c>
      <c r="BA15" t="n">
        <v>26946.403</v>
      </c>
      <c r="BB15" t="n">
        <v>23716.631</v>
      </c>
      <c r="BC15" t="n">
        <v>35831.65</v>
      </c>
      <c r="BD15" t="n">
        <v>25818.862</v>
      </c>
      <c r="BE15" t="n">
        <v>32650.869</v>
      </c>
      <c r="BF15" t="n">
        <v>34036.967</v>
      </c>
      <c r="BG15" t="n">
        <v>36138.636</v>
      </c>
      <c r="BH15" t="n">
        <v>31207.306</v>
      </c>
      <c r="BI15" t="n">
        <v>36379.054</v>
      </c>
      <c r="BJ15" t="n">
        <v>32454.818</v>
      </c>
      <c r="BK15" t="n">
        <v>41479.64</v>
      </c>
      <c r="BL15" t="n">
        <v>37299.938</v>
      </c>
      <c r="BM15" t="n">
        <v>36775.7</v>
      </c>
      <c r="BN15" t="n">
        <v>39721.399</v>
      </c>
      <c r="BO15" t="n">
        <v>40493.272</v>
      </c>
      <c r="BP15" t="n">
        <v>43609.802</v>
      </c>
      <c r="BQ15" t="n">
        <v>43494.048</v>
      </c>
      <c r="BR15" t="n">
        <v>44629.398</v>
      </c>
      <c r="BS15" t="n">
        <v>47386.867</v>
      </c>
      <c r="BT15" t="n">
        <v>49499.045</v>
      </c>
      <c r="BU15" t="n">
        <v>55365.644</v>
      </c>
      <c r="BV15" t="n">
        <v>55976.047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8241.609</v>
      </c>
      <c r="F16" t="n">
        <v>8393.721</v>
      </c>
      <c r="G16" t="n">
        <v>8530.986000000001</v>
      </c>
      <c r="H16" t="n">
        <v>8434.208000000001</v>
      </c>
      <c r="I16" t="n">
        <v>9031.344999999999</v>
      </c>
      <c r="J16" t="n">
        <v>9120.627</v>
      </c>
      <c r="K16" t="n">
        <v>9067.549000000001</v>
      </c>
      <c r="L16" t="n">
        <v>9159.688</v>
      </c>
      <c r="M16" t="n">
        <v>9435.947</v>
      </c>
      <c r="N16" t="n">
        <v>9620.192999999999</v>
      </c>
      <c r="O16" t="n">
        <v>11145.312</v>
      </c>
      <c r="P16" t="n">
        <v>11494.901</v>
      </c>
      <c r="Q16" t="n">
        <v>12491.476</v>
      </c>
      <c r="R16" t="n">
        <v>12777.095</v>
      </c>
      <c r="S16" t="n">
        <v>15774.302</v>
      </c>
      <c r="T16" t="n">
        <v>16103.773</v>
      </c>
      <c r="U16" t="n">
        <v>16773.735</v>
      </c>
      <c r="V16" t="n">
        <v>17786.439</v>
      </c>
      <c r="W16" t="n">
        <v>18123.711</v>
      </c>
      <c r="X16" t="n">
        <v>16734.408</v>
      </c>
      <c r="Y16" t="n">
        <v>18767.214</v>
      </c>
      <c r="Z16" t="n">
        <v>23022.145</v>
      </c>
      <c r="AA16" t="n">
        <v>24377.733</v>
      </c>
      <c r="AB16" t="n">
        <v>24425.661</v>
      </c>
      <c r="AC16" t="n">
        <v>25347.133</v>
      </c>
      <c r="AD16" t="n">
        <v>25652.295</v>
      </c>
      <c r="AE16" t="n">
        <v>24187.425</v>
      </c>
      <c r="AF16" t="n">
        <v>25513.254</v>
      </c>
      <c r="AG16" t="n">
        <v>26588.517</v>
      </c>
      <c r="AH16" t="n">
        <v>26785.351</v>
      </c>
      <c r="AI16" t="n">
        <v>21845.866</v>
      </c>
      <c r="AJ16" t="n">
        <v>26037.28</v>
      </c>
      <c r="AK16" t="n">
        <v>26758.563</v>
      </c>
      <c r="AL16" t="n">
        <v>22288.658</v>
      </c>
      <c r="AM16" t="n">
        <v>16587.873</v>
      </c>
      <c r="AN16" t="n">
        <v>14758.187</v>
      </c>
      <c r="AO16" t="n">
        <v>12488.418</v>
      </c>
      <c r="AP16" t="n">
        <v>11019.438</v>
      </c>
      <c r="AQ16" t="n">
        <v>11429.781</v>
      </c>
      <c r="AR16" t="n">
        <v>13603.122</v>
      </c>
      <c r="AS16" t="n">
        <v>13667.796</v>
      </c>
      <c r="AT16" t="n">
        <v>12213.387</v>
      </c>
      <c r="AU16" t="n">
        <v>13577.603</v>
      </c>
      <c r="AV16" t="n">
        <v>14954.252</v>
      </c>
      <c r="AW16" t="n">
        <v>15685.142</v>
      </c>
      <c r="AX16" t="n">
        <v>14539.464</v>
      </c>
      <c r="AY16" t="n">
        <v>13936.102</v>
      </c>
      <c r="AZ16" t="n">
        <v>14909.374</v>
      </c>
      <c r="BA16" t="n">
        <v>18335.102</v>
      </c>
      <c r="BB16" t="n">
        <v>21128.742</v>
      </c>
      <c r="BC16" t="n">
        <v>24380.061</v>
      </c>
      <c r="BD16" t="n">
        <v>27341.607</v>
      </c>
      <c r="BE16" t="n">
        <v>28463.328</v>
      </c>
      <c r="BF16" t="n">
        <v>28027.433</v>
      </c>
      <c r="BG16" t="n">
        <v>25828.068</v>
      </c>
      <c r="BH16" t="n">
        <v>26198.383</v>
      </c>
      <c r="BI16" t="n">
        <v>26641.999</v>
      </c>
      <c r="BJ16" t="n">
        <v>27075.056</v>
      </c>
      <c r="BK16" t="n">
        <v>25291.694</v>
      </c>
      <c r="BL16" t="n">
        <v>27474.66</v>
      </c>
      <c r="BM16" t="n">
        <v>31005.563</v>
      </c>
      <c r="BN16" t="n">
        <v>33293.706</v>
      </c>
      <c r="BO16" t="n">
        <v>36552.706</v>
      </c>
      <c r="BP16" t="n">
        <v>38977.7</v>
      </c>
      <c r="BQ16" t="n">
        <v>43284.924</v>
      </c>
      <c r="BR16" t="n">
        <v>46940.66</v>
      </c>
      <c r="BS16" t="n">
        <v>52139.828</v>
      </c>
      <c r="BT16" t="n">
        <v>52918.672</v>
      </c>
      <c r="BU16" t="n">
        <v>52837.896</v>
      </c>
      <c r="BV16" t="n">
        <v>51060.851</v>
      </c>
    </row>
    <row r="17">
      <c r="A17" t="inlineStr">
        <is>
          <t>Clupeiformes</t>
        </is>
      </c>
      <c r="B17" t="inlineStr">
        <is>
          <t>Herrings, shads, anchovies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10568.414</v>
      </c>
      <c r="F17" t="n">
        <v>10844.223</v>
      </c>
      <c r="G17" t="n">
        <v>11127.109</v>
      </c>
      <c r="H17" t="n">
        <v>11516.782</v>
      </c>
      <c r="I17" t="n">
        <v>11736.916</v>
      </c>
      <c r="J17" t="n">
        <v>12136.491</v>
      </c>
      <c r="K17" t="n">
        <v>12540.813</v>
      </c>
      <c r="L17" t="n">
        <v>12949.884</v>
      </c>
      <c r="M17" t="n">
        <v>13510.759</v>
      </c>
      <c r="N17" t="n">
        <v>13861.854</v>
      </c>
      <c r="O17" t="n">
        <v>14028.931</v>
      </c>
      <c r="P17" t="n">
        <v>15253.662</v>
      </c>
      <c r="Q17" t="n">
        <v>15608.628</v>
      </c>
      <c r="R17" t="n">
        <v>16088.799</v>
      </c>
      <c r="S17" t="n">
        <v>16940.173</v>
      </c>
      <c r="T17" t="n">
        <v>17092.247</v>
      </c>
      <c r="U17" t="n">
        <v>17873.662</v>
      </c>
      <c r="V17" t="n">
        <v>17842.343</v>
      </c>
      <c r="W17" t="n">
        <v>18566.363</v>
      </c>
      <c r="X17" t="n">
        <v>19298.852</v>
      </c>
      <c r="Y17" t="n">
        <v>19507.944</v>
      </c>
      <c r="Z17" t="n">
        <v>19981.67</v>
      </c>
      <c r="AA17" t="n">
        <v>20281.686</v>
      </c>
      <c r="AB17" t="n">
        <v>20589.032</v>
      </c>
      <c r="AC17" t="n">
        <v>20484.393</v>
      </c>
      <c r="AD17" t="n">
        <v>21655.283</v>
      </c>
      <c r="AE17" t="n">
        <v>22445.857</v>
      </c>
      <c r="AF17" t="n">
        <v>23735.44</v>
      </c>
      <c r="AG17" t="n">
        <v>24424.428</v>
      </c>
      <c r="AH17" t="n">
        <v>23501.119</v>
      </c>
      <c r="AI17" t="n">
        <v>24071.093</v>
      </c>
      <c r="AJ17" t="n">
        <v>25867.211</v>
      </c>
      <c r="AK17" t="n">
        <v>26728.615</v>
      </c>
      <c r="AL17" t="n">
        <v>25649.474</v>
      </c>
      <c r="AM17" t="n">
        <v>27537.202</v>
      </c>
      <c r="AN17" t="n">
        <v>29941.266</v>
      </c>
      <c r="AO17" t="n">
        <v>28995.297</v>
      </c>
      <c r="AP17" t="n">
        <v>28116.995</v>
      </c>
      <c r="AQ17" t="n">
        <v>29748.712</v>
      </c>
      <c r="AR17" t="n">
        <v>28065.268</v>
      </c>
      <c r="AS17" t="n">
        <v>29236.505</v>
      </c>
      <c r="AT17" t="n">
        <v>30995.68</v>
      </c>
      <c r="AU17" t="n">
        <v>30193.376</v>
      </c>
      <c r="AV17" t="n">
        <v>32703.7</v>
      </c>
      <c r="AW17" t="n">
        <v>31430.705</v>
      </c>
      <c r="AX17" t="n">
        <v>26606.344</v>
      </c>
      <c r="AY17" t="n">
        <v>27181.831</v>
      </c>
      <c r="AZ17" t="n">
        <v>25314.656</v>
      </c>
      <c r="BA17" t="n">
        <v>24347.173</v>
      </c>
      <c r="BB17" t="n">
        <v>24904.988</v>
      </c>
      <c r="BC17" t="n">
        <v>19963.597</v>
      </c>
      <c r="BD17" t="n">
        <v>25768.867</v>
      </c>
      <c r="BE17" t="n">
        <v>27244.469</v>
      </c>
      <c r="BF17" t="n">
        <v>26150.364</v>
      </c>
      <c r="BG17" t="n">
        <v>28746.746</v>
      </c>
      <c r="BH17" t="n">
        <v>29075.937</v>
      </c>
      <c r="BI17" t="n">
        <v>27741.986</v>
      </c>
      <c r="BJ17" t="n">
        <v>28063.719</v>
      </c>
      <c r="BK17" t="n">
        <v>32849.072</v>
      </c>
      <c r="BL17" t="n">
        <v>33078.495</v>
      </c>
      <c r="BM17" t="n">
        <v>28899.392</v>
      </c>
      <c r="BN17" t="n">
        <v>17392.526</v>
      </c>
      <c r="BO17" t="n">
        <v>18722.465</v>
      </c>
      <c r="BP17" t="n">
        <v>16449.324</v>
      </c>
      <c r="BQ17" t="n">
        <v>15738.414</v>
      </c>
      <c r="BR17" t="n">
        <v>15784.61</v>
      </c>
      <c r="BS17" t="n">
        <v>15431.319</v>
      </c>
      <c r="BT17" t="n">
        <v>15816.043</v>
      </c>
      <c r="BU17" t="n">
        <v>15339.45</v>
      </c>
      <c r="BV17" t="n">
        <v>16139.815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11477.283</v>
      </c>
      <c r="F18" t="n">
        <v>12521.952</v>
      </c>
      <c r="G18" t="n">
        <v>9217.633</v>
      </c>
      <c r="H18" t="n">
        <v>12342.606</v>
      </c>
      <c r="I18" t="n">
        <v>9676.460999999999</v>
      </c>
      <c r="J18" t="n">
        <v>9240.629999999999</v>
      </c>
      <c r="K18" t="n">
        <v>13457.545</v>
      </c>
      <c r="L18" t="n">
        <v>16239.104</v>
      </c>
      <c r="M18" t="n">
        <v>13338.049</v>
      </c>
      <c r="N18" t="n">
        <v>11149.245</v>
      </c>
      <c r="O18" t="n">
        <v>9277.389999999999</v>
      </c>
      <c r="P18" t="n">
        <v>9413.186</v>
      </c>
      <c r="Q18" t="n">
        <v>10365.344</v>
      </c>
      <c r="R18" t="n">
        <v>11990.673</v>
      </c>
      <c r="S18" t="n">
        <v>16574.23</v>
      </c>
      <c r="T18" t="n">
        <v>20058.716</v>
      </c>
      <c r="U18" t="n">
        <v>21000.04</v>
      </c>
      <c r="V18" t="n">
        <v>22610.57</v>
      </c>
      <c r="W18" t="n">
        <v>19624.918</v>
      </c>
      <c r="X18" t="n">
        <v>24584.445</v>
      </c>
      <c r="Y18" t="n">
        <v>30344.229</v>
      </c>
      <c r="Z18" t="n">
        <v>32245.508</v>
      </c>
      <c r="AA18" t="n">
        <v>46474.884</v>
      </c>
      <c r="AB18" t="n">
        <v>25378.435</v>
      </c>
      <c r="AC18" t="n">
        <v>26517.785</v>
      </c>
      <c r="AD18" t="n">
        <v>41521.27</v>
      </c>
      <c r="AE18" t="n">
        <v>40774.751</v>
      </c>
      <c r="AF18" t="n">
        <v>25665.448</v>
      </c>
      <c r="AG18" t="n">
        <v>19334.769</v>
      </c>
      <c r="AH18" t="n">
        <v>20497.764</v>
      </c>
      <c r="AI18" t="n">
        <v>7226.962</v>
      </c>
      <c r="AJ18" t="n">
        <v>6280.361</v>
      </c>
      <c r="AK18" t="n">
        <v>7216.509</v>
      </c>
      <c r="AL18" t="n">
        <v>8628.716</v>
      </c>
      <c r="AM18" t="n">
        <v>9026.790999999999</v>
      </c>
      <c r="AN18" t="n">
        <v>12857.447</v>
      </c>
      <c r="AO18" t="n">
        <v>19808.434</v>
      </c>
      <c r="AP18" t="n">
        <v>16121.32</v>
      </c>
      <c r="AQ18" t="n">
        <v>15546.081</v>
      </c>
      <c r="AR18" t="n">
        <v>16540.549</v>
      </c>
      <c r="AS18" t="n">
        <v>31136.717</v>
      </c>
      <c r="AT18" t="n">
        <v>19766.699</v>
      </c>
      <c r="AU18" t="n">
        <v>19434.765</v>
      </c>
      <c r="AV18" t="n">
        <v>32706.731</v>
      </c>
      <c r="AW18" t="n">
        <v>28165.542</v>
      </c>
      <c r="AX18" t="n">
        <v>26543.485</v>
      </c>
      <c r="AY18" t="n">
        <v>21113.657</v>
      </c>
      <c r="AZ18" t="n">
        <v>20492.974</v>
      </c>
      <c r="BA18" t="n">
        <v>20208.819</v>
      </c>
      <c r="BB18" t="n">
        <v>30550.104</v>
      </c>
      <c r="BC18" t="n">
        <v>14936.077</v>
      </c>
      <c r="BD18" t="n">
        <v>14824.956</v>
      </c>
      <c r="BE18" t="n">
        <v>14853.165</v>
      </c>
      <c r="BF18" t="n">
        <v>13110.468</v>
      </c>
      <c r="BG18" t="n">
        <v>18735.902</v>
      </c>
      <c r="BH18" t="n">
        <v>21116.828</v>
      </c>
      <c r="BI18" t="n">
        <v>17182.568</v>
      </c>
      <c r="BJ18" t="n">
        <v>23540.809</v>
      </c>
      <c r="BK18" t="n">
        <v>27359.139</v>
      </c>
      <c r="BL18" t="n">
        <v>20001.372</v>
      </c>
      <c r="BM18" t="n">
        <v>17150.253</v>
      </c>
      <c r="BN18" t="n">
        <v>32138.202</v>
      </c>
      <c r="BO18" t="n">
        <v>30371.604</v>
      </c>
      <c r="BP18" t="n">
        <v>33045.893</v>
      </c>
      <c r="BQ18" t="n">
        <v>27590.334</v>
      </c>
      <c r="BR18" t="n">
        <v>29266.266</v>
      </c>
      <c r="BS18" t="n">
        <v>30439.39</v>
      </c>
      <c r="BT18" t="n">
        <v>17712.597</v>
      </c>
      <c r="BU18" t="n">
        <v>44994.188</v>
      </c>
      <c r="BV18" t="n">
        <v>40209.586</v>
      </c>
    </row>
    <row r="19">
      <c r="A19" t="inlineStr">
        <is>
          <t>Trichiurus lepturus</t>
        </is>
      </c>
      <c r="B19" t="inlineStr">
        <is>
          <t>Largehead hairtail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270.116</v>
      </c>
      <c r="F19" t="n">
        <v>289.214</v>
      </c>
      <c r="G19" t="n">
        <v>308.371</v>
      </c>
      <c r="H19" t="n">
        <v>326.841</v>
      </c>
      <c r="I19" t="n">
        <v>346.348</v>
      </c>
      <c r="J19" t="n">
        <v>365.905</v>
      </c>
      <c r="K19" t="n">
        <v>827.857</v>
      </c>
      <c r="L19" t="n">
        <v>1287.82</v>
      </c>
      <c r="M19" t="n">
        <v>1770.399</v>
      </c>
      <c r="N19" t="n">
        <v>2584.971</v>
      </c>
      <c r="O19" t="n">
        <v>3648.519</v>
      </c>
      <c r="P19" t="n">
        <v>5077.683</v>
      </c>
      <c r="Q19" t="n">
        <v>5743.433</v>
      </c>
      <c r="R19" t="n">
        <v>6453.909</v>
      </c>
      <c r="S19" t="n">
        <v>5497.471</v>
      </c>
      <c r="T19" t="n">
        <v>5813.2</v>
      </c>
      <c r="U19" t="n">
        <v>7976.781</v>
      </c>
      <c r="V19" t="n">
        <v>7162.906</v>
      </c>
      <c r="W19" t="n">
        <v>8596.474</v>
      </c>
      <c r="X19" t="n">
        <v>9129.893</v>
      </c>
      <c r="Y19" t="n">
        <v>9768.34</v>
      </c>
      <c r="Z19" t="n">
        <v>10997.87</v>
      </c>
      <c r="AA19" t="n">
        <v>12943.674</v>
      </c>
      <c r="AB19" t="n">
        <v>12006.547</v>
      </c>
      <c r="AC19" t="n">
        <v>15111.874</v>
      </c>
      <c r="AD19" t="n">
        <v>14082.186</v>
      </c>
      <c r="AE19" t="n">
        <v>20480.323</v>
      </c>
      <c r="AF19" t="n">
        <v>30080.831</v>
      </c>
      <c r="AG19" t="n">
        <v>20630.671</v>
      </c>
      <c r="AH19" t="n">
        <v>21733.321</v>
      </c>
      <c r="AI19" t="n">
        <v>31928.497</v>
      </c>
      <c r="AJ19" t="n">
        <v>19323.428</v>
      </c>
      <c r="AK19" t="n">
        <v>36126.848</v>
      </c>
      <c r="AL19" t="n">
        <v>31302.199</v>
      </c>
      <c r="AM19" t="n">
        <v>19830.092</v>
      </c>
      <c r="AN19" t="n">
        <v>26769.146</v>
      </c>
      <c r="AO19" t="n">
        <v>39232.458</v>
      </c>
      <c r="AP19" t="n">
        <v>38466.477</v>
      </c>
      <c r="AQ19" t="n">
        <v>29059.3</v>
      </c>
      <c r="AR19" t="n">
        <v>33344.545</v>
      </c>
      <c r="AS19" t="n">
        <v>25630.673</v>
      </c>
      <c r="AT19" t="n">
        <v>26101.252</v>
      </c>
      <c r="AU19" t="n">
        <v>25745.327</v>
      </c>
      <c r="AV19" t="n">
        <v>19438.646</v>
      </c>
      <c r="AW19" t="n">
        <v>21006.904</v>
      </c>
      <c r="AX19" t="n">
        <v>24524.847</v>
      </c>
      <c r="AY19" t="n">
        <v>27541.526</v>
      </c>
      <c r="AZ19" t="n">
        <v>28756.982</v>
      </c>
      <c r="BA19" t="n">
        <v>30441.9</v>
      </c>
      <c r="BB19" t="n">
        <v>25635.444</v>
      </c>
      <c r="BC19" t="n">
        <v>23441.286</v>
      </c>
      <c r="BD19" t="n">
        <v>21943.376</v>
      </c>
      <c r="BE19" t="n">
        <v>24805.02</v>
      </c>
      <c r="BF19" t="n">
        <v>25261.165</v>
      </c>
      <c r="BG19" t="n">
        <v>26250.639</v>
      </c>
      <c r="BH19" t="n">
        <v>26956.084</v>
      </c>
      <c r="BI19" t="n">
        <v>22395.727</v>
      </c>
      <c r="BJ19" t="n">
        <v>28557.934</v>
      </c>
      <c r="BK19" t="n">
        <v>18022.935</v>
      </c>
      <c r="BL19" t="n">
        <v>15138.493</v>
      </c>
      <c r="BM19" t="n">
        <v>19121.328</v>
      </c>
      <c r="BN19" t="n">
        <v>42397.353</v>
      </c>
      <c r="BO19" t="n">
        <v>21670.246</v>
      </c>
      <c r="BP19" t="n">
        <v>20872.079</v>
      </c>
      <c r="BQ19" t="n">
        <v>35102.306</v>
      </c>
      <c r="BR19" t="n">
        <v>55105.459</v>
      </c>
      <c r="BS19" t="n">
        <v>54872.832</v>
      </c>
      <c r="BT19" t="n">
        <v>53081.922</v>
      </c>
      <c r="BU19" t="n">
        <v>53232.927</v>
      </c>
      <c r="BV19" t="n">
        <v>49781.388</v>
      </c>
    </row>
    <row r="20">
      <c r="A20" t="inlineStr">
        <is>
          <t>Sciaenidae</t>
        </is>
      </c>
      <c r="B20" t="inlineStr">
        <is>
          <t>Drums, croakers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3004.356</v>
      </c>
      <c r="F20" t="n">
        <v>3115.603</v>
      </c>
      <c r="G20" t="n">
        <v>2951.28</v>
      </c>
      <c r="H20" t="n">
        <v>3191.267</v>
      </c>
      <c r="I20" t="n">
        <v>3686.66</v>
      </c>
      <c r="J20" t="n">
        <v>4180.024</v>
      </c>
      <c r="K20" t="n">
        <v>4996.796</v>
      </c>
      <c r="L20" t="n">
        <v>5226.708</v>
      </c>
      <c r="M20" t="n">
        <v>6095.586</v>
      </c>
      <c r="N20" t="n">
        <v>4751.442</v>
      </c>
      <c r="O20" t="n">
        <v>3420.932</v>
      </c>
      <c r="P20" t="n">
        <v>5119.138</v>
      </c>
      <c r="Q20" t="n">
        <v>5746.503</v>
      </c>
      <c r="R20" t="n">
        <v>6194.541</v>
      </c>
      <c r="S20" t="n">
        <v>5307.188</v>
      </c>
      <c r="T20" t="n">
        <v>5111.99</v>
      </c>
      <c r="U20" t="n">
        <v>5351.687</v>
      </c>
      <c r="V20" t="n">
        <v>5382.208</v>
      </c>
      <c r="W20" t="n">
        <v>5117.23</v>
      </c>
      <c r="X20" t="n">
        <v>5594.158</v>
      </c>
      <c r="Y20" t="n">
        <v>5878.12</v>
      </c>
      <c r="Z20" t="n">
        <v>5740.317</v>
      </c>
      <c r="AA20" t="n">
        <v>6480.801</v>
      </c>
      <c r="AB20" t="n">
        <v>5192.813</v>
      </c>
      <c r="AC20" t="n">
        <v>5671.231</v>
      </c>
      <c r="AD20" t="n">
        <v>8247.92</v>
      </c>
      <c r="AE20" t="n">
        <v>13194.159</v>
      </c>
      <c r="AF20" t="n">
        <v>10321.906</v>
      </c>
      <c r="AG20" t="n">
        <v>9277.413</v>
      </c>
      <c r="AH20" t="n">
        <v>11498.999</v>
      </c>
      <c r="AI20" t="n">
        <v>10707.406</v>
      </c>
      <c r="AJ20" t="n">
        <v>15606.858</v>
      </c>
      <c r="AK20" t="n">
        <v>19266.035</v>
      </c>
      <c r="AL20" t="n">
        <v>18262.879</v>
      </c>
      <c r="AM20" t="n">
        <v>20418.136</v>
      </c>
      <c r="AN20" t="n">
        <v>23947.592</v>
      </c>
      <c r="AO20" t="n">
        <v>22191.377</v>
      </c>
      <c r="AP20" t="n">
        <v>23453.576</v>
      </c>
      <c r="AQ20" t="n">
        <v>24025.902</v>
      </c>
      <c r="AR20" t="n">
        <v>24575.094</v>
      </c>
      <c r="AS20" t="n">
        <v>28283.448</v>
      </c>
      <c r="AT20" t="n">
        <v>30282.015</v>
      </c>
      <c r="AU20" t="n">
        <v>33722.093</v>
      </c>
      <c r="AV20" t="n">
        <v>39217.519</v>
      </c>
      <c r="AW20" t="n">
        <v>41924.716</v>
      </c>
      <c r="AX20" t="n">
        <v>39956.898</v>
      </c>
      <c r="AY20" t="n">
        <v>32813.999</v>
      </c>
      <c r="AZ20" t="n">
        <v>38677.368</v>
      </c>
      <c r="BA20" t="n">
        <v>34007.728</v>
      </c>
      <c r="BB20" t="n">
        <v>42959.365</v>
      </c>
      <c r="BC20" t="n">
        <v>29538.979</v>
      </c>
      <c r="BD20" t="n">
        <v>32580.62</v>
      </c>
      <c r="BE20" t="n">
        <v>37643.954</v>
      </c>
      <c r="BF20" t="n">
        <v>31920.917</v>
      </c>
      <c r="BG20" t="n">
        <v>38275.837</v>
      </c>
      <c r="BH20" t="n">
        <v>41918.509</v>
      </c>
      <c r="BI20" t="n">
        <v>32010.417</v>
      </c>
      <c r="BJ20" t="n">
        <v>36646.155</v>
      </c>
      <c r="BK20" t="n">
        <v>33945.035</v>
      </c>
      <c r="BL20" t="n">
        <v>32301.855</v>
      </c>
      <c r="BM20" t="n">
        <v>34380.947</v>
      </c>
      <c r="BN20" t="n">
        <v>37205.455</v>
      </c>
      <c r="BO20" t="n">
        <v>32071.005</v>
      </c>
      <c r="BP20" t="n">
        <v>31395.909</v>
      </c>
      <c r="BQ20" t="n">
        <v>28936.604</v>
      </c>
      <c r="BR20" t="n">
        <v>29550.837</v>
      </c>
      <c r="BS20" t="n">
        <v>26753.502</v>
      </c>
      <c r="BT20" t="n">
        <v>43356.082</v>
      </c>
      <c r="BU20" t="n">
        <v>35826.11</v>
      </c>
      <c r="BV20" t="n">
        <v>34753.361</v>
      </c>
    </row>
    <row r="21">
      <c r="A21" t="inlineStr">
        <is>
          <t>Chloroscombrus chrysurus</t>
        </is>
      </c>
      <c r="B21" t="inlineStr">
        <is>
          <t>Atlantic bumper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2187.097</v>
      </c>
      <c r="F21" t="n">
        <v>2271.089</v>
      </c>
      <c r="G21" t="n">
        <v>2356.49</v>
      </c>
      <c r="H21" t="n">
        <v>2412.052</v>
      </c>
      <c r="I21" t="n">
        <v>2437.13</v>
      </c>
      <c r="J21" t="n">
        <v>2504.022</v>
      </c>
      <c r="K21" t="n">
        <v>2980.272</v>
      </c>
      <c r="L21" t="n">
        <v>4335.928</v>
      </c>
      <c r="M21" t="n">
        <v>4951.501</v>
      </c>
      <c r="N21" t="n">
        <v>6359.703</v>
      </c>
      <c r="O21" t="n">
        <v>7432.471</v>
      </c>
      <c r="P21" t="n">
        <v>7304.084</v>
      </c>
      <c r="Q21" t="n">
        <v>7799.946</v>
      </c>
      <c r="R21" t="n">
        <v>9161.816999999999</v>
      </c>
      <c r="S21" t="n">
        <v>8711.523999999999</v>
      </c>
      <c r="T21" t="n">
        <v>9557.699000000001</v>
      </c>
      <c r="U21" t="n">
        <v>10724.673</v>
      </c>
      <c r="V21" t="n">
        <v>10466.772</v>
      </c>
      <c r="W21" t="n">
        <v>10215.865</v>
      </c>
      <c r="X21" t="n">
        <v>12795.772</v>
      </c>
      <c r="Y21" t="n">
        <v>12264.316</v>
      </c>
      <c r="Z21" t="n">
        <v>12466.945</v>
      </c>
      <c r="AA21" t="n">
        <v>12757.879</v>
      </c>
      <c r="AB21" t="n">
        <v>12316.084</v>
      </c>
      <c r="AC21" t="n">
        <v>13190.117</v>
      </c>
      <c r="AD21" t="n">
        <v>12512.215</v>
      </c>
      <c r="AE21" t="n">
        <v>13077.68</v>
      </c>
      <c r="AF21" t="n">
        <v>15765.112</v>
      </c>
      <c r="AG21" t="n">
        <v>14715.955</v>
      </c>
      <c r="AH21" t="n">
        <v>17403.602</v>
      </c>
      <c r="AI21" t="n">
        <v>18395.118</v>
      </c>
      <c r="AJ21" t="n">
        <v>17913.086</v>
      </c>
      <c r="AK21" t="n">
        <v>18913.041</v>
      </c>
      <c r="AL21" t="n">
        <v>18581.941</v>
      </c>
      <c r="AM21" t="n">
        <v>17486.191</v>
      </c>
      <c r="AN21" t="n">
        <v>17062.706</v>
      </c>
      <c r="AO21" t="n">
        <v>30369.77</v>
      </c>
      <c r="AP21" t="n">
        <v>23134.763</v>
      </c>
      <c r="AQ21" t="n">
        <v>20459.029</v>
      </c>
      <c r="AR21" t="n">
        <v>22645.217</v>
      </c>
      <c r="AS21" t="n">
        <v>27566.225</v>
      </c>
      <c r="AT21" t="n">
        <v>26086.36</v>
      </c>
      <c r="AU21" t="n">
        <v>20616.596</v>
      </c>
      <c r="AV21" t="n">
        <v>23465.713</v>
      </c>
      <c r="AW21" t="n">
        <v>21110.495</v>
      </c>
      <c r="AX21" t="n">
        <v>18954.887</v>
      </c>
      <c r="AY21" t="n">
        <v>18818.851</v>
      </c>
      <c r="AZ21" t="n">
        <v>20875.676</v>
      </c>
      <c r="BA21" t="n">
        <v>23946.913</v>
      </c>
      <c r="BB21" t="n">
        <v>24264.344</v>
      </c>
      <c r="BC21" t="n">
        <v>27575.819</v>
      </c>
      <c r="BD21" t="n">
        <v>27842.797</v>
      </c>
      <c r="BE21" t="n">
        <v>28148.906</v>
      </c>
      <c r="BF21" t="n">
        <v>27303.33</v>
      </c>
      <c r="BG21" t="n">
        <v>24221.089</v>
      </c>
      <c r="BH21" t="n">
        <v>26988.079</v>
      </c>
      <c r="BI21" t="n">
        <v>26800.822</v>
      </c>
      <c r="BJ21" t="n">
        <v>26488.215</v>
      </c>
      <c r="BK21" t="n">
        <v>24957.629</v>
      </c>
      <c r="BL21" t="n">
        <v>16539.346</v>
      </c>
      <c r="BM21" t="n">
        <v>22895.251</v>
      </c>
      <c r="BN21" t="n">
        <v>42684.266</v>
      </c>
      <c r="BO21" t="n">
        <v>26890.98</v>
      </c>
      <c r="BP21" t="n">
        <v>31089.526</v>
      </c>
      <c r="BQ21" t="n">
        <v>39081.021</v>
      </c>
      <c r="BR21" t="n">
        <v>53667.171</v>
      </c>
      <c r="BS21" t="n">
        <v>57088.323</v>
      </c>
      <c r="BT21" t="n">
        <v>66810.355</v>
      </c>
      <c r="BU21" t="n">
        <v>50863.874</v>
      </c>
      <c r="BV21" t="n">
        <v>52121.662</v>
      </c>
    </row>
    <row r="22">
      <c r="A22" t="inlineStr">
        <is>
          <t>Sarotherodon melanotheron</t>
        </is>
      </c>
      <c r="B22" t="inlineStr">
        <is>
          <t>Blackchin tilapia</t>
        </is>
      </c>
      <c r="C22" t="inlineStr">
        <is>
          <t>Small demersals (&lt;30 cm)</t>
        </is>
      </c>
      <c r="D22" t="inlineStr">
        <is>
          <t>Perch-likes</t>
        </is>
      </c>
      <c r="E22" t="n">
        <v>10057.237</v>
      </c>
      <c r="F22" t="n">
        <v>10230.465</v>
      </c>
      <c r="G22" t="n">
        <v>10403.693</v>
      </c>
      <c r="H22" t="n">
        <v>10576.92</v>
      </c>
      <c r="I22" t="n">
        <v>7642.497</v>
      </c>
      <c r="J22" t="n">
        <v>7831.659</v>
      </c>
      <c r="K22" t="n">
        <v>5905.527</v>
      </c>
      <c r="L22" t="n">
        <v>7416.17</v>
      </c>
      <c r="M22" t="n">
        <v>4512.277</v>
      </c>
      <c r="N22" t="n">
        <v>4632.906</v>
      </c>
      <c r="O22" t="n">
        <v>6982.876</v>
      </c>
      <c r="P22" t="n">
        <v>8509.34</v>
      </c>
      <c r="Q22" t="n">
        <v>9258.348</v>
      </c>
      <c r="R22" t="n">
        <v>12337.559</v>
      </c>
      <c r="S22" t="n">
        <v>13700.628</v>
      </c>
      <c r="T22" t="n">
        <v>18645.258</v>
      </c>
      <c r="U22" t="n">
        <v>20227.358</v>
      </c>
      <c r="V22" t="n">
        <v>11716.304</v>
      </c>
      <c r="W22" t="n">
        <v>12381.417</v>
      </c>
      <c r="X22" t="n">
        <v>12899.735</v>
      </c>
      <c r="Y22" t="n">
        <v>7528.72</v>
      </c>
      <c r="Z22" t="n">
        <v>7779.821</v>
      </c>
      <c r="AA22" t="n">
        <v>7798.329</v>
      </c>
      <c r="AB22" t="n">
        <v>7117.39</v>
      </c>
      <c r="AC22" t="n">
        <v>6377.127</v>
      </c>
      <c r="AD22" t="n">
        <v>5533.528</v>
      </c>
      <c r="AE22" t="n">
        <v>4411.72</v>
      </c>
      <c r="AF22" t="n">
        <v>5726.3</v>
      </c>
      <c r="AG22" t="n">
        <v>7088.557</v>
      </c>
      <c r="AH22" t="n">
        <v>8068.368</v>
      </c>
      <c r="AI22" t="n">
        <v>7633.363</v>
      </c>
      <c r="AJ22" t="n">
        <v>8698.665000000001</v>
      </c>
      <c r="AK22" t="n">
        <v>9952.517</v>
      </c>
      <c r="AL22" t="n">
        <v>13188.708</v>
      </c>
      <c r="AM22" t="n">
        <v>14161.295</v>
      </c>
      <c r="AN22" t="n">
        <v>16655.705</v>
      </c>
      <c r="AO22" t="n">
        <v>18187.945</v>
      </c>
      <c r="AP22" t="n">
        <v>23714.94</v>
      </c>
      <c r="AQ22" t="n">
        <v>30519.387</v>
      </c>
      <c r="AR22" t="n">
        <v>32072.93</v>
      </c>
      <c r="AS22" t="n">
        <v>37074.74</v>
      </c>
      <c r="AT22" t="n">
        <v>38560.707</v>
      </c>
      <c r="AU22" t="n">
        <v>37307.309</v>
      </c>
      <c r="AV22" t="n">
        <v>35694.628</v>
      </c>
      <c r="AW22" t="n">
        <v>35046.508</v>
      </c>
      <c r="AX22" t="n">
        <v>30537.685</v>
      </c>
      <c r="AY22" t="n">
        <v>30655.074</v>
      </c>
      <c r="AZ22" t="n">
        <v>28542.769</v>
      </c>
      <c r="BA22" t="n">
        <v>27456.946</v>
      </c>
      <c r="BB22" t="n">
        <v>28431.107</v>
      </c>
      <c r="BC22" t="n">
        <v>32575.127</v>
      </c>
      <c r="BD22" t="n">
        <v>31861.34</v>
      </c>
      <c r="BE22" t="n">
        <v>33058.337</v>
      </c>
      <c r="BF22" t="n">
        <v>33048.532</v>
      </c>
      <c r="BG22" t="n">
        <v>33969.365</v>
      </c>
      <c r="BH22" t="n">
        <v>22351.446</v>
      </c>
      <c r="BI22" t="n">
        <v>6517.357</v>
      </c>
      <c r="BJ22" t="n">
        <v>6332.436</v>
      </c>
      <c r="BK22" t="n">
        <v>6297.609</v>
      </c>
      <c r="BL22" t="n">
        <v>6162.237</v>
      </c>
      <c r="BM22" t="n">
        <v>6077.744</v>
      </c>
      <c r="BN22" t="n">
        <v>15770.071</v>
      </c>
      <c r="BO22" t="n">
        <v>15518.761</v>
      </c>
      <c r="BP22" t="n">
        <v>15285.63</v>
      </c>
      <c r="BQ22" t="n">
        <v>15580.864</v>
      </c>
      <c r="BR22" t="n">
        <v>15549.23</v>
      </c>
      <c r="BS22" t="n">
        <v>15466.322</v>
      </c>
      <c r="BT22" t="n">
        <v>16336.813</v>
      </c>
      <c r="BU22" t="n">
        <v>15197.667</v>
      </c>
      <c r="BV22" t="n">
        <v>12952.699</v>
      </c>
    </row>
    <row r="23">
      <c r="A23" t="inlineStr">
        <is>
          <t>Sepia</t>
        </is>
      </c>
      <c r="B23" t="inlineStr">
        <is>
          <t>Sepia cuttlefishes</t>
        </is>
      </c>
      <c r="C23" t="inlineStr">
        <is>
          <t>Cephalopods</t>
        </is>
      </c>
      <c r="D23" t="inlineStr">
        <is>
          <t>Other fishes &amp; inverts</t>
        </is>
      </c>
      <c r="E23" t="n">
        <v>11.412</v>
      </c>
      <c r="F23" t="n">
        <v>392.516</v>
      </c>
      <c r="G23" t="n">
        <v>812.239</v>
      </c>
      <c r="H23" t="n">
        <v>1233.183</v>
      </c>
      <c r="I23" t="n">
        <v>1607.108</v>
      </c>
      <c r="J23" t="n">
        <v>2022.628</v>
      </c>
      <c r="K23" t="n">
        <v>2888.963</v>
      </c>
      <c r="L23" t="n">
        <v>3691.017</v>
      </c>
      <c r="M23" t="n">
        <v>4551.035</v>
      </c>
      <c r="N23" t="n">
        <v>5407.323</v>
      </c>
      <c r="O23" t="n">
        <v>6188.09</v>
      </c>
      <c r="P23" t="n">
        <v>7041.273</v>
      </c>
      <c r="Q23" t="n">
        <v>7892.868</v>
      </c>
      <c r="R23" t="n">
        <v>8740.995999999999</v>
      </c>
      <c r="S23" t="n">
        <v>9497.884</v>
      </c>
      <c r="T23" t="n">
        <v>10351.099</v>
      </c>
      <c r="U23" t="n">
        <v>11230.942</v>
      </c>
      <c r="V23" t="n">
        <v>11991.45</v>
      </c>
      <c r="W23" t="n">
        <v>12876.338</v>
      </c>
      <c r="X23" t="n">
        <v>13769.382</v>
      </c>
      <c r="Y23" t="n">
        <v>14668.225</v>
      </c>
      <c r="Z23" t="n">
        <v>15292.209</v>
      </c>
      <c r="AA23" t="n">
        <v>16150.823</v>
      </c>
      <c r="AB23" t="n">
        <v>16880.716</v>
      </c>
      <c r="AC23" t="n">
        <v>17372.444</v>
      </c>
      <c r="AD23" t="n">
        <v>18044.551</v>
      </c>
      <c r="AE23" t="n">
        <v>19394.439</v>
      </c>
      <c r="AF23" t="n">
        <v>20893.622</v>
      </c>
      <c r="AG23" t="n">
        <v>22219.473</v>
      </c>
      <c r="AH23" t="n">
        <v>22122.382</v>
      </c>
      <c r="AI23" t="n">
        <v>22053.919</v>
      </c>
      <c r="AJ23" t="n">
        <v>22354.531</v>
      </c>
      <c r="AK23" t="n">
        <v>22594.237</v>
      </c>
      <c r="AL23" t="n">
        <v>22931.594</v>
      </c>
      <c r="AM23" t="n">
        <v>23577.311</v>
      </c>
      <c r="AN23" t="n">
        <v>24182.356</v>
      </c>
      <c r="AO23" t="n">
        <v>23328.256</v>
      </c>
      <c r="AP23" t="n">
        <v>23225.475</v>
      </c>
      <c r="AQ23" t="n">
        <v>22985.147</v>
      </c>
      <c r="AR23" t="n">
        <v>22756.014</v>
      </c>
      <c r="AS23" t="n">
        <v>22668.941</v>
      </c>
      <c r="AT23" t="n">
        <v>21049.027</v>
      </c>
      <c r="AU23" t="n">
        <v>17715.43</v>
      </c>
      <c r="AV23" t="n">
        <v>17206.868</v>
      </c>
      <c r="AW23" t="n">
        <v>16823.804</v>
      </c>
      <c r="AX23" t="n">
        <v>16328.857</v>
      </c>
      <c r="AY23" t="n">
        <v>16667.809</v>
      </c>
      <c r="AZ23" t="n">
        <v>17140.056</v>
      </c>
      <c r="BA23" t="n">
        <v>16104.111</v>
      </c>
      <c r="BB23" t="n">
        <v>14492.257</v>
      </c>
      <c r="BC23" t="n">
        <v>17954.425</v>
      </c>
      <c r="BD23" t="n">
        <v>16043.419</v>
      </c>
      <c r="BE23" t="n">
        <v>19066.891</v>
      </c>
      <c r="BF23" t="n">
        <v>16783.3</v>
      </c>
      <c r="BG23" t="n">
        <v>17250.781</v>
      </c>
      <c r="BH23" t="n">
        <v>16489.609</v>
      </c>
      <c r="BI23" t="n">
        <v>15094.863</v>
      </c>
      <c r="BJ23" t="n">
        <v>15045.794</v>
      </c>
      <c r="BK23" t="n">
        <v>13560.526</v>
      </c>
      <c r="BL23" t="n">
        <v>9374.651</v>
      </c>
      <c r="BM23" t="n">
        <v>10809.523</v>
      </c>
      <c r="BN23" t="n">
        <v>30894.875</v>
      </c>
      <c r="BO23" t="n">
        <v>11433.648</v>
      </c>
      <c r="BP23" t="n">
        <v>9371.359</v>
      </c>
      <c r="BQ23" t="n">
        <v>20276.828</v>
      </c>
      <c r="BR23" t="n">
        <v>36584.021</v>
      </c>
      <c r="BS23" t="n">
        <v>32958.524</v>
      </c>
      <c r="BT23" t="n">
        <v>34580.377</v>
      </c>
      <c r="BU23" t="n">
        <v>36204.429</v>
      </c>
      <c r="BV23" t="n">
        <v>37378.675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11645.742</v>
      </c>
      <c r="F24" t="n">
        <v>13250.557</v>
      </c>
      <c r="G24" t="n">
        <v>7887.446</v>
      </c>
      <c r="H24" t="n">
        <v>12826.861</v>
      </c>
      <c r="I24" t="n">
        <v>8154.813</v>
      </c>
      <c r="J24" t="n">
        <v>7389.833</v>
      </c>
      <c r="K24" t="n">
        <v>14079.606</v>
      </c>
      <c r="L24" t="n">
        <v>18487.363</v>
      </c>
      <c r="M24" t="n">
        <v>13756.621</v>
      </c>
      <c r="N24" t="n">
        <v>10183.686</v>
      </c>
      <c r="O24" t="n">
        <v>6555.175</v>
      </c>
      <c r="P24" t="n">
        <v>6967.69</v>
      </c>
      <c r="Q24" t="n">
        <v>7983.241</v>
      </c>
      <c r="R24" t="n">
        <v>10478.731</v>
      </c>
      <c r="S24" t="n">
        <v>14460.596</v>
      </c>
      <c r="T24" t="n">
        <v>19510.605</v>
      </c>
      <c r="U24" t="n">
        <v>20537.125</v>
      </c>
      <c r="V24" t="n">
        <v>21684.217</v>
      </c>
      <c r="W24" t="n">
        <v>16859.395</v>
      </c>
      <c r="X24" t="n">
        <v>25991.9</v>
      </c>
      <c r="Y24" t="n">
        <v>30842.306</v>
      </c>
      <c r="Z24" t="n">
        <v>31451.996</v>
      </c>
      <c r="AA24" t="n">
        <v>40016.177</v>
      </c>
      <c r="AB24" t="n">
        <v>9023.388999999999</v>
      </c>
      <c r="AC24" t="n">
        <v>5655.43</v>
      </c>
      <c r="AD24" t="n">
        <v>19113.745</v>
      </c>
      <c r="AE24" t="n">
        <v>10601.799</v>
      </c>
      <c r="AF24" t="n">
        <v>20319.77</v>
      </c>
      <c r="AG24" t="n">
        <v>13858.872</v>
      </c>
      <c r="AH24" t="n">
        <v>9320.948</v>
      </c>
      <c r="AI24" t="n">
        <v>9742.132</v>
      </c>
      <c r="AJ24" t="n">
        <v>6609.821</v>
      </c>
      <c r="AK24" t="n">
        <v>7032.38</v>
      </c>
      <c r="AL24" t="n">
        <v>10636.621</v>
      </c>
      <c r="AM24" t="n">
        <v>27169.341</v>
      </c>
      <c r="AN24" t="n">
        <v>40786.144</v>
      </c>
      <c r="AO24" t="n">
        <v>14067.564</v>
      </c>
      <c r="AP24" t="n">
        <v>14657.201</v>
      </c>
      <c r="AQ24" t="n">
        <v>11605.493</v>
      </c>
      <c r="AR24" t="n">
        <v>14131.82</v>
      </c>
      <c r="AS24" t="n">
        <v>22218.061</v>
      </c>
      <c r="AT24" t="n">
        <v>14129.889</v>
      </c>
      <c r="AU24" t="n">
        <v>20755.106</v>
      </c>
      <c r="AV24" t="n">
        <v>15117.313</v>
      </c>
      <c r="AW24" t="n">
        <v>16490.331</v>
      </c>
      <c r="AX24" t="n">
        <v>16210.276</v>
      </c>
      <c r="AY24" t="n">
        <v>19841.548</v>
      </c>
      <c r="AZ24" t="n">
        <v>13340.082</v>
      </c>
      <c r="BA24" t="n">
        <v>16852.341</v>
      </c>
      <c r="BB24" t="n">
        <v>25804.737</v>
      </c>
      <c r="BC24" t="n">
        <v>14873.206</v>
      </c>
      <c r="BD24" t="n">
        <v>16100.13</v>
      </c>
      <c r="BE24" t="n">
        <v>17648.465</v>
      </c>
      <c r="BF24" t="n">
        <v>21737.079</v>
      </c>
      <c r="BG24" t="n">
        <v>21661.269</v>
      </c>
      <c r="BH24" t="n">
        <v>15639.9</v>
      </c>
      <c r="BI24" t="n">
        <v>16577.725</v>
      </c>
      <c r="BJ24" t="n">
        <v>15429.561</v>
      </c>
      <c r="BK24" t="n">
        <v>16732.488</v>
      </c>
      <c r="BL24" t="n">
        <v>14734.983</v>
      </c>
      <c r="BM24" t="n">
        <v>12276.063</v>
      </c>
      <c r="BN24" t="n">
        <v>14104.457</v>
      </c>
      <c r="BO24" t="n">
        <v>13029.423</v>
      </c>
      <c r="BP24" t="n">
        <v>16488.266</v>
      </c>
      <c r="BQ24" t="n">
        <v>17341.635</v>
      </c>
      <c r="BR24" t="n">
        <v>14900.559</v>
      </c>
      <c r="BS24" t="n">
        <v>18139.318</v>
      </c>
      <c r="BT24" t="n">
        <v>10441.149</v>
      </c>
      <c r="BU24" t="n">
        <v>10218.113</v>
      </c>
      <c r="BV24" t="n">
        <v>10032.099</v>
      </c>
    </row>
    <row r="25">
      <c r="A25" t="inlineStr">
        <is>
          <t>Scombridae</t>
        </is>
      </c>
      <c r="B25" t="inlineStr">
        <is>
          <t>Mackerels, tunas, bonitos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718.752</v>
      </c>
      <c r="F25" t="n">
        <v>802.232</v>
      </c>
      <c r="G25" t="n">
        <v>541.141</v>
      </c>
      <c r="H25" t="n">
        <v>722.9690000000001</v>
      </c>
      <c r="I25" t="n">
        <v>501.222</v>
      </c>
      <c r="J25" t="n">
        <v>477.313</v>
      </c>
      <c r="K25" t="n">
        <v>834.623</v>
      </c>
      <c r="L25" t="n">
        <v>1240.471</v>
      </c>
      <c r="M25" t="n">
        <v>1026.324</v>
      </c>
      <c r="N25" t="n">
        <v>1006.072</v>
      </c>
      <c r="O25" t="n">
        <v>1205.538</v>
      </c>
      <c r="P25" t="n">
        <v>1334.051</v>
      </c>
      <c r="Q25" t="n">
        <v>1805.095</v>
      </c>
      <c r="R25" t="n">
        <v>2227.103</v>
      </c>
      <c r="S25" t="n">
        <v>3502.707</v>
      </c>
      <c r="T25" t="n">
        <v>6182.098</v>
      </c>
      <c r="U25" t="n">
        <v>5749.29</v>
      </c>
      <c r="V25" t="n">
        <v>4881.493</v>
      </c>
      <c r="W25" t="n">
        <v>3997.433</v>
      </c>
      <c r="X25" t="n">
        <v>3995.676</v>
      </c>
      <c r="Y25" t="n">
        <v>6031.422</v>
      </c>
      <c r="Z25" t="n">
        <v>5674.976</v>
      </c>
      <c r="AA25" t="n">
        <v>5223.765</v>
      </c>
      <c r="AB25" t="n">
        <v>12904.292</v>
      </c>
      <c r="AC25" t="n">
        <v>14609.343</v>
      </c>
      <c r="AD25" t="n">
        <v>19053.999</v>
      </c>
      <c r="AE25" t="n">
        <v>21602.996</v>
      </c>
      <c r="AF25" t="n">
        <v>23624.372</v>
      </c>
      <c r="AG25" t="n">
        <v>13101.217</v>
      </c>
      <c r="AH25" t="n">
        <v>17005.679</v>
      </c>
      <c r="AI25" t="n">
        <v>18668.839</v>
      </c>
      <c r="AJ25" t="n">
        <v>11474.359</v>
      </c>
      <c r="AK25" t="n">
        <v>9645.233</v>
      </c>
      <c r="AL25" t="n">
        <v>8643.362999999999</v>
      </c>
      <c r="AM25" t="n">
        <v>7478.418</v>
      </c>
      <c r="AN25" t="n">
        <v>19366.39</v>
      </c>
      <c r="AO25" t="n">
        <v>9673.642</v>
      </c>
      <c r="AP25" t="n">
        <v>14388.499</v>
      </c>
      <c r="AQ25" t="n">
        <v>12804.314</v>
      </c>
      <c r="AR25" t="n">
        <v>51111.292</v>
      </c>
      <c r="AS25" t="n">
        <v>24127.387</v>
      </c>
      <c r="AT25" t="n">
        <v>27048.266</v>
      </c>
      <c r="AU25" t="n">
        <v>20114.788</v>
      </c>
      <c r="AV25" t="n">
        <v>10593.296</v>
      </c>
      <c r="AW25" t="n">
        <v>5091.885</v>
      </c>
      <c r="AX25" t="n">
        <v>10833.987</v>
      </c>
      <c r="AY25" t="n">
        <v>9290.531999999999</v>
      </c>
      <c r="AZ25" t="n">
        <v>14590.441</v>
      </c>
      <c r="BA25" t="n">
        <v>25090.881</v>
      </c>
      <c r="BB25" t="n">
        <v>47516.022</v>
      </c>
      <c r="BC25" t="n">
        <v>10295.951</v>
      </c>
      <c r="BD25" t="n">
        <v>27767.687</v>
      </c>
      <c r="BE25" t="n">
        <v>13750.508</v>
      </c>
      <c r="BF25" t="n">
        <v>9997.776</v>
      </c>
      <c r="BG25" t="n">
        <v>20903.321</v>
      </c>
      <c r="BH25" t="n">
        <v>22035.417</v>
      </c>
      <c r="BI25" t="n">
        <v>17636.794</v>
      </c>
      <c r="BJ25" t="n">
        <v>14218.21</v>
      </c>
      <c r="BK25" t="n">
        <v>22854.696</v>
      </c>
      <c r="BL25" t="n">
        <v>31385.365</v>
      </c>
      <c r="BM25" t="n">
        <v>32399.561</v>
      </c>
      <c r="BN25" t="n">
        <v>25838.136</v>
      </c>
      <c r="BO25" t="n">
        <v>25013.727</v>
      </c>
      <c r="BP25" t="n">
        <v>31714.481</v>
      </c>
      <c r="BQ25" t="n">
        <v>32667.894</v>
      </c>
      <c r="BR25" t="n">
        <v>29357.068</v>
      </c>
      <c r="BS25" t="n">
        <v>34531.325</v>
      </c>
      <c r="BT25" t="n">
        <v>21702.847</v>
      </c>
      <c r="BU25" t="n">
        <v>21164.272</v>
      </c>
      <c r="BV25" t="n">
        <v>20857.371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1946.272</v>
      </c>
      <c r="F26" t="n">
        <v>1959.009</v>
      </c>
      <c r="G26" t="n">
        <v>2001.524</v>
      </c>
      <c r="H26" t="n">
        <v>2023.238</v>
      </c>
      <c r="I26" t="n">
        <v>2271.212</v>
      </c>
      <c r="J26" t="n">
        <v>2292.855</v>
      </c>
      <c r="K26" t="n">
        <v>2317.521</v>
      </c>
      <c r="L26" t="n">
        <v>2333.945</v>
      </c>
      <c r="M26" t="n">
        <v>2358.981</v>
      </c>
      <c r="N26" t="n">
        <v>2324.695</v>
      </c>
      <c r="O26" t="n">
        <v>2926.861</v>
      </c>
      <c r="P26" t="n">
        <v>3022.786</v>
      </c>
      <c r="Q26" t="n">
        <v>3780.271</v>
      </c>
      <c r="R26" t="n">
        <v>4799.678</v>
      </c>
      <c r="S26" t="n">
        <v>5400.074</v>
      </c>
      <c r="T26" t="n">
        <v>6754.871</v>
      </c>
      <c r="U26" t="n">
        <v>7149.537</v>
      </c>
      <c r="V26" t="n">
        <v>6705.763</v>
      </c>
      <c r="W26" t="n">
        <v>7034.332</v>
      </c>
      <c r="X26" t="n">
        <v>7895.118</v>
      </c>
      <c r="Y26" t="n">
        <v>7807.891</v>
      </c>
      <c r="Z26" t="n">
        <v>7865.168</v>
      </c>
      <c r="AA26" t="n">
        <v>8507.178</v>
      </c>
      <c r="AB26" t="n">
        <v>8678.825999999999</v>
      </c>
      <c r="AC26" t="n">
        <v>11095.265</v>
      </c>
      <c r="AD26" t="n">
        <v>13613.155</v>
      </c>
      <c r="AE26" t="n">
        <v>19981.527</v>
      </c>
      <c r="AF26" t="n">
        <v>20654.113</v>
      </c>
      <c r="AG26" t="n">
        <v>21193.698</v>
      </c>
      <c r="AH26" t="n">
        <v>22631.78</v>
      </c>
      <c r="AI26" t="n">
        <v>27093.383</v>
      </c>
      <c r="AJ26" t="n">
        <v>14337.853</v>
      </c>
      <c r="AK26" t="n">
        <v>16863.723</v>
      </c>
      <c r="AL26" t="n">
        <v>16611.811</v>
      </c>
      <c r="AM26" t="n">
        <v>17652.149</v>
      </c>
      <c r="AN26" t="n">
        <v>19902.067</v>
      </c>
      <c r="AO26" t="n">
        <v>16198.217</v>
      </c>
      <c r="AP26" t="n">
        <v>17424.458</v>
      </c>
      <c r="AQ26" t="n">
        <v>17299.396</v>
      </c>
      <c r="AR26" t="n">
        <v>8287.73</v>
      </c>
      <c r="AS26" t="n">
        <v>11449.403</v>
      </c>
      <c r="AT26" t="n">
        <v>7650.461</v>
      </c>
      <c r="AU26" t="n">
        <v>11058.543</v>
      </c>
      <c r="AV26" t="n">
        <v>9983.255999999999</v>
      </c>
      <c r="AW26" t="n">
        <v>10820.393</v>
      </c>
      <c r="AX26" t="n">
        <v>7576.546</v>
      </c>
      <c r="AY26" t="n">
        <v>15878.972</v>
      </c>
      <c r="AZ26" t="n">
        <v>16483.108</v>
      </c>
      <c r="BA26" t="n">
        <v>15752.238</v>
      </c>
      <c r="BB26" t="n">
        <v>17069.712</v>
      </c>
      <c r="BC26" t="n">
        <v>14362.312</v>
      </c>
      <c r="BD26" t="n">
        <v>14433.095</v>
      </c>
      <c r="BE26" t="n">
        <v>14679.793</v>
      </c>
      <c r="BF26" t="n">
        <v>15425.092</v>
      </c>
      <c r="BG26" t="n">
        <v>12528.715</v>
      </c>
      <c r="BH26" t="n">
        <v>19121.979</v>
      </c>
      <c r="BI26" t="n">
        <v>14893.256</v>
      </c>
      <c r="BJ26" t="n">
        <v>16317.149</v>
      </c>
      <c r="BK26" t="n">
        <v>18491.902</v>
      </c>
      <c r="BL26" t="n">
        <v>21145.568</v>
      </c>
      <c r="BM26" t="n">
        <v>25179.565</v>
      </c>
      <c r="BN26" t="n">
        <v>21814.275</v>
      </c>
      <c r="BO26" t="n">
        <v>24265.113</v>
      </c>
      <c r="BP26" t="n">
        <v>28591.093</v>
      </c>
      <c r="BQ26" t="n">
        <v>23291.631</v>
      </c>
      <c r="BR26" t="n">
        <v>28503.076</v>
      </c>
      <c r="BS26" t="n">
        <v>19775.852</v>
      </c>
      <c r="BT26" t="n">
        <v>23439.834</v>
      </c>
      <c r="BU26" t="n">
        <v>19955.161</v>
      </c>
      <c r="BV26" t="n">
        <v>20223.682</v>
      </c>
    </row>
    <row r="27">
      <c r="A27" t="inlineStr">
        <is>
          <t>Polydactylus quadrifilis</t>
        </is>
      </c>
      <c r="B27" t="inlineStr">
        <is>
          <t>Giant African threadfin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496.616</v>
      </c>
      <c r="F27" t="n">
        <v>532.163</v>
      </c>
      <c r="G27" t="n">
        <v>556.732</v>
      </c>
      <c r="H27" t="n">
        <v>560.702</v>
      </c>
      <c r="I27" t="n">
        <v>576.79</v>
      </c>
      <c r="J27" t="n">
        <v>563.039</v>
      </c>
      <c r="K27" t="n">
        <v>591.966</v>
      </c>
      <c r="L27" t="n">
        <v>621.3150000000001</v>
      </c>
      <c r="M27" t="n">
        <v>696.855</v>
      </c>
      <c r="N27" t="n">
        <v>797.287</v>
      </c>
      <c r="O27" t="n">
        <v>895.263</v>
      </c>
      <c r="P27" t="n">
        <v>984.774</v>
      </c>
      <c r="Q27" t="n">
        <v>1078.717</v>
      </c>
      <c r="R27" t="n">
        <v>1178.604</v>
      </c>
      <c r="S27" t="n">
        <v>1273.381</v>
      </c>
      <c r="T27" t="n">
        <v>1361.565</v>
      </c>
      <c r="U27" t="n">
        <v>1434.118</v>
      </c>
      <c r="V27" t="n">
        <v>1498.088</v>
      </c>
      <c r="W27" t="n">
        <v>1532.573</v>
      </c>
      <c r="X27" t="n">
        <v>1648.568</v>
      </c>
      <c r="Y27" t="n">
        <v>1896.261</v>
      </c>
      <c r="Z27" t="n">
        <v>2193.917</v>
      </c>
      <c r="AA27" t="n">
        <v>2437.288</v>
      </c>
      <c r="AB27" t="n">
        <v>2431.139</v>
      </c>
      <c r="AC27" t="n">
        <v>2378.799</v>
      </c>
      <c r="AD27" t="n">
        <v>2475.328</v>
      </c>
      <c r="AE27" t="n">
        <v>2891.503</v>
      </c>
      <c r="AF27" t="n">
        <v>3450.97</v>
      </c>
      <c r="AG27" t="n">
        <v>3245.528</v>
      </c>
      <c r="AH27" t="n">
        <v>3476.05</v>
      </c>
      <c r="AI27" t="n">
        <v>3739.939</v>
      </c>
      <c r="AJ27" t="n">
        <v>4535.232</v>
      </c>
      <c r="AK27" t="n">
        <v>4609.632</v>
      </c>
      <c r="AL27" t="n">
        <v>5075.823</v>
      </c>
      <c r="AM27" t="n">
        <v>5059.924</v>
      </c>
      <c r="AN27" t="n">
        <v>5907.489</v>
      </c>
      <c r="AO27" t="n">
        <v>5209.66</v>
      </c>
      <c r="AP27" t="n">
        <v>4978.844</v>
      </c>
      <c r="AQ27" t="n">
        <v>17629.496</v>
      </c>
      <c r="AR27" t="n">
        <v>4761.673</v>
      </c>
      <c r="AS27" t="n">
        <v>4756.282</v>
      </c>
      <c r="AT27" t="n">
        <v>9898.895</v>
      </c>
      <c r="AU27" t="n">
        <v>13475.67</v>
      </c>
      <c r="AV27" t="n">
        <v>6740.313</v>
      </c>
      <c r="AW27" t="n">
        <v>9542.525</v>
      </c>
      <c r="AX27" t="n">
        <v>10189.313</v>
      </c>
      <c r="AY27" t="n">
        <v>12803.014</v>
      </c>
      <c r="AZ27" t="n">
        <v>15577.546</v>
      </c>
      <c r="BA27" t="n">
        <v>15634.372</v>
      </c>
      <c r="BB27" t="n">
        <v>16460.556</v>
      </c>
      <c r="BC27" t="n">
        <v>19604.029</v>
      </c>
      <c r="BD27" t="n">
        <v>18510.029</v>
      </c>
      <c r="BE27" t="n">
        <v>21910.854</v>
      </c>
      <c r="BF27" t="n">
        <v>24788.228</v>
      </c>
      <c r="BG27" t="n">
        <v>22176.831</v>
      </c>
      <c r="BH27" t="n">
        <v>22102.33</v>
      </c>
      <c r="BI27" t="n">
        <v>25009.264</v>
      </c>
      <c r="BJ27" t="n">
        <v>25114.115</v>
      </c>
      <c r="BK27" t="n">
        <v>25620.776</v>
      </c>
      <c r="BL27" t="n">
        <v>25507.993</v>
      </c>
      <c r="BM27" t="n">
        <v>27421.407</v>
      </c>
      <c r="BN27" t="n">
        <v>29120.743</v>
      </c>
      <c r="BO27" t="n">
        <v>29295.602</v>
      </c>
      <c r="BP27" t="n">
        <v>29482.169</v>
      </c>
      <c r="BQ27" t="n">
        <v>30991.686</v>
      </c>
      <c r="BR27" t="n">
        <v>33585.573</v>
      </c>
      <c r="BS27" t="n">
        <v>33214.286</v>
      </c>
      <c r="BT27" t="n">
        <v>48832.637</v>
      </c>
      <c r="BU27" t="n">
        <v>46001.685</v>
      </c>
      <c r="BV27" t="n">
        <v>44520.033</v>
      </c>
    </row>
    <row r="28">
      <c r="A28" t="inlineStr">
        <is>
          <t>Thunnus obesus</t>
        </is>
      </c>
      <c r="B28" t="inlineStr">
        <is>
          <t>Bigeye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199.579</v>
      </c>
      <c r="F28" t="n">
        <v>210.447</v>
      </c>
      <c r="G28" t="n">
        <v>221.317</v>
      </c>
      <c r="H28" t="n">
        <v>230.121</v>
      </c>
      <c r="I28" t="n">
        <v>182.813</v>
      </c>
      <c r="J28" t="n">
        <v>182.257</v>
      </c>
      <c r="K28" t="n">
        <v>190.267</v>
      </c>
      <c r="L28" t="n">
        <v>643.893</v>
      </c>
      <c r="M28" t="n">
        <v>629.623</v>
      </c>
      <c r="N28" t="n">
        <v>1573.334</v>
      </c>
      <c r="O28" t="n">
        <v>2903.628</v>
      </c>
      <c r="P28" t="n">
        <v>10257.626</v>
      </c>
      <c r="Q28" t="n">
        <v>14791.567</v>
      </c>
      <c r="R28" t="n">
        <v>13154.257</v>
      </c>
      <c r="S28" t="n">
        <v>16312.119</v>
      </c>
      <c r="T28" t="n">
        <v>26744.133</v>
      </c>
      <c r="U28" t="n">
        <v>15955.996</v>
      </c>
      <c r="V28" t="n">
        <v>9224.108</v>
      </c>
      <c r="W28" t="n">
        <v>12606.165</v>
      </c>
      <c r="X28" t="n">
        <v>15392.151</v>
      </c>
      <c r="Y28" t="n">
        <v>14174.474</v>
      </c>
      <c r="Z28" t="n">
        <v>29568.666</v>
      </c>
      <c r="AA28" t="n">
        <v>20956.917</v>
      </c>
      <c r="AB28" t="n">
        <v>26529.217</v>
      </c>
      <c r="AC28" t="n">
        <v>26732.551</v>
      </c>
      <c r="AD28" t="n">
        <v>20075.362</v>
      </c>
      <c r="AE28" t="n">
        <v>11555.752</v>
      </c>
      <c r="AF28" t="n">
        <v>13637.811</v>
      </c>
      <c r="AG28" t="n">
        <v>13925.845</v>
      </c>
      <c r="AH28" t="n">
        <v>13566.197</v>
      </c>
      <c r="AI28" t="n">
        <v>22606.404</v>
      </c>
      <c r="AJ28" t="n">
        <v>25503.85</v>
      </c>
      <c r="AK28" t="n">
        <v>27676.874</v>
      </c>
      <c r="AL28" t="n">
        <v>13221.44</v>
      </c>
      <c r="AM28" t="n">
        <v>3786.692</v>
      </c>
      <c r="AN28" t="n">
        <v>2219.751</v>
      </c>
      <c r="AO28" t="n">
        <v>5100.303</v>
      </c>
      <c r="AP28" t="n">
        <v>4097.868</v>
      </c>
      <c r="AQ28" t="n">
        <v>4967.088</v>
      </c>
      <c r="AR28" t="n">
        <v>5525.529</v>
      </c>
      <c r="AS28" t="n">
        <v>7440.816</v>
      </c>
      <c r="AT28" t="n">
        <v>9744.237999999999</v>
      </c>
      <c r="AU28" t="n">
        <v>9576.045</v>
      </c>
      <c r="AV28" t="n">
        <v>13337.635</v>
      </c>
      <c r="AW28" t="n">
        <v>12345.211</v>
      </c>
      <c r="AX28" t="n">
        <v>11785.559</v>
      </c>
      <c r="AY28" t="n">
        <v>13272.933</v>
      </c>
      <c r="AZ28" t="n">
        <v>12111.11</v>
      </c>
      <c r="BA28" t="n">
        <v>11738.686</v>
      </c>
      <c r="BB28" t="n">
        <v>15804.827</v>
      </c>
      <c r="BC28" t="n">
        <v>10080.01</v>
      </c>
      <c r="BD28" t="n">
        <v>10475.784</v>
      </c>
      <c r="BE28" t="n">
        <v>11929.548</v>
      </c>
      <c r="BF28" t="n">
        <v>11994.597</v>
      </c>
      <c r="BG28" t="n">
        <v>15078.377</v>
      </c>
      <c r="BH28" t="n">
        <v>9962.045</v>
      </c>
      <c r="BI28" t="n">
        <v>6032.49</v>
      </c>
      <c r="BJ28" t="n">
        <v>6727.345</v>
      </c>
      <c r="BK28" t="n">
        <v>8828.802</v>
      </c>
      <c r="BL28" t="n">
        <v>10729.587</v>
      </c>
      <c r="BM28" t="n">
        <v>9338.851000000001</v>
      </c>
      <c r="BN28" t="n">
        <v>7899.484</v>
      </c>
      <c r="BO28" t="n">
        <v>16886.734</v>
      </c>
      <c r="BP28" t="n">
        <v>14024.885</v>
      </c>
      <c r="BQ28" t="n">
        <v>16116.922</v>
      </c>
      <c r="BR28" t="n">
        <v>15575.127</v>
      </c>
      <c r="BS28" t="n">
        <v>15057.508</v>
      </c>
      <c r="BT28" t="n">
        <v>9937.334000000001</v>
      </c>
      <c r="BU28" t="n">
        <v>10168.454</v>
      </c>
      <c r="BV28" t="n">
        <v>7836.373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1218.539</v>
      </c>
      <c r="F29" t="n">
        <v>1259.228</v>
      </c>
      <c r="G29" t="n">
        <v>1300.068</v>
      </c>
      <c r="H29" t="n">
        <v>1340.598</v>
      </c>
      <c r="I29" t="n">
        <v>1223.151</v>
      </c>
      <c r="J29" t="n">
        <v>1264.84</v>
      </c>
      <c r="K29" t="n">
        <v>1306.216</v>
      </c>
      <c r="L29" t="n">
        <v>1331.378</v>
      </c>
      <c r="M29" t="n">
        <v>1372.758</v>
      </c>
      <c r="N29" t="n">
        <v>1413.877</v>
      </c>
      <c r="O29" t="n">
        <v>1063.229</v>
      </c>
      <c r="P29" t="n">
        <v>1260.668</v>
      </c>
      <c r="Q29" t="n">
        <v>1093.065</v>
      </c>
      <c r="R29" t="n">
        <v>1084.532</v>
      </c>
      <c r="S29" t="n">
        <v>2090.476</v>
      </c>
      <c r="T29" t="n">
        <v>2028.863</v>
      </c>
      <c r="U29" t="n">
        <v>1702.739</v>
      </c>
      <c r="V29" t="n">
        <v>1929.815</v>
      </c>
      <c r="W29" t="n">
        <v>1731.815</v>
      </c>
      <c r="X29" t="n">
        <v>1529.85</v>
      </c>
      <c r="Y29" t="n">
        <v>1106.654</v>
      </c>
      <c r="Z29" t="n">
        <v>4558.097</v>
      </c>
      <c r="AA29" t="n">
        <v>4565.292</v>
      </c>
      <c r="AB29" t="n">
        <v>4500.63</v>
      </c>
      <c r="AC29" t="n">
        <v>4499.136</v>
      </c>
      <c r="AD29" t="n">
        <v>4456.749</v>
      </c>
      <c r="AE29" t="n">
        <v>5633.943</v>
      </c>
      <c r="AF29" t="n">
        <v>5812.749</v>
      </c>
      <c r="AG29" t="n">
        <v>6697.64</v>
      </c>
      <c r="AH29" t="n">
        <v>5939.341</v>
      </c>
      <c r="AI29" t="n">
        <v>6745.294</v>
      </c>
      <c r="AJ29" t="n">
        <v>7335.245</v>
      </c>
      <c r="AK29" t="n">
        <v>8247.755999999999</v>
      </c>
      <c r="AL29" t="n">
        <v>8950.287</v>
      </c>
      <c r="AM29" t="n">
        <v>10263.872</v>
      </c>
      <c r="AN29" t="n">
        <v>10628.006</v>
      </c>
      <c r="AO29" t="n">
        <v>11951.728</v>
      </c>
      <c r="AP29" t="n">
        <v>10021.575</v>
      </c>
      <c r="AQ29" t="n">
        <v>9847.615</v>
      </c>
      <c r="AR29" t="n">
        <v>10602.411</v>
      </c>
      <c r="AS29" t="n">
        <v>13931.069</v>
      </c>
      <c r="AT29" t="n">
        <v>12817.336</v>
      </c>
      <c r="AU29" t="n">
        <v>14898.798</v>
      </c>
      <c r="AV29" t="n">
        <v>11897.885</v>
      </c>
      <c r="AW29" t="n">
        <v>13782.437</v>
      </c>
      <c r="AX29" t="n">
        <v>13246.177</v>
      </c>
      <c r="AY29" t="n">
        <v>11230.588</v>
      </c>
      <c r="AZ29" t="n">
        <v>16237.611</v>
      </c>
      <c r="BA29" t="n">
        <v>17180.803</v>
      </c>
      <c r="BB29" t="n">
        <v>20001.578</v>
      </c>
      <c r="BC29" t="n">
        <v>15772.526</v>
      </c>
      <c r="BD29" t="n">
        <v>15510.885</v>
      </c>
      <c r="BE29" t="n">
        <v>18283.908</v>
      </c>
      <c r="BF29" t="n">
        <v>16223.875</v>
      </c>
      <c r="BG29" t="n">
        <v>18585.479</v>
      </c>
      <c r="BH29" t="n">
        <v>17297.652</v>
      </c>
      <c r="BI29" t="n">
        <v>18047.18</v>
      </c>
      <c r="BJ29" t="n">
        <v>18617.785</v>
      </c>
      <c r="BK29" t="n">
        <v>18214.509</v>
      </c>
      <c r="BL29" t="n">
        <v>21149.183</v>
      </c>
      <c r="BM29" t="n">
        <v>21892.282</v>
      </c>
      <c r="BN29" t="n">
        <v>25334.527</v>
      </c>
      <c r="BO29" t="n">
        <v>29223.218</v>
      </c>
      <c r="BP29" t="n">
        <v>26671.155</v>
      </c>
      <c r="BQ29" t="n">
        <v>28462.214</v>
      </c>
      <c r="BR29" t="n">
        <v>42874.417</v>
      </c>
      <c r="BS29" t="n">
        <v>28590.868</v>
      </c>
      <c r="BT29" t="n">
        <v>27276.704</v>
      </c>
      <c r="BU29" t="n">
        <v>30771.816</v>
      </c>
      <c r="BV29" t="n">
        <v>30811.69</v>
      </c>
    </row>
    <row r="30">
      <c r="A30" t="inlineStr">
        <is>
          <t>Polynemidae</t>
        </is>
      </c>
      <c r="B30" t="inlineStr">
        <is>
          <t>Threadfins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4934.427</v>
      </c>
      <c r="F30" t="n">
        <v>5045.879</v>
      </c>
      <c r="G30" t="n">
        <v>4933.15</v>
      </c>
      <c r="H30" t="n">
        <v>5133.549</v>
      </c>
      <c r="I30" t="n">
        <v>4930.801</v>
      </c>
      <c r="J30" t="n">
        <v>5161.807</v>
      </c>
      <c r="K30" t="n">
        <v>5417.877</v>
      </c>
      <c r="L30" t="n">
        <v>5610.042</v>
      </c>
      <c r="M30" t="n">
        <v>5719.743</v>
      </c>
      <c r="N30" t="n">
        <v>5367.503</v>
      </c>
      <c r="O30" t="n">
        <v>4916.505</v>
      </c>
      <c r="P30" t="n">
        <v>5294.713</v>
      </c>
      <c r="Q30" t="n">
        <v>5225.49</v>
      </c>
      <c r="R30" t="n">
        <v>5533.338</v>
      </c>
      <c r="S30" t="n">
        <v>7081.317</v>
      </c>
      <c r="T30" t="n">
        <v>7196.315</v>
      </c>
      <c r="U30" t="n">
        <v>7786.201</v>
      </c>
      <c r="V30" t="n">
        <v>8308.674999999999</v>
      </c>
      <c r="W30" t="n">
        <v>8212.921</v>
      </c>
      <c r="X30" t="n">
        <v>7899.966</v>
      </c>
      <c r="Y30" t="n">
        <v>10626.847</v>
      </c>
      <c r="Z30" t="n">
        <v>19986.23</v>
      </c>
      <c r="AA30" t="n">
        <v>14327.615</v>
      </c>
      <c r="AB30" t="n">
        <v>13539.205</v>
      </c>
      <c r="AC30" t="n">
        <v>13423.043</v>
      </c>
      <c r="AD30" t="n">
        <v>13010.916</v>
      </c>
      <c r="AE30" t="n">
        <v>14951.304</v>
      </c>
      <c r="AF30" t="n">
        <v>17243.636</v>
      </c>
      <c r="AG30" t="n">
        <v>16314.514</v>
      </c>
      <c r="AH30" t="n">
        <v>17425.992</v>
      </c>
      <c r="AI30" t="n">
        <v>14830.201</v>
      </c>
      <c r="AJ30" t="n">
        <v>17462.31</v>
      </c>
      <c r="AK30" t="n">
        <v>17687.133</v>
      </c>
      <c r="AL30" t="n">
        <v>18642.36</v>
      </c>
      <c r="AM30" t="n">
        <v>21179.633</v>
      </c>
      <c r="AN30" t="n">
        <v>22239.464</v>
      </c>
      <c r="AO30" t="n">
        <v>19576.556</v>
      </c>
      <c r="AP30" t="n">
        <v>27211.963</v>
      </c>
      <c r="AQ30" t="n">
        <v>8995.698</v>
      </c>
      <c r="AR30" t="n">
        <v>26137.46</v>
      </c>
      <c r="AS30" t="n">
        <v>14122.697</v>
      </c>
      <c r="AT30" t="n">
        <v>11959.221</v>
      </c>
      <c r="AU30" t="n">
        <v>11022.613</v>
      </c>
      <c r="AV30" t="n">
        <v>15690.342</v>
      </c>
      <c r="AW30" t="n">
        <v>15974.474</v>
      </c>
      <c r="AX30" t="n">
        <v>13598.056</v>
      </c>
      <c r="AY30" t="n">
        <v>14187.558</v>
      </c>
      <c r="AZ30" t="n">
        <v>12545.145</v>
      </c>
      <c r="BA30" t="n">
        <v>8364.620999999999</v>
      </c>
      <c r="BB30" t="n">
        <v>9248.049000000001</v>
      </c>
      <c r="BC30" t="n">
        <v>3479.714</v>
      </c>
      <c r="BD30" t="n">
        <v>5699.76</v>
      </c>
      <c r="BE30" t="n">
        <v>7298.35</v>
      </c>
      <c r="BF30" t="n">
        <v>4083.07</v>
      </c>
      <c r="BG30" t="n">
        <v>8975.796</v>
      </c>
      <c r="BH30" t="n">
        <v>9526.210999999999</v>
      </c>
      <c r="BI30" t="n">
        <v>6930.708</v>
      </c>
      <c r="BJ30" t="n">
        <v>8586.630999999999</v>
      </c>
      <c r="BK30" t="n">
        <v>11350.351</v>
      </c>
      <c r="BL30" t="n">
        <v>9083.972</v>
      </c>
      <c r="BM30" t="n">
        <v>8806.718999999999</v>
      </c>
      <c r="BN30" t="n">
        <v>10305.069</v>
      </c>
      <c r="BO30" t="n">
        <v>9655.706</v>
      </c>
      <c r="BP30" t="n">
        <v>8498.879999999999</v>
      </c>
      <c r="BQ30" t="n">
        <v>8565.432000000001</v>
      </c>
      <c r="BR30" t="n">
        <v>9149.601000000001</v>
      </c>
      <c r="BS30" t="n">
        <v>11546.314</v>
      </c>
      <c r="BT30" t="n">
        <v>12265.839</v>
      </c>
      <c r="BU30" t="n">
        <v>12647.219</v>
      </c>
      <c r="BV30" t="n">
        <v>13395.547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479.429</v>
      </c>
      <c r="F31" t="n">
        <v>558.681</v>
      </c>
      <c r="G31" t="n">
        <v>491.658</v>
      </c>
      <c r="H31" t="n">
        <v>754.554</v>
      </c>
      <c r="I31" t="n">
        <v>777.546</v>
      </c>
      <c r="J31" t="n">
        <v>837.755</v>
      </c>
      <c r="K31" t="n">
        <v>1036.837</v>
      </c>
      <c r="L31" t="n">
        <v>1166.926</v>
      </c>
      <c r="M31" t="n">
        <v>1109.072</v>
      </c>
      <c r="N31" t="n">
        <v>1240.891</v>
      </c>
      <c r="O31" t="n">
        <v>4552.513</v>
      </c>
      <c r="P31" t="n">
        <v>3604.857</v>
      </c>
      <c r="Q31" t="n">
        <v>10448.222</v>
      </c>
      <c r="R31" t="n">
        <v>10662.96</v>
      </c>
      <c r="S31" t="n">
        <v>1829.175</v>
      </c>
      <c r="T31" t="n">
        <v>2079.885</v>
      </c>
      <c r="U31" t="n">
        <v>2498.274</v>
      </c>
      <c r="V31" t="n">
        <v>2554.898</v>
      </c>
      <c r="W31" t="n">
        <v>2315.984</v>
      </c>
      <c r="X31" t="n">
        <v>2666.351</v>
      </c>
      <c r="Y31" t="n">
        <v>2396.791</v>
      </c>
      <c r="Z31" t="n">
        <v>2206.601</v>
      </c>
      <c r="AA31" t="n">
        <v>4769.012</v>
      </c>
      <c r="AB31" t="n">
        <v>6663.616</v>
      </c>
      <c r="AC31" t="n">
        <v>9727.316000000001</v>
      </c>
      <c r="AD31" t="n">
        <v>12666.44</v>
      </c>
      <c r="AE31" t="n">
        <v>11732.264</v>
      </c>
      <c r="AF31" t="n">
        <v>12578.265</v>
      </c>
      <c r="AG31" t="n">
        <v>11076.961</v>
      </c>
      <c r="AH31" t="n">
        <v>16215.903</v>
      </c>
      <c r="AI31" t="n">
        <v>26824.726</v>
      </c>
      <c r="AJ31" t="n">
        <v>34669.904</v>
      </c>
      <c r="AK31" t="n">
        <v>29529.453</v>
      </c>
      <c r="AL31" t="n">
        <v>22498.563</v>
      </c>
      <c r="AM31" t="n">
        <v>12131.218</v>
      </c>
      <c r="AN31" t="n">
        <v>12294.312</v>
      </c>
      <c r="AO31" t="n">
        <v>33844.911</v>
      </c>
      <c r="AP31" t="n">
        <v>30614.03</v>
      </c>
      <c r="AQ31" t="n">
        <v>4258.16</v>
      </c>
      <c r="AR31" t="n">
        <v>1761.965</v>
      </c>
      <c r="AS31" t="n">
        <v>1695.419</v>
      </c>
      <c r="AT31" t="n">
        <v>2396.642</v>
      </c>
      <c r="AU31" t="n">
        <v>3573.097</v>
      </c>
      <c r="AV31" t="n">
        <v>4136.11</v>
      </c>
      <c r="AW31" t="n">
        <v>4905.597</v>
      </c>
      <c r="AX31" t="n">
        <v>5842.798</v>
      </c>
      <c r="AY31" t="n">
        <v>6674.118</v>
      </c>
      <c r="AZ31" t="n">
        <v>7530.566</v>
      </c>
      <c r="BA31" t="n">
        <v>8644.839</v>
      </c>
      <c r="BB31" t="n">
        <v>9270.624</v>
      </c>
      <c r="BC31" t="n">
        <v>10078.048</v>
      </c>
      <c r="BD31" t="n">
        <v>10658.711</v>
      </c>
      <c r="BE31" t="n">
        <v>11396.804</v>
      </c>
      <c r="BF31" t="n">
        <v>11915.541</v>
      </c>
      <c r="BG31" t="n">
        <v>12765.42</v>
      </c>
      <c r="BH31" t="n">
        <v>12999.702</v>
      </c>
      <c r="BI31" t="n">
        <v>13545.453</v>
      </c>
      <c r="BJ31" t="n">
        <v>14455.319</v>
      </c>
      <c r="BK31" t="n">
        <v>15453.559</v>
      </c>
      <c r="BL31" t="n">
        <v>16411.858</v>
      </c>
      <c r="BM31" t="n">
        <v>17161.281</v>
      </c>
      <c r="BN31" t="n">
        <v>17023.299</v>
      </c>
      <c r="BO31" t="n">
        <v>18303.376</v>
      </c>
      <c r="BP31" t="n">
        <v>19089.235</v>
      </c>
      <c r="BQ31" t="n">
        <v>20138.84</v>
      </c>
      <c r="BR31" t="n">
        <v>20160.053</v>
      </c>
      <c r="BS31" t="n">
        <v>24472.463</v>
      </c>
      <c r="BT31" t="n">
        <v>22151.761</v>
      </c>
      <c r="BU31" t="n">
        <v>21299.382</v>
      </c>
      <c r="BV31" t="n">
        <v>22426.602</v>
      </c>
    </row>
    <row r="32">
      <c r="A32" t="inlineStr">
        <is>
          <t>Nematocarcinus africanus</t>
        </is>
      </c>
      <c r="B32" t="inlineStr">
        <is>
          <t>African spider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1918.662</v>
      </c>
      <c r="O32" t="n">
        <v>3798.694</v>
      </c>
      <c r="P32" t="n">
        <v>5640.095</v>
      </c>
      <c r="Q32" t="n">
        <v>7442.864</v>
      </c>
      <c r="R32" t="n">
        <v>9207.004000000001</v>
      </c>
      <c r="S32" t="n">
        <v>10932.512</v>
      </c>
      <c r="T32" t="n">
        <v>12619.39</v>
      </c>
      <c r="U32" t="n">
        <v>14267.636</v>
      </c>
      <c r="V32" t="n">
        <v>15877.252</v>
      </c>
      <c r="W32" t="n">
        <v>18610.916</v>
      </c>
      <c r="X32" t="n">
        <v>20247.26</v>
      </c>
      <c r="Y32" t="n">
        <v>17294.606</v>
      </c>
      <c r="Z32" t="n">
        <v>18544.208</v>
      </c>
      <c r="AA32" t="n">
        <v>19816.401</v>
      </c>
      <c r="AB32" t="n">
        <v>24228.213</v>
      </c>
      <c r="AC32" t="n">
        <v>28771.136</v>
      </c>
      <c r="AD32" t="n">
        <v>30967.091</v>
      </c>
      <c r="AE32" t="n">
        <v>37452.197</v>
      </c>
      <c r="AF32" t="n">
        <v>43534.698</v>
      </c>
      <c r="AG32" t="n">
        <v>48985.116</v>
      </c>
      <c r="AH32" t="n">
        <v>53555.97</v>
      </c>
      <c r="AI32" t="n">
        <v>56981.77</v>
      </c>
      <c r="AJ32" t="n">
        <v>49408.234</v>
      </c>
      <c r="AK32" t="n">
        <v>41097.171</v>
      </c>
      <c r="AL32" t="n">
        <v>32488.972</v>
      </c>
      <c r="AM32" t="n">
        <v>24025.81</v>
      </c>
      <c r="AN32" t="n">
        <v>16151.643</v>
      </c>
      <c r="AO32" t="n">
        <v>9312.213</v>
      </c>
      <c r="AP32" t="n">
        <v>6471.224</v>
      </c>
      <c r="AQ32" t="n">
        <v>3731.089</v>
      </c>
      <c r="AR32" t="n">
        <v>1178.627</v>
      </c>
      <c r="AS32" t="n">
        <v>1463.86</v>
      </c>
      <c r="AT32" t="n">
        <v>1671.244</v>
      </c>
      <c r="AU32" t="n">
        <v>1786.362</v>
      </c>
      <c r="AV32" t="n">
        <v>1634.549</v>
      </c>
      <c r="AW32" t="n">
        <v>1664.974</v>
      </c>
      <c r="AX32" t="n">
        <v>1689.045</v>
      </c>
      <c r="AY32" t="n">
        <v>1706.91</v>
      </c>
      <c r="AZ32" t="n">
        <v>1718.721</v>
      </c>
      <c r="BA32" t="n">
        <v>1724.627</v>
      </c>
      <c r="BB32" t="n">
        <v>1724.776</v>
      </c>
      <c r="BC32" t="n">
        <v>1719.32</v>
      </c>
      <c r="BD32" t="n">
        <v>2004.532</v>
      </c>
      <c r="BE32" t="n">
        <v>1909.136</v>
      </c>
      <c r="BF32" t="n">
        <v>1650.185</v>
      </c>
      <c r="BG32" t="n">
        <v>939.674</v>
      </c>
      <c r="BH32" t="n">
        <v>445.018</v>
      </c>
      <c r="BI32" t="n">
        <v>841.1950000000001</v>
      </c>
      <c r="BJ32" t="n">
        <v>793.154</v>
      </c>
      <c r="BK32" t="n">
        <v>745.91</v>
      </c>
      <c r="BL32" t="n">
        <v>1398.931</v>
      </c>
      <c r="BM32" t="n">
        <v>980.729</v>
      </c>
      <c r="BN32" t="n">
        <v>1126.541</v>
      </c>
      <c r="BO32" t="n">
        <v>1280.437</v>
      </c>
      <c r="BP32" t="n">
        <v>3756.856</v>
      </c>
      <c r="BQ32" t="n">
        <v>4141.367</v>
      </c>
      <c r="BR32" t="n">
        <v>4107.815</v>
      </c>
      <c r="BS32" t="n">
        <v>1646.457</v>
      </c>
      <c r="BT32" t="n">
        <v>1738.505</v>
      </c>
      <c r="BU32" t="n">
        <v>1830.77</v>
      </c>
      <c r="BV32" t="n">
        <v>1830.77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486.608</v>
      </c>
      <c r="F33" t="n">
        <v>501.567</v>
      </c>
      <c r="G33" t="n">
        <v>516.244</v>
      </c>
      <c r="H33" t="n">
        <v>530.755</v>
      </c>
      <c r="I33" t="n">
        <v>428.877</v>
      </c>
      <c r="J33" t="n">
        <v>443.48</v>
      </c>
      <c r="K33" t="n">
        <v>467.485</v>
      </c>
      <c r="L33" t="n">
        <v>491.155</v>
      </c>
      <c r="M33" t="n">
        <v>514.65</v>
      </c>
      <c r="N33" t="n">
        <v>537.592</v>
      </c>
      <c r="O33" t="n">
        <v>241.503</v>
      </c>
      <c r="P33" t="n">
        <v>396.782</v>
      </c>
      <c r="Q33" t="n">
        <v>226.679</v>
      </c>
      <c r="R33" t="n">
        <v>213.226</v>
      </c>
      <c r="S33" t="n">
        <v>90.241</v>
      </c>
      <c r="T33" t="n">
        <v>295.815</v>
      </c>
      <c r="U33" t="n">
        <v>384.831</v>
      </c>
      <c r="V33" t="n">
        <v>452.977</v>
      </c>
      <c r="W33" t="n">
        <v>530.898</v>
      </c>
      <c r="X33" t="n">
        <v>608.801</v>
      </c>
      <c r="Y33" t="n">
        <v>6217.903</v>
      </c>
      <c r="Z33" t="n">
        <v>14216.681</v>
      </c>
      <c r="AA33" t="n">
        <v>16321.066</v>
      </c>
      <c r="AB33" t="n">
        <v>24356.687</v>
      </c>
      <c r="AC33" t="n">
        <v>16623.274</v>
      </c>
      <c r="AD33" t="n">
        <v>16808.346</v>
      </c>
      <c r="AE33" t="n">
        <v>16130.223</v>
      </c>
      <c r="AF33" t="n">
        <v>16330.554</v>
      </c>
      <c r="AG33" t="n">
        <v>18963.316</v>
      </c>
      <c r="AH33" t="n">
        <v>18398.356</v>
      </c>
      <c r="AI33" t="n">
        <v>11087.81</v>
      </c>
      <c r="AJ33" t="n">
        <v>16316.265</v>
      </c>
      <c r="AK33" t="n">
        <v>16956.339</v>
      </c>
      <c r="AL33" t="n">
        <v>11343.793</v>
      </c>
      <c r="AM33" t="n">
        <v>8870.471</v>
      </c>
      <c r="AN33" t="n">
        <v>7051.819</v>
      </c>
      <c r="AO33" t="n">
        <v>8472.668</v>
      </c>
      <c r="AP33" t="n">
        <v>10299.189</v>
      </c>
      <c r="AQ33" t="n">
        <v>10155.555</v>
      </c>
      <c r="AR33" t="n">
        <v>9007.598</v>
      </c>
      <c r="AS33" t="n">
        <v>8768.364</v>
      </c>
      <c r="AT33" t="n">
        <v>11115.573</v>
      </c>
      <c r="AU33" t="n">
        <v>11707.144</v>
      </c>
      <c r="AV33" t="n">
        <v>15967.765</v>
      </c>
      <c r="AW33" t="n">
        <v>14741.906</v>
      </c>
      <c r="AX33" t="n">
        <v>16589.489</v>
      </c>
      <c r="AY33" t="n">
        <v>14086.955</v>
      </c>
      <c r="AZ33" t="n">
        <v>10348.364</v>
      </c>
      <c r="BA33" t="n">
        <v>13739.601</v>
      </c>
      <c r="BB33" t="n">
        <v>14424.601</v>
      </c>
      <c r="BC33" t="n">
        <v>12446.64</v>
      </c>
      <c r="BD33" t="n">
        <v>13662.004</v>
      </c>
      <c r="BE33" t="n">
        <v>10931.419</v>
      </c>
      <c r="BF33" t="n">
        <v>11140.109</v>
      </c>
      <c r="BG33" t="n">
        <v>12310.141</v>
      </c>
      <c r="BH33" t="n">
        <v>20007.471</v>
      </c>
      <c r="BI33" t="n">
        <v>12079.945</v>
      </c>
      <c r="BJ33" t="n">
        <v>11964.796</v>
      </c>
      <c r="BK33" t="n">
        <v>15587.599</v>
      </c>
      <c r="BL33" t="n">
        <v>16962.754</v>
      </c>
      <c r="BM33" t="n">
        <v>14626.603</v>
      </c>
      <c r="BN33" t="n">
        <v>15166.991</v>
      </c>
      <c r="BO33" t="n">
        <v>17795.785</v>
      </c>
      <c r="BP33" t="n">
        <v>16214.238</v>
      </c>
      <c r="BQ33" t="n">
        <v>17080.098</v>
      </c>
      <c r="BR33" t="n">
        <v>18367.41</v>
      </c>
      <c r="BS33" t="n">
        <v>17792.14</v>
      </c>
      <c r="BT33" t="n">
        <v>20801.226</v>
      </c>
      <c r="BU33" t="n">
        <v>22141.356</v>
      </c>
      <c r="BV33" t="n">
        <v>20741.143</v>
      </c>
    </row>
    <row r="34">
      <c r="A34" t="inlineStr">
        <is>
          <t>Cynoglossus</t>
        </is>
      </c>
      <c r="B34" t="inlineStr">
        <is>
          <t>Tonguesoles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1467.251</v>
      </c>
      <c r="F34" t="n">
        <v>1484.311</v>
      </c>
      <c r="G34" t="n">
        <v>1704.987</v>
      </c>
      <c r="H34" t="n">
        <v>1829.53</v>
      </c>
      <c r="I34" t="n">
        <v>1967.309</v>
      </c>
      <c r="J34" t="n">
        <v>2073.429</v>
      </c>
      <c r="K34" t="n">
        <v>2279.946</v>
      </c>
      <c r="L34" t="n">
        <v>2359.325</v>
      </c>
      <c r="M34" t="n">
        <v>2517.171</v>
      </c>
      <c r="N34" t="n">
        <v>2354.113</v>
      </c>
      <c r="O34" t="n">
        <v>2453.74</v>
      </c>
      <c r="P34" t="n">
        <v>2697.924</v>
      </c>
      <c r="Q34" t="n">
        <v>2884.318</v>
      </c>
      <c r="R34" t="n">
        <v>2991.711</v>
      </c>
      <c r="S34" t="n">
        <v>3089.974</v>
      </c>
      <c r="T34" t="n">
        <v>3475.648</v>
      </c>
      <c r="U34" t="n">
        <v>3656.917</v>
      </c>
      <c r="V34" t="n">
        <v>3547.33</v>
      </c>
      <c r="W34" t="n">
        <v>3814.005</v>
      </c>
      <c r="X34" t="n">
        <v>4142.339</v>
      </c>
      <c r="Y34" t="n">
        <v>4559.822</v>
      </c>
      <c r="Z34" t="n">
        <v>4764.266</v>
      </c>
      <c r="AA34" t="n">
        <v>4975.559</v>
      </c>
      <c r="AB34" t="n">
        <v>5168.731</v>
      </c>
      <c r="AC34" t="n">
        <v>5082.571</v>
      </c>
      <c r="AD34" t="n">
        <v>5361.585</v>
      </c>
      <c r="AE34" t="n">
        <v>5683.651</v>
      </c>
      <c r="AF34" t="n">
        <v>6586.34</v>
      </c>
      <c r="AG34" t="n">
        <v>6811.424</v>
      </c>
      <c r="AH34" t="n">
        <v>6686.176</v>
      </c>
      <c r="AI34" t="n">
        <v>6943.171</v>
      </c>
      <c r="AJ34" t="n">
        <v>6613.522</v>
      </c>
      <c r="AK34" t="n">
        <v>6653.609</v>
      </c>
      <c r="AL34" t="n">
        <v>6758.872</v>
      </c>
      <c r="AM34" t="n">
        <v>7002.79</v>
      </c>
      <c r="AN34" t="n">
        <v>8253.653</v>
      </c>
      <c r="AO34" t="n">
        <v>8018.742</v>
      </c>
      <c r="AP34" t="n">
        <v>8483.924999999999</v>
      </c>
      <c r="AQ34" t="n">
        <v>9468.791999999999</v>
      </c>
      <c r="AR34" t="n">
        <v>9699.823</v>
      </c>
      <c r="AS34" t="n">
        <v>10237.757</v>
      </c>
      <c r="AT34" t="n">
        <v>9851.639999999999</v>
      </c>
      <c r="AU34" t="n">
        <v>12161.754</v>
      </c>
      <c r="AV34" t="n">
        <v>14398.767</v>
      </c>
      <c r="AW34" t="n">
        <v>15701.77</v>
      </c>
      <c r="AX34" t="n">
        <v>14703.762</v>
      </c>
      <c r="AY34" t="n">
        <v>15732.386</v>
      </c>
      <c r="AZ34" t="n">
        <v>16439.34</v>
      </c>
      <c r="BA34" t="n">
        <v>19045.838</v>
      </c>
      <c r="BB34" t="n">
        <v>17830.11</v>
      </c>
      <c r="BC34" t="n">
        <v>16648.809</v>
      </c>
      <c r="BD34" t="n">
        <v>16864.292</v>
      </c>
      <c r="BE34" t="n">
        <v>16311.321</v>
      </c>
      <c r="BF34" t="n">
        <v>17796.779</v>
      </c>
      <c r="BG34" t="n">
        <v>15814.516</v>
      </c>
      <c r="BH34" t="n">
        <v>15590.478</v>
      </c>
      <c r="BI34" t="n">
        <v>16206.326</v>
      </c>
      <c r="BJ34" t="n">
        <v>18037.836</v>
      </c>
      <c r="BK34" t="n">
        <v>18002.874</v>
      </c>
      <c r="BL34" t="n">
        <v>17608.974</v>
      </c>
      <c r="BM34" t="n">
        <v>21560.955</v>
      </c>
      <c r="BN34" t="n">
        <v>18944.177</v>
      </c>
      <c r="BO34" t="n">
        <v>20030.453</v>
      </c>
      <c r="BP34" t="n">
        <v>18755</v>
      </c>
      <c r="BQ34" t="n">
        <v>20449.284</v>
      </c>
      <c r="BR34" t="n">
        <v>22913.542</v>
      </c>
      <c r="BS34" t="n">
        <v>23588.503</v>
      </c>
      <c r="BT34" t="n">
        <v>25416.339</v>
      </c>
      <c r="BU34" t="n">
        <v>21736.359</v>
      </c>
      <c r="BV34" t="n">
        <v>23570.043</v>
      </c>
    </row>
    <row r="35">
      <c r="A35" t="inlineStr">
        <is>
          <t>Ilisha africana</t>
        </is>
      </c>
      <c r="B35" t="inlineStr">
        <is>
          <t>West African ilisha</t>
        </is>
      </c>
      <c r="C35" t="inlineStr">
        <is>
          <t>Medium pelagics (30 - 89 cm)</t>
        </is>
      </c>
      <c r="D35" t="inlineStr">
        <is>
          <t>Herring-likes</t>
        </is>
      </c>
      <c r="E35" t="n">
        <v>2738.389</v>
      </c>
      <c r="F35" t="n">
        <v>2919.414</v>
      </c>
      <c r="G35" t="n">
        <v>3099.203</v>
      </c>
      <c r="H35" t="n">
        <v>3278.847</v>
      </c>
      <c r="I35" t="n">
        <v>3457.487</v>
      </c>
      <c r="J35" t="n">
        <v>3634.793</v>
      </c>
      <c r="K35" t="n">
        <v>3812.484</v>
      </c>
      <c r="L35" t="n">
        <v>3986.035</v>
      </c>
      <c r="M35" t="n">
        <v>4183.301</v>
      </c>
      <c r="N35" t="n">
        <v>4366.909</v>
      </c>
      <c r="O35" t="n">
        <v>4549.405</v>
      </c>
      <c r="P35" t="n">
        <v>4525.406</v>
      </c>
      <c r="Q35" t="n">
        <v>4504.419</v>
      </c>
      <c r="R35" t="n">
        <v>4460.109</v>
      </c>
      <c r="S35" t="n">
        <v>4407.524</v>
      </c>
      <c r="T35" t="n">
        <v>4350.13</v>
      </c>
      <c r="U35" t="n">
        <v>4205.537</v>
      </c>
      <c r="V35" t="n">
        <v>4142.81</v>
      </c>
      <c r="W35" t="n">
        <v>5087.468</v>
      </c>
      <c r="X35" t="n">
        <v>6121.187</v>
      </c>
      <c r="Y35" t="n">
        <v>3788.065</v>
      </c>
      <c r="Z35" t="n">
        <v>4459.128</v>
      </c>
      <c r="AA35" t="n">
        <v>5966.042</v>
      </c>
      <c r="AB35" t="n">
        <v>6142.33</v>
      </c>
      <c r="AC35" t="n">
        <v>6633.97</v>
      </c>
      <c r="AD35" t="n">
        <v>3590.569</v>
      </c>
      <c r="AE35" t="n">
        <v>16320.375</v>
      </c>
      <c r="AF35" t="n">
        <v>10055.715</v>
      </c>
      <c r="AG35" t="n">
        <v>14655.735</v>
      </c>
      <c r="AH35" t="n">
        <v>8289.721</v>
      </c>
      <c r="AI35" t="n">
        <v>9380.799999999999</v>
      </c>
      <c r="AJ35" t="n">
        <v>8590.954</v>
      </c>
      <c r="AK35" t="n">
        <v>9019.255999999999</v>
      </c>
      <c r="AL35" t="n">
        <v>10532.379</v>
      </c>
      <c r="AM35" t="n">
        <v>8409.957</v>
      </c>
      <c r="AN35" t="n">
        <v>8861.843999999999</v>
      </c>
      <c r="AO35" t="n">
        <v>12037.031</v>
      </c>
      <c r="AP35" t="n">
        <v>14332.725</v>
      </c>
      <c r="AQ35" t="n">
        <v>9762.246999999999</v>
      </c>
      <c r="AR35" t="n">
        <v>8588.887000000001</v>
      </c>
      <c r="AS35" t="n">
        <v>11300.938</v>
      </c>
      <c r="AT35" t="n">
        <v>13943.232</v>
      </c>
      <c r="AU35" t="n">
        <v>11749.209</v>
      </c>
      <c r="AV35" t="n">
        <v>10047.724</v>
      </c>
      <c r="AW35" t="n">
        <v>10557.282</v>
      </c>
      <c r="AX35" t="n">
        <v>10354.39</v>
      </c>
      <c r="AY35" t="n">
        <v>15204.138</v>
      </c>
      <c r="AZ35" t="n">
        <v>12111.524</v>
      </c>
      <c r="BA35" t="n">
        <v>11352.911</v>
      </c>
      <c r="BB35" t="n">
        <v>7728.012</v>
      </c>
      <c r="BC35" t="n">
        <v>11524.546</v>
      </c>
      <c r="BD35" t="n">
        <v>8035.285</v>
      </c>
      <c r="BE35" t="n">
        <v>10324.578</v>
      </c>
      <c r="BF35" t="n">
        <v>10436.021</v>
      </c>
      <c r="BG35" t="n">
        <v>13503.738</v>
      </c>
      <c r="BH35" t="n">
        <v>14218.687</v>
      </c>
      <c r="BI35" t="n">
        <v>12512.057</v>
      </c>
      <c r="BJ35" t="n">
        <v>16518.994</v>
      </c>
      <c r="BK35" t="n">
        <v>19775.458</v>
      </c>
      <c r="BL35" t="n">
        <v>18139.812</v>
      </c>
      <c r="BM35" t="n">
        <v>19745.94</v>
      </c>
      <c r="BN35" t="n">
        <v>20227.685</v>
      </c>
      <c r="BO35" t="n">
        <v>20967.145</v>
      </c>
      <c r="BP35" t="n">
        <v>20983.816</v>
      </c>
      <c r="BQ35" t="n">
        <v>18918.163</v>
      </c>
      <c r="BR35" t="n">
        <v>27478.382</v>
      </c>
      <c r="BS35" t="n">
        <v>18083.148</v>
      </c>
      <c r="BT35" t="n">
        <v>18424.686</v>
      </c>
      <c r="BU35" t="n">
        <v>19593.922</v>
      </c>
      <c r="BV35" t="n">
        <v>20355.871</v>
      </c>
    </row>
    <row r="36">
      <c r="A36" t="inlineStr">
        <is>
          <t>Lutjanidae</t>
        </is>
      </c>
      <c r="B36" t="inlineStr">
        <is>
          <t>Snappers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3234.292</v>
      </c>
      <c r="F36" t="n">
        <v>3270.213</v>
      </c>
      <c r="G36" t="n">
        <v>3262.552</v>
      </c>
      <c r="H36" t="n">
        <v>3318.306</v>
      </c>
      <c r="I36" t="n">
        <v>3455.327</v>
      </c>
      <c r="J36" t="n">
        <v>3476.037</v>
      </c>
      <c r="K36" t="n">
        <v>3542.338</v>
      </c>
      <c r="L36" t="n">
        <v>3594.044</v>
      </c>
      <c r="M36" t="n">
        <v>3614.686</v>
      </c>
      <c r="N36" t="n">
        <v>3634.521</v>
      </c>
      <c r="O36" t="n">
        <v>3914.185</v>
      </c>
      <c r="P36" t="n">
        <v>3858.849</v>
      </c>
      <c r="Q36" t="n">
        <v>4145.176</v>
      </c>
      <c r="R36" t="n">
        <v>4234.896</v>
      </c>
      <c r="S36" t="n">
        <v>5949.279</v>
      </c>
      <c r="T36" t="n">
        <v>6128.479</v>
      </c>
      <c r="U36" t="n">
        <v>6480.569</v>
      </c>
      <c r="V36" t="n">
        <v>7173.261</v>
      </c>
      <c r="W36" t="n">
        <v>7168.944</v>
      </c>
      <c r="X36" t="n">
        <v>6722.426</v>
      </c>
      <c r="Y36" t="n">
        <v>8200.851000000001</v>
      </c>
      <c r="Z36" t="n">
        <v>12030.877</v>
      </c>
      <c r="AA36" t="n">
        <v>11998.759</v>
      </c>
      <c r="AB36" t="n">
        <v>11636.814</v>
      </c>
      <c r="AC36" t="n">
        <v>11741.283</v>
      </c>
      <c r="AD36" t="n">
        <v>11646.265</v>
      </c>
      <c r="AE36" t="n">
        <v>15332.751</v>
      </c>
      <c r="AF36" t="n">
        <v>11549.27</v>
      </c>
      <c r="AG36" t="n">
        <v>11502.82</v>
      </c>
      <c r="AH36" t="n">
        <v>11612.74</v>
      </c>
      <c r="AI36" t="n">
        <v>10026.808</v>
      </c>
      <c r="AJ36" t="n">
        <v>12855.966</v>
      </c>
      <c r="AK36" t="n">
        <v>15501.2</v>
      </c>
      <c r="AL36" t="n">
        <v>15022.239</v>
      </c>
      <c r="AM36" t="n">
        <v>16829.818</v>
      </c>
      <c r="AN36" t="n">
        <v>8661.873</v>
      </c>
      <c r="AO36" t="n">
        <v>8313.004000000001</v>
      </c>
      <c r="AP36" t="n">
        <v>5933.47</v>
      </c>
      <c r="AQ36" t="n">
        <v>5469.755</v>
      </c>
      <c r="AR36" t="n">
        <v>12746.875</v>
      </c>
      <c r="AS36" t="n">
        <v>12458.121</v>
      </c>
      <c r="AT36" t="n">
        <v>9089.491</v>
      </c>
      <c r="AU36" t="n">
        <v>9163.326999999999</v>
      </c>
      <c r="AV36" t="n">
        <v>8530.102999999999</v>
      </c>
      <c r="AW36" t="n">
        <v>9400.219999999999</v>
      </c>
      <c r="AX36" t="n">
        <v>9221.448</v>
      </c>
      <c r="AY36" t="n">
        <v>10044.302</v>
      </c>
      <c r="AZ36" t="n">
        <v>11834.565</v>
      </c>
      <c r="BA36" t="n">
        <v>15110.528</v>
      </c>
      <c r="BB36" t="n">
        <v>15276.491</v>
      </c>
      <c r="BC36" t="n">
        <v>11644.323</v>
      </c>
      <c r="BD36" t="n">
        <v>11787.283</v>
      </c>
      <c r="BE36" t="n">
        <v>12577.473</v>
      </c>
      <c r="BF36" t="n">
        <v>10823.74</v>
      </c>
      <c r="BG36" t="n">
        <v>12594.802</v>
      </c>
      <c r="BH36" t="n">
        <v>12763.943</v>
      </c>
      <c r="BI36" t="n">
        <v>14038.912</v>
      </c>
      <c r="BJ36" t="n">
        <v>13725.921</v>
      </c>
      <c r="BK36" t="n">
        <v>14474.67</v>
      </c>
      <c r="BL36" t="n">
        <v>13808.752</v>
      </c>
      <c r="BM36" t="n">
        <v>13097.477</v>
      </c>
      <c r="BN36" t="n">
        <v>13649.015</v>
      </c>
      <c r="BO36" t="n">
        <v>13107.233</v>
      </c>
      <c r="BP36" t="n">
        <v>13487.03</v>
      </c>
      <c r="BQ36" t="n">
        <v>14953.04</v>
      </c>
      <c r="BR36" t="n">
        <v>15463.194</v>
      </c>
      <c r="BS36" t="n">
        <v>14109.769</v>
      </c>
      <c r="BT36" t="n">
        <v>16820.009</v>
      </c>
      <c r="BU36" t="n">
        <v>15106.509</v>
      </c>
      <c r="BV36" t="n">
        <v>14395.03</v>
      </c>
    </row>
    <row r="37">
      <c r="A37" t="inlineStr">
        <is>
          <t>Cynoglossus monodi</t>
        </is>
      </c>
      <c r="B37" t="inlineStr">
        <is>
          <t>Guinean tonguesole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</v>
      </c>
      <c r="F37" t="n">
        <v>52.823</v>
      </c>
      <c r="G37" t="n">
        <v>110.827</v>
      </c>
      <c r="H37" t="n">
        <v>169.119</v>
      </c>
      <c r="I37" t="n">
        <v>220.888</v>
      </c>
      <c r="J37" t="n">
        <v>278.443</v>
      </c>
      <c r="K37" t="n">
        <v>738.39</v>
      </c>
      <c r="L37" t="n">
        <v>1187.455</v>
      </c>
      <c r="M37" t="n">
        <v>1642.389</v>
      </c>
      <c r="N37" t="n">
        <v>2095.2</v>
      </c>
      <c r="O37" t="n">
        <v>2535.171</v>
      </c>
      <c r="P37" t="n">
        <v>2983.114</v>
      </c>
      <c r="Q37" t="n">
        <v>3428.889</v>
      </c>
      <c r="R37" t="n">
        <v>3872.468</v>
      </c>
      <c r="S37" t="n">
        <v>4301.377</v>
      </c>
      <c r="T37" t="n">
        <v>4740.15</v>
      </c>
      <c r="U37" t="n">
        <v>5176.697</v>
      </c>
      <c r="V37" t="n">
        <v>5597.596</v>
      </c>
      <c r="W37" t="n">
        <v>6029.375</v>
      </c>
      <c r="X37" t="n">
        <v>6458.903</v>
      </c>
      <c r="Y37" t="n">
        <v>6886.17</v>
      </c>
      <c r="Z37" t="n">
        <v>7269.892</v>
      </c>
      <c r="AA37" t="n">
        <v>7692.04</v>
      </c>
      <c r="AB37" t="n">
        <v>8089.84</v>
      </c>
      <c r="AC37" t="n">
        <v>8458.806</v>
      </c>
      <c r="AD37" t="n">
        <v>8849.525</v>
      </c>
      <c r="AE37" t="n">
        <v>9327.215</v>
      </c>
      <c r="AF37" t="n">
        <v>10168.67</v>
      </c>
      <c r="AG37" t="n">
        <v>10972.694</v>
      </c>
      <c r="AH37" t="n">
        <v>11622.678</v>
      </c>
      <c r="AI37" t="n">
        <v>11779.333</v>
      </c>
      <c r="AJ37" t="n">
        <v>11928.048</v>
      </c>
      <c r="AK37" t="n">
        <v>12073.748</v>
      </c>
      <c r="AL37" t="n">
        <v>12220.308</v>
      </c>
      <c r="AM37" t="n">
        <v>12656.39</v>
      </c>
      <c r="AN37" t="n">
        <v>13098.806</v>
      </c>
      <c r="AO37" t="n">
        <v>13334.114</v>
      </c>
      <c r="AP37" t="n">
        <v>13674.726</v>
      </c>
      <c r="AQ37" t="n">
        <v>13986.935</v>
      </c>
      <c r="AR37" t="n">
        <v>14297.135</v>
      </c>
      <c r="AS37" t="n">
        <v>14624.792</v>
      </c>
      <c r="AT37" t="n">
        <v>13686.993</v>
      </c>
      <c r="AU37" t="n">
        <v>11082.955</v>
      </c>
      <c r="AV37" t="n">
        <v>11254.53</v>
      </c>
      <c r="AW37" t="n">
        <v>11435.735</v>
      </c>
      <c r="AX37" t="n">
        <v>11599.697</v>
      </c>
      <c r="AY37" t="n">
        <v>11888.162</v>
      </c>
      <c r="AZ37" t="n">
        <v>12172.575</v>
      </c>
      <c r="BA37" t="n">
        <v>12244.607</v>
      </c>
      <c r="BB37" t="n">
        <v>12234.599</v>
      </c>
      <c r="BC37" t="n">
        <v>15466.702</v>
      </c>
      <c r="BD37" t="n">
        <v>14322.421</v>
      </c>
      <c r="BE37" t="n">
        <v>15238.761</v>
      </c>
      <c r="BF37" t="n">
        <v>14516.691</v>
      </c>
      <c r="BG37" t="n">
        <v>13791.951</v>
      </c>
      <c r="BH37" t="n">
        <v>13650.895</v>
      </c>
      <c r="BI37" t="n">
        <v>11835.726</v>
      </c>
      <c r="BJ37" t="n">
        <v>10785.213</v>
      </c>
      <c r="BK37" t="n">
        <v>9881.224</v>
      </c>
      <c r="BL37" t="n">
        <v>8057.178</v>
      </c>
      <c r="BM37" t="n">
        <v>8461.173000000001</v>
      </c>
      <c r="BN37" t="n">
        <v>25601.518</v>
      </c>
      <c r="BO37" t="n">
        <v>6814.803</v>
      </c>
      <c r="BP37" t="n">
        <v>5022.728</v>
      </c>
      <c r="BQ37" t="n">
        <v>12791.506</v>
      </c>
      <c r="BR37" t="n">
        <v>24901.84</v>
      </c>
      <c r="BS37" t="n">
        <v>21680.661</v>
      </c>
      <c r="BT37" t="n">
        <v>23002.365</v>
      </c>
      <c r="BU37" t="n">
        <v>24199.948</v>
      </c>
      <c r="BV37" t="n">
        <v>25043.86</v>
      </c>
    </row>
    <row r="38">
      <c r="A38" t="inlineStr">
        <is>
          <t>Rachycentron canadum</t>
        </is>
      </c>
      <c r="B38" t="inlineStr">
        <is>
          <t>Cobia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353.988</v>
      </c>
      <c r="F38" t="n">
        <v>360.801</v>
      </c>
      <c r="G38" t="n">
        <v>367.737</v>
      </c>
      <c r="H38" t="n">
        <v>348.459</v>
      </c>
      <c r="I38" t="n">
        <v>355.646</v>
      </c>
      <c r="J38" t="n">
        <v>362.961</v>
      </c>
      <c r="K38" t="n">
        <v>344.07</v>
      </c>
      <c r="L38" t="n">
        <v>342.168</v>
      </c>
      <c r="M38" t="n">
        <v>353.502</v>
      </c>
      <c r="N38" t="n">
        <v>357.862</v>
      </c>
      <c r="O38" t="n">
        <v>359.155</v>
      </c>
      <c r="P38" t="n">
        <v>443.497</v>
      </c>
      <c r="Q38" t="n">
        <v>443.775</v>
      </c>
      <c r="R38" t="n">
        <v>440.811</v>
      </c>
      <c r="S38" t="n">
        <v>441.292</v>
      </c>
      <c r="T38" t="n">
        <v>435.752</v>
      </c>
      <c r="U38" t="n">
        <v>446.87</v>
      </c>
      <c r="V38" t="n">
        <v>437.41</v>
      </c>
      <c r="W38" t="n">
        <v>487.922</v>
      </c>
      <c r="X38" t="n">
        <v>415.259</v>
      </c>
      <c r="Y38" t="n">
        <v>407.319</v>
      </c>
      <c r="Z38" t="n">
        <v>425.93</v>
      </c>
      <c r="AA38" t="n">
        <v>480.475</v>
      </c>
      <c r="AB38" t="n">
        <v>595.641</v>
      </c>
      <c r="AC38" t="n">
        <v>802.972</v>
      </c>
      <c r="AD38" t="n">
        <v>990.452</v>
      </c>
      <c r="AE38" t="n">
        <v>1035.102</v>
      </c>
      <c r="AF38" t="n">
        <v>1284.104</v>
      </c>
      <c r="AG38" t="n">
        <v>1576.969</v>
      </c>
      <c r="AH38" t="n">
        <v>2053.068</v>
      </c>
      <c r="AI38" t="n">
        <v>2072.077</v>
      </c>
      <c r="AJ38" t="n">
        <v>2550.513</v>
      </c>
      <c r="AK38" t="n">
        <v>2639.457</v>
      </c>
      <c r="AL38" t="n">
        <v>3461.948</v>
      </c>
      <c r="AM38" t="n">
        <v>3161.481</v>
      </c>
      <c r="AN38" t="n">
        <v>3354.337</v>
      </c>
      <c r="AO38" t="n">
        <v>3092.787</v>
      </c>
      <c r="AP38" t="n">
        <v>3715.047</v>
      </c>
      <c r="AQ38" t="n">
        <v>4625.541</v>
      </c>
      <c r="AR38" t="n">
        <v>5838.497</v>
      </c>
      <c r="AS38" t="n">
        <v>4355.224</v>
      </c>
      <c r="AT38" t="n">
        <v>5037.988</v>
      </c>
      <c r="AU38" t="n">
        <v>6302.345</v>
      </c>
      <c r="AV38" t="n">
        <v>6488.641</v>
      </c>
      <c r="AW38" t="n">
        <v>6193.667</v>
      </c>
      <c r="AX38" t="n">
        <v>6155.399</v>
      </c>
      <c r="AY38" t="n">
        <v>6206.859</v>
      </c>
      <c r="AZ38" t="n">
        <v>6710.806</v>
      </c>
      <c r="BA38" t="n">
        <v>5903.774</v>
      </c>
      <c r="BB38" t="n">
        <v>4971.185</v>
      </c>
      <c r="BC38" t="n">
        <v>7052.561</v>
      </c>
      <c r="BD38" t="n">
        <v>6849.098</v>
      </c>
      <c r="BE38" t="n">
        <v>5612.748</v>
      </c>
      <c r="BF38" t="n">
        <v>7670.759</v>
      </c>
      <c r="BG38" t="n">
        <v>9663.933000000001</v>
      </c>
      <c r="BH38" t="n">
        <v>9429.876</v>
      </c>
      <c r="BI38" t="n">
        <v>8526.209000000001</v>
      </c>
      <c r="BJ38" t="n">
        <v>11124.467</v>
      </c>
      <c r="BK38" t="n">
        <v>13709.939</v>
      </c>
      <c r="BL38" t="n">
        <v>11866.664</v>
      </c>
      <c r="BM38" t="n">
        <v>54058.767</v>
      </c>
      <c r="BN38" t="n">
        <v>28457.905</v>
      </c>
      <c r="BO38" t="n">
        <v>56401.85</v>
      </c>
      <c r="BP38" t="n">
        <v>29792.31</v>
      </c>
      <c r="BQ38" t="n">
        <v>30365.796</v>
      </c>
      <c r="BR38" t="n">
        <v>59616.327</v>
      </c>
      <c r="BS38" t="n">
        <v>60469.372</v>
      </c>
      <c r="BT38" t="n">
        <v>61281.729</v>
      </c>
      <c r="BU38" t="n">
        <v>32061.419</v>
      </c>
      <c r="BV38" t="n">
        <v>62682.963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6095.483</v>
      </c>
      <c r="F39" t="n">
        <v>6203.771</v>
      </c>
      <c r="G39" t="n">
        <v>6447.866</v>
      </c>
      <c r="H39" t="n">
        <v>6722.354</v>
      </c>
      <c r="I39" t="n">
        <v>6614.76</v>
      </c>
      <c r="J39" t="n">
        <v>6916.483</v>
      </c>
      <c r="K39" t="n">
        <v>6726.255</v>
      </c>
      <c r="L39" t="n">
        <v>7065.095</v>
      </c>
      <c r="M39" t="n">
        <v>6881.418</v>
      </c>
      <c r="N39" t="n">
        <v>7274.768</v>
      </c>
      <c r="O39" t="n">
        <v>7814.333</v>
      </c>
      <c r="P39" t="n">
        <v>8455.804</v>
      </c>
      <c r="Q39" t="n">
        <v>8764.884</v>
      </c>
      <c r="R39" t="n">
        <v>9329.182000000001</v>
      </c>
      <c r="S39" t="n">
        <v>9696.755999999999</v>
      </c>
      <c r="T39" t="n">
        <v>10644.525</v>
      </c>
      <c r="U39" t="n">
        <v>11652.238</v>
      </c>
      <c r="V39" t="n">
        <v>10701.585</v>
      </c>
      <c r="W39" t="n">
        <v>15179.226</v>
      </c>
      <c r="X39" t="n">
        <v>15847.634</v>
      </c>
      <c r="Y39" t="n">
        <v>12656.335</v>
      </c>
      <c r="Z39" t="n">
        <v>12013.223</v>
      </c>
      <c r="AA39" t="n">
        <v>9370.362999999999</v>
      </c>
      <c r="AB39" t="n">
        <v>9353.153</v>
      </c>
      <c r="AC39" t="n">
        <v>11697.572</v>
      </c>
      <c r="AD39" t="n">
        <v>8878.781000000001</v>
      </c>
      <c r="AE39" t="n">
        <v>8365.370000000001</v>
      </c>
      <c r="AF39" t="n">
        <v>9246.269</v>
      </c>
      <c r="AG39" t="n">
        <v>10111.632</v>
      </c>
      <c r="AH39" t="n">
        <v>11750.399</v>
      </c>
      <c r="AI39" t="n">
        <v>9661.861000000001</v>
      </c>
      <c r="AJ39" t="n">
        <v>8918.039000000001</v>
      </c>
      <c r="AK39" t="n">
        <v>8898.040000000001</v>
      </c>
      <c r="AL39" t="n">
        <v>10051.078</v>
      </c>
      <c r="AM39" t="n">
        <v>9932.074000000001</v>
      </c>
      <c r="AN39" t="n">
        <v>10705.911</v>
      </c>
      <c r="AO39" t="n">
        <v>10028.017</v>
      </c>
      <c r="AP39" t="n">
        <v>10441.892</v>
      </c>
      <c r="AQ39" t="n">
        <v>10759.282</v>
      </c>
      <c r="AR39" t="n">
        <v>10501.445</v>
      </c>
      <c r="AS39" t="n">
        <v>10707.054</v>
      </c>
      <c r="AT39" t="n">
        <v>11262.498</v>
      </c>
      <c r="AU39" t="n">
        <v>10981.775</v>
      </c>
      <c r="AV39" t="n">
        <v>10357.349</v>
      </c>
      <c r="AW39" t="n">
        <v>9891.826999999999</v>
      </c>
      <c r="AX39" t="n">
        <v>9649.965</v>
      </c>
      <c r="AY39" t="n">
        <v>10027.559</v>
      </c>
      <c r="AZ39" t="n">
        <v>10235.697</v>
      </c>
      <c r="BA39" t="n">
        <v>9822.746999999999</v>
      </c>
      <c r="BB39" t="n">
        <v>9941.401</v>
      </c>
      <c r="BC39" t="n">
        <v>10053.7</v>
      </c>
      <c r="BD39" t="n">
        <v>9784.052</v>
      </c>
      <c r="BE39" t="n">
        <v>9619.572</v>
      </c>
      <c r="BF39" t="n">
        <v>9007.953</v>
      </c>
      <c r="BG39" t="n">
        <v>8835.696</v>
      </c>
      <c r="BH39" t="n">
        <v>9382.253000000001</v>
      </c>
      <c r="BI39" t="n">
        <v>8730.453</v>
      </c>
      <c r="BJ39" t="n">
        <v>9045.192999999999</v>
      </c>
      <c r="BK39" t="n">
        <v>8967.200999999999</v>
      </c>
      <c r="BL39" t="n">
        <v>8819.174000000001</v>
      </c>
      <c r="BM39" t="n">
        <v>7624.352</v>
      </c>
      <c r="BN39" t="n">
        <v>8808.665000000001</v>
      </c>
      <c r="BO39" t="n">
        <v>8470.138999999999</v>
      </c>
      <c r="BP39" t="n">
        <v>7741.374</v>
      </c>
      <c r="BQ39" t="n">
        <v>9256.049999999999</v>
      </c>
      <c r="BR39" t="n">
        <v>9641.219999999999</v>
      </c>
      <c r="BS39" t="n">
        <v>9299.561</v>
      </c>
      <c r="BT39" t="n">
        <v>10215.847</v>
      </c>
      <c r="BU39" t="n">
        <v>9695.477999999999</v>
      </c>
      <c r="BV39" t="n">
        <v>8879.958000000001</v>
      </c>
    </row>
    <row r="40">
      <c r="A40" t="inlineStr">
        <is>
          <t>Caranx crysos</t>
        </is>
      </c>
      <c r="B40" t="inlineStr">
        <is>
          <t>Blue runner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650.546</v>
      </c>
      <c r="F40" t="n">
        <v>672.614</v>
      </c>
      <c r="G40" t="n">
        <v>693.899</v>
      </c>
      <c r="H40" t="n">
        <v>713.978</v>
      </c>
      <c r="I40" t="n">
        <v>677.273</v>
      </c>
      <c r="J40" t="n">
        <v>685.8099999999999</v>
      </c>
      <c r="K40" t="n">
        <v>698.207</v>
      </c>
      <c r="L40" t="n">
        <v>746.6660000000001</v>
      </c>
      <c r="M40" t="n">
        <v>769.5890000000001</v>
      </c>
      <c r="N40" t="n">
        <v>2126.657</v>
      </c>
      <c r="O40" t="n">
        <v>775.923</v>
      </c>
      <c r="P40" t="n">
        <v>792.749</v>
      </c>
      <c r="Q40" t="n">
        <v>818.861</v>
      </c>
      <c r="R40" t="n">
        <v>828.284</v>
      </c>
      <c r="S40" t="n">
        <v>4890.266</v>
      </c>
      <c r="T40" t="n">
        <v>841.968</v>
      </c>
      <c r="U40" t="n">
        <v>810.064</v>
      </c>
      <c r="V40" t="n">
        <v>825.254</v>
      </c>
      <c r="W40" t="n">
        <v>860.412</v>
      </c>
      <c r="X40" t="n">
        <v>1004.824</v>
      </c>
      <c r="Y40" t="n">
        <v>1204.538</v>
      </c>
      <c r="Z40" t="n">
        <v>1384.84</v>
      </c>
      <c r="AA40" t="n">
        <v>1355.142</v>
      </c>
      <c r="AB40" t="n">
        <v>4102.214</v>
      </c>
      <c r="AC40" t="n">
        <v>4361.87</v>
      </c>
      <c r="AD40" t="n">
        <v>4041.717</v>
      </c>
      <c r="AE40" t="n">
        <v>5371.989</v>
      </c>
      <c r="AF40" t="n">
        <v>5529.534</v>
      </c>
      <c r="AG40" t="n">
        <v>5607.81</v>
      </c>
      <c r="AH40" t="n">
        <v>1317.692</v>
      </c>
      <c r="AI40" t="n">
        <v>5477.393</v>
      </c>
      <c r="AJ40" t="n">
        <v>9329.266</v>
      </c>
      <c r="AK40" t="n">
        <v>10316.076</v>
      </c>
      <c r="AL40" t="n">
        <v>7727.257</v>
      </c>
      <c r="AM40" t="n">
        <v>6284.252</v>
      </c>
      <c r="AN40" t="n">
        <v>8909.295</v>
      </c>
      <c r="AO40" t="n">
        <v>7561.985</v>
      </c>
      <c r="AP40" t="n">
        <v>8904.873</v>
      </c>
      <c r="AQ40" t="n">
        <v>8980.92</v>
      </c>
      <c r="AR40" t="n">
        <v>8113.48</v>
      </c>
      <c r="AS40" t="n">
        <v>8532.592000000001</v>
      </c>
      <c r="AT40" t="n">
        <v>11439.725</v>
      </c>
      <c r="AU40" t="n">
        <v>10086.572</v>
      </c>
      <c r="AV40" t="n">
        <v>10416.881</v>
      </c>
      <c r="AW40" t="n">
        <v>8741.129000000001</v>
      </c>
      <c r="AX40" t="n">
        <v>9500.609</v>
      </c>
      <c r="AY40" t="n">
        <v>10940.365</v>
      </c>
      <c r="AZ40" t="n">
        <v>8373.986999999999</v>
      </c>
      <c r="BA40" t="n">
        <v>9798.191999999999</v>
      </c>
      <c r="BB40" t="n">
        <v>12637.253</v>
      </c>
      <c r="BC40" t="n">
        <v>15615.487</v>
      </c>
      <c r="BD40" t="n">
        <v>15104.415</v>
      </c>
      <c r="BE40" t="n">
        <v>15377.992</v>
      </c>
      <c r="BF40" t="n">
        <v>15392.043</v>
      </c>
      <c r="BG40" t="n">
        <v>16978.506</v>
      </c>
      <c r="BH40" t="n">
        <v>17229.549</v>
      </c>
      <c r="BI40" t="n">
        <v>17738.047</v>
      </c>
      <c r="BJ40" t="n">
        <v>17862.754</v>
      </c>
      <c r="BK40" t="n">
        <v>19041.132</v>
      </c>
      <c r="BL40" t="n">
        <v>22834.951</v>
      </c>
      <c r="BM40" t="n">
        <v>26515.36</v>
      </c>
      <c r="BN40" t="n">
        <v>18043.469</v>
      </c>
      <c r="BO40" t="n">
        <v>23011.591</v>
      </c>
      <c r="BP40" t="n">
        <v>22623.503</v>
      </c>
      <c r="BQ40" t="n">
        <v>22255.02</v>
      </c>
      <c r="BR40" t="n">
        <v>21865.72</v>
      </c>
      <c r="BS40" t="n">
        <v>23143.692</v>
      </c>
      <c r="BT40" t="n">
        <v>23561.213</v>
      </c>
      <c r="BU40" t="n">
        <v>22681</v>
      </c>
      <c r="BV40" t="n">
        <v>24093.768</v>
      </c>
    </row>
    <row r="41">
      <c r="A41" t="inlineStr">
        <is>
          <t>Scombroidei</t>
        </is>
      </c>
      <c r="B41" t="inlineStr">
        <is>
          <t>Tunas, bonitos, 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739.141</v>
      </c>
      <c r="F41" t="n">
        <v>754.8920000000001</v>
      </c>
      <c r="G41" t="n">
        <v>770.79</v>
      </c>
      <c r="H41" t="n">
        <v>806.949</v>
      </c>
      <c r="I41" t="n">
        <v>816.351</v>
      </c>
      <c r="J41" t="n">
        <v>853.701</v>
      </c>
      <c r="K41" t="n">
        <v>891.478</v>
      </c>
      <c r="L41" t="n">
        <v>924.222</v>
      </c>
      <c r="M41" t="n">
        <v>991.675</v>
      </c>
      <c r="N41" t="n">
        <v>1017.871</v>
      </c>
      <c r="O41" t="n">
        <v>1040.07</v>
      </c>
      <c r="P41" t="n">
        <v>1914.984</v>
      </c>
      <c r="Q41" t="n">
        <v>1953.492</v>
      </c>
      <c r="R41" t="n">
        <v>1779.491</v>
      </c>
      <c r="S41" t="n">
        <v>1886.389</v>
      </c>
      <c r="T41" t="n">
        <v>2081.671</v>
      </c>
      <c r="U41" t="n">
        <v>2308.409</v>
      </c>
      <c r="V41" t="n">
        <v>2262.232</v>
      </c>
      <c r="W41" t="n">
        <v>2745.666</v>
      </c>
      <c r="X41" t="n">
        <v>3022.192</v>
      </c>
      <c r="Y41" t="n">
        <v>3591.441</v>
      </c>
      <c r="Z41" t="n">
        <v>3695.608</v>
      </c>
      <c r="AA41" t="n">
        <v>3070.507</v>
      </c>
      <c r="AB41" t="n">
        <v>3449.248</v>
      </c>
      <c r="AC41" t="n">
        <v>5295.695</v>
      </c>
      <c r="AD41" t="n">
        <v>17181.59</v>
      </c>
      <c r="AE41" t="n">
        <v>5950.321</v>
      </c>
      <c r="AF41" t="n">
        <v>7267.727</v>
      </c>
      <c r="AG41" t="n">
        <v>7528.196</v>
      </c>
      <c r="AH41" t="n">
        <v>7627.895</v>
      </c>
      <c r="AI41" t="n">
        <v>5020.301</v>
      </c>
      <c r="AJ41" t="n">
        <v>6720.694</v>
      </c>
      <c r="AK41" t="n">
        <v>11761.905</v>
      </c>
      <c r="AL41" t="n">
        <v>13669.814</v>
      </c>
      <c r="AM41" t="n">
        <v>15441.348</v>
      </c>
      <c r="AN41" t="n">
        <v>19575.08</v>
      </c>
      <c r="AO41" t="n">
        <v>15875.032</v>
      </c>
      <c r="AP41" t="n">
        <v>16335.817</v>
      </c>
      <c r="AQ41" t="n">
        <v>18133.003</v>
      </c>
      <c r="AR41" t="n">
        <v>16813.712</v>
      </c>
      <c r="AS41" t="n">
        <v>16976.243</v>
      </c>
      <c r="AT41" t="n">
        <v>13051.235</v>
      </c>
      <c r="AU41" t="n">
        <v>11563.649</v>
      </c>
      <c r="AV41" t="n">
        <v>14230.459</v>
      </c>
      <c r="AW41" t="n">
        <v>12886.706</v>
      </c>
      <c r="AX41" t="n">
        <v>11710.974</v>
      </c>
      <c r="AY41" t="n">
        <v>6745.947</v>
      </c>
      <c r="AZ41" t="n">
        <v>8579.945</v>
      </c>
      <c r="BA41" t="n">
        <v>10546.979</v>
      </c>
      <c r="BB41" t="n">
        <v>14069.844</v>
      </c>
      <c r="BC41" t="n">
        <v>18551.539</v>
      </c>
      <c r="BD41" t="n">
        <v>10934.814</v>
      </c>
      <c r="BE41" t="n">
        <v>7987.057</v>
      </c>
      <c r="BF41" t="n">
        <v>16068.3</v>
      </c>
      <c r="BG41" t="n">
        <v>14983.651</v>
      </c>
      <c r="BH41" t="n">
        <v>22899.108</v>
      </c>
      <c r="BI41" t="n">
        <v>19628.955</v>
      </c>
      <c r="BJ41" t="n">
        <v>22118.627</v>
      </c>
      <c r="BK41" t="n">
        <v>24840.495</v>
      </c>
      <c r="BL41" t="n">
        <v>30983.285</v>
      </c>
      <c r="BM41" t="n">
        <v>14019.096</v>
      </c>
      <c r="BN41" t="n">
        <v>4688.929</v>
      </c>
      <c r="BO41" t="n">
        <v>4383.458</v>
      </c>
      <c r="BP41" t="n">
        <v>6991.359</v>
      </c>
      <c r="BQ41" t="n">
        <v>6714.73</v>
      </c>
      <c r="BR41" t="n">
        <v>5081.56</v>
      </c>
      <c r="BS41" t="n">
        <v>5757.813</v>
      </c>
      <c r="BT41" t="n">
        <v>3703.982</v>
      </c>
      <c r="BU41" t="n">
        <v>4204.893</v>
      </c>
      <c r="BV41" t="n">
        <v>3987.164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n">
        <v>2936.394</v>
      </c>
      <c r="F42" t="n">
        <v>3340.857</v>
      </c>
      <c r="G42" t="n">
        <v>1988.742</v>
      </c>
      <c r="H42" t="n">
        <v>3233.845</v>
      </c>
      <c r="I42" t="n">
        <v>2055.951</v>
      </c>
      <c r="J42" t="n">
        <v>1862.999</v>
      </c>
      <c r="K42" t="n">
        <v>3549.787</v>
      </c>
      <c r="L42" t="n">
        <v>4660.633</v>
      </c>
      <c r="M42" t="n">
        <v>3471.956</v>
      </c>
      <c r="N42" t="n">
        <v>2576.429</v>
      </c>
      <c r="O42" t="n">
        <v>1660.418</v>
      </c>
      <c r="P42" t="n">
        <v>1764.36</v>
      </c>
      <c r="Q42" t="n">
        <v>2029.386</v>
      </c>
      <c r="R42" t="n">
        <v>2682.471</v>
      </c>
      <c r="S42" t="n">
        <v>3714.553</v>
      </c>
      <c r="T42" t="n">
        <v>5045.053</v>
      </c>
      <c r="U42" t="n">
        <v>5302.566</v>
      </c>
      <c r="V42" t="n">
        <v>5597.864</v>
      </c>
      <c r="W42" t="n">
        <v>4342.283</v>
      </c>
      <c r="X42" t="n">
        <v>6700.196</v>
      </c>
      <c r="Y42" t="n">
        <v>7951.158</v>
      </c>
      <c r="Z42" t="n">
        <v>8092.256</v>
      </c>
      <c r="AA42" t="n">
        <v>10326.032</v>
      </c>
      <c r="AB42" t="n">
        <v>4028.379</v>
      </c>
      <c r="AC42" t="n">
        <v>7762.722</v>
      </c>
      <c r="AD42" t="n">
        <v>17017.664</v>
      </c>
      <c r="AE42" t="n">
        <v>4324.165</v>
      </c>
      <c r="AF42" t="n">
        <v>12369.791</v>
      </c>
      <c r="AG42" t="n">
        <v>8431.796</v>
      </c>
      <c r="AH42" t="n">
        <v>7629.068</v>
      </c>
      <c r="AI42" t="n">
        <v>11308.733</v>
      </c>
      <c r="AJ42" t="n">
        <v>14986.636</v>
      </c>
      <c r="AK42" t="n">
        <v>11605.355</v>
      </c>
      <c r="AL42" t="n">
        <v>4088.24</v>
      </c>
      <c r="AM42" t="n">
        <v>7010.933</v>
      </c>
      <c r="AN42" t="n">
        <v>11675.624</v>
      </c>
      <c r="AO42" t="n">
        <v>2780.864</v>
      </c>
      <c r="AP42" t="n">
        <v>14401.242</v>
      </c>
      <c r="AQ42" t="n">
        <v>9271.558000000001</v>
      </c>
      <c r="AR42" t="n">
        <v>12083.824</v>
      </c>
      <c r="AS42" t="n">
        <v>75.708</v>
      </c>
      <c r="AT42" t="n">
        <v>13851.942</v>
      </c>
      <c r="AU42" t="n">
        <v>11576.489</v>
      </c>
      <c r="AV42" t="n">
        <v>10256.401</v>
      </c>
      <c r="AW42" t="n">
        <v>10749.721</v>
      </c>
      <c r="AX42" t="n">
        <v>0</v>
      </c>
      <c r="AY42" t="n">
        <v>13108.162</v>
      </c>
      <c r="AZ42" t="n">
        <v>13674.334</v>
      </c>
      <c r="BA42" t="n">
        <v>9765.053</v>
      </c>
      <c r="BB42" t="n">
        <v>14036.463</v>
      </c>
      <c r="BC42" t="n">
        <v>9595.878000000001</v>
      </c>
      <c r="BD42" t="n">
        <v>11268.263</v>
      </c>
      <c r="BE42" t="n">
        <v>11729.69</v>
      </c>
      <c r="BF42" t="n">
        <v>17597.39</v>
      </c>
      <c r="BG42" t="n">
        <v>9701.303</v>
      </c>
      <c r="BH42" t="n">
        <v>6686.055</v>
      </c>
      <c r="BI42" t="n">
        <v>7691.545</v>
      </c>
      <c r="BJ42" t="n">
        <v>2500.202</v>
      </c>
      <c r="BK42" t="n">
        <v>14049.052</v>
      </c>
      <c r="BL42" t="n">
        <v>20841.468</v>
      </c>
      <c r="BM42" t="n">
        <v>10154.905</v>
      </c>
      <c r="BN42" t="n">
        <v>13897.369</v>
      </c>
      <c r="BO42" t="n">
        <v>11564.969</v>
      </c>
      <c r="BP42" t="n">
        <v>16457.913</v>
      </c>
      <c r="BQ42" t="n">
        <v>17744.528</v>
      </c>
      <c r="BR42" t="n">
        <v>15249.059</v>
      </c>
      <c r="BS42" t="n">
        <v>18547.688</v>
      </c>
      <c r="BT42" t="n">
        <v>10540.115</v>
      </c>
      <c r="BU42" t="n">
        <v>10313.786</v>
      </c>
      <c r="BV42" t="n">
        <v>10131.016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20622.994</v>
      </c>
      <c r="O43" t="n">
        <v>20582.237</v>
      </c>
      <c r="P43" t="n">
        <v>20541.48</v>
      </c>
      <c r="Q43" t="n">
        <v>25625.904</v>
      </c>
      <c r="R43" t="n">
        <v>25574.958</v>
      </c>
      <c r="S43" t="n">
        <v>25524.011</v>
      </c>
      <c r="T43" t="n">
        <v>25473.065</v>
      </c>
      <c r="U43" t="n">
        <v>25422.119</v>
      </c>
      <c r="V43" t="n">
        <v>25371.173</v>
      </c>
      <c r="W43" t="n">
        <v>25634.198</v>
      </c>
      <c r="X43" t="n">
        <v>23875.427</v>
      </c>
      <c r="Y43" t="n">
        <v>32260.302</v>
      </c>
      <c r="Z43" t="n">
        <v>35234.344</v>
      </c>
      <c r="AA43" t="n">
        <v>34145.445</v>
      </c>
      <c r="AB43" t="n">
        <v>27298.82</v>
      </c>
      <c r="AC43" t="n">
        <v>30532.401</v>
      </c>
      <c r="AD43" t="n">
        <v>16233.173</v>
      </c>
      <c r="AE43" t="n">
        <v>11051.071</v>
      </c>
      <c r="AF43" t="n">
        <v>24943.31</v>
      </c>
      <c r="AG43" t="n">
        <v>4399.971</v>
      </c>
      <c r="AH43" t="n">
        <v>12022.611</v>
      </c>
      <c r="AI43" t="n">
        <v>13477.498</v>
      </c>
      <c r="AJ43" t="n">
        <v>4266.953</v>
      </c>
      <c r="AK43" t="n">
        <v>7429.855</v>
      </c>
      <c r="AL43" t="n">
        <v>5490.666</v>
      </c>
      <c r="AM43" t="n">
        <v>4373.856</v>
      </c>
      <c r="AN43" t="n">
        <v>4302.706</v>
      </c>
      <c r="AO43" t="n">
        <v>3082.725</v>
      </c>
      <c r="AP43" t="n">
        <v>4395.51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19.151</v>
      </c>
      <c r="AW43" t="n">
        <v>19.43</v>
      </c>
      <c r="AX43" t="n">
        <v>0.323</v>
      </c>
      <c r="AY43" t="n">
        <v>0</v>
      </c>
      <c r="AZ43" t="n">
        <v>0</v>
      </c>
      <c r="BA43" t="n">
        <v>0.016</v>
      </c>
      <c r="BB43" t="n">
        <v>2.537</v>
      </c>
      <c r="BC43" t="n">
        <v>0</v>
      </c>
      <c r="BD43" t="n">
        <v>167.444</v>
      </c>
      <c r="BE43" t="n">
        <v>72.518</v>
      </c>
      <c r="BF43" t="n">
        <v>19.233</v>
      </c>
      <c r="BG43" t="n">
        <v>17.424</v>
      </c>
      <c r="BH43" t="n">
        <v>2.347</v>
      </c>
      <c r="BI43" t="n">
        <v>2417.702</v>
      </c>
      <c r="BJ43" t="n">
        <v>2154.466</v>
      </c>
      <c r="BK43" t="n">
        <v>1404.154</v>
      </c>
      <c r="BL43" t="n">
        <v>2611.624</v>
      </c>
      <c r="BM43" t="n">
        <v>3378.421</v>
      </c>
      <c r="BN43" t="n">
        <v>2151.446</v>
      </c>
      <c r="BO43" t="n">
        <v>2449.38</v>
      </c>
      <c r="BP43" t="n">
        <v>3001.746</v>
      </c>
      <c r="BQ43" t="n">
        <v>3379.004</v>
      </c>
      <c r="BR43" t="n">
        <v>221.934</v>
      </c>
      <c r="BS43" t="n">
        <v>9.366</v>
      </c>
      <c r="BT43" t="n">
        <v>0.6870000000000001</v>
      </c>
      <c r="BU43" t="n">
        <v>104.975</v>
      </c>
      <c r="BV43" t="n">
        <v>50.025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2501.868</v>
      </c>
      <c r="M44" t="n">
        <v>1951.239</v>
      </c>
      <c r="N44" t="n">
        <v>2907.428</v>
      </c>
      <c r="O44" t="n">
        <v>3032.806</v>
      </c>
      <c r="P44" t="n">
        <v>4453.385</v>
      </c>
      <c r="Q44" t="n">
        <v>16619.107</v>
      </c>
      <c r="R44" t="n">
        <v>10928.409</v>
      </c>
      <c r="S44" t="n">
        <v>28387.262</v>
      </c>
      <c r="T44" t="n">
        <v>9734.744000000001</v>
      </c>
      <c r="U44" t="n">
        <v>6461.166</v>
      </c>
      <c r="V44" t="n">
        <v>7424.866</v>
      </c>
      <c r="W44" t="n">
        <v>5841.174</v>
      </c>
      <c r="X44" t="n">
        <v>9582.727000000001</v>
      </c>
      <c r="Y44" t="n">
        <v>12620.427</v>
      </c>
      <c r="Z44" t="n">
        <v>11827.083</v>
      </c>
      <c r="AA44" t="n">
        <v>14474.548</v>
      </c>
      <c r="AB44" t="n">
        <v>15965.08</v>
      </c>
      <c r="AC44" t="n">
        <v>12251.742</v>
      </c>
      <c r="AD44" t="n">
        <v>11639.218</v>
      </c>
      <c r="AE44" t="n">
        <v>10717.843</v>
      </c>
      <c r="AF44" t="n">
        <v>6439.098</v>
      </c>
      <c r="AG44" t="n">
        <v>5495.952</v>
      </c>
      <c r="AH44" t="n">
        <v>5582.935</v>
      </c>
      <c r="AI44" t="n">
        <v>4783.219</v>
      </c>
      <c r="AJ44" t="n">
        <v>6848.248</v>
      </c>
      <c r="AK44" t="n">
        <v>3620.362</v>
      </c>
      <c r="AL44" t="n">
        <v>8615.267</v>
      </c>
      <c r="AM44" t="n">
        <v>7219.888</v>
      </c>
      <c r="AN44" t="n">
        <v>8120.329</v>
      </c>
      <c r="AO44" t="n">
        <v>9776.596</v>
      </c>
      <c r="AP44" t="n">
        <v>10425.642</v>
      </c>
      <c r="AQ44" t="n">
        <v>4798.973</v>
      </c>
      <c r="AR44" t="n">
        <v>4400.286</v>
      </c>
      <c r="AS44" t="n">
        <v>5041.245</v>
      </c>
      <c r="AT44" t="n">
        <v>8570.433999999999</v>
      </c>
      <c r="AU44" t="n">
        <v>7828.209</v>
      </c>
      <c r="AV44" t="n">
        <v>8506.844999999999</v>
      </c>
      <c r="AW44" t="n">
        <v>5861.663</v>
      </c>
      <c r="AX44" t="n">
        <v>8052.653</v>
      </c>
      <c r="AY44" t="n">
        <v>6526.011</v>
      </c>
      <c r="AZ44" t="n">
        <v>7045.159</v>
      </c>
      <c r="BA44" t="n">
        <v>6955.433</v>
      </c>
      <c r="BB44" t="n">
        <v>11268.993</v>
      </c>
      <c r="BC44" t="n">
        <v>6910.01</v>
      </c>
      <c r="BD44" t="n">
        <v>8681.644</v>
      </c>
      <c r="BE44" t="n">
        <v>5064.521</v>
      </c>
      <c r="BF44" t="n">
        <v>2834.27</v>
      </c>
      <c r="BG44" t="n">
        <v>2800.502</v>
      </c>
      <c r="BH44" t="n">
        <v>7567.587</v>
      </c>
      <c r="BI44" t="n">
        <v>8395.553</v>
      </c>
      <c r="BJ44" t="n">
        <v>7761.074</v>
      </c>
      <c r="BK44" t="n">
        <v>6720.753</v>
      </c>
      <c r="BL44" t="n">
        <v>7199.817</v>
      </c>
      <c r="BM44" t="n">
        <v>6325.266</v>
      </c>
      <c r="BN44" t="n">
        <v>13561.045</v>
      </c>
      <c r="BO44" t="n">
        <v>16684.634</v>
      </c>
      <c r="BP44" t="n">
        <v>18267.459</v>
      </c>
      <c r="BQ44" t="n">
        <v>14353.474</v>
      </c>
      <c r="BR44" t="n">
        <v>16732.428</v>
      </c>
      <c r="BS44" t="n">
        <v>16693.633</v>
      </c>
      <c r="BT44" t="n">
        <v>13064.586</v>
      </c>
      <c r="BU44" t="n">
        <v>7913.896</v>
      </c>
      <c r="BV44" t="n">
        <v>8923.076999999999</v>
      </c>
    </row>
    <row r="45">
      <c r="A45" t="inlineStr">
        <is>
          <t>Dentex</t>
        </is>
      </c>
      <c r="B45" t="inlineStr">
        <is>
          <t>Toothed seabreams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1261</v>
      </c>
      <c r="F45" t="n">
        <v>1325.754</v>
      </c>
      <c r="G45" t="n">
        <v>1406.826</v>
      </c>
      <c r="H45" t="n">
        <v>1477.255</v>
      </c>
      <c r="I45" t="n">
        <v>1547.364</v>
      </c>
      <c r="J45" t="n">
        <v>1616.932</v>
      </c>
      <c r="K45" t="n">
        <v>1687.284</v>
      </c>
      <c r="L45" t="n">
        <v>1756.342</v>
      </c>
      <c r="M45" t="n">
        <v>1836.538</v>
      </c>
      <c r="N45" t="n">
        <v>1883.672</v>
      </c>
      <c r="O45" t="n">
        <v>1961.457</v>
      </c>
      <c r="P45" t="n">
        <v>2037.935</v>
      </c>
      <c r="Q45" t="n">
        <v>2363.191</v>
      </c>
      <c r="R45" t="n">
        <v>2201.262</v>
      </c>
      <c r="S45" t="n">
        <v>2258.738</v>
      </c>
      <c r="T45" t="n">
        <v>2772.564</v>
      </c>
      <c r="U45" t="n">
        <v>2872.531</v>
      </c>
      <c r="V45" t="n">
        <v>3036.461</v>
      </c>
      <c r="W45" t="n">
        <v>3075.31</v>
      </c>
      <c r="X45" t="n">
        <v>3195.445</v>
      </c>
      <c r="Y45" t="n">
        <v>3381.588</v>
      </c>
      <c r="Z45" t="n">
        <v>3539.956</v>
      </c>
      <c r="AA45" t="n">
        <v>3731.447</v>
      </c>
      <c r="AB45" t="n">
        <v>3596.195</v>
      </c>
      <c r="AC45" t="n">
        <v>3839.618</v>
      </c>
      <c r="AD45" t="n">
        <v>5628.957</v>
      </c>
      <c r="AE45" t="n">
        <v>5861.975</v>
      </c>
      <c r="AF45" t="n">
        <v>5917.74</v>
      </c>
      <c r="AG45" t="n">
        <v>8063.773</v>
      </c>
      <c r="AH45" t="n">
        <v>10716.512</v>
      </c>
      <c r="AI45" t="n">
        <v>9722.647999999999</v>
      </c>
      <c r="AJ45" t="n">
        <v>9702.999</v>
      </c>
      <c r="AK45" t="n">
        <v>10423.675</v>
      </c>
      <c r="AL45" t="n">
        <v>8841.192999999999</v>
      </c>
      <c r="AM45" t="n">
        <v>8931.26</v>
      </c>
      <c r="AN45" t="n">
        <v>9740</v>
      </c>
      <c r="AO45" t="n">
        <v>9085.51</v>
      </c>
      <c r="AP45" t="n">
        <v>10511.593</v>
      </c>
      <c r="AQ45" t="n">
        <v>13251.747</v>
      </c>
      <c r="AR45" t="n">
        <v>9783.548000000001</v>
      </c>
      <c r="AS45" t="n">
        <v>9324.087</v>
      </c>
      <c r="AT45" t="n">
        <v>9617.697</v>
      </c>
      <c r="AU45" t="n">
        <v>9520.048000000001</v>
      </c>
      <c r="AV45" t="n">
        <v>8214.512000000001</v>
      </c>
      <c r="AW45" t="n">
        <v>7999.301</v>
      </c>
      <c r="AX45" t="n">
        <v>9010.915999999999</v>
      </c>
      <c r="AY45" t="n">
        <v>10038.112</v>
      </c>
      <c r="AZ45" t="n">
        <v>8117.871</v>
      </c>
      <c r="BA45" t="n">
        <v>9743.554</v>
      </c>
      <c r="BB45" t="n">
        <v>9746.507</v>
      </c>
      <c r="BC45" t="n">
        <v>10158.763</v>
      </c>
      <c r="BD45" t="n">
        <v>8806.558999999999</v>
      </c>
      <c r="BE45" t="n">
        <v>10441.229</v>
      </c>
      <c r="BF45" t="n">
        <v>10489.948</v>
      </c>
      <c r="BG45" t="n">
        <v>11799.388</v>
      </c>
      <c r="BH45" t="n">
        <v>12836.979</v>
      </c>
      <c r="BI45" t="n">
        <v>13114.51</v>
      </c>
      <c r="BJ45" t="n">
        <v>16899.964</v>
      </c>
      <c r="BK45" t="n">
        <v>14706.145</v>
      </c>
      <c r="BL45" t="n">
        <v>14586.224</v>
      </c>
      <c r="BM45" t="n">
        <v>19838.079</v>
      </c>
      <c r="BN45" t="n">
        <v>15978.545</v>
      </c>
      <c r="BO45" t="n">
        <v>14691.255</v>
      </c>
      <c r="BP45" t="n">
        <v>11998.377</v>
      </c>
      <c r="BQ45" t="n">
        <v>10713.645</v>
      </c>
      <c r="BR45" t="n">
        <v>12930.551</v>
      </c>
      <c r="BS45" t="n">
        <v>13490.136</v>
      </c>
      <c r="BT45" t="n">
        <v>13108.692</v>
      </c>
      <c r="BU45" t="n">
        <v>10878.331</v>
      </c>
      <c r="BV45" t="n">
        <v>13768.201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99.664</v>
      </c>
      <c r="J46" t="n">
        <v>99.664</v>
      </c>
      <c r="K46" t="n">
        <v>99.664</v>
      </c>
      <c r="L46" t="n">
        <v>199.329</v>
      </c>
      <c r="M46" t="n">
        <v>371.969</v>
      </c>
      <c r="N46" t="n">
        <v>470.627</v>
      </c>
      <c r="O46" t="n">
        <v>683.816</v>
      </c>
      <c r="P46" t="n">
        <v>482.368</v>
      </c>
      <c r="Q46" t="n">
        <v>367.476</v>
      </c>
      <c r="R46" t="n">
        <v>362.337</v>
      </c>
      <c r="S46" t="n">
        <v>474.406</v>
      </c>
      <c r="T46" t="n">
        <v>872.582</v>
      </c>
      <c r="U46" t="n">
        <v>1145.346</v>
      </c>
      <c r="V46" t="n">
        <v>1451.477</v>
      </c>
      <c r="W46" t="n">
        <v>1228.688</v>
      </c>
      <c r="X46" t="n">
        <v>1559.543</v>
      </c>
      <c r="Y46" t="n">
        <v>1346.086</v>
      </c>
      <c r="Z46" t="n">
        <v>1490.281</v>
      </c>
      <c r="AA46" t="n">
        <v>2153.442</v>
      </c>
      <c r="AB46" t="n">
        <v>3288.932</v>
      </c>
      <c r="AC46" t="n">
        <v>3599.16</v>
      </c>
      <c r="AD46" t="n">
        <v>2839.484</v>
      </c>
      <c r="AE46" t="n">
        <v>2996.253</v>
      </c>
      <c r="AF46" t="n">
        <v>3194.619</v>
      </c>
      <c r="AG46" t="n">
        <v>3642.274</v>
      </c>
      <c r="AH46" t="n">
        <v>3350.553</v>
      </c>
      <c r="AI46" t="n">
        <v>2423.951</v>
      </c>
      <c r="AJ46" t="n">
        <v>2061.223</v>
      </c>
      <c r="AK46" t="n">
        <v>2076.163</v>
      </c>
      <c r="AL46" t="n">
        <v>1946.581</v>
      </c>
      <c r="AM46" t="n">
        <v>2130.786</v>
      </c>
      <c r="AN46" t="n">
        <v>3477.993</v>
      </c>
      <c r="AO46" t="n">
        <v>4799.39</v>
      </c>
      <c r="AP46" t="n">
        <v>7732.499</v>
      </c>
      <c r="AQ46" t="n">
        <v>5815.463</v>
      </c>
      <c r="AR46" t="n">
        <v>7357.594</v>
      </c>
      <c r="AS46" t="n">
        <v>7483.864</v>
      </c>
      <c r="AT46" t="n">
        <v>6752.358</v>
      </c>
      <c r="AU46" t="n">
        <v>6231.072</v>
      </c>
      <c r="AV46" t="n">
        <v>6815.807</v>
      </c>
      <c r="AW46" t="n">
        <v>7205.926</v>
      </c>
      <c r="AX46" t="n">
        <v>11026.28</v>
      </c>
      <c r="AY46" t="n">
        <v>13681.231</v>
      </c>
      <c r="AZ46" t="n">
        <v>8159.589</v>
      </c>
      <c r="BA46" t="n">
        <v>14879.067</v>
      </c>
      <c r="BB46" t="n">
        <v>8285.795</v>
      </c>
      <c r="BC46" t="n">
        <v>5184.569</v>
      </c>
      <c r="BD46" t="n">
        <v>6568.489</v>
      </c>
      <c r="BE46" t="n">
        <v>22984.828</v>
      </c>
      <c r="BF46" t="n">
        <v>20863.658</v>
      </c>
      <c r="BG46" t="n">
        <v>16128.601</v>
      </c>
      <c r="BH46" t="n">
        <v>21179.717</v>
      </c>
      <c r="BI46" t="n">
        <v>21754.485</v>
      </c>
      <c r="BJ46" t="n">
        <v>16934.183</v>
      </c>
      <c r="BK46" t="n">
        <v>5350.168</v>
      </c>
      <c r="BL46" t="n">
        <v>15148.774</v>
      </c>
      <c r="BM46" t="n">
        <v>16596.877</v>
      </c>
      <c r="BN46" t="n">
        <v>16738.458</v>
      </c>
      <c r="BO46" t="n">
        <v>18399.867</v>
      </c>
      <c r="BP46" t="n">
        <v>19377.469</v>
      </c>
      <c r="BQ46" t="n">
        <v>18111.433</v>
      </c>
      <c r="BR46" t="n">
        <v>20355.362</v>
      </c>
      <c r="BS46" t="n">
        <v>18129.169</v>
      </c>
      <c r="BT46" t="n">
        <v>33541.853</v>
      </c>
      <c r="BU46" t="n">
        <v>31425.387</v>
      </c>
      <c r="BV46" t="n">
        <v>29875.221</v>
      </c>
    </row>
    <row r="47">
      <c r="A47" t="inlineStr">
        <is>
          <t>Penaeus notialis</t>
        </is>
      </c>
      <c r="B47" t="inlineStr">
        <is>
          <t>Southern pink shrimp</t>
        </is>
      </c>
      <c r="C47" t="inlineStr">
        <is>
          <t>Shrimps</t>
        </is>
      </c>
      <c r="D47" t="inlineStr">
        <is>
          <t>Crustaceans</t>
        </is>
      </c>
      <c r="E47" t="n">
        <v>672.351</v>
      </c>
      <c r="F47" t="n">
        <v>687.372</v>
      </c>
      <c r="G47" t="n">
        <v>704.023</v>
      </c>
      <c r="H47" t="n">
        <v>720.764</v>
      </c>
      <c r="I47" t="n">
        <v>850.546</v>
      </c>
      <c r="J47" t="n">
        <v>867.625</v>
      </c>
      <c r="K47" t="n">
        <v>885.325</v>
      </c>
      <c r="L47" t="n">
        <v>900.346</v>
      </c>
      <c r="M47" t="n">
        <v>917.9589999999999</v>
      </c>
      <c r="N47" t="n">
        <v>935.65</v>
      </c>
      <c r="O47" t="n">
        <v>1181.852</v>
      </c>
      <c r="P47" t="n">
        <v>1097.113</v>
      </c>
      <c r="Q47" t="n">
        <v>1239.35</v>
      </c>
      <c r="R47" t="n">
        <v>1268.223</v>
      </c>
      <c r="S47" t="n">
        <v>1733.416</v>
      </c>
      <c r="T47" t="n">
        <v>1757.827</v>
      </c>
      <c r="U47" t="n">
        <v>1886.552</v>
      </c>
      <c r="V47" t="n">
        <v>2009.98</v>
      </c>
      <c r="W47" t="n">
        <v>2027.47</v>
      </c>
      <c r="X47" t="n">
        <v>1922.802</v>
      </c>
      <c r="Y47" t="n">
        <v>2319.401</v>
      </c>
      <c r="Z47" t="n">
        <v>2772.163</v>
      </c>
      <c r="AA47" t="n">
        <v>2972.16</v>
      </c>
      <c r="AB47" t="n">
        <v>3011.46</v>
      </c>
      <c r="AC47" t="n">
        <v>3109.851</v>
      </c>
      <c r="AD47" t="n">
        <v>3114.172</v>
      </c>
      <c r="AE47" t="n">
        <v>2598.501</v>
      </c>
      <c r="AF47" t="n">
        <v>3194.802</v>
      </c>
      <c r="AG47" t="n">
        <v>4153.167</v>
      </c>
      <c r="AH47" t="n">
        <v>4184.705</v>
      </c>
      <c r="AI47" t="n">
        <v>4338.029</v>
      </c>
      <c r="AJ47" t="n">
        <v>4957.746</v>
      </c>
      <c r="AK47" t="n">
        <v>6292.909</v>
      </c>
      <c r="AL47" t="n">
        <v>4893.544</v>
      </c>
      <c r="AM47" t="n">
        <v>8448.498</v>
      </c>
      <c r="AN47" t="n">
        <v>4612.009</v>
      </c>
      <c r="AO47" t="n">
        <v>4436.872</v>
      </c>
      <c r="AP47" t="n">
        <v>4998.476</v>
      </c>
      <c r="AQ47" t="n">
        <v>3631.563</v>
      </c>
      <c r="AR47" t="n">
        <v>5479.373</v>
      </c>
      <c r="AS47" t="n">
        <v>4744.76</v>
      </c>
      <c r="AT47" t="n">
        <v>6585.071</v>
      </c>
      <c r="AU47" t="n">
        <v>14539.636</v>
      </c>
      <c r="AV47" t="n">
        <v>15697.511</v>
      </c>
      <c r="AW47" t="n">
        <v>10586.026</v>
      </c>
      <c r="AX47" t="n">
        <v>18321.698</v>
      </c>
      <c r="AY47" t="n">
        <v>15013.449</v>
      </c>
      <c r="AZ47" t="n">
        <v>16741.9</v>
      </c>
      <c r="BA47" t="n">
        <v>16196.995</v>
      </c>
      <c r="BB47" t="n">
        <v>30056.622</v>
      </c>
      <c r="BC47" t="n">
        <v>21917.996</v>
      </c>
      <c r="BD47" t="n">
        <v>21707.842</v>
      </c>
      <c r="BE47" t="n">
        <v>14702.469</v>
      </c>
      <c r="BF47" t="n">
        <v>13936.093</v>
      </c>
      <c r="BG47" t="n">
        <v>12741.747</v>
      </c>
      <c r="BH47" t="n">
        <v>13316.128</v>
      </c>
      <c r="BI47" t="n">
        <v>13244.178</v>
      </c>
      <c r="BJ47" t="n">
        <v>12110.649</v>
      </c>
      <c r="BK47" t="n">
        <v>12630.704</v>
      </c>
      <c r="BL47" t="n">
        <v>10249.367</v>
      </c>
      <c r="BM47" t="n">
        <v>8479.486999999999</v>
      </c>
      <c r="BN47" t="n">
        <v>9332.227999999999</v>
      </c>
      <c r="BO47" t="n">
        <v>10533.605</v>
      </c>
      <c r="BP47" t="n">
        <v>10231.446</v>
      </c>
      <c r="BQ47" t="n">
        <v>10478.062</v>
      </c>
      <c r="BR47" t="n">
        <v>11830.578</v>
      </c>
      <c r="BS47" t="n">
        <v>10890.442</v>
      </c>
      <c r="BT47" t="n">
        <v>19758.462</v>
      </c>
      <c r="BU47" t="n">
        <v>21760.795</v>
      </c>
      <c r="BV47" t="n">
        <v>19122.409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2024.267</v>
      </c>
      <c r="F48" t="n">
        <v>2219.836</v>
      </c>
      <c r="G48" t="n">
        <v>1626.935</v>
      </c>
      <c r="H48" t="n">
        <v>2159.072</v>
      </c>
      <c r="I48" t="n">
        <v>1661.781</v>
      </c>
      <c r="J48" t="n">
        <v>1580.245</v>
      </c>
      <c r="K48" t="n">
        <v>2326.237</v>
      </c>
      <c r="L48" t="n">
        <v>2837.686</v>
      </c>
      <c r="M48" t="n">
        <v>2339.492</v>
      </c>
      <c r="N48" t="n">
        <v>1971.568</v>
      </c>
      <c r="O48" t="n">
        <v>1580.66</v>
      </c>
      <c r="P48" t="n">
        <v>1863.832</v>
      </c>
      <c r="Q48" t="n">
        <v>2028.151</v>
      </c>
      <c r="R48" t="n">
        <v>2331.433</v>
      </c>
      <c r="S48" t="n">
        <v>2811.766</v>
      </c>
      <c r="T48" t="n">
        <v>3407.036</v>
      </c>
      <c r="U48" t="n">
        <v>3967.008</v>
      </c>
      <c r="V48" t="n">
        <v>4196.731</v>
      </c>
      <c r="W48" t="n">
        <v>3890.085</v>
      </c>
      <c r="X48" t="n">
        <v>5063.351</v>
      </c>
      <c r="Y48" t="n">
        <v>6827.095</v>
      </c>
      <c r="Z48" t="n">
        <v>6480.591</v>
      </c>
      <c r="AA48" t="n">
        <v>8409.537</v>
      </c>
      <c r="AB48" t="n">
        <v>5037.924</v>
      </c>
      <c r="AC48" t="n">
        <v>4704.736</v>
      </c>
      <c r="AD48" t="n">
        <v>11113.779</v>
      </c>
      <c r="AE48" t="n">
        <v>13066.929</v>
      </c>
      <c r="AF48" t="n">
        <v>12807.39</v>
      </c>
      <c r="AG48" t="n">
        <v>8420.636</v>
      </c>
      <c r="AH48" t="n">
        <v>8327.279</v>
      </c>
      <c r="AI48" t="n">
        <v>7317.833</v>
      </c>
      <c r="AJ48" t="n">
        <v>6846.793</v>
      </c>
      <c r="AK48" t="n">
        <v>7701.927</v>
      </c>
      <c r="AL48" t="n">
        <v>8314.112999999999</v>
      </c>
      <c r="AM48" t="n">
        <v>15928.545</v>
      </c>
      <c r="AN48" t="n">
        <v>7366.344</v>
      </c>
      <c r="AO48" t="n">
        <v>4521.493</v>
      </c>
      <c r="AP48" t="n">
        <v>4148.381</v>
      </c>
      <c r="AQ48" t="n">
        <v>4199.565</v>
      </c>
      <c r="AR48" t="n">
        <v>4395.033</v>
      </c>
      <c r="AS48" t="n">
        <v>8434.326999999999</v>
      </c>
      <c r="AT48" t="n">
        <v>6569.86</v>
      </c>
      <c r="AU48" t="n">
        <v>6205.735</v>
      </c>
      <c r="AV48" t="n">
        <v>7201.437</v>
      </c>
      <c r="AW48" t="n">
        <v>3651.242</v>
      </c>
      <c r="AX48" t="n">
        <v>5733.06</v>
      </c>
      <c r="AY48" t="n">
        <v>6488.933</v>
      </c>
      <c r="AZ48" t="n">
        <v>6378.458</v>
      </c>
      <c r="BA48" t="n">
        <v>8254.73</v>
      </c>
      <c r="BB48" t="n">
        <v>17231.857</v>
      </c>
      <c r="BC48" t="n">
        <v>7472.041</v>
      </c>
      <c r="BD48" t="n">
        <v>7349.759</v>
      </c>
      <c r="BE48" t="n">
        <v>8546.525</v>
      </c>
      <c r="BF48" t="n">
        <v>9603.188</v>
      </c>
      <c r="BG48" t="n">
        <v>9595.665000000001</v>
      </c>
      <c r="BH48" t="n">
        <v>10998.136</v>
      </c>
      <c r="BI48" t="n">
        <v>10000.988</v>
      </c>
      <c r="BJ48" t="n">
        <v>13292.577</v>
      </c>
      <c r="BK48" t="n">
        <v>16320.994</v>
      </c>
      <c r="BL48" t="n">
        <v>14439.784</v>
      </c>
      <c r="BM48" t="n">
        <v>13517.456</v>
      </c>
      <c r="BN48" t="n">
        <v>11800.044</v>
      </c>
      <c r="BO48" t="n">
        <v>11030.817</v>
      </c>
      <c r="BP48" t="n">
        <v>12308.575</v>
      </c>
      <c r="BQ48" t="n">
        <v>15440.533</v>
      </c>
      <c r="BR48" t="n">
        <v>15196.101</v>
      </c>
      <c r="BS48" t="n">
        <v>16508.001</v>
      </c>
      <c r="BT48" t="n">
        <v>12298.389</v>
      </c>
      <c r="BU48" t="n">
        <v>13699.296</v>
      </c>
      <c r="BV48" t="n">
        <v>14032.604</v>
      </c>
    </row>
    <row r="49">
      <c r="A49" t="inlineStr">
        <is>
          <t>Trachurus trecae</t>
        </is>
      </c>
      <c r="B49" t="inlineStr">
        <is>
          <t>Cunene horse mackerel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1032.422</v>
      </c>
      <c r="F49" t="n">
        <v>1093.549</v>
      </c>
      <c r="G49" t="n">
        <v>1154.935</v>
      </c>
      <c r="H49" t="n">
        <v>1216.568</v>
      </c>
      <c r="I49" t="n">
        <v>1278.437</v>
      </c>
      <c r="J49" t="n">
        <v>1340.53</v>
      </c>
      <c r="K49" t="n">
        <v>1402.838</v>
      </c>
      <c r="L49" t="n">
        <v>1465.35</v>
      </c>
      <c r="M49" t="n">
        <v>1528.058</v>
      </c>
      <c r="N49" t="n">
        <v>1590.953</v>
      </c>
      <c r="O49" t="n">
        <v>1654.028</v>
      </c>
      <c r="P49" t="n">
        <v>1717.274</v>
      </c>
      <c r="Q49" t="n">
        <v>1780.686</v>
      </c>
      <c r="R49" t="n">
        <v>1844.255</v>
      </c>
      <c r="S49" t="n">
        <v>1907.975</v>
      </c>
      <c r="T49" t="n">
        <v>1971.841</v>
      </c>
      <c r="U49" t="n">
        <v>2035.847</v>
      </c>
      <c r="V49" t="n">
        <v>2099.688</v>
      </c>
      <c r="W49" t="n">
        <v>2160.599</v>
      </c>
      <c r="X49" t="n">
        <v>2229.526</v>
      </c>
      <c r="Y49" t="n">
        <v>2255.344</v>
      </c>
      <c r="Z49" t="n">
        <v>2379.39</v>
      </c>
      <c r="AA49" t="n">
        <v>6664.752</v>
      </c>
      <c r="AB49" t="n">
        <v>2778.125</v>
      </c>
      <c r="AC49" t="n">
        <v>2776.156</v>
      </c>
      <c r="AD49" t="n">
        <v>2937.742</v>
      </c>
      <c r="AE49" t="n">
        <v>3150.017</v>
      </c>
      <c r="AF49" t="n">
        <v>3403.006</v>
      </c>
      <c r="AG49" t="n">
        <v>3789.813</v>
      </c>
      <c r="AH49" t="n">
        <v>4256.124</v>
      </c>
      <c r="AI49" t="n">
        <v>3272.072</v>
      </c>
      <c r="AJ49" t="n">
        <v>2956.401</v>
      </c>
      <c r="AK49" t="n">
        <v>2998.225</v>
      </c>
      <c r="AL49" t="n">
        <v>3254.096</v>
      </c>
      <c r="AM49" t="n">
        <v>2964.64</v>
      </c>
      <c r="AN49" t="n">
        <v>3003.329</v>
      </c>
      <c r="AO49" t="n">
        <v>2831.861</v>
      </c>
      <c r="AP49" t="n">
        <v>2693.638</v>
      </c>
      <c r="AQ49" t="n">
        <v>3238.705</v>
      </c>
      <c r="AR49" t="n">
        <v>3279.952</v>
      </c>
      <c r="AS49" t="n">
        <v>6649.419</v>
      </c>
      <c r="AT49" t="n">
        <v>6423.839</v>
      </c>
      <c r="AU49" t="n">
        <v>4234.977</v>
      </c>
      <c r="AV49" t="n">
        <v>5474.003</v>
      </c>
      <c r="AW49" t="n">
        <v>4803.11</v>
      </c>
      <c r="AX49" t="n">
        <v>6287.86</v>
      </c>
      <c r="AY49" t="n">
        <v>11765.361</v>
      </c>
      <c r="AZ49" t="n">
        <v>10944.165</v>
      </c>
      <c r="BA49" t="n">
        <v>41519.489</v>
      </c>
      <c r="BB49" t="n">
        <v>40302.575</v>
      </c>
      <c r="BC49" t="n">
        <v>30341.962</v>
      </c>
      <c r="BD49" t="n">
        <v>24370.86</v>
      </c>
      <c r="BE49" t="n">
        <v>17370.854</v>
      </c>
      <c r="BF49" t="n">
        <v>10215.205</v>
      </c>
      <c r="BG49" t="n">
        <v>7601.376</v>
      </c>
      <c r="BH49" t="n">
        <v>9445.584000000001</v>
      </c>
      <c r="BI49" t="n">
        <v>8689.481</v>
      </c>
      <c r="BJ49" t="n">
        <v>9549.598</v>
      </c>
      <c r="BK49" t="n">
        <v>15622.423</v>
      </c>
      <c r="BL49" t="n">
        <v>7037.273</v>
      </c>
      <c r="BM49" t="n">
        <v>13451.997</v>
      </c>
      <c r="BN49" t="n">
        <v>12593.696</v>
      </c>
      <c r="BO49" t="n">
        <v>16544.308</v>
      </c>
      <c r="BP49" t="n">
        <v>13987.429</v>
      </c>
      <c r="BQ49" t="n">
        <v>13176.757</v>
      </c>
      <c r="BR49" t="n">
        <v>13497.402</v>
      </c>
      <c r="BS49" t="n">
        <v>11718.746</v>
      </c>
      <c r="BT49" t="n">
        <v>13895.574</v>
      </c>
      <c r="BU49" t="n">
        <v>15633.33</v>
      </c>
      <c r="BV49" t="n">
        <v>14707.974</v>
      </c>
    </row>
    <row r="50">
      <c r="A50" t="inlineStr">
        <is>
          <t>Penaeidae</t>
        </is>
      </c>
      <c r="B50" t="inlineStr">
        <is>
          <t>Commercial shrimps and prawns</t>
        </is>
      </c>
      <c r="C50" t="inlineStr">
        <is>
          <t>Shrimps</t>
        </is>
      </c>
      <c r="D50" t="inlineStr">
        <is>
          <t>Crustaceans</t>
        </is>
      </c>
      <c r="E50" t="n">
        <v>691.135</v>
      </c>
      <c r="F50" t="n">
        <v>696.6660000000001</v>
      </c>
      <c r="G50" t="n">
        <v>758.111</v>
      </c>
      <c r="H50" t="n">
        <v>819.146</v>
      </c>
      <c r="I50" t="n">
        <v>851.174</v>
      </c>
      <c r="J50" t="n">
        <v>911.739</v>
      </c>
      <c r="K50" t="n">
        <v>1029.787</v>
      </c>
      <c r="L50" t="n">
        <v>1034.536</v>
      </c>
      <c r="M50" t="n">
        <v>1066.536</v>
      </c>
      <c r="N50" t="n">
        <v>1090.646</v>
      </c>
      <c r="O50" t="n">
        <v>1028.836</v>
      </c>
      <c r="P50" t="n">
        <v>1098.989</v>
      </c>
      <c r="Q50" t="n">
        <v>1179.032</v>
      </c>
      <c r="R50" t="n">
        <v>1165.505</v>
      </c>
      <c r="S50" t="n">
        <v>1131.257</v>
      </c>
      <c r="T50" t="n">
        <v>1125.17</v>
      </c>
      <c r="U50" t="n">
        <v>1228.392</v>
      </c>
      <c r="V50" t="n">
        <v>1116.022</v>
      </c>
      <c r="W50" t="n">
        <v>1368.729</v>
      </c>
      <c r="X50" t="n">
        <v>1642.245</v>
      </c>
      <c r="Y50" t="n">
        <v>1899.441</v>
      </c>
      <c r="Z50" t="n">
        <v>2457.335</v>
      </c>
      <c r="AA50" t="n">
        <v>2867.584</v>
      </c>
      <c r="AB50" t="n">
        <v>3221.504</v>
      </c>
      <c r="AC50" t="n">
        <v>3221.283</v>
      </c>
      <c r="AD50" t="n">
        <v>3088.177</v>
      </c>
      <c r="AE50" t="n">
        <v>3842.662</v>
      </c>
      <c r="AF50" t="n">
        <v>3988.845</v>
      </c>
      <c r="AG50" t="n">
        <v>4182.406</v>
      </c>
      <c r="AH50" t="n">
        <v>3719.996</v>
      </c>
      <c r="AI50" t="n">
        <v>3319.199</v>
      </c>
      <c r="AJ50" t="n">
        <v>3621.302</v>
      </c>
      <c r="AK50" t="n">
        <v>4165.674</v>
      </c>
      <c r="AL50" t="n">
        <v>4520.282</v>
      </c>
      <c r="AM50" t="n">
        <v>4676.322</v>
      </c>
      <c r="AN50" t="n">
        <v>5146.895</v>
      </c>
      <c r="AO50" t="n">
        <v>4914.824</v>
      </c>
      <c r="AP50" t="n">
        <v>5441.245</v>
      </c>
      <c r="AQ50" t="n">
        <v>6282.568</v>
      </c>
      <c r="AR50" t="n">
        <v>6674.258</v>
      </c>
      <c r="AS50" t="n">
        <v>6672.935</v>
      </c>
      <c r="AT50" t="n">
        <v>8035.354</v>
      </c>
      <c r="AU50" t="n">
        <v>7446.586</v>
      </c>
      <c r="AV50" t="n">
        <v>10343.61</v>
      </c>
      <c r="AW50" t="n">
        <v>8986.713</v>
      </c>
      <c r="AX50" t="n">
        <v>9725.52</v>
      </c>
      <c r="AY50" t="n">
        <v>9566.438</v>
      </c>
      <c r="AZ50" t="n">
        <v>10098.58</v>
      </c>
      <c r="BA50" t="n">
        <v>9278.848</v>
      </c>
      <c r="BB50" t="n">
        <v>10005.437</v>
      </c>
      <c r="BC50" t="n">
        <v>14647.425</v>
      </c>
      <c r="BD50" t="n">
        <v>14269.253</v>
      </c>
      <c r="BE50" t="n">
        <v>13291.066</v>
      </c>
      <c r="BF50" t="n">
        <v>13829.718</v>
      </c>
      <c r="BG50" t="n">
        <v>13335.612</v>
      </c>
      <c r="BH50" t="n">
        <v>13003.795</v>
      </c>
      <c r="BI50" t="n">
        <v>12027.305</v>
      </c>
      <c r="BJ50" t="n">
        <v>12319.648</v>
      </c>
      <c r="BK50" t="n">
        <v>11325.486</v>
      </c>
      <c r="BL50" t="n">
        <v>9958.799000000001</v>
      </c>
      <c r="BM50" t="n">
        <v>9686.374</v>
      </c>
      <c r="BN50" t="n">
        <v>16219.33</v>
      </c>
      <c r="BO50" t="n">
        <v>13508.064</v>
      </c>
      <c r="BP50" t="n">
        <v>11367.875</v>
      </c>
      <c r="BQ50" t="n">
        <v>18717.876</v>
      </c>
      <c r="BR50" t="n">
        <v>21663.287</v>
      </c>
      <c r="BS50" t="n">
        <v>20451.06</v>
      </c>
      <c r="BT50" t="n">
        <v>23439.049</v>
      </c>
      <c r="BU50" t="n">
        <v>26766.139</v>
      </c>
      <c r="BV50" t="n">
        <v>28806.972</v>
      </c>
    </row>
    <row r="51">
      <c r="A51" t="inlineStr">
        <is>
          <t>Pomadasys</t>
        </is>
      </c>
      <c r="B51" t="inlineStr">
        <is>
          <t>Grunters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3186.592</v>
      </c>
      <c r="F51" t="n">
        <v>3397.93</v>
      </c>
      <c r="G51" t="n">
        <v>2904.138</v>
      </c>
      <c r="H51" t="n">
        <v>3369.788</v>
      </c>
      <c r="I51" t="n">
        <v>2958.547</v>
      </c>
      <c r="J51" t="n">
        <v>2920.045</v>
      </c>
      <c r="K51" t="n">
        <v>3569.696</v>
      </c>
      <c r="L51" t="n">
        <v>4040.531</v>
      </c>
      <c r="M51" t="n">
        <v>3629.591</v>
      </c>
      <c r="N51" t="n">
        <v>3329.011</v>
      </c>
      <c r="O51" t="n">
        <v>2976.177</v>
      </c>
      <c r="P51" t="n">
        <v>3331.795</v>
      </c>
      <c r="Q51" t="n">
        <v>3466.496</v>
      </c>
      <c r="R51" t="n">
        <v>3768.611</v>
      </c>
      <c r="S51" t="n">
        <v>4194.763</v>
      </c>
      <c r="T51" t="n">
        <v>4735.619</v>
      </c>
      <c r="U51" t="n">
        <v>4973.111</v>
      </c>
      <c r="V51" t="n">
        <v>5121.086</v>
      </c>
      <c r="W51" t="n">
        <v>4851</v>
      </c>
      <c r="X51" t="n">
        <v>5636.051</v>
      </c>
      <c r="Y51" t="n">
        <v>6148.949</v>
      </c>
      <c r="Z51" t="n">
        <v>6538.405</v>
      </c>
      <c r="AA51" t="n">
        <v>7562.425</v>
      </c>
      <c r="AB51" t="n">
        <v>6471.687</v>
      </c>
      <c r="AC51" t="n">
        <v>6807.414</v>
      </c>
      <c r="AD51" t="n">
        <v>10688.238</v>
      </c>
      <c r="AE51" t="n">
        <v>17059.702</v>
      </c>
      <c r="AF51" t="n">
        <v>7790.077</v>
      </c>
      <c r="AG51" t="n">
        <v>7005.946</v>
      </c>
      <c r="AH51" t="n">
        <v>6746.199</v>
      </c>
      <c r="AI51" t="n">
        <v>6350.75</v>
      </c>
      <c r="AJ51" t="n">
        <v>5231.733</v>
      </c>
      <c r="AK51" t="n">
        <v>3805.003</v>
      </c>
      <c r="AL51" t="n">
        <v>4230.05</v>
      </c>
      <c r="AM51" t="n">
        <v>7719.528</v>
      </c>
      <c r="AN51" t="n">
        <v>9793.843999999999</v>
      </c>
      <c r="AO51" t="n">
        <v>7952.549</v>
      </c>
      <c r="AP51" t="n">
        <v>3832.925</v>
      </c>
      <c r="AQ51" t="n">
        <v>5168.406</v>
      </c>
      <c r="AR51" t="n">
        <v>5169.115</v>
      </c>
      <c r="AS51" t="n">
        <v>3518.26</v>
      </c>
      <c r="AT51" t="n">
        <v>3182.635</v>
      </c>
      <c r="AU51" t="n">
        <v>4463.413</v>
      </c>
      <c r="AV51" t="n">
        <v>4282.026</v>
      </c>
      <c r="AW51" t="n">
        <v>5988.582</v>
      </c>
      <c r="AX51" t="n">
        <v>5698.136</v>
      </c>
      <c r="AY51" t="n">
        <v>5156.187</v>
      </c>
      <c r="AZ51" t="n">
        <v>6511.585</v>
      </c>
      <c r="BA51" t="n">
        <v>5920.397</v>
      </c>
      <c r="BB51" t="n">
        <v>8914.191000000001</v>
      </c>
      <c r="BC51" t="n">
        <v>4957.965</v>
      </c>
      <c r="BD51" t="n">
        <v>6989.807</v>
      </c>
      <c r="BE51" t="n">
        <v>7247.141</v>
      </c>
      <c r="BF51" t="n">
        <v>7328.463</v>
      </c>
      <c r="BG51" t="n">
        <v>10379.416</v>
      </c>
      <c r="BH51" t="n">
        <v>8061.427</v>
      </c>
      <c r="BI51" t="n">
        <v>8623.837</v>
      </c>
      <c r="BJ51" t="n">
        <v>11137.597</v>
      </c>
      <c r="BK51" t="n">
        <v>11261.394</v>
      </c>
      <c r="BL51" t="n">
        <v>22097.368</v>
      </c>
      <c r="BM51" t="n">
        <v>7564.642</v>
      </c>
      <c r="BN51" t="n">
        <v>11601.76</v>
      </c>
      <c r="BO51" t="n">
        <v>10215.648</v>
      </c>
      <c r="BP51" t="n">
        <v>12999.683</v>
      </c>
      <c r="BQ51" t="n">
        <v>13959.336</v>
      </c>
      <c r="BR51" t="n">
        <v>12274.719</v>
      </c>
      <c r="BS51" t="n">
        <v>14146.306</v>
      </c>
      <c r="BT51" t="n">
        <v>8627.767</v>
      </c>
      <c r="BU51" t="n">
        <v>8667.687</v>
      </c>
      <c r="BV51" t="n">
        <v>8719.418</v>
      </c>
    </row>
    <row r="52">
      <c r="A52" t="inlineStr">
        <is>
          <t>Sphyraenidae</t>
        </is>
      </c>
      <c r="B52" t="inlineStr">
        <is>
          <t>Barracudas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1083.784</v>
      </c>
      <c r="F52" t="n">
        <v>1148.029</v>
      </c>
      <c r="G52" t="n">
        <v>1064.966</v>
      </c>
      <c r="H52" t="n">
        <v>1196.694</v>
      </c>
      <c r="I52" t="n">
        <v>915.046</v>
      </c>
      <c r="J52" t="n">
        <v>916.538</v>
      </c>
      <c r="K52" t="n">
        <v>1076.851</v>
      </c>
      <c r="L52" t="n">
        <v>1228.649</v>
      </c>
      <c r="M52" t="n">
        <v>1149.295</v>
      </c>
      <c r="N52" t="n">
        <v>1085.408</v>
      </c>
      <c r="O52" t="n">
        <v>602.8339999999999</v>
      </c>
      <c r="P52" t="n">
        <v>805.407</v>
      </c>
      <c r="Q52" t="n">
        <v>587.448</v>
      </c>
      <c r="R52" t="n">
        <v>607.504</v>
      </c>
      <c r="S52" t="n">
        <v>518.582</v>
      </c>
      <c r="T52" t="n">
        <v>625.225</v>
      </c>
      <c r="U52" t="n">
        <v>640.987</v>
      </c>
      <c r="V52" t="n">
        <v>670.069</v>
      </c>
      <c r="W52" t="n">
        <v>2531.457</v>
      </c>
      <c r="X52" t="n">
        <v>1912.23</v>
      </c>
      <c r="Y52" t="n">
        <v>2851.208</v>
      </c>
      <c r="Z52" t="n">
        <v>2621.391</v>
      </c>
      <c r="AA52" t="n">
        <v>3766.219</v>
      </c>
      <c r="AB52" t="n">
        <v>3794.848</v>
      </c>
      <c r="AC52" t="n">
        <v>4070.297</v>
      </c>
      <c r="AD52" t="n">
        <v>3543.661</v>
      </c>
      <c r="AE52" t="n">
        <v>2331.941</v>
      </c>
      <c r="AF52" t="n">
        <v>5374.298</v>
      </c>
      <c r="AG52" t="n">
        <v>4698.149</v>
      </c>
      <c r="AH52" t="n">
        <v>3515.787</v>
      </c>
      <c r="AI52" t="n">
        <v>2818.893</v>
      </c>
      <c r="AJ52" t="n">
        <v>4532.728</v>
      </c>
      <c r="AK52" t="n">
        <v>3940.98</v>
      </c>
      <c r="AL52" t="n">
        <v>4657.013</v>
      </c>
      <c r="AM52" t="n">
        <v>4269.991</v>
      </c>
      <c r="AN52" t="n">
        <v>4466.46</v>
      </c>
      <c r="AO52" t="n">
        <v>6211.931</v>
      </c>
      <c r="AP52" t="n">
        <v>9375.699000000001</v>
      </c>
      <c r="AQ52" t="n">
        <v>9025.92</v>
      </c>
      <c r="AR52" t="n">
        <v>7389.432</v>
      </c>
      <c r="AS52" t="n">
        <v>8326.558000000001</v>
      </c>
      <c r="AT52" t="n">
        <v>10001.208</v>
      </c>
      <c r="AU52" t="n">
        <v>9042.233</v>
      </c>
      <c r="AV52" t="n">
        <v>11680.732</v>
      </c>
      <c r="AW52" t="n">
        <v>10347.133</v>
      </c>
      <c r="AX52" t="n">
        <v>8885.088</v>
      </c>
      <c r="AY52" t="n">
        <v>9200.299000000001</v>
      </c>
      <c r="AZ52" t="n">
        <v>8597.174000000001</v>
      </c>
      <c r="BA52" t="n">
        <v>7056.717</v>
      </c>
      <c r="BB52" t="n">
        <v>10530.251</v>
      </c>
      <c r="BC52" t="n">
        <v>5762.983</v>
      </c>
      <c r="BD52" t="n">
        <v>8229.471</v>
      </c>
      <c r="BE52" t="n">
        <v>8447.476000000001</v>
      </c>
      <c r="BF52" t="n">
        <v>6483.13</v>
      </c>
      <c r="BG52" t="n">
        <v>14010.46</v>
      </c>
      <c r="BH52" t="n">
        <v>13727.684</v>
      </c>
      <c r="BI52" t="n">
        <v>14292.122</v>
      </c>
      <c r="BJ52" t="n">
        <v>10899.087</v>
      </c>
      <c r="BK52" t="n">
        <v>11886.279</v>
      </c>
      <c r="BL52" t="n">
        <v>11251.735</v>
      </c>
      <c r="BM52" t="n">
        <v>19194.563</v>
      </c>
      <c r="BN52" t="n">
        <v>14987.744</v>
      </c>
      <c r="BO52" t="n">
        <v>14799.114</v>
      </c>
      <c r="BP52" t="n">
        <v>14895.003</v>
      </c>
      <c r="BQ52" t="n">
        <v>12888.772</v>
      </c>
      <c r="BR52" t="n">
        <v>15475.965</v>
      </c>
      <c r="BS52" t="n">
        <v>17197.933</v>
      </c>
      <c r="BT52" t="n">
        <v>17320.024</v>
      </c>
      <c r="BU52" t="n">
        <v>13431.555</v>
      </c>
      <c r="BV52" t="n">
        <v>11741.135</v>
      </c>
    </row>
    <row r="53">
      <c r="A53" t="inlineStr">
        <is>
          <t>Sarda sarda</t>
        </is>
      </c>
      <c r="B53" t="inlineStr">
        <is>
          <t>Atlantic bonito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122.887</v>
      </c>
      <c r="F53" t="n">
        <v>119.401</v>
      </c>
      <c r="G53" t="n">
        <v>119.371</v>
      </c>
      <c r="H53" t="n">
        <v>127.455</v>
      </c>
      <c r="I53" t="n">
        <v>135.523</v>
      </c>
      <c r="J53" t="n">
        <v>143.605</v>
      </c>
      <c r="K53" t="n">
        <v>152.114</v>
      </c>
      <c r="L53" t="n">
        <v>215.532</v>
      </c>
      <c r="M53" t="n">
        <v>233.279</v>
      </c>
      <c r="N53" t="n">
        <v>1259.36</v>
      </c>
      <c r="O53" t="n">
        <v>466.859</v>
      </c>
      <c r="P53" t="n">
        <v>430.502</v>
      </c>
      <c r="Q53" t="n">
        <v>640.09</v>
      </c>
      <c r="R53" t="n">
        <v>538.7190000000001</v>
      </c>
      <c r="S53" t="n">
        <v>2646.036</v>
      </c>
      <c r="T53" t="n">
        <v>428.634</v>
      </c>
      <c r="U53" t="n">
        <v>507.626</v>
      </c>
      <c r="V53" t="n">
        <v>532.326</v>
      </c>
      <c r="W53" t="n">
        <v>387.096</v>
      </c>
      <c r="X53" t="n">
        <v>514.643</v>
      </c>
      <c r="Y53" t="n">
        <v>555.571</v>
      </c>
      <c r="Z53" t="n">
        <v>1297.028</v>
      </c>
      <c r="AA53" t="n">
        <v>677.903</v>
      </c>
      <c r="AB53" t="n">
        <v>2077.057</v>
      </c>
      <c r="AC53" t="n">
        <v>2780.886</v>
      </c>
      <c r="AD53" t="n">
        <v>2552.555</v>
      </c>
      <c r="AE53" t="n">
        <v>3260.516</v>
      </c>
      <c r="AF53" t="n">
        <v>3983.229</v>
      </c>
      <c r="AG53" t="n">
        <v>3479.378</v>
      </c>
      <c r="AH53" t="n">
        <v>1095.077</v>
      </c>
      <c r="AI53" t="n">
        <v>5311.823</v>
      </c>
      <c r="AJ53" t="n">
        <v>7362.437</v>
      </c>
      <c r="AK53" t="n">
        <v>8467.453</v>
      </c>
      <c r="AL53" t="n">
        <v>5381.177</v>
      </c>
      <c r="AM53" t="n">
        <v>3835.555</v>
      </c>
      <c r="AN53" t="n">
        <v>6117.545</v>
      </c>
      <c r="AO53" t="n">
        <v>5028.911</v>
      </c>
      <c r="AP53" t="n">
        <v>7129.873</v>
      </c>
      <c r="AQ53" t="n">
        <v>7312.947</v>
      </c>
      <c r="AR53" t="n">
        <v>5860.126</v>
      </c>
      <c r="AS53" t="n">
        <v>5021.657</v>
      </c>
      <c r="AT53" t="n">
        <v>7116.877</v>
      </c>
      <c r="AU53" t="n">
        <v>5830.415</v>
      </c>
      <c r="AV53" t="n">
        <v>5721.305</v>
      </c>
      <c r="AW53" t="n">
        <v>4672.751</v>
      </c>
      <c r="AX53" t="n">
        <v>5420.534</v>
      </c>
      <c r="AY53" t="n">
        <v>7519.473</v>
      </c>
      <c r="AZ53" t="n">
        <v>6805.155</v>
      </c>
      <c r="BA53" t="n">
        <v>7573.851</v>
      </c>
      <c r="BB53" t="n">
        <v>8147.765</v>
      </c>
      <c r="BC53" t="n">
        <v>9123.259</v>
      </c>
      <c r="BD53" t="n">
        <v>9395.811</v>
      </c>
      <c r="BE53" t="n">
        <v>10158.853</v>
      </c>
      <c r="BF53" t="n">
        <v>10227.57</v>
      </c>
      <c r="BG53" t="n">
        <v>11779.596</v>
      </c>
      <c r="BH53" t="n">
        <v>11126.793</v>
      </c>
      <c r="BI53" t="n">
        <v>11912.234</v>
      </c>
      <c r="BJ53" t="n">
        <v>9992.4</v>
      </c>
      <c r="BK53" t="n">
        <v>12794.818</v>
      </c>
      <c r="BL53" t="n">
        <v>17260.106</v>
      </c>
      <c r="BM53" t="n">
        <v>22411.613</v>
      </c>
      <c r="BN53" t="n">
        <v>21569.499</v>
      </c>
      <c r="BO53" t="n">
        <v>17817.256</v>
      </c>
      <c r="BP53" t="n">
        <v>14849.938</v>
      </c>
      <c r="BQ53" t="n">
        <v>14424.056</v>
      </c>
      <c r="BR53" t="n">
        <v>14061.344</v>
      </c>
      <c r="BS53" t="n">
        <v>14635.142</v>
      </c>
      <c r="BT53" t="n">
        <v>21656.292</v>
      </c>
      <c r="BU53" t="n">
        <v>16273.557</v>
      </c>
      <c r="BV53" t="n">
        <v>18025.663</v>
      </c>
    </row>
    <row r="54">
      <c r="A54" t="inlineStr">
        <is>
          <t>Dasyatidae</t>
        </is>
      </c>
      <c r="B54" t="inlineStr">
        <is>
          <t>Whiptail stingrays</t>
        </is>
      </c>
      <c r="C54" t="inlineStr">
        <is>
          <t>Large rays (&gt;=90 cm)</t>
        </is>
      </c>
      <c r="D54" t="inlineStr">
        <is>
          <t>Sharks &amp; rays</t>
        </is>
      </c>
      <c r="E54" t="n">
        <v>612.46</v>
      </c>
      <c r="F54" t="n">
        <v>633.763</v>
      </c>
      <c r="G54" t="n">
        <v>655.069</v>
      </c>
      <c r="H54" t="n">
        <v>673.631</v>
      </c>
      <c r="I54" t="n">
        <v>735.55</v>
      </c>
      <c r="J54" t="n">
        <v>843.525</v>
      </c>
      <c r="K54" t="n">
        <v>854.001</v>
      </c>
      <c r="L54" t="n">
        <v>891.654</v>
      </c>
      <c r="M54" t="n">
        <v>1036.242</v>
      </c>
      <c r="N54" t="n">
        <v>853.373</v>
      </c>
      <c r="O54" t="n">
        <v>897.909</v>
      </c>
      <c r="P54" t="n">
        <v>1052.773</v>
      </c>
      <c r="Q54" t="n">
        <v>1094.164</v>
      </c>
      <c r="R54" t="n">
        <v>1176.181</v>
      </c>
      <c r="S54" t="n">
        <v>1188.327</v>
      </c>
      <c r="T54" t="n">
        <v>1116.831</v>
      </c>
      <c r="U54" t="n">
        <v>1081.313</v>
      </c>
      <c r="V54" t="n">
        <v>1111.854</v>
      </c>
      <c r="W54" t="n">
        <v>1056.107</v>
      </c>
      <c r="X54" t="n">
        <v>1289.547</v>
      </c>
      <c r="Y54" t="n">
        <v>6426.696</v>
      </c>
      <c r="Z54" t="n">
        <v>7943.714</v>
      </c>
      <c r="AA54" t="n">
        <v>7808.131</v>
      </c>
      <c r="AB54" t="n">
        <v>8060.432</v>
      </c>
      <c r="AC54" t="n">
        <v>8346.834000000001</v>
      </c>
      <c r="AD54" t="n">
        <v>9196.953</v>
      </c>
      <c r="AE54" t="n">
        <v>5599.728</v>
      </c>
      <c r="AF54" t="n">
        <v>5905.201</v>
      </c>
      <c r="AG54" t="n">
        <v>6332.065</v>
      </c>
      <c r="AH54" t="n">
        <v>5938.929</v>
      </c>
      <c r="AI54" t="n">
        <v>3381.875</v>
      </c>
      <c r="AJ54" t="n">
        <v>3763.892</v>
      </c>
      <c r="AK54" t="n">
        <v>3647.223</v>
      </c>
      <c r="AL54" t="n">
        <v>1419.409</v>
      </c>
      <c r="AM54" t="n">
        <v>1287.996</v>
      </c>
      <c r="AN54" t="n">
        <v>2343.506</v>
      </c>
      <c r="AO54" t="n">
        <v>1286.757</v>
      </c>
      <c r="AP54" t="n">
        <v>1770.551</v>
      </c>
      <c r="AQ54" t="n">
        <v>2075.404</v>
      </c>
      <c r="AR54" t="n">
        <v>7339.365</v>
      </c>
      <c r="AS54" t="n">
        <v>8654.916999999999</v>
      </c>
      <c r="AT54" t="n">
        <v>6727.856</v>
      </c>
      <c r="AU54" t="n">
        <v>5631.539</v>
      </c>
      <c r="AV54" t="n">
        <v>4594.879</v>
      </c>
      <c r="AW54" t="n">
        <v>6330.477</v>
      </c>
      <c r="AX54" t="n">
        <v>6760.366</v>
      </c>
      <c r="AY54" t="n">
        <v>7592.91</v>
      </c>
      <c r="AZ54" t="n">
        <v>8333.773999999999</v>
      </c>
      <c r="BA54" t="n">
        <v>11299.167</v>
      </c>
      <c r="BB54" t="n">
        <v>11710.934</v>
      </c>
      <c r="BC54" t="n">
        <v>10252.327</v>
      </c>
      <c r="BD54" t="n">
        <v>11530.561</v>
      </c>
      <c r="BE54" t="n">
        <v>10188.021</v>
      </c>
      <c r="BF54" t="n">
        <v>10596.811</v>
      </c>
      <c r="BG54" t="n">
        <v>11739.38</v>
      </c>
      <c r="BH54" t="n">
        <v>9446.621999999999</v>
      </c>
      <c r="BI54" t="n">
        <v>12067.473</v>
      </c>
      <c r="BJ54" t="n">
        <v>11815.028</v>
      </c>
      <c r="BK54" t="n">
        <v>11364.787</v>
      </c>
      <c r="BL54" t="n">
        <v>11271.318</v>
      </c>
      <c r="BM54" t="n">
        <v>13519.05</v>
      </c>
      <c r="BN54" t="n">
        <v>12248.041</v>
      </c>
      <c r="BO54" t="n">
        <v>12639.049</v>
      </c>
      <c r="BP54" t="n">
        <v>11582.322</v>
      </c>
      <c r="BQ54" t="n">
        <v>11774.484</v>
      </c>
      <c r="BR54" t="n">
        <v>13037.73</v>
      </c>
      <c r="BS54" t="n">
        <v>12574.22</v>
      </c>
      <c r="BT54" t="n">
        <v>14014.45</v>
      </c>
      <c r="BU54" t="n">
        <v>14145.202</v>
      </c>
      <c r="BV54" t="n">
        <v>13790.468</v>
      </c>
    </row>
    <row r="55">
      <c r="A55" t="inlineStr">
        <is>
          <t>Pteroscion peli</t>
        </is>
      </c>
      <c r="B55" t="inlineStr">
        <is>
          <t>Boe drum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102.08</v>
      </c>
      <c r="F55" t="n">
        <v>131.99</v>
      </c>
      <c r="G55" t="n">
        <v>218.894</v>
      </c>
      <c r="H55" t="n">
        <v>334.997</v>
      </c>
      <c r="I55" t="n">
        <v>491.649</v>
      </c>
      <c r="J55" t="n">
        <v>571.495</v>
      </c>
      <c r="K55" t="n">
        <v>572.8150000000001</v>
      </c>
      <c r="L55" t="n">
        <v>571.449</v>
      </c>
      <c r="M55" t="n">
        <v>649.215</v>
      </c>
      <c r="N55" t="n">
        <v>881.6</v>
      </c>
      <c r="O55" t="n">
        <v>905.579</v>
      </c>
      <c r="P55" t="n">
        <v>1230.604</v>
      </c>
      <c r="Q55" t="n">
        <v>1282.564</v>
      </c>
      <c r="R55" t="n">
        <v>1277.619</v>
      </c>
      <c r="S55" t="n">
        <v>1329.332</v>
      </c>
      <c r="T55" t="n">
        <v>1423.381</v>
      </c>
      <c r="U55" t="n">
        <v>1772.897</v>
      </c>
      <c r="V55" t="n">
        <v>1589.313</v>
      </c>
      <c r="W55" t="n">
        <v>1387.513</v>
      </c>
      <c r="X55" t="n">
        <v>1504.582</v>
      </c>
      <c r="Y55" t="n">
        <v>993.95</v>
      </c>
      <c r="Z55" t="n">
        <v>626.248</v>
      </c>
      <c r="AA55" t="n">
        <v>1099.069</v>
      </c>
      <c r="AB55" t="n">
        <v>1222.819</v>
      </c>
      <c r="AC55" t="n">
        <v>939.188</v>
      </c>
      <c r="AD55" t="n">
        <v>812.446</v>
      </c>
      <c r="AE55" t="n">
        <v>791.574</v>
      </c>
      <c r="AF55" t="n">
        <v>1021.879</v>
      </c>
      <c r="AG55" t="n">
        <v>1662.835</v>
      </c>
      <c r="AH55" t="n">
        <v>1131.444</v>
      </c>
      <c r="AI55" t="n">
        <v>1070.316</v>
      </c>
      <c r="AJ55" t="n">
        <v>937.626</v>
      </c>
      <c r="AK55" t="n">
        <v>881.818</v>
      </c>
      <c r="AL55" t="n">
        <v>1032.045</v>
      </c>
      <c r="AM55" t="n">
        <v>1177.29</v>
      </c>
      <c r="AN55" t="n">
        <v>1122.531</v>
      </c>
      <c r="AO55" t="n">
        <v>1649.796</v>
      </c>
      <c r="AP55" t="n">
        <v>1394.969</v>
      </c>
      <c r="AQ55" t="n">
        <v>1510.064</v>
      </c>
      <c r="AR55" t="n">
        <v>1816.52</v>
      </c>
      <c r="AS55" t="n">
        <v>1911.91</v>
      </c>
      <c r="AT55" t="n">
        <v>2653.745</v>
      </c>
      <c r="AU55" t="n">
        <v>3741.569</v>
      </c>
      <c r="AV55" t="n">
        <v>4665.693</v>
      </c>
      <c r="AW55" t="n">
        <v>5004.079</v>
      </c>
      <c r="AX55" t="n">
        <v>6144.275</v>
      </c>
      <c r="AY55" t="n">
        <v>7209.336</v>
      </c>
      <c r="AZ55" t="n">
        <v>7654.815</v>
      </c>
      <c r="BA55" t="n">
        <v>8324.682000000001</v>
      </c>
      <c r="BB55" t="n">
        <v>9050.656000000001</v>
      </c>
      <c r="BC55" t="n">
        <v>9775.192999999999</v>
      </c>
      <c r="BD55" t="n">
        <v>10521.241</v>
      </c>
      <c r="BE55" t="n">
        <v>11186.488</v>
      </c>
      <c r="BF55" t="n">
        <v>11644.121</v>
      </c>
      <c r="BG55" t="n">
        <v>13312.302</v>
      </c>
      <c r="BH55" t="n">
        <v>13822.457</v>
      </c>
      <c r="BI55" t="n">
        <v>14326.892</v>
      </c>
      <c r="BJ55" t="n">
        <v>15046.016</v>
      </c>
      <c r="BK55" t="n">
        <v>15232.137</v>
      </c>
      <c r="BL55" t="n">
        <v>16138.304</v>
      </c>
      <c r="BM55" t="n">
        <v>16093.13</v>
      </c>
      <c r="BN55" t="n">
        <v>16895.612</v>
      </c>
      <c r="BO55" t="n">
        <v>17959.724</v>
      </c>
      <c r="BP55" t="n">
        <v>18475.468</v>
      </c>
      <c r="BQ55" t="n">
        <v>18991.329</v>
      </c>
      <c r="BR55" t="n">
        <v>19496.419</v>
      </c>
      <c r="BS55" t="n">
        <v>21227.481</v>
      </c>
      <c r="BT55" t="n">
        <v>21457.007</v>
      </c>
      <c r="BU55" t="n">
        <v>21368.869</v>
      </c>
      <c r="BV55" t="n">
        <v>21956.155</v>
      </c>
    </row>
    <row r="56">
      <c r="A56" t="inlineStr">
        <is>
          <t>Sarotherodon galilaeus</t>
        </is>
      </c>
      <c r="B56" t="inlineStr">
        <is>
          <t>Mango tilapia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3015.414</v>
      </c>
      <c r="F56" t="n">
        <v>3143.572</v>
      </c>
      <c r="G56" t="n">
        <v>3271.73</v>
      </c>
      <c r="H56" t="n">
        <v>3399.888</v>
      </c>
      <c r="I56" t="n">
        <v>3528.046</v>
      </c>
      <c r="J56" t="n">
        <v>3656.204</v>
      </c>
      <c r="K56" t="n">
        <v>3784.362</v>
      </c>
      <c r="L56" t="n">
        <v>3912.521</v>
      </c>
      <c r="M56" t="n">
        <v>4040.679</v>
      </c>
      <c r="N56" t="n">
        <v>4168.837</v>
      </c>
      <c r="O56" t="n">
        <v>4296.995</v>
      </c>
      <c r="P56" t="n">
        <v>4425.153</v>
      </c>
      <c r="Q56" t="n">
        <v>4553.311</v>
      </c>
      <c r="R56" t="n">
        <v>4681.469</v>
      </c>
      <c r="S56" t="n">
        <v>4809.628</v>
      </c>
      <c r="T56" t="n">
        <v>4937.786</v>
      </c>
      <c r="U56" t="n">
        <v>5065.944</v>
      </c>
      <c r="V56" t="n">
        <v>5194.102</v>
      </c>
      <c r="W56" t="n">
        <v>5322.26</v>
      </c>
      <c r="X56" t="n">
        <v>5450.418</v>
      </c>
      <c r="Y56" t="n">
        <v>5578.576</v>
      </c>
      <c r="Z56" t="n">
        <v>5706.735</v>
      </c>
      <c r="AA56" t="n">
        <v>5834.893</v>
      </c>
      <c r="AB56" t="n">
        <v>5963.051</v>
      </c>
      <c r="AC56" t="n">
        <v>6091.209</v>
      </c>
      <c r="AD56" t="n">
        <v>6219.367</v>
      </c>
      <c r="AE56" t="n">
        <v>6347.525</v>
      </c>
      <c r="AF56" t="n">
        <v>6475.683</v>
      </c>
      <c r="AG56" t="n">
        <v>6603.841</v>
      </c>
      <c r="AH56" t="n">
        <v>6732</v>
      </c>
      <c r="AI56" t="n">
        <v>6860.158</v>
      </c>
      <c r="AJ56" t="n">
        <v>6988.316</v>
      </c>
      <c r="AK56" t="n">
        <v>7116.474</v>
      </c>
      <c r="AL56" t="n">
        <v>7244.632</v>
      </c>
      <c r="AM56" t="n">
        <v>7372.79</v>
      </c>
      <c r="AN56" t="n">
        <v>7500.948</v>
      </c>
      <c r="AO56" t="n">
        <v>7629.107</v>
      </c>
      <c r="AP56" t="n">
        <v>7757.265</v>
      </c>
      <c r="AQ56" t="n">
        <v>7885.423</v>
      </c>
      <c r="AR56" t="n">
        <v>8013.581</v>
      </c>
      <c r="AS56" t="n">
        <v>8141.739</v>
      </c>
      <c r="AT56" t="n">
        <v>7990.74</v>
      </c>
      <c r="AU56" t="n">
        <v>7839.74</v>
      </c>
      <c r="AV56" t="n">
        <v>7688.741</v>
      </c>
      <c r="AW56" t="n">
        <v>7537.741</v>
      </c>
      <c r="AX56" t="n">
        <v>7386.742</v>
      </c>
      <c r="AY56" t="n">
        <v>7235.743</v>
      </c>
      <c r="AZ56" t="n">
        <v>7084.743</v>
      </c>
      <c r="BA56" t="n">
        <v>6933.744</v>
      </c>
      <c r="BB56" t="n">
        <v>6782.744</v>
      </c>
      <c r="BC56" t="n">
        <v>6631.745</v>
      </c>
      <c r="BD56" t="n">
        <v>6480.745</v>
      </c>
      <c r="BE56" t="n">
        <v>6329.746</v>
      </c>
      <c r="BF56" t="n">
        <v>6178.747</v>
      </c>
      <c r="BG56" t="n">
        <v>6027.747</v>
      </c>
      <c r="BH56" t="n">
        <v>5876.748</v>
      </c>
      <c r="BI56" t="n">
        <v>5725.748</v>
      </c>
      <c r="BJ56" t="n">
        <v>5574.749</v>
      </c>
      <c r="BK56" t="n">
        <v>5423.749</v>
      </c>
      <c r="BL56" t="n">
        <v>5272.75</v>
      </c>
      <c r="BM56" t="n">
        <v>5121.751</v>
      </c>
      <c r="BN56" t="n">
        <v>5275.143</v>
      </c>
      <c r="BO56" t="n">
        <v>5107.343</v>
      </c>
      <c r="BP56" t="n">
        <v>4984.55</v>
      </c>
      <c r="BQ56" t="n">
        <v>4876.334</v>
      </c>
      <c r="BR56" t="n">
        <v>5317.377</v>
      </c>
      <c r="BS56" t="n">
        <v>5204.742</v>
      </c>
      <c r="BT56" t="n">
        <v>5068.108</v>
      </c>
      <c r="BU56" t="n">
        <v>4900.311</v>
      </c>
      <c r="BV56" t="n">
        <v>4692.865</v>
      </c>
    </row>
    <row r="57">
      <c r="A57" t="inlineStr">
        <is>
          <t>Pseudotolithus senegalensis</t>
        </is>
      </c>
      <c r="B57" t="inlineStr">
        <is>
          <t>Cassava croaker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50.308</v>
      </c>
      <c r="F57" t="n">
        <v>286.932</v>
      </c>
      <c r="G57" t="n">
        <v>546.51</v>
      </c>
      <c r="H57" t="n">
        <v>807.913</v>
      </c>
      <c r="I57" t="n">
        <v>1040.175</v>
      </c>
      <c r="J57" t="n">
        <v>1298.117</v>
      </c>
      <c r="K57" t="n">
        <v>1559.215</v>
      </c>
      <c r="L57" t="n">
        <v>1782.134</v>
      </c>
      <c r="M57" t="n">
        <v>2089.54</v>
      </c>
      <c r="N57" t="n">
        <v>2383.063</v>
      </c>
      <c r="O57" t="n">
        <v>2642.465</v>
      </c>
      <c r="P57" t="n">
        <v>2948.25</v>
      </c>
      <c r="Q57" t="n">
        <v>3255.266</v>
      </c>
      <c r="R57" t="n">
        <v>3511.373</v>
      </c>
      <c r="S57" t="n">
        <v>3724.27</v>
      </c>
      <c r="T57" t="n">
        <v>3979.23</v>
      </c>
      <c r="U57" t="n">
        <v>4233.578</v>
      </c>
      <c r="V57" t="n">
        <v>4434.658</v>
      </c>
      <c r="W57" t="n">
        <v>4696.747</v>
      </c>
      <c r="X57" t="n">
        <v>5606.368</v>
      </c>
      <c r="Y57" t="n">
        <v>7194.873</v>
      </c>
      <c r="Z57" t="n">
        <v>8856.337</v>
      </c>
      <c r="AA57" t="n">
        <v>10277.282</v>
      </c>
      <c r="AB57" t="n">
        <v>10443.321</v>
      </c>
      <c r="AC57" t="n">
        <v>9586.120000000001</v>
      </c>
      <c r="AD57" t="n">
        <v>9219.593000000001</v>
      </c>
      <c r="AE57" t="n">
        <v>9991.929</v>
      </c>
      <c r="AF57" t="n">
        <v>11671.784</v>
      </c>
      <c r="AG57" t="n">
        <v>9089.677</v>
      </c>
      <c r="AH57" t="n">
        <v>7832.848</v>
      </c>
      <c r="AI57" t="n">
        <v>7482.817</v>
      </c>
      <c r="AJ57" t="n">
        <v>7756.877</v>
      </c>
      <c r="AK57" t="n">
        <v>8246.322</v>
      </c>
      <c r="AL57" t="n">
        <v>8369.775</v>
      </c>
      <c r="AM57" t="n">
        <v>9103.905000000001</v>
      </c>
      <c r="AN57" t="n">
        <v>8905.124</v>
      </c>
      <c r="AO57" t="n">
        <v>8224.494000000001</v>
      </c>
      <c r="AP57" t="n">
        <v>8443.853999999999</v>
      </c>
      <c r="AQ57" t="n">
        <v>8504.643</v>
      </c>
      <c r="AR57" t="n">
        <v>8385.659</v>
      </c>
      <c r="AS57" t="n">
        <v>7986.189</v>
      </c>
      <c r="AT57" t="n">
        <v>7260.805</v>
      </c>
      <c r="AU57" t="n">
        <v>6041.945</v>
      </c>
      <c r="AV57" t="n">
        <v>5648.268</v>
      </c>
      <c r="AW57" t="n">
        <v>5268.566</v>
      </c>
      <c r="AX57" t="n">
        <v>7504.957</v>
      </c>
      <c r="AY57" t="n">
        <v>7430.873</v>
      </c>
      <c r="AZ57" t="n">
        <v>7674.934</v>
      </c>
      <c r="BA57" t="n">
        <v>7005.392</v>
      </c>
      <c r="BB57" t="n">
        <v>6997.69</v>
      </c>
      <c r="BC57" t="n">
        <v>5475.329</v>
      </c>
      <c r="BD57" t="n">
        <v>5367.635</v>
      </c>
      <c r="BE57" t="n">
        <v>6073.794</v>
      </c>
      <c r="BF57" t="n">
        <v>4262.757</v>
      </c>
      <c r="BG57" t="n">
        <v>5626.296</v>
      </c>
      <c r="BH57" t="n">
        <v>3475.002</v>
      </c>
      <c r="BI57" t="n">
        <v>3687.667</v>
      </c>
      <c r="BJ57" t="n">
        <v>4937.657</v>
      </c>
      <c r="BK57" t="n">
        <v>4654.915</v>
      </c>
      <c r="BL57" t="n">
        <v>3698.917</v>
      </c>
      <c r="BM57" t="n">
        <v>4726.795</v>
      </c>
      <c r="BN57" t="n">
        <v>5007.407</v>
      </c>
      <c r="BO57" t="n">
        <v>5149.179</v>
      </c>
      <c r="BP57" t="n">
        <v>5416.514</v>
      </c>
      <c r="BQ57" t="n">
        <v>5905.602</v>
      </c>
      <c r="BR57" t="n">
        <v>4947.03</v>
      </c>
      <c r="BS57" t="n">
        <v>7367.21</v>
      </c>
      <c r="BT57" t="n">
        <v>6078.182</v>
      </c>
      <c r="BU57" t="n">
        <v>6883.953</v>
      </c>
      <c r="BV57" t="n">
        <v>7371.431</v>
      </c>
    </row>
    <row r="58">
      <c r="A58" t="inlineStr">
        <is>
          <t>Parapenaeus longirostris</t>
        </is>
      </c>
      <c r="B58" t="inlineStr">
        <is>
          <t>Deepwater rose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1332.143</v>
      </c>
      <c r="O58" t="n">
        <v>2637.463</v>
      </c>
      <c r="P58" t="n">
        <v>3915.963</v>
      </c>
      <c r="Q58" t="n">
        <v>5167.64</v>
      </c>
      <c r="R58" t="n">
        <v>6392.496</v>
      </c>
      <c r="S58" t="n">
        <v>7590.53</v>
      </c>
      <c r="T58" t="n">
        <v>8761.743</v>
      </c>
      <c r="U58" t="n">
        <v>9928.021000000001</v>
      </c>
      <c r="V58" t="n">
        <v>11060.001</v>
      </c>
      <c r="W58" t="n">
        <v>12919.79</v>
      </c>
      <c r="X58" t="n">
        <v>14053.896</v>
      </c>
      <c r="Y58" t="n">
        <v>12012.251</v>
      </c>
      <c r="Z58" t="n">
        <v>12878.729</v>
      </c>
      <c r="AA58" t="n">
        <v>14373.226</v>
      </c>
      <c r="AB58" t="n">
        <v>17324.065</v>
      </c>
      <c r="AC58" t="n">
        <v>20533.029</v>
      </c>
      <c r="AD58" t="n">
        <v>21815.714</v>
      </c>
      <c r="AE58" t="n">
        <v>21748.686</v>
      </c>
      <c r="AF58" t="n">
        <v>21564.761</v>
      </c>
      <c r="AG58" t="n">
        <v>21943.051</v>
      </c>
      <c r="AH58" t="n">
        <v>20875.953</v>
      </c>
      <c r="AI58" t="n">
        <v>22130.853</v>
      </c>
      <c r="AJ58" t="n">
        <v>17238.721</v>
      </c>
      <c r="AK58" t="n">
        <v>13507.049</v>
      </c>
      <c r="AL58" t="n">
        <v>10290.542</v>
      </c>
      <c r="AM58" t="n">
        <v>7778.44</v>
      </c>
      <c r="AN58" t="n">
        <v>6008.792</v>
      </c>
      <c r="AO58" t="n">
        <v>2583.047</v>
      </c>
      <c r="AP58" t="n">
        <v>1933.139</v>
      </c>
      <c r="AQ58" t="n">
        <v>1448.628</v>
      </c>
      <c r="AR58" t="n">
        <v>2918.039</v>
      </c>
      <c r="AS58" t="n">
        <v>2410.849</v>
      </c>
      <c r="AT58" t="n">
        <v>1822.377</v>
      </c>
      <c r="AU58" t="n">
        <v>1459.318</v>
      </c>
      <c r="AV58" t="n">
        <v>1481.388</v>
      </c>
      <c r="AW58" t="n">
        <v>1283.049</v>
      </c>
      <c r="AX58" t="n">
        <v>1104.639</v>
      </c>
      <c r="AY58" t="n">
        <v>1646.526</v>
      </c>
      <c r="AZ58" t="n">
        <v>1199.568</v>
      </c>
      <c r="BA58" t="n">
        <v>3217.559</v>
      </c>
      <c r="BB58" t="n">
        <v>2553.496</v>
      </c>
      <c r="BC58" t="n">
        <v>2159.244</v>
      </c>
      <c r="BD58" t="n">
        <v>3091.014</v>
      </c>
      <c r="BE58" t="n">
        <v>1042.087</v>
      </c>
      <c r="BF58" t="n">
        <v>923.639</v>
      </c>
      <c r="BG58" t="n">
        <v>536.929</v>
      </c>
      <c r="BH58" t="n">
        <v>839.28</v>
      </c>
      <c r="BI58" t="n">
        <v>703.421</v>
      </c>
      <c r="BJ58" t="n">
        <v>966.6</v>
      </c>
      <c r="BK58" t="n">
        <v>825.823</v>
      </c>
      <c r="BL58" t="n">
        <v>659.617</v>
      </c>
      <c r="BM58" t="n">
        <v>498.492</v>
      </c>
      <c r="BN58" t="n">
        <v>1440.976</v>
      </c>
      <c r="BO58" t="n">
        <v>1809.512</v>
      </c>
      <c r="BP58" t="n">
        <v>2116.491</v>
      </c>
      <c r="BQ58" t="n">
        <v>1988.03</v>
      </c>
      <c r="BR58" t="n">
        <v>1715.508</v>
      </c>
      <c r="BS58" t="n">
        <v>1430.832</v>
      </c>
      <c r="BT58" t="n">
        <v>1886.058</v>
      </c>
      <c r="BU58" t="n">
        <v>1587.025</v>
      </c>
      <c r="BV58" t="n">
        <v>1744.663</v>
      </c>
    </row>
    <row r="59">
      <c r="A59" t="inlineStr">
        <is>
          <t>Caranx hippos</t>
        </is>
      </c>
      <c r="B59" t="inlineStr">
        <is>
          <t>Crevalle jack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543.678</v>
      </c>
      <c r="F59" t="n">
        <v>560.4829999999999</v>
      </c>
      <c r="G59" t="n">
        <v>576.821</v>
      </c>
      <c r="H59" t="n">
        <v>595.389</v>
      </c>
      <c r="I59" t="n">
        <v>611.3200000000001</v>
      </c>
      <c r="J59" t="n">
        <v>626.2140000000001</v>
      </c>
      <c r="K59" t="n">
        <v>642.949</v>
      </c>
      <c r="L59" t="n">
        <v>1046.396</v>
      </c>
      <c r="M59" t="n">
        <v>1171.384</v>
      </c>
      <c r="N59" t="n">
        <v>1187.595</v>
      </c>
      <c r="O59" t="n">
        <v>1200.941</v>
      </c>
      <c r="P59" t="n">
        <v>1214.35</v>
      </c>
      <c r="Q59" t="n">
        <v>1215.246</v>
      </c>
      <c r="R59" t="n">
        <v>1097.419</v>
      </c>
      <c r="S59" t="n">
        <v>986.585</v>
      </c>
      <c r="T59" t="n">
        <v>581.183</v>
      </c>
      <c r="U59" t="n">
        <v>561.547</v>
      </c>
      <c r="V59" t="n">
        <v>1006.743</v>
      </c>
      <c r="W59" t="n">
        <v>1072.797</v>
      </c>
      <c r="X59" t="n">
        <v>6343.698</v>
      </c>
      <c r="Y59" t="n">
        <v>11057.629</v>
      </c>
      <c r="Z59" t="n">
        <v>14887.5</v>
      </c>
      <c r="AA59" t="n">
        <v>4134.168</v>
      </c>
      <c r="AB59" t="n">
        <v>2430.763</v>
      </c>
      <c r="AC59" t="n">
        <v>4865.547</v>
      </c>
      <c r="AD59" t="n">
        <v>2195.668</v>
      </c>
      <c r="AE59" t="n">
        <v>1343.843</v>
      </c>
      <c r="AF59" t="n">
        <v>14922.662</v>
      </c>
      <c r="AG59" t="n">
        <v>6275.349</v>
      </c>
      <c r="AH59" t="n">
        <v>3053.754</v>
      </c>
      <c r="AI59" t="n">
        <v>10173.617</v>
      </c>
      <c r="AJ59" t="n">
        <v>8340.722</v>
      </c>
      <c r="AK59" t="n">
        <v>6597.031</v>
      </c>
      <c r="AL59" t="n">
        <v>10685.079</v>
      </c>
      <c r="AM59" t="n">
        <v>6498.387</v>
      </c>
      <c r="AN59" t="n">
        <v>1926.924</v>
      </c>
      <c r="AO59" t="n">
        <v>6206.37</v>
      </c>
      <c r="AP59" t="n">
        <v>4546.731</v>
      </c>
      <c r="AQ59" t="n">
        <v>4170.138</v>
      </c>
      <c r="AR59" t="n">
        <v>3385.798</v>
      </c>
      <c r="AS59" t="n">
        <v>6470.693</v>
      </c>
      <c r="AT59" t="n">
        <v>6035.144</v>
      </c>
      <c r="AU59" t="n">
        <v>6736.102</v>
      </c>
      <c r="AV59" t="n">
        <v>5688.606</v>
      </c>
      <c r="AW59" t="n">
        <v>6994.961</v>
      </c>
      <c r="AX59" t="n">
        <v>5809.357</v>
      </c>
      <c r="AY59" t="n">
        <v>4156.661</v>
      </c>
      <c r="AZ59" t="n">
        <v>3591.132</v>
      </c>
      <c r="BA59" t="n">
        <v>4209.421</v>
      </c>
      <c r="BB59" t="n">
        <v>5168.3</v>
      </c>
      <c r="BC59" t="n">
        <v>1540.355</v>
      </c>
      <c r="BD59" t="n">
        <v>3907.297</v>
      </c>
      <c r="BE59" t="n">
        <v>4406.174</v>
      </c>
      <c r="BF59" t="n">
        <v>5849.291</v>
      </c>
      <c r="BG59" t="n">
        <v>10370.935</v>
      </c>
      <c r="BH59" t="n">
        <v>10608.302</v>
      </c>
      <c r="BI59" t="n">
        <v>8088.337</v>
      </c>
      <c r="BJ59" t="n">
        <v>8040.739</v>
      </c>
      <c r="BK59" t="n">
        <v>13415.982</v>
      </c>
      <c r="BL59" t="n">
        <v>3301.819</v>
      </c>
      <c r="BM59" t="n">
        <v>9279.557000000001</v>
      </c>
      <c r="BN59" t="n">
        <v>13915.706</v>
      </c>
      <c r="BO59" t="n">
        <v>8402.571</v>
      </c>
      <c r="BP59" t="n">
        <v>11636.437</v>
      </c>
      <c r="BQ59" t="n">
        <v>14057.212</v>
      </c>
      <c r="BR59" t="n">
        <v>17771.661</v>
      </c>
      <c r="BS59" t="n">
        <v>17791.234</v>
      </c>
      <c r="BT59" t="n">
        <v>7129.648</v>
      </c>
      <c r="BU59" t="n">
        <v>5579.226</v>
      </c>
      <c r="BV59" t="n">
        <v>11369.426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1398.913</v>
      </c>
      <c r="F60" t="n">
        <v>1834.469</v>
      </c>
      <c r="G60" t="n">
        <v>14.405</v>
      </c>
      <c r="H60" t="n">
        <v>3.121</v>
      </c>
      <c r="I60" t="n">
        <v>3.219</v>
      </c>
      <c r="J60" t="n">
        <v>11.406</v>
      </c>
      <c r="K60" t="n">
        <v>16.447</v>
      </c>
      <c r="L60" t="n">
        <v>1.033</v>
      </c>
      <c r="M60" t="n">
        <v>60.702</v>
      </c>
      <c r="N60" t="n">
        <v>715.51</v>
      </c>
      <c r="O60" t="n">
        <v>848.323</v>
      </c>
      <c r="P60" t="n">
        <v>775.274</v>
      </c>
      <c r="Q60" t="n">
        <v>190.891</v>
      </c>
      <c r="R60" t="n">
        <v>579.196</v>
      </c>
      <c r="S60" t="n">
        <v>3279.103</v>
      </c>
      <c r="T60" t="n">
        <v>1164.511</v>
      </c>
      <c r="U60" t="n">
        <v>1093.655</v>
      </c>
      <c r="V60" t="n">
        <v>1566.756</v>
      </c>
      <c r="W60" t="n">
        <v>6110.317</v>
      </c>
      <c r="X60" t="n">
        <v>10018.612</v>
      </c>
      <c r="Y60" t="n">
        <v>13125.43</v>
      </c>
      <c r="Z60" t="n">
        <v>7509.537</v>
      </c>
      <c r="AA60" t="n">
        <v>9716.008</v>
      </c>
      <c r="AB60" t="n">
        <v>4725.046</v>
      </c>
      <c r="AC60" t="n">
        <v>6943.255</v>
      </c>
      <c r="AD60" t="n">
        <v>9311.999</v>
      </c>
      <c r="AE60" t="n">
        <v>8891.18</v>
      </c>
      <c r="AF60" t="n">
        <v>12987.04</v>
      </c>
      <c r="AG60" t="n">
        <v>14023.213</v>
      </c>
      <c r="AH60" t="n">
        <v>11800.247</v>
      </c>
      <c r="AI60" t="n">
        <v>21077.329</v>
      </c>
      <c r="AJ60" t="n">
        <v>14220.897</v>
      </c>
      <c r="AK60" t="n">
        <v>13641.775</v>
      </c>
      <c r="AL60" t="n">
        <v>8920.719999999999</v>
      </c>
      <c r="AM60" t="n">
        <v>3822.157</v>
      </c>
      <c r="AN60" t="n">
        <v>1842.216</v>
      </c>
      <c r="AO60" t="n">
        <v>1755.894</v>
      </c>
      <c r="AP60" t="n">
        <v>3571.218</v>
      </c>
      <c r="AQ60" t="n">
        <v>6436.914</v>
      </c>
      <c r="AR60" t="n">
        <v>4555.789</v>
      </c>
      <c r="AS60" t="n">
        <v>2162.274</v>
      </c>
      <c r="AT60" t="n">
        <v>2214.733</v>
      </c>
      <c r="AU60" t="n">
        <v>4860.513</v>
      </c>
      <c r="AV60" t="n">
        <v>3410.284</v>
      </c>
      <c r="AW60" t="n">
        <v>2598.346</v>
      </c>
      <c r="AX60" t="n">
        <v>1837.389</v>
      </c>
      <c r="AY60" t="n">
        <v>4581.139</v>
      </c>
      <c r="AZ60" t="n">
        <v>3242.512</v>
      </c>
      <c r="BA60" t="n">
        <v>3630.578</v>
      </c>
      <c r="BB60" t="n">
        <v>3964.697</v>
      </c>
      <c r="BC60" t="n">
        <v>4277.073</v>
      </c>
      <c r="BD60" t="n">
        <v>5810.007</v>
      </c>
      <c r="BE60" t="n">
        <v>4675.175</v>
      </c>
      <c r="BF60" t="n">
        <v>5684.755</v>
      </c>
      <c r="BG60" t="n">
        <v>7391.265</v>
      </c>
      <c r="BH60" t="n">
        <v>7604.286</v>
      </c>
      <c r="BI60" t="n">
        <v>1454.318</v>
      </c>
      <c r="BJ60" t="n">
        <v>1777.692</v>
      </c>
      <c r="BK60" t="n">
        <v>3076.142</v>
      </c>
      <c r="BL60" t="n">
        <v>4189.643</v>
      </c>
      <c r="BM60" t="n">
        <v>4204.028</v>
      </c>
      <c r="BN60" t="n">
        <v>5003.859</v>
      </c>
      <c r="BO60" t="n">
        <v>6390.107</v>
      </c>
      <c r="BP60" t="n">
        <v>16248.196</v>
      </c>
      <c r="BQ60" t="n">
        <v>8756.888999999999</v>
      </c>
      <c r="BR60" t="n">
        <v>11693.518</v>
      </c>
      <c r="BS60" t="n">
        <v>21887.934</v>
      </c>
      <c r="BT60" t="n">
        <v>12703.087</v>
      </c>
      <c r="BU60" t="n">
        <v>12100.512</v>
      </c>
      <c r="BV60" t="n">
        <v>2996.18</v>
      </c>
    </row>
    <row r="61">
      <c r="A61" t="inlineStr">
        <is>
          <t>Pentheroscion mbizi</t>
        </is>
      </c>
      <c r="B61" t="inlineStr">
        <is>
          <t>Mbizi croaker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77.66</v>
      </c>
      <c r="F61" t="n">
        <v>106.723</v>
      </c>
      <c r="G61" t="n">
        <v>192.943</v>
      </c>
      <c r="H61" t="n">
        <v>308.334</v>
      </c>
      <c r="I61" t="n">
        <v>464.417</v>
      </c>
      <c r="J61" t="n">
        <v>543.622</v>
      </c>
      <c r="K61" t="n">
        <v>544.0119999999999</v>
      </c>
      <c r="L61" t="n">
        <v>542.062</v>
      </c>
      <c r="M61" t="n">
        <v>618.367</v>
      </c>
      <c r="N61" t="n">
        <v>850.53</v>
      </c>
      <c r="O61" t="n">
        <v>874.495</v>
      </c>
      <c r="P61" t="n">
        <v>1199.28</v>
      </c>
      <c r="Q61" t="n">
        <v>1250.118</v>
      </c>
      <c r="R61" t="n">
        <v>1242.996</v>
      </c>
      <c r="S61" t="n">
        <v>1294.214</v>
      </c>
      <c r="T61" t="n">
        <v>1387.994</v>
      </c>
      <c r="U61" t="n">
        <v>1739.572</v>
      </c>
      <c r="V61" t="n">
        <v>1554.901</v>
      </c>
      <c r="W61" t="n">
        <v>1354.874</v>
      </c>
      <c r="X61" t="n">
        <v>1471.68</v>
      </c>
      <c r="Y61" t="n">
        <v>962.23</v>
      </c>
      <c r="Z61" t="n">
        <v>593.188</v>
      </c>
      <c r="AA61" t="n">
        <v>672.705</v>
      </c>
      <c r="AB61" t="n">
        <v>797.274</v>
      </c>
      <c r="AC61" t="n">
        <v>513.232</v>
      </c>
      <c r="AD61" t="n">
        <v>384.302</v>
      </c>
      <c r="AE61" t="n">
        <v>361.585</v>
      </c>
      <c r="AF61" t="n">
        <v>429.55</v>
      </c>
      <c r="AG61" t="n">
        <v>423.364</v>
      </c>
      <c r="AH61" t="n">
        <v>417.223</v>
      </c>
      <c r="AI61" t="n">
        <v>411.127</v>
      </c>
      <c r="AJ61" t="n">
        <v>239.715</v>
      </c>
      <c r="AK61" t="n">
        <v>192.711</v>
      </c>
      <c r="AL61" t="n">
        <v>253.877</v>
      </c>
      <c r="AM61" t="n">
        <v>385.965</v>
      </c>
      <c r="AN61" t="n">
        <v>431.736</v>
      </c>
      <c r="AO61" t="n">
        <v>604.297</v>
      </c>
      <c r="AP61" t="n">
        <v>648.373</v>
      </c>
      <c r="AQ61" t="n">
        <v>692.4349999999999</v>
      </c>
      <c r="AR61" t="n">
        <v>675.6</v>
      </c>
      <c r="AS61" t="n">
        <v>720.414</v>
      </c>
      <c r="AT61" t="n">
        <v>1720.195</v>
      </c>
      <c r="AU61" t="n">
        <v>2773.518</v>
      </c>
      <c r="AV61" t="n">
        <v>3705.261</v>
      </c>
      <c r="AW61" t="n">
        <v>4406.805</v>
      </c>
      <c r="AX61" t="n">
        <v>5279.574</v>
      </c>
      <c r="AY61" t="n">
        <v>6206.025</v>
      </c>
      <c r="AZ61" t="n">
        <v>6930.038</v>
      </c>
      <c r="BA61" t="n">
        <v>7656.794</v>
      </c>
      <c r="BB61" t="n">
        <v>8386.264999999999</v>
      </c>
      <c r="BC61" t="n">
        <v>9118.422</v>
      </c>
      <c r="BD61" t="n">
        <v>9853.236999999999</v>
      </c>
      <c r="BE61" t="n">
        <v>10590.683</v>
      </c>
      <c r="BF61" t="n">
        <v>11115.161</v>
      </c>
      <c r="BG61" t="n">
        <v>11942.701</v>
      </c>
      <c r="BH61" t="n">
        <v>12137.056</v>
      </c>
      <c r="BI61" t="n">
        <v>12636.722</v>
      </c>
      <c r="BJ61" t="n">
        <v>13474.154</v>
      </c>
      <c r="BK61" t="n">
        <v>14311.615</v>
      </c>
      <c r="BL61" t="n">
        <v>15149.103</v>
      </c>
      <c r="BM61" t="n">
        <v>15071.867</v>
      </c>
      <c r="BN61" t="n">
        <v>15665.816</v>
      </c>
      <c r="BO61" t="n">
        <v>16077.223</v>
      </c>
      <c r="BP61" t="n">
        <v>16709.037</v>
      </c>
      <c r="BQ61" t="n">
        <v>17565.49</v>
      </c>
      <c r="BR61" t="n">
        <v>18070.555</v>
      </c>
      <c r="BS61" t="n">
        <v>18649.287</v>
      </c>
      <c r="BT61" t="n">
        <v>19072.266</v>
      </c>
      <c r="BU61" t="n">
        <v>19707.732</v>
      </c>
      <c r="BV61" t="n">
        <v>20259.27</v>
      </c>
    </row>
    <row r="62">
      <c r="A62" t="inlineStr">
        <is>
          <t>Pentanemus quinquarius</t>
        </is>
      </c>
      <c r="B62" t="inlineStr">
        <is>
          <t>Royal threadfin</t>
        </is>
      </c>
      <c r="C62" t="inlineStr">
        <is>
          <t>Small demersals (&lt;30 cm)</t>
        </is>
      </c>
      <c r="D62" t="inlineStr">
        <is>
          <t>Perch-likes</t>
        </is>
      </c>
      <c r="E62" t="n">
        <v>1226.718</v>
      </c>
      <c r="F62" t="n">
        <v>1253.446</v>
      </c>
      <c r="G62" t="n">
        <v>1414.416</v>
      </c>
      <c r="H62" t="n">
        <v>1481.647</v>
      </c>
      <c r="I62" t="n">
        <v>1539.954</v>
      </c>
      <c r="J62" t="n">
        <v>1606.109</v>
      </c>
      <c r="K62" t="n">
        <v>1685.907</v>
      </c>
      <c r="L62" t="n">
        <v>1724.727</v>
      </c>
      <c r="M62" t="n">
        <v>1800.649</v>
      </c>
      <c r="N62" t="n">
        <v>1592.158</v>
      </c>
      <c r="O62" t="n">
        <v>1656.516</v>
      </c>
      <c r="P62" t="n">
        <v>1742.997</v>
      </c>
      <c r="Q62" t="n">
        <v>1767.575</v>
      </c>
      <c r="R62" t="n">
        <v>1819.238</v>
      </c>
      <c r="S62" t="n">
        <v>1876.092</v>
      </c>
      <c r="T62" t="n">
        <v>1945.058</v>
      </c>
      <c r="U62" t="n">
        <v>1925.634</v>
      </c>
      <c r="V62" t="n">
        <v>1932.633</v>
      </c>
      <c r="W62" t="n">
        <v>1814.546</v>
      </c>
      <c r="X62" t="n">
        <v>1835.518</v>
      </c>
      <c r="Y62" t="n">
        <v>2099.734</v>
      </c>
      <c r="Z62" t="n">
        <v>1814.662</v>
      </c>
      <c r="AA62" t="n">
        <v>1560.476</v>
      </c>
      <c r="AB62" t="n">
        <v>1578.446</v>
      </c>
      <c r="AC62" t="n">
        <v>1576.574</v>
      </c>
      <c r="AD62" t="n">
        <v>1603.732</v>
      </c>
      <c r="AE62" t="n">
        <v>2468.756</v>
      </c>
      <c r="AF62" t="n">
        <v>3102.504</v>
      </c>
      <c r="AG62" t="n">
        <v>3782.518</v>
      </c>
      <c r="AH62" t="n">
        <v>1783.229</v>
      </c>
      <c r="AI62" t="n">
        <v>1821.059</v>
      </c>
      <c r="AJ62" t="n">
        <v>1848.27</v>
      </c>
      <c r="AK62" t="n">
        <v>1877.895</v>
      </c>
      <c r="AL62" t="n">
        <v>1794.422</v>
      </c>
      <c r="AM62" t="n">
        <v>2241.045</v>
      </c>
      <c r="AN62" t="n">
        <v>2244.692</v>
      </c>
      <c r="AO62" t="n">
        <v>3271.585</v>
      </c>
      <c r="AP62" t="n">
        <v>3313.877</v>
      </c>
      <c r="AQ62" t="n">
        <v>2772.931</v>
      </c>
      <c r="AR62" t="n">
        <v>2135.783</v>
      </c>
      <c r="AS62" t="n">
        <v>2180.906</v>
      </c>
      <c r="AT62" t="n">
        <v>3879.639</v>
      </c>
      <c r="AU62" t="n">
        <v>6148.781</v>
      </c>
      <c r="AV62" t="n">
        <v>5865.607</v>
      </c>
      <c r="AW62" t="n">
        <v>5368.894</v>
      </c>
      <c r="AX62" t="n">
        <v>5000.83</v>
      </c>
      <c r="AY62" t="n">
        <v>4240.377</v>
      </c>
      <c r="AZ62" t="n">
        <v>4647.947</v>
      </c>
      <c r="BA62" t="n">
        <v>5562.966</v>
      </c>
      <c r="BB62" t="n">
        <v>5112.736</v>
      </c>
      <c r="BC62" t="n">
        <v>4731.242</v>
      </c>
      <c r="BD62" t="n">
        <v>5541.165</v>
      </c>
      <c r="BE62" t="n">
        <v>3297.472</v>
      </c>
      <c r="BF62" t="n">
        <v>4031.161</v>
      </c>
      <c r="BG62" t="n">
        <v>3247.952</v>
      </c>
      <c r="BH62" t="n">
        <v>2611.261</v>
      </c>
      <c r="BI62" t="n">
        <v>2567.919</v>
      </c>
      <c r="BJ62" t="n">
        <v>3633.271</v>
      </c>
      <c r="BK62" t="n">
        <v>4288.619</v>
      </c>
      <c r="BL62" t="n">
        <v>4420.292</v>
      </c>
      <c r="BM62" t="n">
        <v>6444.884</v>
      </c>
      <c r="BN62" t="n">
        <v>5083.311</v>
      </c>
      <c r="BO62" t="n">
        <v>6719.858</v>
      </c>
      <c r="BP62" t="n">
        <v>6353.435</v>
      </c>
      <c r="BQ62" t="n">
        <v>14088.748</v>
      </c>
      <c r="BR62" t="n">
        <v>19267.34</v>
      </c>
      <c r="BS62" t="n">
        <v>30781.425</v>
      </c>
      <c r="BT62" t="n">
        <v>34077.422</v>
      </c>
      <c r="BU62" t="n">
        <v>41294.327</v>
      </c>
      <c r="BV62" t="n">
        <v>42230.313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1406.704</v>
      </c>
      <c r="F63" t="n">
        <v>1426.235</v>
      </c>
      <c r="G63" t="n">
        <v>1448.094</v>
      </c>
      <c r="H63" t="n">
        <v>1449.304</v>
      </c>
      <c r="I63" t="n">
        <v>1467.65</v>
      </c>
      <c r="J63" t="n">
        <v>1498.671</v>
      </c>
      <c r="K63" t="n">
        <v>1503.215</v>
      </c>
      <c r="L63" t="n">
        <v>1519.251</v>
      </c>
      <c r="M63" t="n">
        <v>1564.756</v>
      </c>
      <c r="N63" t="n">
        <v>1585.964</v>
      </c>
      <c r="O63" t="n">
        <v>1601.321</v>
      </c>
      <c r="P63" t="n">
        <v>1772.575</v>
      </c>
      <c r="Q63" t="n">
        <v>1802.246</v>
      </c>
      <c r="R63" t="n">
        <v>1818.944</v>
      </c>
      <c r="S63" t="n">
        <v>1841.43</v>
      </c>
      <c r="T63" t="n">
        <v>1835.826</v>
      </c>
      <c r="U63" t="n">
        <v>1903.309</v>
      </c>
      <c r="V63" t="n">
        <v>1910.52</v>
      </c>
      <c r="W63" t="n">
        <v>2021.536</v>
      </c>
      <c r="X63" t="n">
        <v>2015.969</v>
      </c>
      <c r="Y63" t="n">
        <v>2194.201</v>
      </c>
      <c r="Z63" t="n">
        <v>3185.835</v>
      </c>
      <c r="AA63" t="n">
        <v>2397.255</v>
      </c>
      <c r="AB63" t="n">
        <v>2357.921</v>
      </c>
      <c r="AC63" t="n">
        <v>2582.862</v>
      </c>
      <c r="AD63" t="n">
        <v>3093.52</v>
      </c>
      <c r="AE63" t="n">
        <v>3159.258</v>
      </c>
      <c r="AF63" t="n">
        <v>3336.343</v>
      </c>
      <c r="AG63" t="n">
        <v>7418.166</v>
      </c>
      <c r="AH63" t="n">
        <v>5388.948</v>
      </c>
      <c r="AI63" t="n">
        <v>5025.144</v>
      </c>
      <c r="AJ63" t="n">
        <v>4682.978</v>
      </c>
      <c r="AK63" t="n">
        <v>3435.678</v>
      </c>
      <c r="AL63" t="n">
        <v>3281.355</v>
      </c>
      <c r="AM63" t="n">
        <v>4026.979</v>
      </c>
      <c r="AN63" t="n">
        <v>3548.807</v>
      </c>
      <c r="AO63" t="n">
        <v>4103.477</v>
      </c>
      <c r="AP63" t="n">
        <v>3954.768</v>
      </c>
      <c r="AQ63" t="n">
        <v>4272.741</v>
      </c>
      <c r="AR63" t="n">
        <v>3222.014</v>
      </c>
      <c r="AS63" t="n">
        <v>3829.1</v>
      </c>
      <c r="AT63" t="n">
        <v>4909.631</v>
      </c>
      <c r="AU63" t="n">
        <v>5203.046</v>
      </c>
      <c r="AV63" t="n">
        <v>6953.568</v>
      </c>
      <c r="AW63" t="n">
        <v>6320.315</v>
      </c>
      <c r="AX63" t="n">
        <v>3616.502</v>
      </c>
      <c r="AY63" t="n">
        <v>4106.94</v>
      </c>
      <c r="AZ63" t="n">
        <v>6138.258</v>
      </c>
      <c r="BA63" t="n">
        <v>7566.961</v>
      </c>
      <c r="BB63" t="n">
        <v>12686.749</v>
      </c>
      <c r="BC63" t="n">
        <v>13580.068</v>
      </c>
      <c r="BD63" t="n">
        <v>13172.508</v>
      </c>
      <c r="BE63" t="n">
        <v>11090.889</v>
      </c>
      <c r="BF63" t="n">
        <v>6962.194</v>
      </c>
      <c r="BG63" t="n">
        <v>6781.308</v>
      </c>
      <c r="BH63" t="n">
        <v>5985.905</v>
      </c>
      <c r="BI63" t="n">
        <v>6744.496</v>
      </c>
      <c r="BJ63" t="n">
        <v>8483.236999999999</v>
      </c>
      <c r="BK63" t="n">
        <v>9291.272999999999</v>
      </c>
      <c r="BL63" t="n">
        <v>10095.204</v>
      </c>
      <c r="BM63" t="n">
        <v>11764.784</v>
      </c>
      <c r="BN63" t="n">
        <v>6665.014</v>
      </c>
      <c r="BO63" t="n">
        <v>6188.504</v>
      </c>
      <c r="BP63" t="n">
        <v>6377.125</v>
      </c>
      <c r="BQ63" t="n">
        <v>17843.902</v>
      </c>
      <c r="BR63" t="n">
        <v>5547.339</v>
      </c>
      <c r="BS63" t="n">
        <v>6965.651</v>
      </c>
      <c r="BT63" t="n">
        <v>5689.495</v>
      </c>
      <c r="BU63" t="n">
        <v>12527.619</v>
      </c>
      <c r="BV63" t="n">
        <v>14440.145</v>
      </c>
    </row>
    <row r="64">
      <c r="A64" t="inlineStr">
        <is>
          <t>Carlarius heudelotii</t>
        </is>
      </c>
      <c r="B64" t="inlineStr">
        <is>
          <t>Smoothmouth sea catfish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604.0940000000001</v>
      </c>
      <c r="F64" t="n">
        <v>603.135</v>
      </c>
      <c r="G64" t="n">
        <v>637.144</v>
      </c>
      <c r="H64" t="n">
        <v>670.9829999999999</v>
      </c>
      <c r="I64" t="n">
        <v>704.662</v>
      </c>
      <c r="J64" t="n">
        <v>738.131</v>
      </c>
      <c r="K64" t="n">
        <v>808.068</v>
      </c>
      <c r="L64" t="n">
        <v>806.763</v>
      </c>
      <c r="M64" t="n">
        <v>808.434</v>
      </c>
      <c r="N64" t="n">
        <v>810.148</v>
      </c>
      <c r="O64" t="n">
        <v>811.8630000000001</v>
      </c>
      <c r="P64" t="n">
        <v>810.66</v>
      </c>
      <c r="Q64" t="n">
        <v>876.53</v>
      </c>
      <c r="R64" t="n">
        <v>871.912</v>
      </c>
      <c r="S64" t="n">
        <v>871.181</v>
      </c>
      <c r="T64" t="n">
        <v>980.307</v>
      </c>
      <c r="U64" t="n">
        <v>1067.836</v>
      </c>
      <c r="V64" t="n">
        <v>1019.212</v>
      </c>
      <c r="W64" t="n">
        <v>1117</v>
      </c>
      <c r="X64" t="n">
        <v>1098.169</v>
      </c>
      <c r="Y64" t="n">
        <v>1030.647</v>
      </c>
      <c r="Z64" t="n">
        <v>1152.021</v>
      </c>
      <c r="AA64" t="n">
        <v>1344.069</v>
      </c>
      <c r="AB64" t="n">
        <v>1646.83</v>
      </c>
      <c r="AC64" t="n">
        <v>1851.39</v>
      </c>
      <c r="AD64" t="n">
        <v>2241.248</v>
      </c>
      <c r="AE64" t="n">
        <v>2767.187</v>
      </c>
      <c r="AF64" t="n">
        <v>3242.452</v>
      </c>
      <c r="AG64" t="n">
        <v>3908.655</v>
      </c>
      <c r="AH64" t="n">
        <v>3570.695</v>
      </c>
      <c r="AI64" t="n">
        <v>4170.788</v>
      </c>
      <c r="AJ64" t="n">
        <v>5300.922</v>
      </c>
      <c r="AK64" t="n">
        <v>5322.358</v>
      </c>
      <c r="AL64" t="n">
        <v>5428.409</v>
      </c>
      <c r="AM64" t="n">
        <v>5836.899</v>
      </c>
      <c r="AN64" t="n">
        <v>6687.115</v>
      </c>
      <c r="AO64" t="n">
        <v>6808.3</v>
      </c>
      <c r="AP64" t="n">
        <v>7046.083</v>
      </c>
      <c r="AQ64" t="n">
        <v>7207.142</v>
      </c>
      <c r="AR64" t="n">
        <v>7082.262</v>
      </c>
      <c r="AS64" t="n">
        <v>7192.723</v>
      </c>
      <c r="AT64" t="n">
        <v>6747.542</v>
      </c>
      <c r="AU64" t="n">
        <v>7197.412</v>
      </c>
      <c r="AV64" t="n">
        <v>6840.643</v>
      </c>
      <c r="AW64" t="n">
        <v>7940.138</v>
      </c>
      <c r="AX64" t="n">
        <v>7830.249</v>
      </c>
      <c r="AY64" t="n">
        <v>8052.404</v>
      </c>
      <c r="AZ64" t="n">
        <v>7763.325</v>
      </c>
      <c r="BA64" t="n">
        <v>8678.569</v>
      </c>
      <c r="BB64" t="n">
        <v>8222.054</v>
      </c>
      <c r="BC64" t="n">
        <v>7983.538</v>
      </c>
      <c r="BD64" t="n">
        <v>8620.201999999999</v>
      </c>
      <c r="BE64" t="n">
        <v>8265.928</v>
      </c>
      <c r="BF64" t="n">
        <v>6985.219</v>
      </c>
      <c r="BG64" t="n">
        <v>7602.239</v>
      </c>
      <c r="BH64" t="n">
        <v>7354.676</v>
      </c>
      <c r="BI64" t="n">
        <v>8476.596</v>
      </c>
      <c r="BJ64" t="n">
        <v>7345.493</v>
      </c>
      <c r="BK64" t="n">
        <v>7461.131</v>
      </c>
      <c r="BL64" t="n">
        <v>7391.321</v>
      </c>
      <c r="BM64" t="n">
        <v>14776.666</v>
      </c>
      <c r="BN64" t="n">
        <v>8090.688</v>
      </c>
      <c r="BO64" t="n">
        <v>12558.431</v>
      </c>
      <c r="BP64" t="n">
        <v>6908.728</v>
      </c>
      <c r="BQ64" t="n">
        <v>6388.105</v>
      </c>
      <c r="BR64" t="n">
        <v>10798.392</v>
      </c>
      <c r="BS64" t="n">
        <v>10196.314</v>
      </c>
      <c r="BT64" t="n">
        <v>9612.115</v>
      </c>
      <c r="BU64" t="n">
        <v>5076.669</v>
      </c>
      <c r="BV64" t="n">
        <v>8460.587</v>
      </c>
    </row>
    <row r="65">
      <c r="A65" t="inlineStr">
        <is>
          <t>Scomber</t>
        </is>
      </c>
      <c r="B65" t="inlineStr">
        <is>
          <t>Chub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588.704</v>
      </c>
      <c r="F65" t="n">
        <v>600.035</v>
      </c>
      <c r="G65" t="n">
        <v>611.5700000000001</v>
      </c>
      <c r="H65" t="n">
        <v>579.51</v>
      </c>
      <c r="I65" t="n">
        <v>591.461</v>
      </c>
      <c r="J65" t="n">
        <v>603.627</v>
      </c>
      <c r="K65" t="n">
        <v>590.784</v>
      </c>
      <c r="L65" t="n">
        <v>606.058</v>
      </c>
      <c r="M65" t="n">
        <v>643.207</v>
      </c>
      <c r="N65" t="n">
        <v>668.619</v>
      </c>
      <c r="O65" t="n">
        <v>688.793</v>
      </c>
      <c r="P65" t="n">
        <v>846.946</v>
      </c>
      <c r="Q65" t="n">
        <v>865.158</v>
      </c>
      <c r="R65" t="n">
        <v>877.8390000000001</v>
      </c>
      <c r="S65" t="n">
        <v>896.1130000000001</v>
      </c>
      <c r="T65" t="n">
        <v>904.237</v>
      </c>
      <c r="U65" t="n">
        <v>1341.265</v>
      </c>
      <c r="V65" t="n">
        <v>1638.434</v>
      </c>
      <c r="W65" t="n">
        <v>2088.763</v>
      </c>
      <c r="X65" t="n">
        <v>2327.948</v>
      </c>
      <c r="Y65" t="n">
        <v>3511.189</v>
      </c>
      <c r="Z65" t="n">
        <v>3894.925</v>
      </c>
      <c r="AA65" t="n">
        <v>4258.937</v>
      </c>
      <c r="AB65" t="n">
        <v>5314.359</v>
      </c>
      <c r="AC65" t="n">
        <v>6646.223</v>
      </c>
      <c r="AD65" t="n">
        <v>8126.74</v>
      </c>
      <c r="AE65" t="n">
        <v>10058.258</v>
      </c>
      <c r="AF65" t="n">
        <v>12084.644</v>
      </c>
      <c r="AG65" t="n">
        <v>14427.725</v>
      </c>
      <c r="AH65" t="n">
        <v>14210.641</v>
      </c>
      <c r="AI65" t="n">
        <v>7821.881</v>
      </c>
      <c r="AJ65" t="n">
        <v>7669.095</v>
      </c>
      <c r="AK65" t="n">
        <v>7897.657</v>
      </c>
      <c r="AL65" t="n">
        <v>8433.263999999999</v>
      </c>
      <c r="AM65" t="n">
        <v>9861.937</v>
      </c>
      <c r="AN65" t="n">
        <v>7927.666</v>
      </c>
      <c r="AO65" t="n">
        <v>6766.495</v>
      </c>
      <c r="AP65" t="n">
        <v>5203.243</v>
      </c>
      <c r="AQ65" t="n">
        <v>5701.068</v>
      </c>
      <c r="AR65" t="n">
        <v>5161.094</v>
      </c>
      <c r="AS65" t="n">
        <v>4185.585</v>
      </c>
      <c r="AT65" t="n">
        <v>9308.986999999999</v>
      </c>
      <c r="AU65" t="n">
        <v>8691.673000000001</v>
      </c>
      <c r="AV65" t="n">
        <v>7966.17</v>
      </c>
      <c r="AW65" t="n">
        <v>7275.216</v>
      </c>
      <c r="AX65" t="n">
        <v>6279.631</v>
      </c>
      <c r="AY65" t="n">
        <v>10031.125</v>
      </c>
      <c r="AZ65" t="n">
        <v>7128.731</v>
      </c>
      <c r="BA65" t="n">
        <v>14081.702</v>
      </c>
      <c r="BB65" t="n">
        <v>10018.743</v>
      </c>
      <c r="BC65" t="n">
        <v>9513.521000000001</v>
      </c>
      <c r="BD65" t="n">
        <v>6189.898</v>
      </c>
      <c r="BE65" t="n">
        <v>7930.038</v>
      </c>
      <c r="BF65" t="n">
        <v>6970.402</v>
      </c>
      <c r="BG65" t="n">
        <v>4872.577</v>
      </c>
      <c r="BH65" t="n">
        <v>4623.597</v>
      </c>
      <c r="BI65" t="n">
        <v>4565.668</v>
      </c>
      <c r="BJ65" t="n">
        <v>4955.643</v>
      </c>
      <c r="BK65" t="n">
        <v>5100.392</v>
      </c>
      <c r="BL65" t="n">
        <v>6069.485</v>
      </c>
      <c r="BM65" t="n">
        <v>6515.027</v>
      </c>
      <c r="BN65" t="n">
        <v>1326.171</v>
      </c>
      <c r="BO65" t="n">
        <v>1304.151</v>
      </c>
      <c r="BP65" t="n">
        <v>1028.901</v>
      </c>
      <c r="BQ65" t="n">
        <v>2140.178</v>
      </c>
      <c r="BR65" t="n">
        <v>2480.56</v>
      </c>
      <c r="BS65" t="n">
        <v>2425.326</v>
      </c>
      <c r="BT65" t="n">
        <v>2745.69</v>
      </c>
      <c r="BU65" t="n">
        <v>3070.576</v>
      </c>
      <c r="BV65" t="n">
        <v>3883.99</v>
      </c>
    </row>
    <row r="66">
      <c r="A66" t="inlineStr">
        <is>
          <t>Pagellus bellottii</t>
        </is>
      </c>
      <c r="B66" t="inlineStr">
        <is>
          <t>Red pandora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160.98</v>
      </c>
      <c r="F66" t="n">
        <v>181.458</v>
      </c>
      <c r="G66" t="n">
        <v>220.967</v>
      </c>
      <c r="H66" t="n">
        <v>248.763</v>
      </c>
      <c r="I66" t="n">
        <v>274.722</v>
      </c>
      <c r="J66" t="n">
        <v>301.244</v>
      </c>
      <c r="K66" t="n">
        <v>330.669</v>
      </c>
      <c r="L66" t="n">
        <v>353.609</v>
      </c>
      <c r="M66" t="n">
        <v>385.046</v>
      </c>
      <c r="N66" t="n">
        <v>379.186</v>
      </c>
      <c r="O66" t="n">
        <v>404.245</v>
      </c>
      <c r="P66" t="n">
        <v>432.484</v>
      </c>
      <c r="Q66" t="n">
        <v>458.042</v>
      </c>
      <c r="R66" t="n">
        <v>463</v>
      </c>
      <c r="S66" t="n">
        <v>461.32</v>
      </c>
      <c r="T66" t="n">
        <v>464.706</v>
      </c>
      <c r="U66" t="n">
        <v>459.482</v>
      </c>
      <c r="V66" t="n">
        <v>511.547</v>
      </c>
      <c r="W66" t="n">
        <v>523.174</v>
      </c>
      <c r="X66" t="n">
        <v>554.745</v>
      </c>
      <c r="Y66" t="n">
        <v>624.659</v>
      </c>
      <c r="Z66" t="n">
        <v>728.112</v>
      </c>
      <c r="AA66" t="n">
        <v>741.921</v>
      </c>
      <c r="AB66" t="n">
        <v>750.5119999999999</v>
      </c>
      <c r="AC66" t="n">
        <v>811.694</v>
      </c>
      <c r="AD66" t="n">
        <v>4453.228</v>
      </c>
      <c r="AE66" t="n">
        <v>3011.289</v>
      </c>
      <c r="AF66" t="n">
        <v>6013.447</v>
      </c>
      <c r="AG66" t="n">
        <v>10179.397</v>
      </c>
      <c r="AH66" t="n">
        <v>10515.319</v>
      </c>
      <c r="AI66" t="n">
        <v>8869.288</v>
      </c>
      <c r="AJ66" t="n">
        <v>12890.808</v>
      </c>
      <c r="AK66" t="n">
        <v>11947.457</v>
      </c>
      <c r="AL66" t="n">
        <v>4867.978</v>
      </c>
      <c r="AM66" t="n">
        <v>6781.017</v>
      </c>
      <c r="AN66" t="n">
        <v>3513.409</v>
      </c>
      <c r="AO66" t="n">
        <v>6093.373</v>
      </c>
      <c r="AP66" t="n">
        <v>8594.776</v>
      </c>
      <c r="AQ66" t="n">
        <v>9386.651</v>
      </c>
      <c r="AR66" t="n">
        <v>9627.191000000001</v>
      </c>
      <c r="AS66" t="n">
        <v>6727.159</v>
      </c>
      <c r="AT66" t="n">
        <v>6199.042</v>
      </c>
      <c r="AU66" t="n">
        <v>9483.289000000001</v>
      </c>
      <c r="AV66" t="n">
        <v>8690.498</v>
      </c>
      <c r="AW66" t="n">
        <v>6409.344</v>
      </c>
      <c r="AX66" t="n">
        <v>5344.248</v>
      </c>
      <c r="AY66" t="n">
        <v>8266.634</v>
      </c>
      <c r="AZ66" t="n">
        <v>8771.717000000001</v>
      </c>
      <c r="BA66" t="n">
        <v>10928.583</v>
      </c>
      <c r="BB66" t="n">
        <v>14009.049</v>
      </c>
      <c r="BC66" t="n">
        <v>3902.457</v>
      </c>
      <c r="BD66" t="n">
        <v>4146.391</v>
      </c>
      <c r="BE66" t="n">
        <v>4321.281</v>
      </c>
      <c r="BF66" t="n">
        <v>4698.107</v>
      </c>
      <c r="BG66" t="n">
        <v>5932.584</v>
      </c>
      <c r="BH66" t="n">
        <v>9560.75</v>
      </c>
      <c r="BI66" t="n">
        <v>8892.503000000001</v>
      </c>
      <c r="BJ66" t="n">
        <v>10294.726</v>
      </c>
      <c r="BK66" t="n">
        <v>7398.956</v>
      </c>
      <c r="BL66" t="n">
        <v>4717.385</v>
      </c>
      <c r="BM66" t="n">
        <v>5987.046</v>
      </c>
      <c r="BN66" t="n">
        <v>5042.752</v>
      </c>
      <c r="BO66" t="n">
        <v>5040.094</v>
      </c>
      <c r="BP66" t="n">
        <v>4766.279</v>
      </c>
      <c r="BQ66" t="n">
        <v>5018.16</v>
      </c>
      <c r="BR66" t="n">
        <v>7009.048</v>
      </c>
      <c r="BS66" t="n">
        <v>5898.506</v>
      </c>
      <c r="BT66" t="n">
        <v>8435.764999999999</v>
      </c>
      <c r="BU66" t="n">
        <v>4350.119</v>
      </c>
      <c r="BV66" t="n">
        <v>7141.14</v>
      </c>
    </row>
    <row r="67">
      <c r="A67" t="inlineStr">
        <is>
          <t>Pagrus</t>
        </is>
      </c>
      <c r="B67" t="inlineStr">
        <is>
          <t>Subtropical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1236.013</v>
      </c>
      <c r="F67" t="n">
        <v>1276.714</v>
      </c>
      <c r="G67" t="n">
        <v>1333.282</v>
      </c>
      <c r="H67" t="n">
        <v>1379.502</v>
      </c>
      <c r="I67" t="n">
        <v>1384.485</v>
      </c>
      <c r="J67" t="n">
        <v>1432.41</v>
      </c>
      <c r="K67" t="n">
        <v>1480.344</v>
      </c>
      <c r="L67" t="n">
        <v>2192.148</v>
      </c>
      <c r="M67" t="n">
        <v>2546.336</v>
      </c>
      <c r="N67" t="n">
        <v>2077.313</v>
      </c>
      <c r="O67" t="n">
        <v>2103.885</v>
      </c>
      <c r="P67" t="n">
        <v>3165.783</v>
      </c>
      <c r="Q67" t="n">
        <v>4101.912</v>
      </c>
      <c r="R67" t="n">
        <v>3752.631</v>
      </c>
      <c r="S67" t="n">
        <v>4168.639</v>
      </c>
      <c r="T67" t="n">
        <v>2860.139</v>
      </c>
      <c r="U67" t="n">
        <v>2972.105</v>
      </c>
      <c r="V67" t="n">
        <v>2801.532</v>
      </c>
      <c r="W67" t="n">
        <v>3058.367</v>
      </c>
      <c r="X67" t="n">
        <v>3104.25</v>
      </c>
      <c r="Y67" t="n">
        <v>2801.319</v>
      </c>
      <c r="Z67" t="n">
        <v>2678.095</v>
      </c>
      <c r="AA67" t="n">
        <v>2769.721</v>
      </c>
      <c r="AB67" t="n">
        <v>2797.015</v>
      </c>
      <c r="AC67" t="n">
        <v>4280.506</v>
      </c>
      <c r="AD67" t="n">
        <v>6132.378</v>
      </c>
      <c r="AE67" t="n">
        <v>5708.468</v>
      </c>
      <c r="AF67" t="n">
        <v>9168.606</v>
      </c>
      <c r="AG67" t="n">
        <v>5578.965</v>
      </c>
      <c r="AH67" t="n">
        <v>5780.214</v>
      </c>
      <c r="AI67" t="n">
        <v>6067.355</v>
      </c>
      <c r="AJ67" t="n">
        <v>8156.23</v>
      </c>
      <c r="AK67" t="n">
        <v>6756.468</v>
      </c>
      <c r="AL67" t="n">
        <v>6518.782</v>
      </c>
      <c r="AM67" t="n">
        <v>6049.894</v>
      </c>
      <c r="AN67" t="n">
        <v>6074.443</v>
      </c>
      <c r="AO67" t="n">
        <v>5491.408</v>
      </c>
      <c r="AP67" t="n">
        <v>5004.329</v>
      </c>
      <c r="AQ67" t="n">
        <v>5330.861</v>
      </c>
      <c r="AR67" t="n">
        <v>6017.915</v>
      </c>
      <c r="AS67" t="n">
        <v>6203.32</v>
      </c>
      <c r="AT67" t="n">
        <v>4905.204</v>
      </c>
      <c r="AU67" t="n">
        <v>4748.995</v>
      </c>
      <c r="AV67" t="n">
        <v>5350.895</v>
      </c>
      <c r="AW67" t="n">
        <v>4291.711</v>
      </c>
      <c r="AX67" t="n">
        <v>4679.495</v>
      </c>
      <c r="AY67" t="n">
        <v>4356.959</v>
      </c>
      <c r="AZ67" t="n">
        <v>4852.927</v>
      </c>
      <c r="BA67" t="n">
        <v>4569.082</v>
      </c>
      <c r="BB67" t="n">
        <v>2244.955</v>
      </c>
      <c r="BC67" t="n">
        <v>1624.595</v>
      </c>
      <c r="BD67" t="n">
        <v>4390.311</v>
      </c>
      <c r="BE67" t="n">
        <v>5491.689</v>
      </c>
      <c r="BF67" t="n">
        <v>4089.858</v>
      </c>
      <c r="BG67" t="n">
        <v>3714.224</v>
      </c>
      <c r="BH67" t="n">
        <v>3584.03</v>
      </c>
      <c r="BI67" t="n">
        <v>4294.148</v>
      </c>
      <c r="BJ67" t="n">
        <v>8944.281999999999</v>
      </c>
      <c r="BK67" t="n">
        <v>11558.796</v>
      </c>
      <c r="BL67" t="n">
        <v>8518.074000000001</v>
      </c>
      <c r="BM67" t="n">
        <v>10488.665</v>
      </c>
      <c r="BN67" t="n">
        <v>8084.625</v>
      </c>
      <c r="BO67" t="n">
        <v>6336.475</v>
      </c>
      <c r="BP67" t="n">
        <v>4962.368</v>
      </c>
      <c r="BQ67" t="n">
        <v>6988.691</v>
      </c>
      <c r="BR67" t="n">
        <v>6725.588</v>
      </c>
      <c r="BS67" t="n">
        <v>6175.943</v>
      </c>
      <c r="BT67" t="n">
        <v>4620.535</v>
      </c>
      <c r="BU67" t="n">
        <v>7728.07</v>
      </c>
      <c r="BV67" t="n">
        <v>6964.577</v>
      </c>
    </row>
    <row r="68">
      <c r="A68" t="inlineStr">
        <is>
          <t>Pomadasys jubelini</t>
        </is>
      </c>
      <c r="B68" t="inlineStr">
        <is>
          <t>Sompat grunt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1026.483</v>
      </c>
      <c r="F68" t="n">
        <v>1107.812</v>
      </c>
      <c r="G68" t="n">
        <v>1534.584</v>
      </c>
      <c r="H68" t="n">
        <v>1726.318</v>
      </c>
      <c r="I68" t="n">
        <v>1912.662</v>
      </c>
      <c r="J68" t="n">
        <v>2003.723</v>
      </c>
      <c r="K68" t="n">
        <v>1977.839</v>
      </c>
      <c r="L68" t="n">
        <v>1899.066</v>
      </c>
      <c r="M68" t="n">
        <v>2047.128</v>
      </c>
      <c r="N68" t="n">
        <v>2890.717</v>
      </c>
      <c r="O68" t="n">
        <v>3623.135</v>
      </c>
      <c r="P68" t="n">
        <v>3075.47</v>
      </c>
      <c r="Q68" t="n">
        <v>4066.183</v>
      </c>
      <c r="R68" t="n">
        <v>4126.402</v>
      </c>
      <c r="S68" t="n">
        <v>3997.661</v>
      </c>
      <c r="T68" t="n">
        <v>7728.725</v>
      </c>
      <c r="U68" t="n">
        <v>8725.003000000001</v>
      </c>
      <c r="V68" t="n">
        <v>6934.526</v>
      </c>
      <c r="W68" t="n">
        <v>4447.77</v>
      </c>
      <c r="X68" t="n">
        <v>5101.315</v>
      </c>
      <c r="Y68" t="n">
        <v>3708.637</v>
      </c>
      <c r="Z68" t="n">
        <v>4125.888</v>
      </c>
      <c r="AA68" t="n">
        <v>3326.413</v>
      </c>
      <c r="AB68" t="n">
        <v>3998.692</v>
      </c>
      <c r="AC68" t="n">
        <v>3950.226</v>
      </c>
      <c r="AD68" t="n">
        <v>4312.625</v>
      </c>
      <c r="AE68" t="n">
        <v>5908.429</v>
      </c>
      <c r="AF68" t="n">
        <v>6982.275</v>
      </c>
      <c r="AG68" t="n">
        <v>6668.033</v>
      </c>
      <c r="AH68" t="n">
        <v>6519.733</v>
      </c>
      <c r="AI68" t="n">
        <v>5562.735</v>
      </c>
      <c r="AJ68" t="n">
        <v>5204.811</v>
      </c>
      <c r="AK68" t="n">
        <v>5244.957</v>
      </c>
      <c r="AL68" t="n">
        <v>5548.847</v>
      </c>
      <c r="AM68" t="n">
        <v>5295.537</v>
      </c>
      <c r="AN68" t="n">
        <v>6994.76</v>
      </c>
      <c r="AO68" t="n">
        <v>6556.95</v>
      </c>
      <c r="AP68" t="n">
        <v>6233.506</v>
      </c>
      <c r="AQ68" t="n">
        <v>5856.2</v>
      </c>
      <c r="AR68" t="n">
        <v>5744.988</v>
      </c>
      <c r="AS68" t="n">
        <v>5797.299</v>
      </c>
      <c r="AT68" t="n">
        <v>5724.007</v>
      </c>
      <c r="AU68" t="n">
        <v>5143.184</v>
      </c>
      <c r="AV68" t="n">
        <v>4744.176</v>
      </c>
      <c r="AW68" t="n">
        <v>5874.381</v>
      </c>
      <c r="AX68" t="n">
        <v>6425.336</v>
      </c>
      <c r="AY68" t="n">
        <v>5295.341</v>
      </c>
      <c r="AZ68" t="n">
        <v>4479.612</v>
      </c>
      <c r="BA68" t="n">
        <v>4889.57</v>
      </c>
      <c r="BB68" t="n">
        <v>4278.762</v>
      </c>
      <c r="BC68" t="n">
        <v>5319.807</v>
      </c>
      <c r="BD68" t="n">
        <v>3945.416</v>
      </c>
      <c r="BE68" t="n">
        <v>5222.005</v>
      </c>
      <c r="BF68" t="n">
        <v>4353.22</v>
      </c>
      <c r="BG68" t="n">
        <v>4804.061</v>
      </c>
      <c r="BH68" t="n">
        <v>4272.905</v>
      </c>
      <c r="BI68" t="n">
        <v>3766.176</v>
      </c>
      <c r="BJ68" t="n">
        <v>4231.178</v>
      </c>
      <c r="BK68" t="n">
        <v>4411.201</v>
      </c>
      <c r="BL68" t="n">
        <v>3886.621</v>
      </c>
      <c r="BM68" t="n">
        <v>4428.057</v>
      </c>
      <c r="BN68" t="n">
        <v>4471.961</v>
      </c>
      <c r="BO68" t="n">
        <v>4893.645</v>
      </c>
      <c r="BP68" t="n">
        <v>5641.877</v>
      </c>
      <c r="BQ68" t="n">
        <v>5085.889</v>
      </c>
      <c r="BR68" t="n">
        <v>5047.599</v>
      </c>
      <c r="BS68" t="n">
        <v>5907.352</v>
      </c>
      <c r="BT68" t="n">
        <v>5114.459</v>
      </c>
      <c r="BU68" t="n">
        <v>3339.329</v>
      </c>
      <c r="BV68" t="n">
        <v>2940.843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n">
        <v>446.824</v>
      </c>
      <c r="F69" t="n">
        <v>423.449</v>
      </c>
      <c r="G69" t="n">
        <v>425.036</v>
      </c>
      <c r="H69" t="n">
        <v>426.971</v>
      </c>
      <c r="I69" t="n">
        <v>429.82</v>
      </c>
      <c r="J69" t="n">
        <v>432.712</v>
      </c>
      <c r="K69" t="n">
        <v>435.646</v>
      </c>
      <c r="L69" t="n">
        <v>438.623</v>
      </c>
      <c r="M69" t="n">
        <v>452.594</v>
      </c>
      <c r="N69" t="n">
        <v>464.354</v>
      </c>
      <c r="O69" t="n">
        <v>478.295</v>
      </c>
      <c r="P69" t="n">
        <v>501.604</v>
      </c>
      <c r="Q69" t="n">
        <v>541.388</v>
      </c>
      <c r="R69" t="n">
        <v>512.895</v>
      </c>
      <c r="S69" t="n">
        <v>493.413</v>
      </c>
      <c r="T69" t="n">
        <v>1377.648</v>
      </c>
      <c r="U69" t="n">
        <v>884.184</v>
      </c>
      <c r="V69" t="n">
        <v>3433.12</v>
      </c>
      <c r="W69" t="n">
        <v>4001.945</v>
      </c>
      <c r="X69" t="n">
        <v>11329.148</v>
      </c>
      <c r="Y69" t="n">
        <v>6087.492</v>
      </c>
      <c r="Z69" t="n">
        <v>2686.317</v>
      </c>
      <c r="AA69" t="n">
        <v>6678.912</v>
      </c>
      <c r="AB69" t="n">
        <v>3358.394</v>
      </c>
      <c r="AC69" t="n">
        <v>6947.309</v>
      </c>
      <c r="AD69" t="n">
        <v>6186.994</v>
      </c>
      <c r="AE69" t="n">
        <v>4648.937</v>
      </c>
      <c r="AF69" t="n">
        <v>12747.108</v>
      </c>
      <c r="AG69" t="n">
        <v>2021.303</v>
      </c>
      <c r="AH69" t="n">
        <v>4532.998</v>
      </c>
      <c r="AI69" t="n">
        <v>7452.107</v>
      </c>
      <c r="AJ69" t="n">
        <v>3433.05</v>
      </c>
      <c r="AK69" t="n">
        <v>5235.295</v>
      </c>
      <c r="AL69" t="n">
        <v>5597.26</v>
      </c>
      <c r="AM69" t="n">
        <v>4253.834</v>
      </c>
      <c r="AN69" t="n">
        <v>4037.831</v>
      </c>
      <c r="AO69" t="n">
        <v>3957.622</v>
      </c>
      <c r="AP69" t="n">
        <v>7057.492</v>
      </c>
      <c r="AQ69" t="n">
        <v>4353.834</v>
      </c>
      <c r="AR69" t="n">
        <v>4514.608</v>
      </c>
      <c r="AS69" t="n">
        <v>6442.643</v>
      </c>
      <c r="AT69" t="n">
        <v>10428.831</v>
      </c>
      <c r="AU69" t="n">
        <v>7017.522</v>
      </c>
      <c r="AV69" t="n">
        <v>10216.393</v>
      </c>
      <c r="AW69" t="n">
        <v>8337.537</v>
      </c>
      <c r="AX69" t="n">
        <v>4316.966</v>
      </c>
      <c r="AY69" t="n">
        <v>5424.93</v>
      </c>
      <c r="AZ69" t="n">
        <v>4415.145</v>
      </c>
      <c r="BA69" t="n">
        <v>3662.141</v>
      </c>
      <c r="BB69" t="n">
        <v>3316.188</v>
      </c>
      <c r="BC69" t="n">
        <v>4084.403</v>
      </c>
      <c r="BD69" t="n">
        <v>5463.626</v>
      </c>
      <c r="BE69" t="n">
        <v>1930.937</v>
      </c>
      <c r="BF69" t="n">
        <v>2732.428</v>
      </c>
      <c r="BG69" t="n">
        <v>3532.446</v>
      </c>
      <c r="BH69" t="n">
        <v>2664.428</v>
      </c>
      <c r="BI69" t="n">
        <v>3854.071</v>
      </c>
      <c r="BJ69" t="n">
        <v>6141.571</v>
      </c>
      <c r="BK69" t="n">
        <v>4460.103</v>
      </c>
      <c r="BL69" t="n">
        <v>7017.5</v>
      </c>
      <c r="BM69" t="n">
        <v>7791.164</v>
      </c>
      <c r="BN69" t="n">
        <v>8346.601000000001</v>
      </c>
      <c r="BO69" t="n">
        <v>8842.016</v>
      </c>
      <c r="BP69" t="n">
        <v>12826.53</v>
      </c>
      <c r="BQ69" t="n">
        <v>6545.593</v>
      </c>
      <c r="BR69" t="n">
        <v>9472.409</v>
      </c>
      <c r="BS69" t="n">
        <v>10310.901</v>
      </c>
      <c r="BT69" t="n">
        <v>6691.023</v>
      </c>
      <c r="BU69" t="n">
        <v>2878.427</v>
      </c>
      <c r="BV69" t="n">
        <v>3136.604</v>
      </c>
    </row>
    <row r="70">
      <c r="A70" t="inlineStr">
        <is>
          <t>Elops lacerta</t>
        </is>
      </c>
      <c r="B70" t="inlineStr">
        <is>
          <t>West African ladyfish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2659.578</v>
      </c>
      <c r="F70" t="n">
        <v>2733.572</v>
      </c>
      <c r="G70" t="n">
        <v>2807.266</v>
      </c>
      <c r="H70" t="n">
        <v>2880.681</v>
      </c>
      <c r="I70" t="n">
        <v>2939.984</v>
      </c>
      <c r="J70" t="n">
        <v>3012.896</v>
      </c>
      <c r="K70" t="n">
        <v>3076.15</v>
      </c>
      <c r="L70" t="n">
        <v>3161.872</v>
      </c>
      <c r="M70" t="n">
        <v>3227.853</v>
      </c>
      <c r="N70" t="n">
        <v>3306.592</v>
      </c>
      <c r="O70" t="n">
        <v>3394.856</v>
      </c>
      <c r="P70" t="n">
        <v>3480.026</v>
      </c>
      <c r="Q70" t="n">
        <v>3561.428</v>
      </c>
      <c r="R70" t="n">
        <v>3652.084</v>
      </c>
      <c r="S70" t="n">
        <v>3733.708</v>
      </c>
      <c r="T70" t="n">
        <v>3826.466</v>
      </c>
      <c r="U70" t="n">
        <v>3909.358</v>
      </c>
      <c r="V70" t="n">
        <v>3947.816</v>
      </c>
      <c r="W70" t="n">
        <v>4057.458</v>
      </c>
      <c r="X70" t="n">
        <v>4166.73</v>
      </c>
      <c r="Y70" t="n">
        <v>4218.703</v>
      </c>
      <c r="Z70" t="n">
        <v>5552.347</v>
      </c>
      <c r="AA70" t="n">
        <v>5838.17</v>
      </c>
      <c r="AB70" t="n">
        <v>5867.047</v>
      </c>
      <c r="AC70" t="n">
        <v>5991.538</v>
      </c>
      <c r="AD70" t="n">
        <v>5998.488</v>
      </c>
      <c r="AE70" t="n">
        <v>5226.1</v>
      </c>
      <c r="AF70" t="n">
        <v>5416.744</v>
      </c>
      <c r="AG70" t="n">
        <v>5735.878</v>
      </c>
      <c r="AH70" t="n">
        <v>5747.394</v>
      </c>
      <c r="AI70" t="n">
        <v>3423.763</v>
      </c>
      <c r="AJ70" t="n">
        <v>2615.058</v>
      </c>
      <c r="AK70" t="n">
        <v>2641.811</v>
      </c>
      <c r="AL70" t="n">
        <v>4721.051</v>
      </c>
      <c r="AM70" t="n">
        <v>4725.905</v>
      </c>
      <c r="AN70" t="n">
        <v>3951.446</v>
      </c>
      <c r="AO70" t="n">
        <v>3993.548</v>
      </c>
      <c r="AP70" t="n">
        <v>3397.672</v>
      </c>
      <c r="AQ70" t="n">
        <v>3345.229</v>
      </c>
      <c r="AR70" t="n">
        <v>4066.564</v>
      </c>
      <c r="AS70" t="n">
        <v>3745.783</v>
      </c>
      <c r="AT70" t="n">
        <v>3826.609</v>
      </c>
      <c r="AU70" t="n">
        <v>3702.803</v>
      </c>
      <c r="AV70" t="n">
        <v>3584.471</v>
      </c>
      <c r="AW70" t="n">
        <v>3472.243</v>
      </c>
      <c r="AX70" t="n">
        <v>4774.116</v>
      </c>
      <c r="AY70" t="n">
        <v>3996.514</v>
      </c>
      <c r="AZ70" t="n">
        <v>4409.285</v>
      </c>
      <c r="BA70" t="n">
        <v>5199.48</v>
      </c>
      <c r="BB70" t="n">
        <v>5479.314</v>
      </c>
      <c r="BC70" t="n">
        <v>4330.743</v>
      </c>
      <c r="BD70" t="n">
        <v>4012.895</v>
      </c>
      <c r="BE70" t="n">
        <v>4498.347</v>
      </c>
      <c r="BF70" t="n">
        <v>4051.705</v>
      </c>
      <c r="BG70" t="n">
        <v>3889.266</v>
      </c>
      <c r="BH70" t="n">
        <v>5032.784</v>
      </c>
      <c r="BI70" t="n">
        <v>5572.606</v>
      </c>
      <c r="BJ70" t="n">
        <v>5321.385</v>
      </c>
      <c r="BK70" t="n">
        <v>5262.305</v>
      </c>
      <c r="BL70" t="n">
        <v>5450.218</v>
      </c>
      <c r="BM70" t="n">
        <v>5877.552</v>
      </c>
      <c r="BN70" t="n">
        <v>6247.163</v>
      </c>
      <c r="BO70" t="n">
        <v>5891.899</v>
      </c>
      <c r="BP70" t="n">
        <v>5357.771</v>
      </c>
      <c r="BQ70" t="n">
        <v>5107.388</v>
      </c>
      <c r="BR70" t="n">
        <v>5237.91</v>
      </c>
      <c r="BS70" t="n">
        <v>5147.457</v>
      </c>
      <c r="BT70" t="n">
        <v>6538.252</v>
      </c>
      <c r="BU70" t="n">
        <v>5851.223</v>
      </c>
      <c r="BV70" t="n">
        <v>4463.229</v>
      </c>
    </row>
    <row r="71">
      <c r="A71" t="inlineStr">
        <is>
          <t>Pseudotolithus typus</t>
        </is>
      </c>
      <c r="B71" t="inlineStr">
        <is>
          <t>Longneck croaker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426.987</v>
      </c>
      <c r="F71" t="n">
        <v>517.779</v>
      </c>
      <c r="G71" t="n">
        <v>568.467</v>
      </c>
      <c r="H71" t="n">
        <v>544.641</v>
      </c>
      <c r="I71" t="n">
        <v>602.9400000000001</v>
      </c>
      <c r="J71" t="n">
        <v>514.121</v>
      </c>
      <c r="K71" t="n">
        <v>585.724</v>
      </c>
      <c r="L71" t="n">
        <v>673.735</v>
      </c>
      <c r="M71" t="n">
        <v>915.23</v>
      </c>
      <c r="N71" t="n">
        <v>1239.085</v>
      </c>
      <c r="O71" t="n">
        <v>1570.244</v>
      </c>
      <c r="P71" t="n">
        <v>1866.779</v>
      </c>
      <c r="Q71" t="n">
        <v>2183.065</v>
      </c>
      <c r="R71" t="n">
        <v>2518.196</v>
      </c>
      <c r="S71" t="n">
        <v>2861.175</v>
      </c>
      <c r="T71" t="n">
        <v>3151.499</v>
      </c>
      <c r="U71" t="n">
        <v>3381.54</v>
      </c>
      <c r="V71" t="n">
        <v>3612.702</v>
      </c>
      <c r="W71" t="n">
        <v>3679.322</v>
      </c>
      <c r="X71" t="n">
        <v>3752.842</v>
      </c>
      <c r="Y71" t="n">
        <v>3836.617</v>
      </c>
      <c r="Z71" t="n">
        <v>3919.667</v>
      </c>
      <c r="AA71" t="n">
        <v>4003.471</v>
      </c>
      <c r="AB71" t="n">
        <v>3865.081</v>
      </c>
      <c r="AC71" t="n">
        <v>3950.11</v>
      </c>
      <c r="AD71" t="n">
        <v>4116.283</v>
      </c>
      <c r="AE71" t="n">
        <v>4748.187</v>
      </c>
      <c r="AF71" t="n">
        <v>5437.175</v>
      </c>
      <c r="AG71" t="n">
        <v>5553.801</v>
      </c>
      <c r="AH71" t="n">
        <v>5472.287</v>
      </c>
      <c r="AI71" t="n">
        <v>6453.432</v>
      </c>
      <c r="AJ71" t="n">
        <v>7532.416</v>
      </c>
      <c r="AK71" t="n">
        <v>7986.872</v>
      </c>
      <c r="AL71" t="n">
        <v>8787.869000000001</v>
      </c>
      <c r="AM71" t="n">
        <v>8286.152</v>
      </c>
      <c r="AN71" t="n">
        <v>7942.931</v>
      </c>
      <c r="AO71" t="n">
        <v>7552.444</v>
      </c>
      <c r="AP71" t="n">
        <v>6847.724</v>
      </c>
      <c r="AQ71" t="n">
        <v>6841.98</v>
      </c>
      <c r="AR71" t="n">
        <v>6043.523</v>
      </c>
      <c r="AS71" t="n">
        <v>5660.597</v>
      </c>
      <c r="AT71" t="n">
        <v>5656.349</v>
      </c>
      <c r="AU71" t="n">
        <v>6034.184</v>
      </c>
      <c r="AV71" t="n">
        <v>6210.888</v>
      </c>
      <c r="AW71" t="n">
        <v>7239.136</v>
      </c>
      <c r="AX71" t="n">
        <v>6960.637</v>
      </c>
      <c r="AY71" t="n">
        <v>5353.37</v>
      </c>
      <c r="AZ71" t="n">
        <v>5948.368</v>
      </c>
      <c r="BA71" t="n">
        <v>5482.821</v>
      </c>
      <c r="BB71" t="n">
        <v>5460.883</v>
      </c>
      <c r="BC71" t="n">
        <v>6524.268</v>
      </c>
      <c r="BD71" t="n">
        <v>6463.056</v>
      </c>
      <c r="BE71" t="n">
        <v>7182.453</v>
      </c>
      <c r="BF71" t="n">
        <v>7138.92</v>
      </c>
      <c r="BG71" t="n">
        <v>7214.062</v>
      </c>
      <c r="BH71" t="n">
        <v>6880.05</v>
      </c>
      <c r="BI71" t="n">
        <v>5627.372</v>
      </c>
      <c r="BJ71" t="n">
        <v>4165.16</v>
      </c>
      <c r="BK71" t="n">
        <v>3701.372</v>
      </c>
      <c r="BL71" t="n">
        <v>3556.344</v>
      </c>
      <c r="BM71" t="n">
        <v>3437.168</v>
      </c>
      <c r="BN71" t="n">
        <v>4323.494</v>
      </c>
      <c r="BO71" t="n">
        <v>3733.357</v>
      </c>
      <c r="BP71" t="n">
        <v>3495.41</v>
      </c>
      <c r="BQ71" t="n">
        <v>3027.896</v>
      </c>
      <c r="BR71" t="n">
        <v>2821.978</v>
      </c>
      <c r="BS71" t="n">
        <v>2639.129</v>
      </c>
      <c r="BT71" t="n">
        <v>2457.897</v>
      </c>
      <c r="BU71" t="n">
        <v>2460.54</v>
      </c>
      <c r="BV71" t="n">
        <v>2672.879</v>
      </c>
    </row>
    <row r="72">
      <c r="A72" t="inlineStr">
        <is>
          <t>Octopus vulgaris</t>
        </is>
      </c>
      <c r="B72" t="inlineStr">
        <is>
          <t>Common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5.331</v>
      </c>
      <c r="F72" t="n">
        <v>5.364</v>
      </c>
      <c r="G72" t="n">
        <v>5.399</v>
      </c>
      <c r="H72" t="n">
        <v>5.433</v>
      </c>
      <c r="I72" t="n">
        <v>5.468</v>
      </c>
      <c r="J72" t="n">
        <v>5.504</v>
      </c>
      <c r="K72" t="n">
        <v>5.54</v>
      </c>
      <c r="L72" t="n">
        <v>5.577</v>
      </c>
      <c r="M72" t="n">
        <v>5.655</v>
      </c>
      <c r="N72" t="n">
        <v>5.734</v>
      </c>
      <c r="O72" t="n">
        <v>5.813</v>
      </c>
      <c r="P72" t="n">
        <v>6.013</v>
      </c>
      <c r="Q72" t="n">
        <v>100.688</v>
      </c>
      <c r="R72" t="n">
        <v>209.572</v>
      </c>
      <c r="S72" t="n">
        <v>235.633</v>
      </c>
      <c r="T72" t="n">
        <v>407.185</v>
      </c>
      <c r="U72" t="n">
        <v>463.608</v>
      </c>
      <c r="V72" t="n">
        <v>669.676</v>
      </c>
      <c r="W72" t="n">
        <v>3301.151</v>
      </c>
      <c r="X72" t="n">
        <v>2320.856</v>
      </c>
      <c r="Y72" t="n">
        <v>1413.884</v>
      </c>
      <c r="Z72" t="n">
        <v>1294.357</v>
      </c>
      <c r="AA72" t="n">
        <v>5084.517</v>
      </c>
      <c r="AB72" t="n">
        <v>3354.371</v>
      </c>
      <c r="AC72" t="n">
        <v>3987.588</v>
      </c>
      <c r="AD72" t="n">
        <v>3851.226</v>
      </c>
      <c r="AE72" t="n">
        <v>3100.099</v>
      </c>
      <c r="AF72" t="n">
        <v>2184.779</v>
      </c>
      <c r="AG72" t="n">
        <v>2565.798</v>
      </c>
      <c r="AH72" t="n">
        <v>1654.359</v>
      </c>
      <c r="AI72" t="n">
        <v>9177.699000000001</v>
      </c>
      <c r="AJ72" t="n">
        <v>16555.417</v>
      </c>
      <c r="AK72" t="n">
        <v>9968.133</v>
      </c>
      <c r="AL72" t="n">
        <v>17551.046</v>
      </c>
      <c r="AM72" t="n">
        <v>9610.184999999999</v>
      </c>
      <c r="AN72" t="n">
        <v>9873.804</v>
      </c>
      <c r="AO72" t="n">
        <v>9424.772000000001</v>
      </c>
      <c r="AP72" t="n">
        <v>10101.327</v>
      </c>
      <c r="AQ72" t="n">
        <v>6980.513</v>
      </c>
      <c r="AR72" t="n">
        <v>7116.467</v>
      </c>
      <c r="AS72" t="n">
        <v>7261.721</v>
      </c>
      <c r="AT72" t="n">
        <v>8980.114</v>
      </c>
      <c r="AU72" t="n">
        <v>8135.125</v>
      </c>
      <c r="AV72" t="n">
        <v>8282.018</v>
      </c>
      <c r="AW72" t="n">
        <v>8583.523999999999</v>
      </c>
      <c r="AX72" t="n">
        <v>9144.244000000001</v>
      </c>
      <c r="AY72" t="n">
        <v>12784.505</v>
      </c>
      <c r="AZ72" t="n">
        <v>7826.736</v>
      </c>
      <c r="BA72" t="n">
        <v>14048.545</v>
      </c>
      <c r="BB72" t="n">
        <v>10054.724</v>
      </c>
      <c r="BC72" t="n">
        <v>5823.054</v>
      </c>
      <c r="BD72" t="n">
        <v>7260.096</v>
      </c>
      <c r="BE72" t="n">
        <v>3918.626</v>
      </c>
      <c r="BF72" t="n">
        <v>6047.176</v>
      </c>
      <c r="BG72" t="n">
        <v>4231.473</v>
      </c>
      <c r="BH72" t="n">
        <v>4967.36</v>
      </c>
      <c r="BI72" t="n">
        <v>5273.969</v>
      </c>
      <c r="BJ72" t="n">
        <v>2975.95</v>
      </c>
      <c r="BK72" t="n">
        <v>3529.616</v>
      </c>
      <c r="BL72" t="n">
        <v>3237.792</v>
      </c>
      <c r="BM72" t="n">
        <v>2082.43</v>
      </c>
      <c r="BN72" t="n">
        <v>2432.081</v>
      </c>
      <c r="BO72" t="n">
        <v>1503.928</v>
      </c>
      <c r="BP72" t="n">
        <v>151.123</v>
      </c>
      <c r="BQ72" t="n">
        <v>192.188</v>
      </c>
      <c r="BR72" t="n">
        <v>448.028</v>
      </c>
      <c r="BS72" t="n">
        <v>357.551</v>
      </c>
      <c r="BT72" t="n">
        <v>1841.012</v>
      </c>
      <c r="BU72" t="n">
        <v>2749.436</v>
      </c>
      <c r="BV72" t="n">
        <v>2444.938</v>
      </c>
    </row>
    <row r="73">
      <c r="A73" t="inlineStr">
        <is>
          <t>Lutjanus</t>
        </is>
      </c>
      <c r="B73" t="inlineStr">
        <is>
          <t>Snappers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2723.804</v>
      </c>
      <c r="F73" t="n">
        <v>2793.972</v>
      </c>
      <c r="G73" t="n">
        <v>2865.323</v>
      </c>
      <c r="H73" t="n">
        <v>2927.774</v>
      </c>
      <c r="I73" t="n">
        <v>3007.972</v>
      </c>
      <c r="J73" t="n">
        <v>3066.065</v>
      </c>
      <c r="K73" t="n">
        <v>3129.163</v>
      </c>
      <c r="L73" t="n">
        <v>3172.497</v>
      </c>
      <c r="M73" t="n">
        <v>3238.231</v>
      </c>
      <c r="N73" t="n">
        <v>3291.756</v>
      </c>
      <c r="O73" t="n">
        <v>3347.226</v>
      </c>
      <c r="P73" t="n">
        <v>3476.345</v>
      </c>
      <c r="Q73" t="n">
        <v>3547.198</v>
      </c>
      <c r="R73" t="n">
        <v>3594.631</v>
      </c>
      <c r="S73" t="n">
        <v>3605.454</v>
      </c>
      <c r="T73" t="n">
        <v>3692.725</v>
      </c>
      <c r="U73" t="n">
        <v>3688.7</v>
      </c>
      <c r="V73" t="n">
        <v>3788.774</v>
      </c>
      <c r="W73" t="n">
        <v>3684.496</v>
      </c>
      <c r="X73" t="n">
        <v>4293.91</v>
      </c>
      <c r="Y73" t="n">
        <v>4772.923</v>
      </c>
      <c r="Z73" t="n">
        <v>3202.713</v>
      </c>
      <c r="AA73" t="n">
        <v>2373.309</v>
      </c>
      <c r="AB73" t="n">
        <v>2409.405</v>
      </c>
      <c r="AC73" t="n">
        <v>2486.259</v>
      </c>
      <c r="AD73" t="n">
        <v>2373.783</v>
      </c>
      <c r="AE73" t="n">
        <v>2828.962</v>
      </c>
      <c r="AF73" t="n">
        <v>3580.279</v>
      </c>
      <c r="AG73" t="n">
        <v>3861.227</v>
      </c>
      <c r="AH73" t="n">
        <v>3406.039</v>
      </c>
      <c r="AI73" t="n">
        <v>3283.271</v>
      </c>
      <c r="AJ73" t="n">
        <v>3689.134</v>
      </c>
      <c r="AK73" t="n">
        <v>3487.345</v>
      </c>
      <c r="AL73" t="n">
        <v>3393.145</v>
      </c>
      <c r="AM73" t="n">
        <v>3624.779</v>
      </c>
      <c r="AN73" t="n">
        <v>3645.903</v>
      </c>
      <c r="AO73" t="n">
        <v>3748.272</v>
      </c>
      <c r="AP73" t="n">
        <v>4151.643</v>
      </c>
      <c r="AQ73" t="n">
        <v>4907.775</v>
      </c>
      <c r="AR73" t="n">
        <v>4633.316</v>
      </c>
      <c r="AS73" t="n">
        <v>4398.359</v>
      </c>
      <c r="AT73" t="n">
        <v>4309.196</v>
      </c>
      <c r="AU73" t="n">
        <v>3920.556</v>
      </c>
      <c r="AV73" t="n">
        <v>4106.057</v>
      </c>
      <c r="AW73" t="n">
        <v>3785.953</v>
      </c>
      <c r="AX73" t="n">
        <v>3867.309</v>
      </c>
      <c r="AY73" t="n">
        <v>3391.934</v>
      </c>
      <c r="AZ73" t="n">
        <v>3255.678</v>
      </c>
      <c r="BA73" t="n">
        <v>3524.569</v>
      </c>
      <c r="BB73" t="n">
        <v>4882.314</v>
      </c>
      <c r="BC73" t="n">
        <v>4157.601</v>
      </c>
      <c r="BD73" t="n">
        <v>4124.357</v>
      </c>
      <c r="BE73" t="n">
        <v>4380.127</v>
      </c>
      <c r="BF73" t="n">
        <v>3595.285</v>
      </c>
      <c r="BG73" t="n">
        <v>4615.689</v>
      </c>
      <c r="BH73" t="n">
        <v>4942.304</v>
      </c>
      <c r="BI73" t="n">
        <v>5087.041</v>
      </c>
      <c r="BJ73" t="n">
        <v>5514.618</v>
      </c>
      <c r="BK73" t="n">
        <v>3903.809</v>
      </c>
      <c r="BL73" t="n">
        <v>4551.563</v>
      </c>
      <c r="BM73" t="n">
        <v>4072.993</v>
      </c>
      <c r="BN73" t="n">
        <v>4033.565</v>
      </c>
      <c r="BO73" t="n">
        <v>5903.007</v>
      </c>
      <c r="BP73" t="n">
        <v>4157.991</v>
      </c>
      <c r="BQ73" t="n">
        <v>4647.439</v>
      </c>
      <c r="BR73" t="n">
        <v>7413.872</v>
      </c>
      <c r="BS73" t="n">
        <v>5874.821</v>
      </c>
      <c r="BT73" t="n">
        <v>7890.036</v>
      </c>
      <c r="BU73" t="n">
        <v>7488.266</v>
      </c>
      <c r="BV73" t="n">
        <v>8962.048000000001</v>
      </c>
    </row>
    <row r="74">
      <c r="A74" t="inlineStr">
        <is>
          <t>Drepane africana</t>
        </is>
      </c>
      <c r="B74" t="inlineStr">
        <is>
          <t>African sicklefish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270.348</v>
      </c>
      <c r="F74" t="n">
        <v>282.117</v>
      </c>
      <c r="G74" t="n">
        <v>293.363</v>
      </c>
      <c r="H74" t="n">
        <v>301.1</v>
      </c>
      <c r="I74" t="n">
        <v>254.404</v>
      </c>
      <c r="J74" t="n">
        <v>253.323</v>
      </c>
      <c r="K74" t="n">
        <v>252.95</v>
      </c>
      <c r="L74" t="n">
        <v>294.517</v>
      </c>
      <c r="M74" t="n">
        <v>313.837</v>
      </c>
      <c r="N74" t="n">
        <v>322.842</v>
      </c>
      <c r="O74" t="n">
        <v>339.273</v>
      </c>
      <c r="P74" t="n">
        <v>377.341</v>
      </c>
      <c r="Q74" t="n">
        <v>402.209</v>
      </c>
      <c r="R74" t="n">
        <v>412.586</v>
      </c>
      <c r="S74" t="n">
        <v>443.755</v>
      </c>
      <c r="T74" t="n">
        <v>2705.694</v>
      </c>
      <c r="U74" t="n">
        <v>3047.278</v>
      </c>
      <c r="V74" t="n">
        <v>1346.316</v>
      </c>
      <c r="W74" t="n">
        <v>1282.285</v>
      </c>
      <c r="X74" t="n">
        <v>2212.375</v>
      </c>
      <c r="Y74" t="n">
        <v>2727.682</v>
      </c>
      <c r="Z74" t="n">
        <v>3140.644</v>
      </c>
      <c r="AA74" t="n">
        <v>3650.109</v>
      </c>
      <c r="AB74" t="n">
        <v>3951.108</v>
      </c>
      <c r="AC74" t="n">
        <v>3790.075</v>
      </c>
      <c r="AD74" t="n">
        <v>3733.346</v>
      </c>
      <c r="AE74" t="n">
        <v>4907.412</v>
      </c>
      <c r="AF74" t="n">
        <v>5813.42</v>
      </c>
      <c r="AG74" t="n">
        <v>6891.025</v>
      </c>
      <c r="AH74" t="n">
        <v>5693.185</v>
      </c>
      <c r="AI74" t="n">
        <v>4244.323</v>
      </c>
      <c r="AJ74" t="n">
        <v>4278.438</v>
      </c>
      <c r="AK74" t="n">
        <v>3960.469</v>
      </c>
      <c r="AL74" t="n">
        <v>4167.985</v>
      </c>
      <c r="AM74" t="n">
        <v>3965.512</v>
      </c>
      <c r="AN74" t="n">
        <v>5025.59</v>
      </c>
      <c r="AO74" t="n">
        <v>6159.885</v>
      </c>
      <c r="AP74" t="n">
        <v>5046.73</v>
      </c>
      <c r="AQ74" t="n">
        <v>4691.544</v>
      </c>
      <c r="AR74" t="n">
        <v>5346.455</v>
      </c>
      <c r="AS74" t="n">
        <v>5692.647</v>
      </c>
      <c r="AT74" t="n">
        <v>5814.901</v>
      </c>
      <c r="AU74" t="n">
        <v>4695.526</v>
      </c>
      <c r="AV74" t="n">
        <v>4669.961</v>
      </c>
      <c r="AW74" t="n">
        <v>5052.667</v>
      </c>
      <c r="AX74" t="n">
        <v>4920.665</v>
      </c>
      <c r="AY74" t="n">
        <v>4536.012</v>
      </c>
      <c r="AZ74" t="n">
        <v>6092.005</v>
      </c>
      <c r="BA74" t="n">
        <v>5073.919</v>
      </c>
      <c r="BB74" t="n">
        <v>4722.231</v>
      </c>
      <c r="BC74" t="n">
        <v>6974.26</v>
      </c>
      <c r="BD74" t="n">
        <v>6115.368</v>
      </c>
      <c r="BE74" t="n">
        <v>5760.054</v>
      </c>
      <c r="BF74" t="n">
        <v>5442.804</v>
      </c>
      <c r="BG74" t="n">
        <v>5887.208</v>
      </c>
      <c r="BH74" t="n">
        <v>6033.751</v>
      </c>
      <c r="BI74" t="n">
        <v>9503.758</v>
      </c>
      <c r="BJ74" t="n">
        <v>6334.178</v>
      </c>
      <c r="BK74" t="n">
        <v>13179.765</v>
      </c>
      <c r="BL74" t="n">
        <v>6722.64</v>
      </c>
      <c r="BM74" t="n">
        <v>6611.988</v>
      </c>
      <c r="BN74" t="n">
        <v>5131.852</v>
      </c>
      <c r="BO74" t="n">
        <v>4445.451</v>
      </c>
      <c r="BP74" t="n">
        <v>4299.802</v>
      </c>
      <c r="BQ74" t="n">
        <v>5705.577</v>
      </c>
      <c r="BR74" t="n">
        <v>5184.106</v>
      </c>
      <c r="BS74" t="n">
        <v>3535.498</v>
      </c>
      <c r="BT74" t="n">
        <v>5223.896</v>
      </c>
      <c r="BU74" t="n">
        <v>5164.726</v>
      </c>
      <c r="BV74" t="n">
        <v>5168.301</v>
      </c>
    </row>
    <row r="75">
      <c r="A75" t="inlineStr">
        <is>
          <t>Scomber colias</t>
        </is>
      </c>
      <c r="B75" t="inlineStr">
        <is>
          <t>Atlantic chub mackerel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23.801</v>
      </c>
      <c r="L75" t="n">
        <v>15.205</v>
      </c>
      <c r="M75" t="n">
        <v>0.571</v>
      </c>
      <c r="N75" t="n">
        <v>2.182</v>
      </c>
      <c r="O75" t="n">
        <v>15.873</v>
      </c>
      <c r="P75" t="n">
        <v>96.575</v>
      </c>
      <c r="Q75" t="n">
        <v>396.84</v>
      </c>
      <c r="R75" t="n">
        <v>482.749</v>
      </c>
      <c r="S75" t="n">
        <v>1106.962</v>
      </c>
      <c r="T75" t="n">
        <v>482.479</v>
      </c>
      <c r="U75" t="n">
        <v>261.659</v>
      </c>
      <c r="V75" t="n">
        <v>469.172</v>
      </c>
      <c r="W75" t="n">
        <v>1024.445</v>
      </c>
      <c r="X75" t="n">
        <v>1566.993</v>
      </c>
      <c r="Y75" t="n">
        <v>1325.581</v>
      </c>
      <c r="Z75" t="n">
        <v>1105.313</v>
      </c>
      <c r="AA75" t="n">
        <v>1422.747</v>
      </c>
      <c r="AB75" t="n">
        <v>992.259</v>
      </c>
      <c r="AC75" t="n">
        <v>971.523</v>
      </c>
      <c r="AD75" t="n">
        <v>1049.574</v>
      </c>
      <c r="AE75" t="n">
        <v>1060.113</v>
      </c>
      <c r="AF75" t="n">
        <v>2367.981</v>
      </c>
      <c r="AG75" t="n">
        <v>829.345</v>
      </c>
      <c r="AH75" t="n">
        <v>3745.838</v>
      </c>
      <c r="AI75" t="n">
        <v>5884.776</v>
      </c>
      <c r="AJ75" t="n">
        <v>5194.193</v>
      </c>
      <c r="AK75" t="n">
        <v>7482.793</v>
      </c>
      <c r="AL75" t="n">
        <v>6407.672</v>
      </c>
      <c r="AM75" t="n">
        <v>4427.321</v>
      </c>
      <c r="AN75" t="n">
        <v>3247.184</v>
      </c>
      <c r="AO75" t="n">
        <v>4988.153</v>
      </c>
      <c r="AP75" t="n">
        <v>4580.409</v>
      </c>
      <c r="AQ75" t="n">
        <v>10507.93</v>
      </c>
      <c r="AR75" t="n">
        <v>15161.733</v>
      </c>
      <c r="AS75" t="n">
        <v>1780.626</v>
      </c>
      <c r="AT75" t="n">
        <v>1151.752</v>
      </c>
      <c r="AU75" t="n">
        <v>322.866</v>
      </c>
      <c r="AV75" t="n">
        <v>238.246</v>
      </c>
      <c r="AW75" t="n">
        <v>371.477</v>
      </c>
      <c r="AX75" t="n">
        <v>542.4299999999999</v>
      </c>
      <c r="AY75" t="n">
        <v>843.131</v>
      </c>
      <c r="AZ75" t="n">
        <v>610.931</v>
      </c>
      <c r="BA75" t="n">
        <v>578.832</v>
      </c>
      <c r="BB75" t="n">
        <v>401.882</v>
      </c>
      <c r="BC75" t="n">
        <v>747.371</v>
      </c>
      <c r="BD75" t="n">
        <v>224.2</v>
      </c>
      <c r="BE75" t="n">
        <v>270.67</v>
      </c>
      <c r="BF75" t="n">
        <v>157.077</v>
      </c>
      <c r="BG75" t="n">
        <v>459.251</v>
      </c>
      <c r="BH75" t="n">
        <v>268.718</v>
      </c>
      <c r="BI75" t="n">
        <v>368.392</v>
      </c>
      <c r="BJ75" t="n">
        <v>340.498</v>
      </c>
      <c r="BK75" t="n">
        <v>392.038</v>
      </c>
      <c r="BL75" t="n">
        <v>224.01</v>
      </c>
      <c r="BM75" t="n">
        <v>5152.801</v>
      </c>
      <c r="BN75" t="n">
        <v>6177.028</v>
      </c>
      <c r="BO75" t="n">
        <v>7626.629</v>
      </c>
      <c r="BP75" t="n">
        <v>7804.82</v>
      </c>
      <c r="BQ75" t="n">
        <v>8576.455</v>
      </c>
      <c r="BR75" t="n">
        <v>17745.345</v>
      </c>
      <c r="BS75" t="n">
        <v>18573.275</v>
      </c>
      <c r="BT75" t="n">
        <v>14557.71</v>
      </c>
      <c r="BU75" t="n">
        <v>33048.452</v>
      </c>
      <c r="BV75" t="n">
        <v>43695.27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842.261</v>
      </c>
      <c r="F76" t="n">
        <v>865.595</v>
      </c>
      <c r="G76" t="n">
        <v>901.159</v>
      </c>
      <c r="H76" t="n">
        <v>952.751</v>
      </c>
      <c r="I76" t="n">
        <v>904.5700000000001</v>
      </c>
      <c r="J76" t="n">
        <v>928.454</v>
      </c>
      <c r="K76" t="n">
        <v>954.919</v>
      </c>
      <c r="L76" t="n">
        <v>1994.835</v>
      </c>
      <c r="M76" t="n">
        <v>2215.637</v>
      </c>
      <c r="N76" t="n">
        <v>2242.887</v>
      </c>
      <c r="O76" t="n">
        <v>2045.142</v>
      </c>
      <c r="P76" t="n">
        <v>2369.829</v>
      </c>
      <c r="Q76" t="n">
        <v>1775.227</v>
      </c>
      <c r="R76" t="n">
        <v>2098.291</v>
      </c>
      <c r="S76" t="n">
        <v>1619.057</v>
      </c>
      <c r="T76" t="n">
        <v>2456.962</v>
      </c>
      <c r="U76" t="n">
        <v>1490.052</v>
      </c>
      <c r="V76" t="n">
        <v>1389.573</v>
      </c>
      <c r="W76" t="n">
        <v>1486.583</v>
      </c>
      <c r="X76" t="n">
        <v>2105.917</v>
      </c>
      <c r="Y76" t="n">
        <v>3098.886</v>
      </c>
      <c r="Z76" t="n">
        <v>2382.17</v>
      </c>
      <c r="AA76" t="n">
        <v>2404.243</v>
      </c>
      <c r="AB76" t="n">
        <v>2526.016</v>
      </c>
      <c r="AC76" t="n">
        <v>3242.992</v>
      </c>
      <c r="AD76" t="n">
        <v>3211.219</v>
      </c>
      <c r="AE76" t="n">
        <v>4118.254</v>
      </c>
      <c r="AF76" t="n">
        <v>5248.14</v>
      </c>
      <c r="AG76" t="n">
        <v>4525.425</v>
      </c>
      <c r="AH76" t="n">
        <v>4892.408</v>
      </c>
      <c r="AI76" t="n">
        <v>5071.027</v>
      </c>
      <c r="AJ76" t="n">
        <v>4553.803</v>
      </c>
      <c r="AK76" t="n">
        <v>3967.951</v>
      </c>
      <c r="AL76" t="n">
        <v>2792.402</v>
      </c>
      <c r="AM76" t="n">
        <v>2755.245</v>
      </c>
      <c r="AN76" t="n">
        <v>3495.911</v>
      </c>
      <c r="AO76" t="n">
        <v>3576.678</v>
      </c>
      <c r="AP76" t="n">
        <v>2990.889</v>
      </c>
      <c r="AQ76" t="n">
        <v>4298.136</v>
      </c>
      <c r="AR76" t="n">
        <v>4323.327</v>
      </c>
      <c r="AS76" t="n">
        <v>4303.704</v>
      </c>
      <c r="AT76" t="n">
        <v>4072.459</v>
      </c>
      <c r="AU76" t="n">
        <v>3606.412</v>
      </c>
      <c r="AV76" t="n">
        <v>3959.959</v>
      </c>
      <c r="AW76" t="n">
        <v>3550.446</v>
      </c>
      <c r="AX76" t="n">
        <v>3427.993</v>
      </c>
      <c r="AY76" t="n">
        <v>4151.948</v>
      </c>
      <c r="AZ76" t="n">
        <v>4277.638</v>
      </c>
      <c r="BA76" t="n">
        <v>5647.615</v>
      </c>
      <c r="BB76" t="n">
        <v>4774.182</v>
      </c>
      <c r="BC76" t="n">
        <v>5243.405</v>
      </c>
      <c r="BD76" t="n">
        <v>4457.166</v>
      </c>
      <c r="BE76" t="n">
        <v>4909.665</v>
      </c>
      <c r="BF76" t="n">
        <v>5297.61</v>
      </c>
      <c r="BG76" t="n">
        <v>5330.775</v>
      </c>
      <c r="BH76" t="n">
        <v>5698.016</v>
      </c>
      <c r="BI76" t="n">
        <v>6207.836</v>
      </c>
      <c r="BJ76" t="n">
        <v>6609.326</v>
      </c>
      <c r="BK76" t="n">
        <v>6002.824</v>
      </c>
      <c r="BL76" t="n">
        <v>6400.33</v>
      </c>
      <c r="BM76" t="n">
        <v>6194.316</v>
      </c>
      <c r="BN76" t="n">
        <v>5483.565</v>
      </c>
      <c r="BO76" t="n">
        <v>5740.251</v>
      </c>
      <c r="BP76" t="n">
        <v>4440.18</v>
      </c>
      <c r="BQ76" t="n">
        <v>4339.354</v>
      </c>
      <c r="BR76" t="n">
        <v>3700.811</v>
      </c>
      <c r="BS76" t="n">
        <v>3497.034</v>
      </c>
      <c r="BT76" t="n">
        <v>4816.201</v>
      </c>
      <c r="BU76" t="n">
        <v>3801.47</v>
      </c>
      <c r="BV76" t="n">
        <v>4434.083</v>
      </c>
    </row>
    <row r="77">
      <c r="A77" t="inlineStr">
        <is>
          <t>Trachurus trachurus</t>
        </is>
      </c>
      <c r="B77" t="inlineStr">
        <is>
          <t>Atlantic horse mackerel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0.032</v>
      </c>
      <c r="F77" t="n">
        <v>0.032</v>
      </c>
      <c r="G77" t="n">
        <v>0.028</v>
      </c>
      <c r="H77" t="n">
        <v>0.028</v>
      </c>
      <c r="I77" t="n">
        <v>0.027</v>
      </c>
      <c r="J77" t="n">
        <v>0.042</v>
      </c>
      <c r="K77" t="n">
        <v>0.036</v>
      </c>
      <c r="L77" t="n">
        <v>0.039</v>
      </c>
      <c r="M77" t="n">
        <v>0.043</v>
      </c>
      <c r="N77" t="n">
        <v>97.76600000000001</v>
      </c>
      <c r="O77" t="n">
        <v>180.543</v>
      </c>
      <c r="P77" t="n">
        <v>0.076</v>
      </c>
      <c r="Q77" t="n">
        <v>0.08</v>
      </c>
      <c r="R77" t="n">
        <v>0.079</v>
      </c>
      <c r="S77" t="n">
        <v>0.08</v>
      </c>
      <c r="T77" t="n">
        <v>0.08400000000000001</v>
      </c>
      <c r="U77" t="n">
        <v>88.699</v>
      </c>
      <c r="V77" t="n">
        <v>87.866</v>
      </c>
      <c r="W77" t="n">
        <v>173.123</v>
      </c>
      <c r="X77" t="n">
        <v>496.996</v>
      </c>
      <c r="Y77" t="n">
        <v>514.671</v>
      </c>
      <c r="Z77" t="n">
        <v>435.732</v>
      </c>
      <c r="AA77" t="n">
        <v>548.468</v>
      </c>
      <c r="AB77" t="n">
        <v>884.546</v>
      </c>
      <c r="AC77" t="n">
        <v>818.6130000000001</v>
      </c>
      <c r="AD77" t="n">
        <v>1233.437</v>
      </c>
      <c r="AE77" t="n">
        <v>1409.541</v>
      </c>
      <c r="AF77" t="n">
        <v>2133.03</v>
      </c>
      <c r="AG77" t="n">
        <v>2751.961</v>
      </c>
      <c r="AH77" t="n">
        <v>3047.419</v>
      </c>
      <c r="AI77" t="n">
        <v>2721.826</v>
      </c>
      <c r="AJ77" t="n">
        <v>3207.376</v>
      </c>
      <c r="AK77" t="n">
        <v>3277.694</v>
      </c>
      <c r="AL77" t="n">
        <v>3362.8</v>
      </c>
      <c r="AM77" t="n">
        <v>3593.374</v>
      </c>
      <c r="AN77" t="n">
        <v>6438.8</v>
      </c>
      <c r="AO77" t="n">
        <v>6729.324</v>
      </c>
      <c r="AP77" t="n">
        <v>7159.682</v>
      </c>
      <c r="AQ77" t="n">
        <v>6491.778</v>
      </c>
      <c r="AR77" t="n">
        <v>6885.314</v>
      </c>
      <c r="AS77" t="n">
        <v>7370.797</v>
      </c>
      <c r="AT77" t="n">
        <v>8144.917</v>
      </c>
      <c r="AU77" t="n">
        <v>7188.898</v>
      </c>
      <c r="AV77" t="n">
        <v>6604.101</v>
      </c>
      <c r="AW77" t="n">
        <v>9954.482</v>
      </c>
      <c r="AX77" t="n">
        <v>10977.32</v>
      </c>
      <c r="AY77" t="n">
        <v>8013.111</v>
      </c>
      <c r="AZ77" t="n">
        <v>5412.541</v>
      </c>
      <c r="BA77" t="n">
        <v>7967.612</v>
      </c>
      <c r="BB77" t="n">
        <v>7862.237</v>
      </c>
      <c r="BC77" t="n">
        <v>11739.931</v>
      </c>
      <c r="BD77" t="n">
        <v>5588.38</v>
      </c>
      <c r="BE77" t="n">
        <v>9055.496999999999</v>
      </c>
      <c r="BF77" t="n">
        <v>7605.335</v>
      </c>
      <c r="BG77" t="n">
        <v>8369.146000000001</v>
      </c>
      <c r="BH77" t="n">
        <v>4907.22</v>
      </c>
      <c r="BI77" t="n">
        <v>5895.492</v>
      </c>
      <c r="BJ77" t="n">
        <v>5695.775</v>
      </c>
      <c r="BK77" t="n">
        <v>7405.874</v>
      </c>
      <c r="BL77" t="n">
        <v>3711.434</v>
      </c>
      <c r="BM77" t="n">
        <v>2394.33</v>
      </c>
      <c r="BN77" t="n">
        <v>2664.35</v>
      </c>
      <c r="BO77" t="n">
        <v>2914.34</v>
      </c>
      <c r="BP77" t="n">
        <v>2920.074</v>
      </c>
      <c r="BQ77" t="n">
        <v>3032.401</v>
      </c>
      <c r="BR77" t="n">
        <v>2517.289</v>
      </c>
      <c r="BS77" t="n">
        <v>2330.043</v>
      </c>
      <c r="BT77" t="n">
        <v>2800.45</v>
      </c>
      <c r="BU77" t="n">
        <v>2166.244</v>
      </c>
      <c r="BV77" t="n">
        <v>3323.764</v>
      </c>
    </row>
    <row r="78">
      <c r="A78" t="inlineStr">
        <is>
          <t>Argyrosomus regius</t>
        </is>
      </c>
      <c r="B78" t="inlineStr">
        <is>
          <t>Meagre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1401.174</v>
      </c>
      <c r="F78" t="n">
        <v>1399.16</v>
      </c>
      <c r="G78" t="n">
        <v>1517.66</v>
      </c>
      <c r="H78" t="n">
        <v>1635.609</v>
      </c>
      <c r="I78" t="n">
        <v>1753.009</v>
      </c>
      <c r="J78" t="n">
        <v>1869.858</v>
      </c>
      <c r="K78" t="n">
        <v>2111.693</v>
      </c>
      <c r="L78" t="n">
        <v>2806.947</v>
      </c>
      <c r="M78" t="n">
        <v>3102.911</v>
      </c>
      <c r="N78" t="n">
        <v>3299.08</v>
      </c>
      <c r="O78" t="n">
        <v>3091.144</v>
      </c>
      <c r="P78" t="n">
        <v>3092.027</v>
      </c>
      <c r="Q78" t="n">
        <v>3323.885</v>
      </c>
      <c r="R78" t="n">
        <v>3316.733</v>
      </c>
      <c r="S78" t="n">
        <v>2954.241</v>
      </c>
      <c r="T78" t="n">
        <v>2657.122</v>
      </c>
      <c r="U78" t="n">
        <v>2836.926</v>
      </c>
      <c r="V78" t="n">
        <v>2433.27</v>
      </c>
      <c r="W78" t="n">
        <v>2894.766</v>
      </c>
      <c r="X78" t="n">
        <v>2897.783</v>
      </c>
      <c r="Y78" t="n">
        <v>2681.762</v>
      </c>
      <c r="Z78" t="n">
        <v>2857.336</v>
      </c>
      <c r="AA78" t="n">
        <v>3242.094</v>
      </c>
      <c r="AB78" t="n">
        <v>3656.091</v>
      </c>
      <c r="AC78" t="n">
        <v>3555.722</v>
      </c>
      <c r="AD78" t="n">
        <v>3675.91</v>
      </c>
      <c r="AE78" t="n">
        <v>3527.524</v>
      </c>
      <c r="AF78" t="n">
        <v>3331.174</v>
      </c>
      <c r="AG78" t="n">
        <v>3158.481</v>
      </c>
      <c r="AH78" t="n">
        <v>3521.804</v>
      </c>
      <c r="AI78" t="n">
        <v>3153.573</v>
      </c>
      <c r="AJ78" t="n">
        <v>3391.371</v>
      </c>
      <c r="AK78" t="n">
        <v>3247.09</v>
      </c>
      <c r="AL78" t="n">
        <v>3327.159</v>
      </c>
      <c r="AM78" t="n">
        <v>2657.909</v>
      </c>
      <c r="AN78" t="n">
        <v>3102.25</v>
      </c>
      <c r="AO78" t="n">
        <v>2359.132</v>
      </c>
      <c r="AP78" t="n">
        <v>2253.797</v>
      </c>
      <c r="AQ78" t="n">
        <v>3148.99</v>
      </c>
      <c r="AR78" t="n">
        <v>3737.349</v>
      </c>
      <c r="AS78" t="n">
        <v>4310.804</v>
      </c>
      <c r="AT78" t="n">
        <v>4463.008</v>
      </c>
      <c r="AU78" t="n">
        <v>4534.755</v>
      </c>
      <c r="AV78" t="n">
        <v>4496.43</v>
      </c>
      <c r="AW78" t="n">
        <v>4854.857</v>
      </c>
      <c r="AX78" t="n">
        <v>4790.081</v>
      </c>
      <c r="AY78" t="n">
        <v>4917.437</v>
      </c>
      <c r="AZ78" t="n">
        <v>4940.298</v>
      </c>
      <c r="BA78" t="n">
        <v>5012.69</v>
      </c>
      <c r="BB78" t="n">
        <v>5169.56</v>
      </c>
      <c r="BC78" t="n">
        <v>6443.778</v>
      </c>
      <c r="BD78" t="n">
        <v>6133.576</v>
      </c>
      <c r="BE78" t="n">
        <v>5971.701</v>
      </c>
      <c r="BF78" t="n">
        <v>5250.393</v>
      </c>
      <c r="BG78" t="n">
        <v>4851.579</v>
      </c>
      <c r="BH78" t="n">
        <v>4495.85</v>
      </c>
      <c r="BI78" t="n">
        <v>4190.143</v>
      </c>
      <c r="BJ78" t="n">
        <v>4171.846</v>
      </c>
      <c r="BK78" t="n">
        <v>5675.771</v>
      </c>
      <c r="BL78" t="n">
        <v>3615.366</v>
      </c>
      <c r="BM78" t="n">
        <v>3637.226</v>
      </c>
      <c r="BN78" t="n">
        <v>2838.722</v>
      </c>
      <c r="BO78" t="n">
        <v>2237.846</v>
      </c>
      <c r="BP78" t="n">
        <v>3604.398</v>
      </c>
      <c r="BQ78" t="n">
        <v>2784.158</v>
      </c>
      <c r="BR78" t="n">
        <v>2467.881</v>
      </c>
      <c r="BS78" t="n">
        <v>2421.852</v>
      </c>
      <c r="BT78" t="n">
        <v>2352.923</v>
      </c>
      <c r="BU78" t="n">
        <v>2419.723</v>
      </c>
      <c r="BV78" t="n">
        <v>2320.07</v>
      </c>
    </row>
    <row r="79">
      <c r="A79" t="inlineStr">
        <is>
          <t>Scyris alexandrina</t>
        </is>
      </c>
      <c r="B79" t="inlineStr">
        <is>
          <t>Alexandria pompano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218.942</v>
      </c>
      <c r="F79" t="n">
        <v>230.211</v>
      </c>
      <c r="G79" t="n">
        <v>241.486</v>
      </c>
      <c r="H79" t="n">
        <v>249.413</v>
      </c>
      <c r="I79" t="n">
        <v>202.899</v>
      </c>
      <c r="J79" t="n">
        <v>202.225</v>
      </c>
      <c r="K79" t="n">
        <v>202.06</v>
      </c>
      <c r="L79" t="n">
        <v>242.89</v>
      </c>
      <c r="M79" t="n">
        <v>267.278</v>
      </c>
      <c r="N79" t="n">
        <v>276.475</v>
      </c>
      <c r="O79" t="n">
        <v>297.695</v>
      </c>
      <c r="P79" t="n">
        <v>324.886</v>
      </c>
      <c r="Q79" t="n">
        <v>344.334</v>
      </c>
      <c r="R79" t="n">
        <v>337.36</v>
      </c>
      <c r="S79" t="n">
        <v>342.289</v>
      </c>
      <c r="T79" t="n">
        <v>336.863</v>
      </c>
      <c r="U79" t="n">
        <v>348.765</v>
      </c>
      <c r="V79" t="n">
        <v>363.56</v>
      </c>
      <c r="W79" t="n">
        <v>435.395</v>
      </c>
      <c r="X79" t="n">
        <v>642.592</v>
      </c>
      <c r="Y79" t="n">
        <v>873.2380000000001</v>
      </c>
      <c r="Z79" t="n">
        <v>1091.725</v>
      </c>
      <c r="AA79" t="n">
        <v>1067.503</v>
      </c>
      <c r="AB79" t="n">
        <v>1108.822</v>
      </c>
      <c r="AC79" t="n">
        <v>1290.035</v>
      </c>
      <c r="AD79" t="n">
        <v>969.5599999999999</v>
      </c>
      <c r="AE79" t="n">
        <v>991.953</v>
      </c>
      <c r="AF79" t="n">
        <v>1217.119</v>
      </c>
      <c r="AG79" t="n">
        <v>1440.329</v>
      </c>
      <c r="AH79" t="n">
        <v>921.006</v>
      </c>
      <c r="AI79" t="n">
        <v>1078.205</v>
      </c>
      <c r="AJ79" t="n">
        <v>1020.412</v>
      </c>
      <c r="AK79" t="n">
        <v>687.751</v>
      </c>
      <c r="AL79" t="n">
        <v>841.073</v>
      </c>
      <c r="AM79" t="n">
        <v>843.688</v>
      </c>
      <c r="AN79" t="n">
        <v>911.266</v>
      </c>
      <c r="AO79" t="n">
        <v>918.356</v>
      </c>
      <c r="AP79" t="n">
        <v>915.337</v>
      </c>
      <c r="AQ79" t="n">
        <v>1027.304</v>
      </c>
      <c r="AR79" t="n">
        <v>1622.368</v>
      </c>
      <c r="AS79" t="n">
        <v>2162.48</v>
      </c>
      <c r="AT79" t="n">
        <v>2208.078</v>
      </c>
      <c r="AU79" t="n">
        <v>2099.407</v>
      </c>
      <c r="AV79" t="n">
        <v>2403.967</v>
      </c>
      <c r="AW79" t="n">
        <v>2134.556</v>
      </c>
      <c r="AX79" t="n">
        <v>1787.458</v>
      </c>
      <c r="AY79" t="n">
        <v>1867.93</v>
      </c>
      <c r="AZ79" t="n">
        <v>2059.615</v>
      </c>
      <c r="BA79" t="n">
        <v>2168.436</v>
      </c>
      <c r="BB79" t="n">
        <v>2285.447</v>
      </c>
      <c r="BC79" t="n">
        <v>2557.23</v>
      </c>
      <c r="BD79" t="n">
        <v>2154.361</v>
      </c>
      <c r="BE79" t="n">
        <v>2397.419</v>
      </c>
      <c r="BF79" t="n">
        <v>2579.309</v>
      </c>
      <c r="BG79" t="n">
        <v>2728.322</v>
      </c>
      <c r="BH79" t="n">
        <v>2939.144</v>
      </c>
      <c r="BI79" t="n">
        <v>3498.629</v>
      </c>
      <c r="BJ79" t="n">
        <v>3566.209</v>
      </c>
      <c r="BK79" t="n">
        <v>3505.431</v>
      </c>
      <c r="BL79" t="n">
        <v>3254.965</v>
      </c>
      <c r="BM79" t="n">
        <v>4110.183</v>
      </c>
      <c r="BN79" t="n">
        <v>15661.741</v>
      </c>
      <c r="BO79" t="n">
        <v>17012.468</v>
      </c>
      <c r="BP79" t="n">
        <v>17118.031</v>
      </c>
      <c r="BQ79" t="n">
        <v>16316.973</v>
      </c>
      <c r="BR79" t="n">
        <v>17190.519</v>
      </c>
      <c r="BS79" t="n">
        <v>17189.999</v>
      </c>
      <c r="BT79" t="n">
        <v>18199.13</v>
      </c>
      <c r="BU79" t="n">
        <v>17718.678</v>
      </c>
      <c r="BV79" t="n">
        <v>19539.299</v>
      </c>
    </row>
    <row r="80">
      <c r="A80" t="inlineStr">
        <is>
          <t>Squalidae</t>
        </is>
      </c>
      <c r="B80" t="inlineStr">
        <is>
          <t>Dogfish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710.399</v>
      </c>
      <c r="F80" t="n">
        <v>731.991</v>
      </c>
      <c r="G80" t="n">
        <v>753.1559999999999</v>
      </c>
      <c r="H80" t="n">
        <v>773.902</v>
      </c>
      <c r="I80" t="n">
        <v>624.293</v>
      </c>
      <c r="J80" t="n">
        <v>645.2089999999999</v>
      </c>
      <c r="K80" t="n">
        <v>665.712</v>
      </c>
      <c r="L80" t="n">
        <v>685.809</v>
      </c>
      <c r="M80" t="n">
        <v>705.509</v>
      </c>
      <c r="N80" t="n">
        <v>724.8200000000001</v>
      </c>
      <c r="O80" t="n">
        <v>278.029</v>
      </c>
      <c r="P80" t="n">
        <v>489.792</v>
      </c>
      <c r="Q80" t="n">
        <v>227.452</v>
      </c>
      <c r="R80" t="n">
        <v>194.167</v>
      </c>
      <c r="S80" t="n">
        <v>255.337</v>
      </c>
      <c r="T80" t="n">
        <v>246.878</v>
      </c>
      <c r="U80" t="n">
        <v>239.207</v>
      </c>
      <c r="V80" t="n">
        <v>185.773</v>
      </c>
      <c r="W80" t="n">
        <v>225.73</v>
      </c>
      <c r="X80" t="n">
        <v>230.32</v>
      </c>
      <c r="Y80" t="n">
        <v>49.452</v>
      </c>
      <c r="Z80" t="n">
        <v>108.246</v>
      </c>
      <c r="AA80" t="n">
        <v>124.369</v>
      </c>
      <c r="AB80" t="n">
        <v>134.906</v>
      </c>
      <c r="AC80" t="n">
        <v>115.614</v>
      </c>
      <c r="AD80" t="n">
        <v>131.407</v>
      </c>
      <c r="AE80" t="n">
        <v>126.134</v>
      </c>
      <c r="AF80" t="n">
        <v>184.396</v>
      </c>
      <c r="AG80" t="n">
        <v>98.27200000000001</v>
      </c>
      <c r="AH80" t="n">
        <v>100.064</v>
      </c>
      <c r="AI80" t="n">
        <v>123.884</v>
      </c>
      <c r="AJ80" t="n">
        <v>2607.843</v>
      </c>
      <c r="AK80" t="n">
        <v>3301.858</v>
      </c>
      <c r="AL80" t="n">
        <v>4154.34</v>
      </c>
      <c r="AM80" t="n">
        <v>4947.19</v>
      </c>
      <c r="AN80" t="n">
        <v>5778.665</v>
      </c>
      <c r="AO80" t="n">
        <v>6219.059</v>
      </c>
      <c r="AP80" t="n">
        <v>7561.758</v>
      </c>
      <c r="AQ80" t="n">
        <v>7796.953</v>
      </c>
      <c r="AR80" t="n">
        <v>7792.654</v>
      </c>
      <c r="AS80" t="n">
        <v>7003.03</v>
      </c>
      <c r="AT80" t="n">
        <v>10185.544</v>
      </c>
      <c r="AU80" t="n">
        <v>9403.319</v>
      </c>
      <c r="AV80" t="n">
        <v>13603.441</v>
      </c>
      <c r="AW80" t="n">
        <v>13391.927</v>
      </c>
      <c r="AX80" t="n">
        <v>10674.884</v>
      </c>
      <c r="AY80" t="n">
        <v>10504.381</v>
      </c>
      <c r="AZ80" t="n">
        <v>8839.505999999999</v>
      </c>
      <c r="BA80" t="n">
        <v>7985.31</v>
      </c>
      <c r="BB80" t="n">
        <v>9057.772999999999</v>
      </c>
      <c r="BC80" t="n">
        <v>2473.275</v>
      </c>
      <c r="BD80" t="n">
        <v>4459.863</v>
      </c>
      <c r="BE80" t="n">
        <v>5512.575</v>
      </c>
      <c r="BF80" t="n">
        <v>2874.354</v>
      </c>
      <c r="BG80" t="n">
        <v>8058.912</v>
      </c>
      <c r="BH80" t="n">
        <v>8470.915999999999</v>
      </c>
      <c r="BI80" t="n">
        <v>5090.235</v>
      </c>
      <c r="BJ80" t="n">
        <v>6439.884</v>
      </c>
      <c r="BK80" t="n">
        <v>7118.933</v>
      </c>
      <c r="BL80" t="n">
        <v>5515.481</v>
      </c>
      <c r="BM80" t="n">
        <v>4600.487</v>
      </c>
      <c r="BN80" t="n">
        <v>3803.126</v>
      </c>
      <c r="BO80" t="n">
        <v>2716.635</v>
      </c>
      <c r="BP80" t="n">
        <v>1105.841</v>
      </c>
      <c r="BQ80" t="n">
        <v>1105.841</v>
      </c>
      <c r="BR80" t="n">
        <v>1105.841</v>
      </c>
      <c r="BS80" t="n">
        <v>1105.841</v>
      </c>
      <c r="BT80" t="n">
        <v>1113.733</v>
      </c>
      <c r="BU80" t="n">
        <v>1106.217</v>
      </c>
      <c r="BV80" t="n">
        <v>1108.231</v>
      </c>
    </row>
    <row r="81">
      <c r="A81" t="inlineStr">
        <is>
          <t>Scomberomorus tritor</t>
        </is>
      </c>
      <c r="B81" t="inlineStr">
        <is>
          <t>West African Spanish mackerel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753.524</v>
      </c>
      <c r="F81" t="n">
        <v>802.09</v>
      </c>
      <c r="G81" t="n">
        <v>850.503</v>
      </c>
      <c r="H81" t="n">
        <v>896.716</v>
      </c>
      <c r="I81" t="n">
        <v>886.067</v>
      </c>
      <c r="J81" t="n">
        <v>921.89</v>
      </c>
      <c r="K81" t="n">
        <v>959.006</v>
      </c>
      <c r="L81" t="n">
        <v>1036.864</v>
      </c>
      <c r="M81" t="n">
        <v>1075.251</v>
      </c>
      <c r="N81" t="n">
        <v>1105.607</v>
      </c>
      <c r="O81" t="n">
        <v>1142.7</v>
      </c>
      <c r="P81" t="n">
        <v>1133.848</v>
      </c>
      <c r="Q81" t="n">
        <v>1122.466</v>
      </c>
      <c r="R81" t="n">
        <v>1108.027</v>
      </c>
      <c r="S81" t="n">
        <v>1099.164</v>
      </c>
      <c r="T81" t="n">
        <v>1087.751</v>
      </c>
      <c r="U81" t="n">
        <v>1047.309</v>
      </c>
      <c r="V81" t="n">
        <v>1023.469</v>
      </c>
      <c r="W81" t="n">
        <v>3013.268</v>
      </c>
      <c r="X81" t="n">
        <v>4877.424</v>
      </c>
      <c r="Y81" t="n">
        <v>1105.071</v>
      </c>
      <c r="Z81" t="n">
        <v>2109.228</v>
      </c>
      <c r="AA81" t="n">
        <v>3517.688</v>
      </c>
      <c r="AB81" t="n">
        <v>2418.975</v>
      </c>
      <c r="AC81" t="n">
        <v>7441.648</v>
      </c>
      <c r="AD81" t="n">
        <v>2379.299</v>
      </c>
      <c r="AE81" t="n">
        <v>2586.744</v>
      </c>
      <c r="AF81" t="n">
        <v>2969.1</v>
      </c>
      <c r="AG81" t="n">
        <v>4115.377</v>
      </c>
      <c r="AH81" t="n">
        <v>4193.713</v>
      </c>
      <c r="AI81" t="n">
        <v>7831.884</v>
      </c>
      <c r="AJ81" t="n">
        <v>4461.415</v>
      </c>
      <c r="AK81" t="n">
        <v>7175.697</v>
      </c>
      <c r="AL81" t="n">
        <v>5831.405</v>
      </c>
      <c r="AM81" t="n">
        <v>5457.158</v>
      </c>
      <c r="AN81" t="n">
        <v>4179.275</v>
      </c>
      <c r="AO81" t="n">
        <v>3302.701</v>
      </c>
      <c r="AP81" t="n">
        <v>610.394</v>
      </c>
      <c r="AQ81" t="n">
        <v>3001.85</v>
      </c>
      <c r="AR81" t="n">
        <v>4424.438</v>
      </c>
      <c r="AS81" t="n">
        <v>5156.957</v>
      </c>
      <c r="AT81" t="n">
        <v>7835.657</v>
      </c>
      <c r="AU81" t="n">
        <v>4140.613</v>
      </c>
      <c r="AV81" t="n">
        <v>3759.976</v>
      </c>
      <c r="AW81" t="n">
        <v>2922.193</v>
      </c>
      <c r="AX81" t="n">
        <v>2453.717</v>
      </c>
      <c r="AY81" t="n">
        <v>2447.974</v>
      </c>
      <c r="AZ81" t="n">
        <v>2725.251</v>
      </c>
      <c r="BA81" t="n">
        <v>3286.492</v>
      </c>
      <c r="BB81" t="n">
        <v>2734.64</v>
      </c>
      <c r="BC81" t="n">
        <v>3472.448</v>
      </c>
      <c r="BD81" t="n">
        <v>2504.685</v>
      </c>
      <c r="BE81" t="n">
        <v>2861.716</v>
      </c>
      <c r="BF81" t="n">
        <v>2758.449</v>
      </c>
      <c r="BG81" t="n">
        <v>2886.924</v>
      </c>
      <c r="BH81" t="n">
        <v>3169.357</v>
      </c>
      <c r="BI81" t="n">
        <v>5078.974</v>
      </c>
      <c r="BJ81" t="n">
        <v>5220.948</v>
      </c>
      <c r="BK81" t="n">
        <v>4863.522</v>
      </c>
      <c r="BL81" t="n">
        <v>5058.286</v>
      </c>
      <c r="BM81" t="n">
        <v>4629.081</v>
      </c>
      <c r="BN81" t="n">
        <v>4303.24</v>
      </c>
      <c r="BO81" t="n">
        <v>3495.542</v>
      </c>
      <c r="BP81" t="n">
        <v>3878.728</v>
      </c>
      <c r="BQ81" t="n">
        <v>2835.063</v>
      </c>
      <c r="BR81" t="n">
        <v>3254.316</v>
      </c>
      <c r="BS81" t="n">
        <v>3620.635</v>
      </c>
      <c r="BT81" t="n">
        <v>6173.414</v>
      </c>
      <c r="BU81" t="n">
        <v>10953.96</v>
      </c>
      <c r="BV81" t="n">
        <v>9083.02</v>
      </c>
    </row>
    <row r="82">
      <c r="A82" t="inlineStr">
        <is>
          <t>Pagellus</t>
        </is>
      </c>
      <c r="B82" t="inlineStr">
        <is>
          <t>Pandoras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673.675</v>
      </c>
      <c r="F82" t="n">
        <v>639.726</v>
      </c>
      <c r="G82" t="n">
        <v>1146.505</v>
      </c>
      <c r="H82" t="n">
        <v>1291.659</v>
      </c>
      <c r="I82" t="n">
        <v>1374.624</v>
      </c>
      <c r="J82" t="n">
        <v>1473.637</v>
      </c>
      <c r="K82" t="n">
        <v>2222.412</v>
      </c>
      <c r="L82" t="n">
        <v>3518.443</v>
      </c>
      <c r="M82" t="n">
        <v>3891.487</v>
      </c>
      <c r="N82" t="n">
        <v>3880.822</v>
      </c>
      <c r="O82" t="n">
        <v>5062.127</v>
      </c>
      <c r="P82" t="n">
        <v>5654.616</v>
      </c>
      <c r="Q82" t="n">
        <v>7368.576</v>
      </c>
      <c r="R82" t="n">
        <v>8375.958000000001</v>
      </c>
      <c r="S82" t="n">
        <v>8162.918</v>
      </c>
      <c r="T82" t="n">
        <v>7306.3</v>
      </c>
      <c r="U82" t="n">
        <v>6875.309</v>
      </c>
      <c r="V82" t="n">
        <v>7711.127</v>
      </c>
      <c r="W82" t="n">
        <v>16030.146</v>
      </c>
      <c r="X82" t="n">
        <v>8158.288</v>
      </c>
      <c r="Y82" t="n">
        <v>8467.582</v>
      </c>
      <c r="Z82" t="n">
        <v>2201.806</v>
      </c>
      <c r="AA82" t="n">
        <v>4479.797</v>
      </c>
      <c r="AB82" t="n">
        <v>4158.902</v>
      </c>
      <c r="AC82" t="n">
        <v>3429.679</v>
      </c>
      <c r="AD82" t="n">
        <v>2300.894</v>
      </c>
      <c r="AE82" t="n">
        <v>1605.886</v>
      </c>
      <c r="AF82" t="n">
        <v>1965.819</v>
      </c>
      <c r="AG82" t="n">
        <v>4285.096</v>
      </c>
      <c r="AH82" t="n">
        <v>1846.276</v>
      </c>
      <c r="AI82" t="n">
        <v>1509.215</v>
      </c>
      <c r="AJ82" t="n">
        <v>2481.616</v>
      </c>
      <c r="AK82" t="n">
        <v>2938.226</v>
      </c>
      <c r="AL82" t="n">
        <v>3787.593</v>
      </c>
      <c r="AM82" t="n">
        <v>2522.308</v>
      </c>
      <c r="AN82" t="n">
        <v>2473.67</v>
      </c>
      <c r="AO82" t="n">
        <v>2426.766</v>
      </c>
      <c r="AP82" t="n">
        <v>1602.094</v>
      </c>
      <c r="AQ82" t="n">
        <v>1679.492</v>
      </c>
      <c r="AR82" t="n">
        <v>1733.018</v>
      </c>
      <c r="AS82" t="n">
        <v>1599.324</v>
      </c>
      <c r="AT82" t="n">
        <v>1859.338</v>
      </c>
      <c r="AU82" t="n">
        <v>1966.05</v>
      </c>
      <c r="AV82" t="n">
        <v>2039.896</v>
      </c>
      <c r="AW82" t="n">
        <v>2210.244</v>
      </c>
      <c r="AX82" t="n">
        <v>2855.581</v>
      </c>
      <c r="AY82" t="n">
        <v>2881.681</v>
      </c>
      <c r="AZ82" t="n">
        <v>1702.506</v>
      </c>
      <c r="BA82" t="n">
        <v>2996.946</v>
      </c>
      <c r="BB82" t="n">
        <v>3765.793</v>
      </c>
      <c r="BC82" t="n">
        <v>2818.77</v>
      </c>
      <c r="BD82" t="n">
        <v>2607.363</v>
      </c>
      <c r="BE82" t="n">
        <v>3111.088</v>
      </c>
      <c r="BF82" t="n">
        <v>2604.002</v>
      </c>
      <c r="BG82" t="n">
        <v>2664.9</v>
      </c>
      <c r="BH82" t="n">
        <v>3210.374</v>
      </c>
      <c r="BI82" t="n">
        <v>2679.784</v>
      </c>
      <c r="BJ82" t="n">
        <v>4825.256</v>
      </c>
      <c r="BK82" t="n">
        <v>4051.908</v>
      </c>
      <c r="BL82" t="n">
        <v>4765.908</v>
      </c>
      <c r="BM82" t="n">
        <v>4464.663</v>
      </c>
      <c r="BN82" t="n">
        <v>4276.677</v>
      </c>
      <c r="BO82" t="n">
        <v>987.312</v>
      </c>
      <c r="BP82" t="n">
        <v>868.3819999999999</v>
      </c>
      <c r="BQ82" t="n">
        <v>890.886</v>
      </c>
      <c r="BR82" t="n">
        <v>808.261</v>
      </c>
      <c r="BS82" t="n">
        <v>927.67</v>
      </c>
      <c r="BT82" t="n">
        <v>995.072</v>
      </c>
      <c r="BU82" t="n">
        <v>888.049</v>
      </c>
      <c r="BV82" t="n">
        <v>608.3440000000001</v>
      </c>
    </row>
    <row r="83">
      <c r="A83" t="inlineStr">
        <is>
          <t>Nematopalaemon hastatus</t>
        </is>
      </c>
      <c r="B83" t="inlineStr">
        <is>
          <t>Estuarine prawn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9762.069</v>
      </c>
      <c r="BE83" t="n">
        <v>9668.546</v>
      </c>
      <c r="BF83" t="n">
        <v>9588.57</v>
      </c>
      <c r="BG83" t="n">
        <v>9511.290999999999</v>
      </c>
      <c r="BH83" t="n">
        <v>11354.043</v>
      </c>
      <c r="BI83" t="n">
        <v>9497.4</v>
      </c>
      <c r="BJ83" t="n">
        <v>11205.395</v>
      </c>
      <c r="BK83" t="n">
        <v>12917.28</v>
      </c>
      <c r="BL83" t="n">
        <v>14731.887</v>
      </c>
      <c r="BM83" t="n">
        <v>16543.104</v>
      </c>
      <c r="BN83" t="n">
        <v>18456.369</v>
      </c>
      <c r="BO83" t="n">
        <v>20208.91</v>
      </c>
      <c r="BP83" t="n">
        <v>22096.414</v>
      </c>
      <c r="BQ83" t="n">
        <v>23906.644</v>
      </c>
      <c r="BR83" t="n">
        <v>25595.257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Selene dorsalis</t>
        </is>
      </c>
      <c r="B84" t="inlineStr">
        <is>
          <t>African moonfish</t>
        </is>
      </c>
      <c r="C84" t="inlineStr">
        <is>
          <t>Small demersals (&lt;30 cm)</t>
        </is>
      </c>
      <c r="D84" t="inlineStr">
        <is>
          <t>Perch-likes</t>
        </is>
      </c>
      <c r="E84" t="n">
        <v>298.359</v>
      </c>
      <c r="F84" t="n">
        <v>317.012</v>
      </c>
      <c r="G84" t="n">
        <v>335.705</v>
      </c>
      <c r="H84" t="n">
        <v>352.457</v>
      </c>
      <c r="I84" t="n">
        <v>311.22</v>
      </c>
      <c r="J84" t="n">
        <v>317.803</v>
      </c>
      <c r="K84" t="n">
        <v>326.448</v>
      </c>
      <c r="L84" t="n">
        <v>375.135</v>
      </c>
      <c r="M84" t="n">
        <v>391.606</v>
      </c>
      <c r="N84" t="n">
        <v>397.597</v>
      </c>
      <c r="O84" t="n">
        <v>404.887</v>
      </c>
      <c r="P84" t="n">
        <v>422.913</v>
      </c>
      <c r="Q84" t="n">
        <v>431.09</v>
      </c>
      <c r="R84" t="n">
        <v>432.81</v>
      </c>
      <c r="S84" t="n">
        <v>440.511</v>
      </c>
      <c r="T84" t="n">
        <v>443.781</v>
      </c>
      <c r="U84" t="n">
        <v>443.907</v>
      </c>
      <c r="V84" t="n">
        <v>457.79</v>
      </c>
      <c r="W84" t="n">
        <v>514.259</v>
      </c>
      <c r="X84" t="n">
        <v>871.7859999999999</v>
      </c>
      <c r="Y84" t="n">
        <v>1166.401</v>
      </c>
      <c r="Z84" t="n">
        <v>1336.696</v>
      </c>
      <c r="AA84" t="n">
        <v>1571.259</v>
      </c>
      <c r="AB84" t="n">
        <v>3187.078</v>
      </c>
      <c r="AC84" t="n">
        <v>4794.68</v>
      </c>
      <c r="AD84" t="n">
        <v>2581.4</v>
      </c>
      <c r="AE84" t="n">
        <v>1297.035</v>
      </c>
      <c r="AF84" t="n">
        <v>7166.553</v>
      </c>
      <c r="AG84" t="n">
        <v>3388.492</v>
      </c>
      <c r="AH84" t="n">
        <v>3475.736</v>
      </c>
      <c r="AI84" t="n">
        <v>2671.658</v>
      </c>
      <c r="AJ84" t="n">
        <v>2933.27</v>
      </c>
      <c r="AK84" t="n">
        <v>2256.186</v>
      </c>
      <c r="AL84" t="n">
        <v>5530.655</v>
      </c>
      <c r="AM84" t="n">
        <v>2768.593</v>
      </c>
      <c r="AN84" t="n">
        <v>3466.813</v>
      </c>
      <c r="AO84" t="n">
        <v>6425.767</v>
      </c>
      <c r="AP84" t="n">
        <v>5175.317</v>
      </c>
      <c r="AQ84" t="n">
        <v>3556.492</v>
      </c>
      <c r="AR84" t="n">
        <v>3743.002</v>
      </c>
      <c r="AS84" t="n">
        <v>3588.981</v>
      </c>
      <c r="AT84" t="n">
        <v>3109.95</v>
      </c>
      <c r="AU84" t="n">
        <v>3104.092</v>
      </c>
      <c r="AV84" t="n">
        <v>3205.164</v>
      </c>
      <c r="AW84" t="n">
        <v>2435.068</v>
      </c>
      <c r="AX84" t="n">
        <v>2285.213</v>
      </c>
      <c r="AY84" t="n">
        <v>2616.135</v>
      </c>
      <c r="AZ84" t="n">
        <v>2629.004</v>
      </c>
      <c r="BA84" t="n">
        <v>2505.543</v>
      </c>
      <c r="BB84" t="n">
        <v>2818.329</v>
      </c>
      <c r="BC84" t="n">
        <v>3516.975</v>
      </c>
      <c r="BD84" t="n">
        <v>3640.606</v>
      </c>
      <c r="BE84" t="n">
        <v>3469.216</v>
      </c>
      <c r="BF84" t="n">
        <v>4097.398</v>
      </c>
      <c r="BG84" t="n">
        <v>4631.332</v>
      </c>
      <c r="BH84" t="n">
        <v>6699.655</v>
      </c>
      <c r="BI84" t="n">
        <v>6131.245</v>
      </c>
      <c r="BJ84" t="n">
        <v>6948.663</v>
      </c>
      <c r="BK84" t="n">
        <v>4900.62</v>
      </c>
      <c r="BL84" t="n">
        <v>4872.149</v>
      </c>
      <c r="BM84" t="n">
        <v>6018.477</v>
      </c>
      <c r="BN84" t="n">
        <v>5141.638</v>
      </c>
      <c r="BO84" t="n">
        <v>6422.868</v>
      </c>
      <c r="BP84" t="n">
        <v>7628.6</v>
      </c>
      <c r="BQ84" t="n">
        <v>6348.416</v>
      </c>
      <c r="BR84" t="n">
        <v>8998.912</v>
      </c>
      <c r="BS84" t="n">
        <v>5681.843</v>
      </c>
      <c r="BT84" t="n">
        <v>6283.888</v>
      </c>
      <c r="BU84" t="n">
        <v>3936.631</v>
      </c>
      <c r="BV84" t="n">
        <v>6298.346</v>
      </c>
    </row>
    <row r="85">
      <c r="A85" t="inlineStr">
        <is>
          <t>Trachinotus</t>
        </is>
      </c>
      <c r="B85" t="inlineStr">
        <is>
          <t>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2777.386</v>
      </c>
      <c r="F85" t="n">
        <v>2845.773</v>
      </c>
      <c r="G85" t="n">
        <v>2914.404</v>
      </c>
      <c r="H85" t="n">
        <v>2918.19</v>
      </c>
      <c r="I85" t="n">
        <v>2987.324</v>
      </c>
      <c r="J85" t="n">
        <v>3056.717</v>
      </c>
      <c r="K85" t="n">
        <v>3061.281</v>
      </c>
      <c r="L85" t="n">
        <v>3109.481</v>
      </c>
      <c r="M85" t="n">
        <v>3190.322</v>
      </c>
      <c r="N85" t="n">
        <v>3253.851</v>
      </c>
      <c r="O85" t="n">
        <v>3309.726</v>
      </c>
      <c r="P85" t="n">
        <v>3586.147</v>
      </c>
      <c r="Q85" t="n">
        <v>3654.729</v>
      </c>
      <c r="R85" t="n">
        <v>3715.221</v>
      </c>
      <c r="S85" t="n">
        <v>3754.572</v>
      </c>
      <c r="T85" t="n">
        <v>3776.399</v>
      </c>
      <c r="U85" t="n">
        <v>3863.699</v>
      </c>
      <c r="V85" t="n">
        <v>3892.181</v>
      </c>
      <c r="W85" t="n">
        <v>4077.466</v>
      </c>
      <c r="X85" t="n">
        <v>3976.725</v>
      </c>
      <c r="Y85" t="n">
        <v>4025.716</v>
      </c>
      <c r="Z85" t="n">
        <v>3564.354</v>
      </c>
      <c r="AA85" t="n">
        <v>2899.04</v>
      </c>
      <c r="AB85" t="n">
        <v>2942.651</v>
      </c>
      <c r="AC85" t="n">
        <v>3049.023</v>
      </c>
      <c r="AD85" t="n">
        <v>3105.189</v>
      </c>
      <c r="AE85" t="n">
        <v>2954.907</v>
      </c>
      <c r="AF85" t="n">
        <v>3100.118</v>
      </c>
      <c r="AG85" t="n">
        <v>3310.768</v>
      </c>
      <c r="AH85" t="n">
        <v>3249.056</v>
      </c>
      <c r="AI85" t="n">
        <v>3271.919</v>
      </c>
      <c r="AJ85" t="n">
        <v>3181.981</v>
      </c>
      <c r="AK85" t="n">
        <v>3207.099</v>
      </c>
      <c r="AL85" t="n">
        <v>3444.605</v>
      </c>
      <c r="AM85" t="n">
        <v>3399.451</v>
      </c>
      <c r="AN85" t="n">
        <v>3583.481</v>
      </c>
      <c r="AO85" t="n">
        <v>3415.037</v>
      </c>
      <c r="AP85" t="n">
        <v>3245.841</v>
      </c>
      <c r="AQ85" t="n">
        <v>3120.323</v>
      </c>
      <c r="AR85" t="n">
        <v>3092.764</v>
      </c>
      <c r="AS85" t="n">
        <v>2706.119</v>
      </c>
      <c r="AT85" t="n">
        <v>2468.926</v>
      </c>
      <c r="AU85" t="n">
        <v>2335.829</v>
      </c>
      <c r="AV85" t="n">
        <v>2251.885</v>
      </c>
      <c r="AW85" t="n">
        <v>2200.443</v>
      </c>
      <c r="AX85" t="n">
        <v>2070.003</v>
      </c>
      <c r="AY85" t="n">
        <v>2089.749</v>
      </c>
      <c r="AZ85" t="n">
        <v>1920.772</v>
      </c>
      <c r="BA85" t="n">
        <v>2095.909</v>
      </c>
      <c r="BB85" t="n">
        <v>1675.118</v>
      </c>
      <c r="BC85" t="n">
        <v>1996.539</v>
      </c>
      <c r="BD85" t="n">
        <v>2480.799</v>
      </c>
      <c r="BE85" t="n">
        <v>2908.601</v>
      </c>
      <c r="BF85" t="n">
        <v>3319.234</v>
      </c>
      <c r="BG85" t="n">
        <v>3187.524</v>
      </c>
      <c r="BH85" t="n">
        <v>2722.438</v>
      </c>
      <c r="BI85" t="n">
        <v>2614.082</v>
      </c>
      <c r="BJ85" t="n">
        <v>3192.906</v>
      </c>
      <c r="BK85" t="n">
        <v>2017.818</v>
      </c>
      <c r="BL85" t="n">
        <v>2104.575</v>
      </c>
      <c r="BM85" t="n">
        <v>2196.212</v>
      </c>
      <c r="BN85" t="n">
        <v>2464.838</v>
      </c>
      <c r="BO85" t="n">
        <v>2578.022</v>
      </c>
      <c r="BP85" t="n">
        <v>2182.073</v>
      </c>
      <c r="BQ85" t="n">
        <v>2838.866</v>
      </c>
      <c r="BR85" t="n">
        <v>3348.411</v>
      </c>
      <c r="BS85" t="n">
        <v>3232.399</v>
      </c>
      <c r="BT85" t="n">
        <v>3564.062</v>
      </c>
      <c r="BU85" t="n">
        <v>3516.592</v>
      </c>
      <c r="BV85" t="n">
        <v>3871.195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1.872</v>
      </c>
      <c r="F86" t="n">
        <v>1.935</v>
      </c>
      <c r="G86" t="n">
        <v>1.996</v>
      </c>
      <c r="H86" t="n">
        <v>2.066</v>
      </c>
      <c r="I86" t="n">
        <v>2.129</v>
      </c>
      <c r="J86" t="n">
        <v>2.185</v>
      </c>
      <c r="K86" t="n">
        <v>2.25</v>
      </c>
      <c r="L86" t="n">
        <v>2.283</v>
      </c>
      <c r="M86" t="n">
        <v>2.39</v>
      </c>
      <c r="N86" t="n">
        <v>787.057</v>
      </c>
      <c r="O86" t="n">
        <v>2.514</v>
      </c>
      <c r="P86" t="n">
        <v>2.55</v>
      </c>
      <c r="Q86" t="n">
        <v>2.619</v>
      </c>
      <c r="R86" t="n">
        <v>2.328</v>
      </c>
      <c r="S86" t="n">
        <v>2355.817</v>
      </c>
      <c r="T86" t="n">
        <v>1.691</v>
      </c>
      <c r="U86" t="n">
        <v>1.352</v>
      </c>
      <c r="V86" t="n">
        <v>2.106</v>
      </c>
      <c r="W86" t="n">
        <v>1.977</v>
      </c>
      <c r="X86" t="n">
        <v>2.163</v>
      </c>
      <c r="Y86" t="n">
        <v>1.222</v>
      </c>
      <c r="Z86" t="n">
        <v>2.871</v>
      </c>
      <c r="AA86" t="n">
        <v>2.971</v>
      </c>
      <c r="AB86" t="n">
        <v>1572.127</v>
      </c>
      <c r="AC86" t="n">
        <v>1572.081</v>
      </c>
      <c r="AD86" t="n">
        <v>1572.175</v>
      </c>
      <c r="AE86" t="n">
        <v>2354.861</v>
      </c>
      <c r="AF86" t="n">
        <v>2356.089</v>
      </c>
      <c r="AG86" t="n">
        <v>2356</v>
      </c>
      <c r="AH86" t="n">
        <v>3.914</v>
      </c>
      <c r="AI86" t="n">
        <v>2357.478</v>
      </c>
      <c r="AJ86" t="n">
        <v>4711.168</v>
      </c>
      <c r="AK86" t="n">
        <v>5495.201</v>
      </c>
      <c r="AL86" t="n">
        <v>3926.183</v>
      </c>
      <c r="AM86" t="n">
        <v>3141.191</v>
      </c>
      <c r="AN86" t="n">
        <v>4710.217</v>
      </c>
      <c r="AO86" t="n">
        <v>3925.683</v>
      </c>
      <c r="AP86" t="n">
        <v>4710.172</v>
      </c>
      <c r="AQ86" t="n">
        <v>4710.071</v>
      </c>
      <c r="AR86" t="n">
        <v>3923.626</v>
      </c>
      <c r="AS86" t="n">
        <v>3921.889</v>
      </c>
      <c r="AT86" t="n">
        <v>5487.407</v>
      </c>
      <c r="AU86" t="n">
        <v>4701.911</v>
      </c>
      <c r="AV86" t="n">
        <v>4699.077</v>
      </c>
      <c r="AW86" t="n">
        <v>3914.549</v>
      </c>
      <c r="AX86" t="n">
        <v>4694.751</v>
      </c>
      <c r="AY86" t="n">
        <v>5473.95</v>
      </c>
      <c r="AZ86" t="n">
        <v>3908.791</v>
      </c>
      <c r="BA86" t="n">
        <v>4687.774</v>
      </c>
      <c r="BB86" t="n">
        <v>6246.508</v>
      </c>
      <c r="BC86" t="n">
        <v>7804.307</v>
      </c>
      <c r="BD86" t="n">
        <v>7800.565</v>
      </c>
      <c r="BE86" t="n">
        <v>7797.106</v>
      </c>
      <c r="BF86" t="n">
        <v>7792.745</v>
      </c>
      <c r="BG86" t="n">
        <v>8567.983</v>
      </c>
      <c r="BH86" t="n">
        <v>8563.948</v>
      </c>
      <c r="BI86" t="n">
        <v>8560.290000000001</v>
      </c>
      <c r="BJ86" t="n">
        <v>8556.991</v>
      </c>
      <c r="BK86" t="n">
        <v>9329.938</v>
      </c>
      <c r="BL86" t="n">
        <v>11656.702</v>
      </c>
      <c r="BM86" t="n">
        <v>13981.632</v>
      </c>
      <c r="BN86" t="n">
        <v>0.404</v>
      </c>
      <c r="BO86" t="n">
        <v>0.05</v>
      </c>
      <c r="BP86" t="n">
        <v>0.07000000000000001</v>
      </c>
      <c r="BQ86" t="n">
        <v>0.08799999999999999</v>
      </c>
      <c r="BR86" t="n">
        <v>0.066</v>
      </c>
      <c r="BS86" t="n">
        <v>0.092</v>
      </c>
      <c r="BT86" t="n">
        <v>0.174</v>
      </c>
      <c r="BU86" t="n">
        <v>0.059</v>
      </c>
      <c r="BV86" t="n">
        <v>36.713</v>
      </c>
    </row>
    <row r="87">
      <c r="A87" t="inlineStr">
        <is>
          <t>Pseudupeneus prayensis</t>
        </is>
      </c>
      <c r="B87" t="inlineStr">
        <is>
          <t>West African goatfish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29.489</v>
      </c>
      <c r="F87" t="n">
        <v>30.582</v>
      </c>
      <c r="G87" t="n">
        <v>31.522</v>
      </c>
      <c r="H87" t="n">
        <v>32.626</v>
      </c>
      <c r="I87" t="n">
        <v>33.649</v>
      </c>
      <c r="J87" t="n">
        <v>34.584</v>
      </c>
      <c r="K87" t="n">
        <v>35.722</v>
      </c>
      <c r="L87" t="n">
        <v>36.636</v>
      </c>
      <c r="M87" t="n">
        <v>325.57</v>
      </c>
      <c r="N87" t="n">
        <v>333.64</v>
      </c>
      <c r="O87" t="n">
        <v>618.059</v>
      </c>
      <c r="P87" t="n">
        <v>627.974</v>
      </c>
      <c r="Q87" t="n">
        <v>635.697</v>
      </c>
      <c r="R87" t="n">
        <v>619.769</v>
      </c>
      <c r="S87" t="n">
        <v>734.204</v>
      </c>
      <c r="T87" t="n">
        <v>929.104</v>
      </c>
      <c r="U87" t="n">
        <v>1087.774</v>
      </c>
      <c r="V87" t="n">
        <v>1421.315</v>
      </c>
      <c r="W87" t="n">
        <v>1081.379</v>
      </c>
      <c r="X87" t="n">
        <v>1243.146</v>
      </c>
      <c r="Y87" t="n">
        <v>1263.831</v>
      </c>
      <c r="Z87" t="n">
        <v>1362.295</v>
      </c>
      <c r="AA87" t="n">
        <v>1152.229</v>
      </c>
      <c r="AB87" t="n">
        <v>1046.262</v>
      </c>
      <c r="AC87" t="n">
        <v>1111.032</v>
      </c>
      <c r="AD87" t="n">
        <v>1291.716</v>
      </c>
      <c r="AE87" t="n">
        <v>1412.028</v>
      </c>
      <c r="AF87" t="n">
        <v>1817.505</v>
      </c>
      <c r="AG87" t="n">
        <v>2599.364</v>
      </c>
      <c r="AH87" t="n">
        <v>2514.552</v>
      </c>
      <c r="AI87" t="n">
        <v>2393.162</v>
      </c>
      <c r="AJ87" t="n">
        <v>2216.01</v>
      </c>
      <c r="AK87" t="n">
        <v>2514.305</v>
      </c>
      <c r="AL87" t="n">
        <v>1992.125</v>
      </c>
      <c r="AM87" t="n">
        <v>2002.106</v>
      </c>
      <c r="AN87" t="n">
        <v>2204.434</v>
      </c>
      <c r="AO87" t="n">
        <v>2893.984</v>
      </c>
      <c r="AP87" t="n">
        <v>2373.628</v>
      </c>
      <c r="AQ87" t="n">
        <v>2363.747</v>
      </c>
      <c r="AR87" t="n">
        <v>2835.784</v>
      </c>
      <c r="AS87" t="n">
        <v>2402.357</v>
      </c>
      <c r="AT87" t="n">
        <v>2602.654</v>
      </c>
      <c r="AU87" t="n">
        <v>4915.552</v>
      </c>
      <c r="AV87" t="n">
        <v>2632.703</v>
      </c>
      <c r="AW87" t="n">
        <v>2891.687</v>
      </c>
      <c r="AX87" t="n">
        <v>2531.433</v>
      </c>
      <c r="AY87" t="n">
        <v>7817.013</v>
      </c>
      <c r="AZ87" t="n">
        <v>3308.277</v>
      </c>
      <c r="BA87" t="n">
        <v>2681.69</v>
      </c>
      <c r="BB87" t="n">
        <v>2897.625</v>
      </c>
      <c r="BC87" t="n">
        <v>2961.803</v>
      </c>
      <c r="BD87" t="n">
        <v>3303.342</v>
      </c>
      <c r="BE87" t="n">
        <v>3323.659</v>
      </c>
      <c r="BF87" t="n">
        <v>2599.797</v>
      </c>
      <c r="BG87" t="n">
        <v>2836.572</v>
      </c>
      <c r="BH87" t="n">
        <v>2342.261</v>
      </c>
      <c r="BI87" t="n">
        <v>3283.458</v>
      </c>
      <c r="BJ87" t="n">
        <v>4138.155</v>
      </c>
      <c r="BK87" t="n">
        <v>5169.56</v>
      </c>
      <c r="BL87" t="n">
        <v>5391.905</v>
      </c>
      <c r="BM87" t="n">
        <v>5404.084</v>
      </c>
      <c r="BN87" t="n">
        <v>8174.849</v>
      </c>
      <c r="BO87" t="n">
        <v>8778.221</v>
      </c>
      <c r="BP87" t="n">
        <v>11595.829</v>
      </c>
      <c r="BQ87" t="n">
        <v>12177.452</v>
      </c>
      <c r="BR87" t="n">
        <v>16158.104</v>
      </c>
      <c r="BS87" t="n">
        <v>6148.454</v>
      </c>
      <c r="BT87" t="n">
        <v>7835.19</v>
      </c>
      <c r="BU87" t="n">
        <v>3446.399</v>
      </c>
      <c r="BV87" t="n">
        <v>3820.593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0.017</v>
      </c>
      <c r="O88" t="n">
        <v>0.017</v>
      </c>
      <c r="P88" t="n">
        <v>0.017</v>
      </c>
      <c r="Q88" t="n">
        <v>0.033</v>
      </c>
      <c r="R88" t="n">
        <v>0.033</v>
      </c>
      <c r="S88" t="n">
        <v>0.033</v>
      </c>
      <c r="T88" t="n">
        <v>0.033</v>
      </c>
      <c r="U88" t="n">
        <v>0.131</v>
      </c>
      <c r="V88" t="n">
        <v>0.033</v>
      </c>
      <c r="W88" t="n">
        <v>0.066</v>
      </c>
      <c r="X88" t="n">
        <v>0.033</v>
      </c>
      <c r="Y88" t="n">
        <v>0.052</v>
      </c>
      <c r="Z88" t="n">
        <v>0.443</v>
      </c>
      <c r="AA88" t="n">
        <v>1.708</v>
      </c>
      <c r="AB88" t="n">
        <v>8.728999999999999</v>
      </c>
      <c r="AC88" t="n">
        <v>8.516</v>
      </c>
      <c r="AD88" t="n">
        <v>18.958</v>
      </c>
      <c r="AE88" t="n">
        <v>20.064</v>
      </c>
      <c r="AF88" t="n">
        <v>23.536</v>
      </c>
      <c r="AG88" t="n">
        <v>30.537</v>
      </c>
      <c r="AH88" t="n">
        <v>18.811</v>
      </c>
      <c r="AI88" t="n">
        <v>35.058</v>
      </c>
      <c r="AJ88" t="n">
        <v>141.561</v>
      </c>
      <c r="AK88" t="n">
        <v>45.775</v>
      </c>
      <c r="AL88" t="n">
        <v>230.836</v>
      </c>
      <c r="AM88" t="n">
        <v>52.916</v>
      </c>
      <c r="AN88" t="n">
        <v>55.9</v>
      </c>
      <c r="AO88" t="n">
        <v>62.018</v>
      </c>
      <c r="AP88" t="n">
        <v>48.334</v>
      </c>
      <c r="AQ88" t="n">
        <v>97.67100000000001</v>
      </c>
      <c r="AR88" t="n">
        <v>42.828</v>
      </c>
      <c r="AS88" t="n">
        <v>116.512</v>
      </c>
      <c r="AT88" t="n">
        <v>92.143</v>
      </c>
      <c r="AU88" t="n">
        <v>137.278</v>
      </c>
      <c r="AV88" t="n">
        <v>152.681</v>
      </c>
      <c r="AW88" t="n">
        <v>638.923</v>
      </c>
      <c r="AX88" t="n">
        <v>470.537</v>
      </c>
      <c r="AY88" t="n">
        <v>496.88</v>
      </c>
      <c r="AZ88" t="n">
        <v>5529.787</v>
      </c>
      <c r="BA88" t="n">
        <v>4627.966</v>
      </c>
      <c r="BB88" t="n">
        <v>5311.585</v>
      </c>
      <c r="BC88" t="n">
        <v>5785.307</v>
      </c>
      <c r="BD88" t="n">
        <v>4950.124</v>
      </c>
      <c r="BE88" t="n">
        <v>4825.545</v>
      </c>
      <c r="BF88" t="n">
        <v>5589.77</v>
      </c>
      <c r="BG88" t="n">
        <v>5735.893</v>
      </c>
      <c r="BH88" t="n">
        <v>4738.155</v>
      </c>
      <c r="BI88" t="n">
        <v>5539.705</v>
      </c>
      <c r="BJ88" t="n">
        <v>4777.874</v>
      </c>
      <c r="BK88" t="n">
        <v>6131.661</v>
      </c>
      <c r="BL88" t="n">
        <v>7432.173</v>
      </c>
      <c r="BM88" t="n">
        <v>11977.374</v>
      </c>
      <c r="BN88" t="n">
        <v>12971.477</v>
      </c>
      <c r="BO88" t="n">
        <v>15383.889</v>
      </c>
      <c r="BP88" t="n">
        <v>17431.294</v>
      </c>
      <c r="BQ88" t="n">
        <v>16054.581</v>
      </c>
      <c r="BR88" t="n">
        <v>11967.942</v>
      </c>
      <c r="BS88" t="n">
        <v>13566.964</v>
      </c>
      <c r="BT88" t="n">
        <v>8191.963</v>
      </c>
      <c r="BU88" t="n">
        <v>9009.302</v>
      </c>
      <c r="BV88" t="n">
        <v>8672.17</v>
      </c>
    </row>
    <row r="89">
      <c r="A89" t="inlineStr">
        <is>
          <t>Thunnus thynnus</t>
        </is>
      </c>
      <c r="B89" t="inlineStr">
        <is>
          <t>Atlantic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63</v>
      </c>
      <c r="M89" t="n">
        <v>34</v>
      </c>
      <c r="N89" t="n">
        <v>256</v>
      </c>
      <c r="O89" t="n">
        <v>820</v>
      </c>
      <c r="P89" t="n">
        <v>577</v>
      </c>
      <c r="Q89" t="n">
        <v>3029.818</v>
      </c>
      <c r="R89" t="n">
        <v>6662.646</v>
      </c>
      <c r="S89" t="n">
        <v>11090.24</v>
      </c>
      <c r="T89" t="n">
        <v>7814.689</v>
      </c>
      <c r="U89" t="n">
        <v>2869.817</v>
      </c>
      <c r="V89" t="n">
        <v>1752.486</v>
      </c>
      <c r="W89" t="n">
        <v>2192.9</v>
      </c>
      <c r="X89" t="n">
        <v>1216.041</v>
      </c>
      <c r="Y89" t="n">
        <v>84.68899999999999</v>
      </c>
      <c r="Z89" t="n">
        <v>1532</v>
      </c>
      <c r="AA89" t="n">
        <v>673</v>
      </c>
      <c r="AB89" t="n">
        <v>1387.049</v>
      </c>
      <c r="AC89" t="n">
        <v>5295</v>
      </c>
      <c r="AD89" t="n">
        <v>5673.069</v>
      </c>
      <c r="AE89" t="n">
        <v>5846.087</v>
      </c>
      <c r="AF89" t="n">
        <v>5776.269</v>
      </c>
      <c r="AG89" t="n">
        <v>3785.723</v>
      </c>
      <c r="AH89" t="n">
        <v>4350.424</v>
      </c>
      <c r="AI89" t="n">
        <v>4936.603</v>
      </c>
      <c r="AJ89" t="n">
        <v>4387.189</v>
      </c>
      <c r="AK89" t="n">
        <v>2609.135</v>
      </c>
      <c r="AL89" t="n">
        <v>2395.023</v>
      </c>
      <c r="AM89" t="n">
        <v>632.756</v>
      </c>
      <c r="AN89" t="n">
        <v>117.294</v>
      </c>
      <c r="AO89" t="n">
        <v>305.797</v>
      </c>
      <c r="AP89" t="n">
        <v>587.289</v>
      </c>
      <c r="AQ89" t="n">
        <v>373.907</v>
      </c>
      <c r="AR89" t="n">
        <v>347.943</v>
      </c>
      <c r="AS89" t="n">
        <v>1774.486</v>
      </c>
      <c r="AT89" t="n">
        <v>3381.507</v>
      </c>
      <c r="AU89" t="n">
        <v>4642.677</v>
      </c>
      <c r="AV89" t="n">
        <v>3987.582</v>
      </c>
      <c r="AW89" t="n">
        <v>4579.75</v>
      </c>
      <c r="AX89" t="n">
        <v>4406.263</v>
      </c>
      <c r="AY89" t="n">
        <v>5485.347</v>
      </c>
      <c r="AZ89" t="n">
        <v>6920.489</v>
      </c>
      <c r="BA89" t="n">
        <v>7701.062</v>
      </c>
      <c r="BB89" t="n">
        <v>7288.282</v>
      </c>
      <c r="BC89" t="n">
        <v>7935.332</v>
      </c>
      <c r="BD89" t="n">
        <v>6407.333</v>
      </c>
      <c r="BE89" t="n">
        <v>3503.534</v>
      </c>
      <c r="BF89" t="n">
        <v>3146.042</v>
      </c>
      <c r="BG89" t="n">
        <v>3123</v>
      </c>
      <c r="BH89" t="n">
        <v>3370.514</v>
      </c>
      <c r="BI89" t="n">
        <v>3010</v>
      </c>
      <c r="BJ89" t="n">
        <v>2355</v>
      </c>
      <c r="BK89" t="n">
        <v>2922.168</v>
      </c>
      <c r="BL89" t="n">
        <v>2084.629</v>
      </c>
      <c r="BM89" t="n">
        <v>1508.056</v>
      </c>
      <c r="BN89" t="n">
        <v>1715.63</v>
      </c>
      <c r="BO89" t="n">
        <v>895.798</v>
      </c>
      <c r="BP89" t="n">
        <v>904.991</v>
      </c>
      <c r="BQ89" t="n">
        <v>861.902</v>
      </c>
      <c r="BR89" t="n">
        <v>1007.791</v>
      </c>
      <c r="BS89" t="n">
        <v>982.222</v>
      </c>
      <c r="BT89" t="n">
        <v>869.181</v>
      </c>
      <c r="BU89" t="n">
        <v>765.0069999999999</v>
      </c>
      <c r="BV89" t="n">
        <v>584.082</v>
      </c>
    </row>
    <row r="90">
      <c r="A90" t="inlineStr">
        <is>
          <t>Thunnus alalunga</t>
        </is>
      </c>
      <c r="B90" t="inlineStr">
        <is>
          <t>Albacore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703.636</v>
      </c>
      <c r="M90" t="n">
        <v>1629.818</v>
      </c>
      <c r="N90" t="n">
        <v>2956.909</v>
      </c>
      <c r="O90" t="n">
        <v>8021.508</v>
      </c>
      <c r="P90" t="n">
        <v>7587.033</v>
      </c>
      <c r="Q90" t="n">
        <v>18091.088</v>
      </c>
      <c r="R90" t="n">
        <v>24989.725</v>
      </c>
      <c r="S90" t="n">
        <v>33347.459</v>
      </c>
      <c r="T90" t="n">
        <v>34843.824</v>
      </c>
      <c r="U90" t="n">
        <v>22621.353</v>
      </c>
      <c r="V90" t="n">
        <v>10238.199</v>
      </c>
      <c r="W90" t="n">
        <v>243.295</v>
      </c>
      <c r="X90" t="n">
        <v>185.379</v>
      </c>
      <c r="Y90" t="n">
        <v>79.554</v>
      </c>
      <c r="Z90" t="n">
        <v>60.155</v>
      </c>
      <c r="AA90" t="n">
        <v>148.381</v>
      </c>
      <c r="AB90" t="n">
        <v>83.328</v>
      </c>
      <c r="AC90" t="n">
        <v>50.618</v>
      </c>
      <c r="AD90" t="n">
        <v>1418.264</v>
      </c>
      <c r="AE90" t="n">
        <v>1510.27</v>
      </c>
      <c r="AF90" t="n">
        <v>1067.343</v>
      </c>
      <c r="AG90" t="n">
        <v>812.799</v>
      </c>
      <c r="AH90" t="n">
        <v>1416.444</v>
      </c>
      <c r="AI90" t="n">
        <v>309.47</v>
      </c>
      <c r="AJ90" t="n">
        <v>447.983</v>
      </c>
      <c r="AK90" t="n">
        <v>577.0069999999999</v>
      </c>
      <c r="AL90" t="n">
        <v>305.916</v>
      </c>
      <c r="AM90" t="n">
        <v>1882.999</v>
      </c>
      <c r="AN90" t="n">
        <v>67.63200000000001</v>
      </c>
      <c r="AO90" t="n">
        <v>36.478</v>
      </c>
      <c r="AP90" t="n">
        <v>119.433</v>
      </c>
      <c r="AQ90" t="n">
        <v>4.088</v>
      </c>
      <c r="AR90" t="n">
        <v>127.584</v>
      </c>
      <c r="AS90" t="n">
        <v>188.948</v>
      </c>
      <c r="AT90" t="n">
        <v>411.525</v>
      </c>
      <c r="AU90" t="n">
        <v>222.055</v>
      </c>
      <c r="AV90" t="n">
        <v>771.279</v>
      </c>
      <c r="AW90" t="n">
        <v>223.566</v>
      </c>
      <c r="AX90" t="n">
        <v>313.615</v>
      </c>
      <c r="AY90" t="n">
        <v>308.875</v>
      </c>
      <c r="AZ90" t="n">
        <v>58.129</v>
      </c>
      <c r="BA90" t="n">
        <v>454.096</v>
      </c>
      <c r="BB90" t="n">
        <v>229.04</v>
      </c>
      <c r="BC90" t="n">
        <v>150.378</v>
      </c>
      <c r="BD90" t="n">
        <v>97.352</v>
      </c>
      <c r="BE90" t="n">
        <v>305.977</v>
      </c>
      <c r="BF90" t="n">
        <v>413.46</v>
      </c>
      <c r="BG90" t="n">
        <v>524.455</v>
      </c>
      <c r="BH90" t="n">
        <v>525.828</v>
      </c>
      <c r="BI90" t="n">
        <v>410.895</v>
      </c>
      <c r="BJ90" t="n">
        <v>408.921</v>
      </c>
      <c r="BK90" t="n">
        <v>306.305</v>
      </c>
      <c r="BL90" t="n">
        <v>327.116</v>
      </c>
      <c r="BM90" t="n">
        <v>244.526</v>
      </c>
      <c r="BN90" t="n">
        <v>483.263</v>
      </c>
      <c r="BO90" t="n">
        <v>474.823</v>
      </c>
      <c r="BP90" t="n">
        <v>455.103</v>
      </c>
      <c r="BQ90" t="n">
        <v>196.602</v>
      </c>
      <c r="BR90" t="n">
        <v>185.692</v>
      </c>
      <c r="BS90" t="n">
        <v>183.393</v>
      </c>
      <c r="BT90" t="n">
        <v>468.105</v>
      </c>
      <c r="BU90" t="n">
        <v>85.245</v>
      </c>
      <c r="BV90" t="n">
        <v>395.511</v>
      </c>
    </row>
    <row r="91">
      <c r="A91" t="inlineStr">
        <is>
          <t>Sepiida</t>
        </is>
      </c>
      <c r="B91" t="inlineStr">
        <is>
          <t>Cuttlefishes, bobtail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0.142</v>
      </c>
      <c r="O91" t="n">
        <v>0.137</v>
      </c>
      <c r="P91" t="n">
        <v>0.155</v>
      </c>
      <c r="Q91" t="n">
        <v>0.133</v>
      </c>
      <c r="R91" t="n">
        <v>0.122</v>
      </c>
      <c r="S91" t="n">
        <v>1245.976</v>
      </c>
      <c r="T91" t="n">
        <v>1331.592</v>
      </c>
      <c r="U91" t="n">
        <v>1929.302</v>
      </c>
      <c r="V91" t="n">
        <v>760.508</v>
      </c>
      <c r="W91" t="n">
        <v>775.7089999999999</v>
      </c>
      <c r="X91" t="n">
        <v>911.318</v>
      </c>
      <c r="Y91" t="n">
        <v>1047.548</v>
      </c>
      <c r="Z91" t="n">
        <v>1934.075</v>
      </c>
      <c r="AA91" t="n">
        <v>2846.452</v>
      </c>
      <c r="AB91" t="n">
        <v>5390.689</v>
      </c>
      <c r="AC91" t="n">
        <v>1788.5</v>
      </c>
      <c r="AD91" t="n">
        <v>1171.179</v>
      </c>
      <c r="AE91" t="n">
        <v>763.852</v>
      </c>
      <c r="AF91" t="n">
        <v>4209.21</v>
      </c>
      <c r="AG91" t="n">
        <v>6956.606</v>
      </c>
      <c r="AH91" t="n">
        <v>1388.003</v>
      </c>
      <c r="AI91" t="n">
        <v>4117.301</v>
      </c>
      <c r="AJ91" t="n">
        <v>5037.936</v>
      </c>
      <c r="AK91" t="n">
        <v>9544.406000000001</v>
      </c>
      <c r="AL91" t="n">
        <v>8932.224</v>
      </c>
      <c r="AM91" t="n">
        <v>7192.269</v>
      </c>
      <c r="AN91" t="n">
        <v>7615.847</v>
      </c>
      <c r="AO91" t="n">
        <v>9363.616</v>
      </c>
      <c r="AP91" t="n">
        <v>9277.405000000001</v>
      </c>
      <c r="AQ91" t="n">
        <v>6545.733</v>
      </c>
      <c r="AR91" t="n">
        <v>6900.046</v>
      </c>
      <c r="AS91" t="n">
        <v>6350.444</v>
      </c>
      <c r="AT91" t="n">
        <v>6282.731</v>
      </c>
      <c r="AU91" t="n">
        <v>4157.059</v>
      </c>
      <c r="AV91" t="n">
        <v>4843.865</v>
      </c>
      <c r="AW91" t="n">
        <v>1519.909</v>
      </c>
      <c r="AX91" t="n">
        <v>7532.078</v>
      </c>
      <c r="AY91" t="n">
        <v>6598.615</v>
      </c>
      <c r="AZ91" t="n">
        <v>6471.816</v>
      </c>
      <c r="BA91" t="n">
        <v>4541.045</v>
      </c>
      <c r="BB91" t="n">
        <v>6004.074</v>
      </c>
      <c r="BC91" t="n">
        <v>4157.412</v>
      </c>
      <c r="BD91" t="n">
        <v>6294.03</v>
      </c>
      <c r="BE91" t="n">
        <v>1117.164</v>
      </c>
      <c r="BF91" t="n">
        <v>948.107</v>
      </c>
      <c r="BG91" t="n">
        <v>1184.269</v>
      </c>
      <c r="BH91" t="n">
        <v>887.548</v>
      </c>
      <c r="BI91" t="n">
        <v>990.192</v>
      </c>
      <c r="BJ91" t="n">
        <v>1229.221</v>
      </c>
      <c r="BK91" t="n">
        <v>1092.332</v>
      </c>
      <c r="BL91" t="n">
        <v>413.991</v>
      </c>
      <c r="BM91" t="n">
        <v>330.05</v>
      </c>
      <c r="BN91" t="n">
        <v>765.835</v>
      </c>
      <c r="BO91" t="n">
        <v>877.65</v>
      </c>
      <c r="BP91" t="n">
        <v>725.045</v>
      </c>
      <c r="BQ91" t="n">
        <v>89.371</v>
      </c>
      <c r="BR91" t="n">
        <v>150.214</v>
      </c>
      <c r="BS91" t="n">
        <v>88.355</v>
      </c>
      <c r="BT91" t="n">
        <v>156.446</v>
      </c>
      <c r="BU91" t="n">
        <v>290.831</v>
      </c>
      <c r="BV91" t="n">
        <v>177.116</v>
      </c>
    </row>
    <row r="92">
      <c r="A92" t="inlineStr">
        <is>
          <t>Octopoda</t>
        </is>
      </c>
      <c r="B92" t="inlineStr">
        <is>
          <t>Octopuses, argonauts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142.654</v>
      </c>
      <c r="L92" t="n">
        <v>321.216</v>
      </c>
      <c r="M92" t="n">
        <v>471.098</v>
      </c>
      <c r="N92" t="n">
        <v>609.936</v>
      </c>
      <c r="O92" t="n">
        <v>991.525</v>
      </c>
      <c r="P92" t="n">
        <v>1134.3</v>
      </c>
      <c r="Q92" t="n">
        <v>1833.232</v>
      </c>
      <c r="R92" t="n">
        <v>2221.988</v>
      </c>
      <c r="S92" t="n">
        <v>802.543</v>
      </c>
      <c r="T92" t="n">
        <v>1797.839</v>
      </c>
      <c r="U92" t="n">
        <v>1663.635</v>
      </c>
      <c r="V92" t="n">
        <v>1315.016</v>
      </c>
      <c r="W92" t="n">
        <v>1928.455</v>
      </c>
      <c r="X92" t="n">
        <v>1906.295</v>
      </c>
      <c r="Y92" t="n">
        <v>3103.781</v>
      </c>
      <c r="Z92" t="n">
        <v>2733.242</v>
      </c>
      <c r="AA92" t="n">
        <v>2646.295</v>
      </c>
      <c r="AB92" t="n">
        <v>2676.816</v>
      </c>
      <c r="AC92" t="n">
        <v>5247.998</v>
      </c>
      <c r="AD92" t="n">
        <v>6382.286</v>
      </c>
      <c r="AE92" t="n">
        <v>10371.562</v>
      </c>
      <c r="AF92" t="n">
        <v>7569.96</v>
      </c>
      <c r="AG92" t="n">
        <v>8521.456</v>
      </c>
      <c r="AH92" t="n">
        <v>4243.431</v>
      </c>
      <c r="AI92" t="n">
        <v>4351.767</v>
      </c>
      <c r="AJ92" t="n">
        <v>6441.02</v>
      </c>
      <c r="AK92" t="n">
        <v>4823.585</v>
      </c>
      <c r="AL92" t="n">
        <v>3389.91</v>
      </c>
      <c r="AM92" t="n">
        <v>4354.826</v>
      </c>
      <c r="AN92" t="n">
        <v>5450.393</v>
      </c>
      <c r="AO92" t="n">
        <v>9011.573</v>
      </c>
      <c r="AP92" t="n">
        <v>6272.935</v>
      </c>
      <c r="AQ92" t="n">
        <v>5184.364</v>
      </c>
      <c r="AR92" t="n">
        <v>6699.121</v>
      </c>
      <c r="AS92" t="n">
        <v>3479.179</v>
      </c>
      <c r="AT92" t="n">
        <v>4070.88</v>
      </c>
      <c r="AU92" t="n">
        <v>2146.908</v>
      </c>
      <c r="AV92" t="n">
        <v>2527.794</v>
      </c>
      <c r="AW92" t="n">
        <v>708.336</v>
      </c>
      <c r="AX92" t="n">
        <v>3752.264</v>
      </c>
      <c r="AY92" t="n">
        <v>2488.427</v>
      </c>
      <c r="AZ92" t="n">
        <v>2307.008</v>
      </c>
      <c r="BA92" t="n">
        <v>2856.385</v>
      </c>
      <c r="BB92" t="n">
        <v>6987.797</v>
      </c>
      <c r="BC92" t="n">
        <v>2920.677</v>
      </c>
      <c r="BD92" t="n">
        <v>2887.97</v>
      </c>
      <c r="BE92" t="n">
        <v>528.153</v>
      </c>
      <c r="BF92" t="n">
        <v>1203.56</v>
      </c>
      <c r="BG92" t="n">
        <v>100.161</v>
      </c>
      <c r="BH92" t="n">
        <v>340.123</v>
      </c>
      <c r="BI92" t="n">
        <v>417.448</v>
      </c>
      <c r="BJ92" t="n">
        <v>676.123</v>
      </c>
      <c r="BK92" t="n">
        <v>881.5359999999999</v>
      </c>
      <c r="BL92" t="n">
        <v>519.553</v>
      </c>
      <c r="BM92" t="n">
        <v>470.867</v>
      </c>
      <c r="BN92" t="n">
        <v>2932.002</v>
      </c>
      <c r="BO92" t="n">
        <v>4242.405</v>
      </c>
      <c r="BP92" t="n">
        <v>3364.698</v>
      </c>
      <c r="BQ92" t="n">
        <v>681.949</v>
      </c>
      <c r="BR92" t="n">
        <v>254.517</v>
      </c>
      <c r="BS92" t="n">
        <v>140.957</v>
      </c>
      <c r="BT92" t="n">
        <v>62.2</v>
      </c>
      <c r="BU92" t="n">
        <v>20.489</v>
      </c>
      <c r="BV92" t="n">
        <v>462.97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616.325</v>
      </c>
      <c r="F93" t="n">
        <v>647.956</v>
      </c>
      <c r="G93" t="n">
        <v>744.616</v>
      </c>
      <c r="H93" t="n">
        <v>638.3390000000001</v>
      </c>
      <c r="I93" t="n">
        <v>658.7190000000001</v>
      </c>
      <c r="J93" t="n">
        <v>681.126</v>
      </c>
      <c r="K93" t="n">
        <v>698.15</v>
      </c>
      <c r="L93" t="n">
        <v>698.862</v>
      </c>
      <c r="M93" t="n">
        <v>725.46</v>
      </c>
      <c r="N93" t="n">
        <v>747.018</v>
      </c>
      <c r="O93" t="n">
        <v>767.561</v>
      </c>
      <c r="P93" t="n">
        <v>790.14</v>
      </c>
      <c r="Q93" t="n">
        <v>824.923</v>
      </c>
      <c r="R93" t="n">
        <v>785.938</v>
      </c>
      <c r="S93" t="n">
        <v>747.27</v>
      </c>
      <c r="T93" t="n">
        <v>734.494</v>
      </c>
      <c r="U93" t="n">
        <v>696.516</v>
      </c>
      <c r="V93" t="n">
        <v>797.677</v>
      </c>
      <c r="W93" t="n">
        <v>802.929</v>
      </c>
      <c r="X93" t="n">
        <v>851.043</v>
      </c>
      <c r="Y93" t="n">
        <v>850.427</v>
      </c>
      <c r="Z93" t="n">
        <v>1181.313</v>
      </c>
      <c r="AA93" t="n">
        <v>1175.111</v>
      </c>
      <c r="AB93" t="n">
        <v>1084.236</v>
      </c>
      <c r="AC93" t="n">
        <v>3103.495</v>
      </c>
      <c r="AD93" t="n">
        <v>1720.404</v>
      </c>
      <c r="AE93" t="n">
        <v>955.883</v>
      </c>
      <c r="AF93" t="n">
        <v>1382.813</v>
      </c>
      <c r="AG93" t="n">
        <v>3015.011</v>
      </c>
      <c r="AH93" t="n">
        <v>4702.433</v>
      </c>
      <c r="AI93" t="n">
        <v>3949.047</v>
      </c>
      <c r="AJ93" t="n">
        <v>4094.764</v>
      </c>
      <c r="AK93" t="n">
        <v>2946.394</v>
      </c>
      <c r="AL93" t="n">
        <v>4409.443</v>
      </c>
      <c r="AM93" t="n">
        <v>5230.057</v>
      </c>
      <c r="AN93" t="n">
        <v>1840.581</v>
      </c>
      <c r="AO93" t="n">
        <v>1659.897</v>
      </c>
      <c r="AP93" t="n">
        <v>10404.628</v>
      </c>
      <c r="AQ93" t="n">
        <v>4252.373</v>
      </c>
      <c r="AR93" t="n">
        <v>14120.08</v>
      </c>
      <c r="AS93" t="n">
        <v>5352.825</v>
      </c>
      <c r="AT93" t="n">
        <v>1400.602</v>
      </c>
      <c r="AU93" t="n">
        <v>7677.775</v>
      </c>
      <c r="AV93" t="n">
        <v>1741.443</v>
      </c>
      <c r="AW93" t="n">
        <v>2370.631</v>
      </c>
      <c r="AX93" t="n">
        <v>1452.263</v>
      </c>
      <c r="AY93" t="n">
        <v>1855.727</v>
      </c>
      <c r="AZ93" t="n">
        <v>1622.147</v>
      </c>
      <c r="BA93" t="n">
        <v>1773.193</v>
      </c>
      <c r="BB93" t="n">
        <v>1946.515</v>
      </c>
      <c r="BC93" t="n">
        <v>2310.592</v>
      </c>
      <c r="BD93" t="n">
        <v>2128.332</v>
      </c>
      <c r="BE93" t="n">
        <v>2133.333</v>
      </c>
      <c r="BF93" t="n">
        <v>2726.76</v>
      </c>
      <c r="BG93" t="n">
        <v>2591.557</v>
      </c>
      <c r="BH93" t="n">
        <v>2633.17</v>
      </c>
      <c r="BI93" t="n">
        <v>2561.872</v>
      </c>
      <c r="BJ93" t="n">
        <v>4405.4</v>
      </c>
      <c r="BK93" t="n">
        <v>5578.686</v>
      </c>
      <c r="BL93" t="n">
        <v>5010.628</v>
      </c>
      <c r="BM93" t="n">
        <v>9280.884</v>
      </c>
      <c r="BN93" t="n">
        <v>8332.063</v>
      </c>
      <c r="BO93" t="n">
        <v>4511.694</v>
      </c>
      <c r="BP93" t="n">
        <v>2271.303</v>
      </c>
      <c r="BQ93" t="n">
        <v>2241.943</v>
      </c>
      <c r="BR93" t="n">
        <v>1721.689</v>
      </c>
      <c r="BS93" t="n">
        <v>1215.705</v>
      </c>
      <c r="BT93" t="n">
        <v>2198.739</v>
      </c>
      <c r="BU93" t="n">
        <v>1796.075</v>
      </c>
      <c r="BV93" t="n">
        <v>1203.319</v>
      </c>
    </row>
    <row r="94">
      <c r="A94" t="inlineStr">
        <is>
          <t>Rajiformes</t>
        </is>
      </c>
      <c r="B94" t="inlineStr">
        <is>
          <t>Skates and rays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596.8049999999999</v>
      </c>
      <c r="F94" t="n">
        <v>628.796</v>
      </c>
      <c r="G94" t="n">
        <v>581.7910000000001</v>
      </c>
      <c r="H94" t="n">
        <v>652.006</v>
      </c>
      <c r="I94" t="n">
        <v>564.361</v>
      </c>
      <c r="J94" t="n">
        <v>570.304</v>
      </c>
      <c r="K94" t="n">
        <v>660.812</v>
      </c>
      <c r="L94" t="n">
        <v>718.332</v>
      </c>
      <c r="M94" t="n">
        <v>1067.043</v>
      </c>
      <c r="N94" t="n">
        <v>1039.678</v>
      </c>
      <c r="O94" t="n">
        <v>1088.539</v>
      </c>
      <c r="P94" t="n">
        <v>1155.493</v>
      </c>
      <c r="Q94" t="n">
        <v>882.729</v>
      </c>
      <c r="R94" t="n">
        <v>3227.78</v>
      </c>
      <c r="S94" t="n">
        <v>2500.132</v>
      </c>
      <c r="T94" t="n">
        <v>2836.416</v>
      </c>
      <c r="U94" t="n">
        <v>3471.873</v>
      </c>
      <c r="V94" t="n">
        <v>844.303</v>
      </c>
      <c r="W94" t="n">
        <v>1105.038</v>
      </c>
      <c r="X94" t="n">
        <v>1411.415</v>
      </c>
      <c r="Y94" t="n">
        <v>1320.178</v>
      </c>
      <c r="Z94" t="n">
        <v>1346.43</v>
      </c>
      <c r="AA94" t="n">
        <v>1915.365</v>
      </c>
      <c r="AB94" t="n">
        <v>2155.996</v>
      </c>
      <c r="AC94" t="n">
        <v>2213.008</v>
      </c>
      <c r="AD94" t="n">
        <v>7141.055</v>
      </c>
      <c r="AE94" t="n">
        <v>5313.807</v>
      </c>
      <c r="AF94" t="n">
        <v>1206.982</v>
      </c>
      <c r="AG94" t="n">
        <v>2141.973</v>
      </c>
      <c r="AH94" t="n">
        <v>2175.365</v>
      </c>
      <c r="AI94" t="n">
        <v>1480.346</v>
      </c>
      <c r="AJ94" t="n">
        <v>1722.6</v>
      </c>
      <c r="AK94" t="n">
        <v>10883.775</v>
      </c>
      <c r="AL94" t="n">
        <v>11372.121</v>
      </c>
      <c r="AM94" t="n">
        <v>1889.033</v>
      </c>
      <c r="AN94" t="n">
        <v>1816.972</v>
      </c>
      <c r="AO94" t="n">
        <v>1746.655</v>
      </c>
      <c r="AP94" t="n">
        <v>2672.886</v>
      </c>
      <c r="AQ94" t="n">
        <v>2474.263</v>
      </c>
      <c r="AR94" t="n">
        <v>2143.279</v>
      </c>
      <c r="AS94" t="n">
        <v>2104.097</v>
      </c>
      <c r="AT94" t="n">
        <v>2335.669</v>
      </c>
      <c r="AU94" t="n">
        <v>2269.106</v>
      </c>
      <c r="AV94" t="n">
        <v>2616.022</v>
      </c>
      <c r="AW94" t="n">
        <v>2816.468</v>
      </c>
      <c r="AX94" t="n">
        <v>2360.305</v>
      </c>
      <c r="AY94" t="n">
        <v>2410.505</v>
      </c>
      <c r="AZ94" t="n">
        <v>2332.463</v>
      </c>
      <c r="BA94" t="n">
        <v>1729.812</v>
      </c>
      <c r="BB94" t="n">
        <v>2724.102</v>
      </c>
      <c r="BC94" t="n">
        <v>1415.05</v>
      </c>
      <c r="BD94" t="n">
        <v>2370.849</v>
      </c>
      <c r="BE94" t="n">
        <v>2849.286</v>
      </c>
      <c r="BF94" t="n">
        <v>1513.991</v>
      </c>
      <c r="BG94" t="n">
        <v>2580.959</v>
      </c>
      <c r="BH94" t="n">
        <v>2527.055</v>
      </c>
      <c r="BI94" t="n">
        <v>2539.974</v>
      </c>
      <c r="BJ94" t="n">
        <v>2999.313</v>
      </c>
      <c r="BK94" t="n">
        <v>3394.893</v>
      </c>
      <c r="BL94" t="n">
        <v>4576.675</v>
      </c>
      <c r="BM94" t="n">
        <v>2580.8</v>
      </c>
      <c r="BN94" t="n">
        <v>5771.961</v>
      </c>
      <c r="BO94" t="n">
        <v>2971.968</v>
      </c>
      <c r="BP94" t="n">
        <v>3332.611</v>
      </c>
      <c r="BQ94" t="n">
        <v>3156.054</v>
      </c>
      <c r="BR94" t="n">
        <v>2831.202</v>
      </c>
      <c r="BS94" t="n">
        <v>7069.221</v>
      </c>
      <c r="BT94" t="n">
        <v>3350.103</v>
      </c>
      <c r="BU94" t="n">
        <v>2288.225</v>
      </c>
      <c r="BV94" t="n">
        <v>2125.311</v>
      </c>
    </row>
    <row r="95">
      <c r="A95" t="inlineStr">
        <is>
          <t>Solea</t>
        </is>
      </c>
      <c r="B95" t="inlineStr">
        <is>
          <t>Soles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123.908</v>
      </c>
      <c r="F95" t="n">
        <v>128</v>
      </c>
      <c r="G95" t="n">
        <v>132.193</v>
      </c>
      <c r="H95" t="n">
        <v>136.388</v>
      </c>
      <c r="I95" t="n">
        <v>136.426</v>
      </c>
      <c r="J95" t="n">
        <v>140.827</v>
      </c>
      <c r="K95" t="n">
        <v>145.231</v>
      </c>
      <c r="L95" t="n">
        <v>146.346</v>
      </c>
      <c r="M95" t="n">
        <v>150.88</v>
      </c>
      <c r="N95" t="n">
        <v>155.422</v>
      </c>
      <c r="O95" t="n">
        <v>156.964</v>
      </c>
      <c r="P95" t="n">
        <v>161.616</v>
      </c>
      <c r="Q95" t="n">
        <v>166.283</v>
      </c>
      <c r="R95" t="n">
        <v>170.97</v>
      </c>
      <c r="S95" t="n">
        <v>172.925</v>
      </c>
      <c r="T95" t="n">
        <v>177.712</v>
      </c>
      <c r="U95" t="n">
        <v>358.591</v>
      </c>
      <c r="V95" t="n">
        <v>492.241</v>
      </c>
      <c r="W95" t="n">
        <v>649.4400000000001</v>
      </c>
      <c r="X95" t="n">
        <v>805.859</v>
      </c>
      <c r="Y95" t="n">
        <v>1329.648</v>
      </c>
      <c r="Z95" t="n">
        <v>1441.136</v>
      </c>
      <c r="AA95" t="n">
        <v>1579.463</v>
      </c>
      <c r="AB95" t="n">
        <v>2048.503</v>
      </c>
      <c r="AC95" t="n">
        <v>2603.994</v>
      </c>
      <c r="AD95" t="n">
        <v>4216.683</v>
      </c>
      <c r="AE95" t="n">
        <v>4254.365</v>
      </c>
      <c r="AF95" t="n">
        <v>5026.267</v>
      </c>
      <c r="AG95" t="n">
        <v>5616.056</v>
      </c>
      <c r="AH95" t="n">
        <v>6036.103</v>
      </c>
      <c r="AI95" t="n">
        <v>3007.576</v>
      </c>
      <c r="AJ95" t="n">
        <v>3008.645</v>
      </c>
      <c r="AK95" t="n">
        <v>3182.428</v>
      </c>
      <c r="AL95" t="n">
        <v>3429.875</v>
      </c>
      <c r="AM95" t="n">
        <v>4074.529</v>
      </c>
      <c r="AN95" t="n">
        <v>3203.996</v>
      </c>
      <c r="AO95" t="n">
        <v>2716.404</v>
      </c>
      <c r="AP95" t="n">
        <v>2031.345</v>
      </c>
      <c r="AQ95" t="n">
        <v>2246.934</v>
      </c>
      <c r="AR95" t="n">
        <v>2005.703</v>
      </c>
      <c r="AS95" t="n">
        <v>1597.465</v>
      </c>
      <c r="AT95" t="n">
        <v>3951.245</v>
      </c>
      <c r="AU95" t="n">
        <v>3731.942</v>
      </c>
      <c r="AV95" t="n">
        <v>3371.031</v>
      </c>
      <c r="AW95" t="n">
        <v>3046.041</v>
      </c>
      <c r="AX95" t="n">
        <v>4903.931</v>
      </c>
      <c r="AY95" t="n">
        <v>2452.12</v>
      </c>
      <c r="AZ95" t="n">
        <v>3557.406</v>
      </c>
      <c r="BA95" t="n">
        <v>4571.191</v>
      </c>
      <c r="BB95" t="n">
        <v>5473.162</v>
      </c>
      <c r="BC95" t="n">
        <v>6001.682</v>
      </c>
      <c r="BD95" t="n">
        <v>6430.208</v>
      </c>
      <c r="BE95" t="n">
        <v>5658.372</v>
      </c>
      <c r="BF95" t="n">
        <v>3788.776</v>
      </c>
      <c r="BG95" t="n">
        <v>4076.649</v>
      </c>
      <c r="BH95" t="n">
        <v>3735.914</v>
      </c>
      <c r="BI95" t="n">
        <v>3970.598</v>
      </c>
      <c r="BJ95" t="n">
        <v>4695.977</v>
      </c>
      <c r="BK95" t="n">
        <v>6543.981</v>
      </c>
      <c r="BL95" t="n">
        <v>7018.268</v>
      </c>
      <c r="BM95" t="n">
        <v>6923.132</v>
      </c>
      <c r="BN95" t="n">
        <v>766.919</v>
      </c>
      <c r="BO95" t="n">
        <v>1682.237</v>
      </c>
      <c r="BP95" t="n">
        <v>688.737</v>
      </c>
      <c r="BQ95" t="n">
        <v>826.592</v>
      </c>
      <c r="BR95" t="n">
        <v>1335.678</v>
      </c>
      <c r="BS95" t="n">
        <v>1026.053</v>
      </c>
      <c r="BT95" t="n">
        <v>557.4829999999999</v>
      </c>
      <c r="BU95" t="n">
        <v>1275.995</v>
      </c>
      <c r="BV95" t="n">
        <v>951.578</v>
      </c>
    </row>
    <row r="96">
      <c r="A96" t="inlineStr">
        <is>
          <t>Stromateus fiatola</t>
        </is>
      </c>
      <c r="B96" t="inlineStr">
        <is>
          <t>Blue butterfish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1148.101</v>
      </c>
      <c r="AA96" t="n">
        <v>1214.843</v>
      </c>
      <c r="AB96" t="n">
        <v>1232.101</v>
      </c>
      <c r="AC96" t="n">
        <v>2273.294</v>
      </c>
      <c r="AD96" t="n">
        <v>1283.404</v>
      </c>
      <c r="AE96" t="n">
        <v>1014.604</v>
      </c>
      <c r="AF96" t="n">
        <v>1121.463</v>
      </c>
      <c r="AG96" t="n">
        <v>1237.044</v>
      </c>
      <c r="AH96" t="n">
        <v>1282.193</v>
      </c>
      <c r="AI96" t="n">
        <v>418.89</v>
      </c>
      <c r="AJ96" t="n">
        <v>949.849</v>
      </c>
      <c r="AK96" t="n">
        <v>980.119</v>
      </c>
      <c r="AL96" t="n">
        <v>273.271</v>
      </c>
      <c r="AM96" t="n">
        <v>694.448</v>
      </c>
      <c r="AN96" t="n">
        <v>600.035</v>
      </c>
      <c r="AO96" t="n">
        <v>1184.087</v>
      </c>
      <c r="AP96" t="n">
        <v>1406.086</v>
      </c>
      <c r="AQ96" t="n">
        <v>1352.777</v>
      </c>
      <c r="AR96" t="n">
        <v>1056.358</v>
      </c>
      <c r="AS96" t="n">
        <v>734.574</v>
      </c>
      <c r="AT96" t="n">
        <v>715.926</v>
      </c>
      <c r="AU96" t="n">
        <v>896.997</v>
      </c>
      <c r="AV96" t="n">
        <v>663.232</v>
      </c>
      <c r="AW96" t="n">
        <v>601.177</v>
      </c>
      <c r="AX96" t="n">
        <v>689.372</v>
      </c>
      <c r="AY96" t="n">
        <v>459.363</v>
      </c>
      <c r="AZ96" t="n">
        <v>546.631</v>
      </c>
      <c r="BA96" t="n">
        <v>513.2569999999999</v>
      </c>
      <c r="BB96" t="n">
        <v>825.393</v>
      </c>
      <c r="BC96" t="n">
        <v>484.731</v>
      </c>
      <c r="BD96" t="n">
        <v>5264.784</v>
      </c>
      <c r="BE96" t="n">
        <v>1672.013</v>
      </c>
      <c r="BF96" t="n">
        <v>4805.16</v>
      </c>
      <c r="BG96" t="n">
        <v>5435.047</v>
      </c>
      <c r="BH96" t="n">
        <v>8698.914000000001</v>
      </c>
      <c r="BI96" t="n">
        <v>8328.922</v>
      </c>
      <c r="BJ96" t="n">
        <v>8229.612999999999</v>
      </c>
      <c r="BK96" t="n">
        <v>8061.4</v>
      </c>
      <c r="BL96" t="n">
        <v>7141.373</v>
      </c>
      <c r="BM96" t="n">
        <v>7213.677</v>
      </c>
      <c r="BN96" t="n">
        <v>7304.715</v>
      </c>
      <c r="BO96" t="n">
        <v>10883.692</v>
      </c>
      <c r="BP96" t="n">
        <v>7294.083</v>
      </c>
      <c r="BQ96" t="n">
        <v>7831.425</v>
      </c>
      <c r="BR96" t="n">
        <v>8907.008</v>
      </c>
      <c r="BS96" t="n">
        <v>8161.415</v>
      </c>
      <c r="BT96" t="n">
        <v>8630.690000000001</v>
      </c>
      <c r="BU96" t="n">
        <v>8115.919</v>
      </c>
      <c r="BV96" t="n">
        <v>7853.134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n">
        <v>111.7</v>
      </c>
      <c r="F97" t="n">
        <v>143.685</v>
      </c>
      <c r="G97" t="n">
        <v>110.477</v>
      </c>
      <c r="H97" t="n">
        <v>176.16</v>
      </c>
      <c r="I97" t="n">
        <v>147.62</v>
      </c>
      <c r="J97" t="n">
        <v>158.366</v>
      </c>
      <c r="K97" t="n">
        <v>241.193</v>
      </c>
      <c r="L97" t="n">
        <v>397.87</v>
      </c>
      <c r="M97" t="n">
        <v>371.239</v>
      </c>
      <c r="N97" t="n">
        <v>453.916</v>
      </c>
      <c r="O97" t="n">
        <v>434.47</v>
      </c>
      <c r="P97" t="n">
        <v>359.056</v>
      </c>
      <c r="Q97" t="n">
        <v>487.271</v>
      </c>
      <c r="R97" t="n">
        <v>530.88</v>
      </c>
      <c r="S97" t="n">
        <v>629.818</v>
      </c>
      <c r="T97" t="n">
        <v>688.412</v>
      </c>
      <c r="U97" t="n">
        <v>1110.026</v>
      </c>
      <c r="V97" t="n">
        <v>1797.888</v>
      </c>
      <c r="W97" t="n">
        <v>1289.208</v>
      </c>
      <c r="X97" t="n">
        <v>1435.831</v>
      </c>
      <c r="Y97" t="n">
        <v>3623.726</v>
      </c>
      <c r="Z97" t="n">
        <v>3526.597</v>
      </c>
      <c r="AA97" t="n">
        <v>3818.466</v>
      </c>
      <c r="AB97" t="n">
        <v>3583.603</v>
      </c>
      <c r="AC97" t="n">
        <v>2754.778</v>
      </c>
      <c r="AD97" t="n">
        <v>2816.483</v>
      </c>
      <c r="AE97" t="n">
        <v>3273.05</v>
      </c>
      <c r="AF97" t="n">
        <v>1255.343</v>
      </c>
      <c r="AG97" t="n">
        <v>1119.827</v>
      </c>
      <c r="AH97" t="n">
        <v>2041.283</v>
      </c>
      <c r="AI97" t="n">
        <v>950.178</v>
      </c>
      <c r="AJ97" t="n">
        <v>1247.287</v>
      </c>
      <c r="AK97" t="n">
        <v>1606.943</v>
      </c>
      <c r="AL97" t="n">
        <v>1572.012</v>
      </c>
      <c r="AM97" t="n">
        <v>5926.985</v>
      </c>
      <c r="AN97" t="n">
        <v>2061.344</v>
      </c>
      <c r="AO97" t="n">
        <v>6829.592</v>
      </c>
      <c r="AP97" t="n">
        <v>6090.04</v>
      </c>
      <c r="AQ97" t="n">
        <v>8526.803</v>
      </c>
      <c r="AR97" t="n">
        <v>2662.46</v>
      </c>
      <c r="AS97" t="n">
        <v>5112.606</v>
      </c>
      <c r="AT97" t="n">
        <v>2125.544</v>
      </c>
      <c r="AU97" t="n">
        <v>1510.182</v>
      </c>
      <c r="AV97" t="n">
        <v>2113.996</v>
      </c>
      <c r="AW97" t="n">
        <v>1487.532</v>
      </c>
      <c r="AX97" t="n">
        <v>1262.169</v>
      </c>
      <c r="AY97" t="n">
        <v>1124.949</v>
      </c>
      <c r="AZ97" t="n">
        <v>1307.061</v>
      </c>
      <c r="BA97" t="n">
        <v>1314.359</v>
      </c>
      <c r="BB97" t="n">
        <v>1299.93</v>
      </c>
      <c r="BC97" t="n">
        <v>360.037</v>
      </c>
      <c r="BD97" t="n">
        <v>555.777</v>
      </c>
      <c r="BE97" t="n">
        <v>402.902</v>
      </c>
      <c r="BF97" t="n">
        <v>317.819</v>
      </c>
      <c r="BG97" t="n">
        <v>387.435</v>
      </c>
      <c r="BH97" t="n">
        <v>1048.092</v>
      </c>
      <c r="BI97" t="n">
        <v>756.332</v>
      </c>
      <c r="BJ97" t="n">
        <v>1006.635</v>
      </c>
      <c r="BK97" t="n">
        <v>12118.591</v>
      </c>
      <c r="BL97" t="n">
        <v>3597.157</v>
      </c>
      <c r="BM97" t="n">
        <v>468.049</v>
      </c>
      <c r="BN97" t="n">
        <v>5182.231</v>
      </c>
      <c r="BO97" t="n">
        <v>4480.022</v>
      </c>
      <c r="BP97" t="n">
        <v>6078.852</v>
      </c>
      <c r="BQ97" t="n">
        <v>6471.675</v>
      </c>
      <c r="BR97" t="n">
        <v>5675.288</v>
      </c>
      <c r="BS97" t="n">
        <v>6881.311</v>
      </c>
      <c r="BT97" t="n">
        <v>4089.204</v>
      </c>
      <c r="BU97" t="n">
        <v>3986.339</v>
      </c>
      <c r="BV97" t="n">
        <v>3960.174</v>
      </c>
    </row>
    <row r="98">
      <c r="A98" t="inlineStr">
        <is>
          <t>Sepiidae</t>
        </is>
      </c>
      <c r="B98" t="inlineStr">
        <is>
          <t>Cuttlefishes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117.021</v>
      </c>
      <c r="F98" t="n">
        <v>132.953</v>
      </c>
      <c r="G98" t="n">
        <v>79.68600000000001</v>
      </c>
      <c r="H98" t="n">
        <v>128.734</v>
      </c>
      <c r="I98" t="n">
        <v>82.33</v>
      </c>
      <c r="J98" t="n">
        <v>74.727</v>
      </c>
      <c r="K98" t="n">
        <v>141.168</v>
      </c>
      <c r="L98" t="n">
        <v>184.931</v>
      </c>
      <c r="M98" t="n">
        <v>138.031</v>
      </c>
      <c r="N98" t="n">
        <v>102.658</v>
      </c>
      <c r="O98" t="n">
        <v>66.59099999999999</v>
      </c>
      <c r="P98" t="n">
        <v>70.63</v>
      </c>
      <c r="Q98" t="n">
        <v>80.855</v>
      </c>
      <c r="R98" t="n">
        <v>106.105</v>
      </c>
      <c r="S98" t="n">
        <v>146.21</v>
      </c>
      <c r="T98" t="n">
        <v>197.559</v>
      </c>
      <c r="U98" t="n">
        <v>207.67</v>
      </c>
      <c r="V98" t="n">
        <v>219.14</v>
      </c>
      <c r="W98" t="n">
        <v>170.211</v>
      </c>
      <c r="X98" t="n">
        <v>261.966</v>
      </c>
      <c r="Y98" t="n">
        <v>310.853</v>
      </c>
      <c r="Z98" t="n">
        <v>316.733</v>
      </c>
      <c r="AA98" t="n">
        <v>403.517</v>
      </c>
      <c r="AB98" t="n">
        <v>335.986</v>
      </c>
      <c r="AC98" t="n">
        <v>948.572</v>
      </c>
      <c r="AD98" t="n">
        <v>769.008</v>
      </c>
      <c r="AE98" t="n">
        <v>666.933</v>
      </c>
      <c r="AF98" t="n">
        <v>696.364</v>
      </c>
      <c r="AG98" t="n">
        <v>742.231</v>
      </c>
      <c r="AH98" t="n">
        <v>277.975</v>
      </c>
      <c r="AI98" t="n">
        <v>674.283</v>
      </c>
      <c r="AJ98" t="n">
        <v>643.798</v>
      </c>
      <c r="AK98" t="n">
        <v>1291.796</v>
      </c>
      <c r="AL98" t="n">
        <v>1837.913</v>
      </c>
      <c r="AM98" t="n">
        <v>1283.054</v>
      </c>
      <c r="AN98" t="n">
        <v>1350.259</v>
      </c>
      <c r="AO98" t="n">
        <v>1589.41</v>
      </c>
      <c r="AP98" t="n">
        <v>2148.568</v>
      </c>
      <c r="AQ98" t="n">
        <v>1911.315</v>
      </c>
      <c r="AR98" t="n">
        <v>3176.236</v>
      </c>
      <c r="AS98" t="n">
        <v>4774.965</v>
      </c>
      <c r="AT98" t="n">
        <v>5009.727</v>
      </c>
      <c r="AU98" t="n">
        <v>4107.484</v>
      </c>
      <c r="AV98" t="n">
        <v>2995.189</v>
      </c>
      <c r="AW98" t="n">
        <v>2540.449</v>
      </c>
      <c r="AX98" t="n">
        <v>4087.809</v>
      </c>
      <c r="AY98" t="n">
        <v>4964.781</v>
      </c>
      <c r="AZ98" t="n">
        <v>5782.3</v>
      </c>
      <c r="BA98" t="n">
        <v>6072.33</v>
      </c>
      <c r="BB98" t="n">
        <v>9236.040999999999</v>
      </c>
      <c r="BC98" t="n">
        <v>2420.781</v>
      </c>
      <c r="BD98" t="n">
        <v>3917.897</v>
      </c>
      <c r="BE98" t="n">
        <v>5528.618</v>
      </c>
      <c r="BF98" t="n">
        <v>8244.197</v>
      </c>
      <c r="BG98" t="n">
        <v>5703.623</v>
      </c>
      <c r="BH98" t="n">
        <v>3981.87</v>
      </c>
      <c r="BI98" t="n">
        <v>4302.239</v>
      </c>
      <c r="BJ98" t="n">
        <v>3321.187</v>
      </c>
      <c r="BK98" t="n">
        <v>3689.797</v>
      </c>
      <c r="BL98" t="n">
        <v>2871.936</v>
      </c>
      <c r="BM98" t="n">
        <v>3834.212</v>
      </c>
      <c r="BN98" t="n">
        <v>3112.932</v>
      </c>
      <c r="BO98" t="n">
        <v>3200.424</v>
      </c>
      <c r="BP98" t="n">
        <v>3836.114</v>
      </c>
      <c r="BQ98" t="n">
        <v>5053.07</v>
      </c>
      <c r="BR98" t="n">
        <v>4231.827</v>
      </c>
      <c r="BS98" t="n">
        <v>4626.152</v>
      </c>
      <c r="BT98" t="n">
        <v>3540.462</v>
      </c>
      <c r="BU98" t="n">
        <v>5536.721</v>
      </c>
      <c r="BV98" t="n">
        <v>3966.971</v>
      </c>
    </row>
    <row r="99">
      <c r="A99" t="inlineStr">
        <is>
          <t>Dentex gibbosus</t>
        </is>
      </c>
      <c r="B99" t="inlineStr">
        <is>
          <t>Pink dentex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157.191</v>
      </c>
      <c r="F99" t="n">
        <v>198.922</v>
      </c>
      <c r="G99" t="n">
        <v>222.261</v>
      </c>
      <c r="H99" t="n">
        <v>211.423</v>
      </c>
      <c r="I99" t="n">
        <v>238.244</v>
      </c>
      <c r="J99" t="n">
        <v>197.601</v>
      </c>
      <c r="K99" t="n">
        <v>229.792</v>
      </c>
      <c r="L99" t="n">
        <v>269.539</v>
      </c>
      <c r="M99" t="n">
        <v>378.734</v>
      </c>
      <c r="N99" t="n">
        <v>525.9640000000001</v>
      </c>
      <c r="O99" t="n">
        <v>676.359</v>
      </c>
      <c r="P99" t="n">
        <v>812.348</v>
      </c>
      <c r="Q99" t="n">
        <v>957.394</v>
      </c>
      <c r="R99" t="n">
        <v>1112.127</v>
      </c>
      <c r="S99" t="n">
        <v>1270.29</v>
      </c>
      <c r="T99" t="n">
        <v>1404.438</v>
      </c>
      <c r="U99" t="n">
        <v>1510.905</v>
      </c>
      <c r="V99" t="n">
        <v>1617.964</v>
      </c>
      <c r="W99" t="n">
        <v>1658.018</v>
      </c>
      <c r="X99" t="n">
        <v>1698.861</v>
      </c>
      <c r="Y99" t="n">
        <v>1738.796</v>
      </c>
      <c r="Z99" t="n">
        <v>1780.578</v>
      </c>
      <c r="AA99" t="n">
        <v>1823.067</v>
      </c>
      <c r="AB99" t="n">
        <v>1764.401</v>
      </c>
      <c r="AC99" t="n">
        <v>1807.9</v>
      </c>
      <c r="AD99" t="n">
        <v>1917.837</v>
      </c>
      <c r="AE99" t="n">
        <v>2232.434</v>
      </c>
      <c r="AF99" t="n">
        <v>2607.597</v>
      </c>
      <c r="AG99" t="n">
        <v>2701.377</v>
      </c>
      <c r="AH99" t="n">
        <v>2838.192</v>
      </c>
      <c r="AI99" t="n">
        <v>3179.251</v>
      </c>
      <c r="AJ99" t="n">
        <v>3466.557</v>
      </c>
      <c r="AK99" t="n">
        <v>3749.068</v>
      </c>
      <c r="AL99" t="n">
        <v>4144.47</v>
      </c>
      <c r="AM99" t="n">
        <v>3935.907</v>
      </c>
      <c r="AN99" t="n">
        <v>4134.096</v>
      </c>
      <c r="AO99" t="n">
        <v>3953.05</v>
      </c>
      <c r="AP99" t="n">
        <v>3698.088</v>
      </c>
      <c r="AQ99" t="n">
        <v>3658.382</v>
      </c>
      <c r="AR99" t="n">
        <v>3344.022</v>
      </c>
      <c r="AS99" t="n">
        <v>3230.872</v>
      </c>
      <c r="AT99" t="n">
        <v>3280.239</v>
      </c>
      <c r="AU99" t="n">
        <v>3363.08</v>
      </c>
      <c r="AV99" t="n">
        <v>3462.903</v>
      </c>
      <c r="AW99" t="n">
        <v>4309.08</v>
      </c>
      <c r="AX99" t="n">
        <v>4313.973</v>
      </c>
      <c r="AY99" t="n">
        <v>3192.498</v>
      </c>
      <c r="AZ99" t="n">
        <v>3098.545</v>
      </c>
      <c r="BA99" t="n">
        <v>3201.306</v>
      </c>
      <c r="BB99" t="n">
        <v>3185.409</v>
      </c>
      <c r="BC99" t="n">
        <v>4150.997</v>
      </c>
      <c r="BD99" t="n">
        <v>3399.294</v>
      </c>
      <c r="BE99" t="n">
        <v>4210.745</v>
      </c>
      <c r="BF99" t="n">
        <v>3998.104</v>
      </c>
      <c r="BG99" t="n">
        <v>4168.378</v>
      </c>
      <c r="BH99" t="n">
        <v>3555.443</v>
      </c>
      <c r="BI99" t="n">
        <v>3099.398</v>
      </c>
      <c r="BJ99" t="n">
        <v>2367.233</v>
      </c>
      <c r="BK99" t="n">
        <v>2404.281</v>
      </c>
      <c r="BL99" t="n">
        <v>1888.743</v>
      </c>
      <c r="BM99" t="n">
        <v>1647.684</v>
      </c>
      <c r="BN99" t="n">
        <v>2086.725</v>
      </c>
      <c r="BO99" t="n">
        <v>1975.992</v>
      </c>
      <c r="BP99" t="n">
        <v>1882.063</v>
      </c>
      <c r="BQ99" t="n">
        <v>1680.649</v>
      </c>
      <c r="BR99" t="n">
        <v>1519.891</v>
      </c>
      <c r="BS99" t="n">
        <v>1410.963</v>
      </c>
      <c r="BT99" t="n">
        <v>1302.275</v>
      </c>
      <c r="BU99" t="n">
        <v>1301.864</v>
      </c>
      <c r="BV99" t="n">
        <v>1369.231</v>
      </c>
    </row>
    <row r="100">
      <c r="A100" t="inlineStr">
        <is>
          <t>Pleuronectiformes</t>
        </is>
      </c>
      <c r="B100" t="inlineStr">
        <is>
          <t>Flatfishes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0.129</v>
      </c>
      <c r="F100" t="n">
        <v>0.131</v>
      </c>
      <c r="G100" t="n">
        <v>0.133</v>
      </c>
      <c r="H100" t="n">
        <v>0.139</v>
      </c>
      <c r="I100" t="n">
        <v>0.145</v>
      </c>
      <c r="J100" t="n">
        <v>0.151</v>
      </c>
      <c r="K100" t="n">
        <v>0.157</v>
      </c>
      <c r="L100" t="n">
        <v>0.163</v>
      </c>
      <c r="M100" t="n">
        <v>0.615</v>
      </c>
      <c r="N100" t="n">
        <v>0.9370000000000001</v>
      </c>
      <c r="O100" t="n">
        <v>1.382</v>
      </c>
      <c r="P100" t="n">
        <v>1.823</v>
      </c>
      <c r="Q100" t="n">
        <v>2.285</v>
      </c>
      <c r="R100" t="n">
        <v>2.464</v>
      </c>
      <c r="S100" t="n">
        <v>88.042</v>
      </c>
      <c r="T100" t="n">
        <v>53.911</v>
      </c>
      <c r="U100" t="n">
        <v>87.03100000000001</v>
      </c>
      <c r="V100" t="n">
        <v>116.293</v>
      </c>
      <c r="W100" t="n">
        <v>330.072</v>
      </c>
      <c r="X100" t="n">
        <v>375.106</v>
      </c>
      <c r="Y100" t="n">
        <v>654.545</v>
      </c>
      <c r="Z100" t="n">
        <v>798.054</v>
      </c>
      <c r="AA100" t="n">
        <v>912.5410000000001</v>
      </c>
      <c r="AB100" t="n">
        <v>1239.926</v>
      </c>
      <c r="AC100" t="n">
        <v>1571.377</v>
      </c>
      <c r="AD100" t="n">
        <v>1493.431</v>
      </c>
      <c r="AE100" t="n">
        <v>994.004</v>
      </c>
      <c r="AF100" t="n">
        <v>849.3920000000001</v>
      </c>
      <c r="AG100" t="n">
        <v>1172.746</v>
      </c>
      <c r="AH100" t="n">
        <v>959.765</v>
      </c>
      <c r="AI100" t="n">
        <v>1238.681</v>
      </c>
      <c r="AJ100" t="n">
        <v>1391.876</v>
      </c>
      <c r="AK100" t="n">
        <v>1756.581</v>
      </c>
      <c r="AL100" t="n">
        <v>1394.803</v>
      </c>
      <c r="AM100" t="n">
        <v>1126.695</v>
      </c>
      <c r="AN100" t="n">
        <v>1130.616</v>
      </c>
      <c r="AO100" t="n">
        <v>946.772</v>
      </c>
      <c r="AP100" t="n">
        <v>1228.369</v>
      </c>
      <c r="AQ100" t="n">
        <v>1632.916</v>
      </c>
      <c r="AR100" t="n">
        <v>1263.49</v>
      </c>
      <c r="AS100" t="n">
        <v>730.9109999999999</v>
      </c>
      <c r="AT100" t="n">
        <v>881.097</v>
      </c>
      <c r="AU100" t="n">
        <v>924.366</v>
      </c>
      <c r="AV100" t="n">
        <v>1044.821</v>
      </c>
      <c r="AW100" t="n">
        <v>1378.488</v>
      </c>
      <c r="AX100" t="n">
        <v>1077.362</v>
      </c>
      <c r="AY100" t="n">
        <v>1702.453</v>
      </c>
      <c r="AZ100" t="n">
        <v>2284.752</v>
      </c>
      <c r="BA100" t="n">
        <v>1917.475</v>
      </c>
      <c r="BB100" t="n">
        <v>3139.487</v>
      </c>
      <c r="BC100" t="n">
        <v>6023.775</v>
      </c>
      <c r="BD100" t="n">
        <v>4393.43</v>
      </c>
      <c r="BE100" t="n">
        <v>5839.794</v>
      </c>
      <c r="BF100" t="n">
        <v>1537.187</v>
      </c>
      <c r="BG100" t="n">
        <v>705.3339999999999</v>
      </c>
      <c r="BH100" t="n">
        <v>6049.655</v>
      </c>
      <c r="BI100" t="n">
        <v>3428.295</v>
      </c>
      <c r="BJ100" t="n">
        <v>2151.884</v>
      </c>
      <c r="BK100" t="n">
        <v>4060.55</v>
      </c>
      <c r="BL100" t="n">
        <v>2297.916</v>
      </c>
      <c r="BM100" t="n">
        <v>3004.233</v>
      </c>
      <c r="BN100" t="n">
        <v>9676.423000000001</v>
      </c>
      <c r="BO100" t="n">
        <v>9618.974</v>
      </c>
      <c r="BP100" t="n">
        <v>8844.092000000001</v>
      </c>
      <c r="BQ100" t="n">
        <v>9316.299999999999</v>
      </c>
      <c r="BR100" t="n">
        <v>9066.897000000001</v>
      </c>
      <c r="BS100" t="n">
        <v>7616.321</v>
      </c>
      <c r="BT100" t="n">
        <v>7520.951</v>
      </c>
      <c r="BU100" t="n">
        <v>8735.236000000001</v>
      </c>
      <c r="BV100" t="n">
        <v>7320.39</v>
      </c>
    </row>
    <row r="101">
      <c r="A101" t="inlineStr">
        <is>
          <t>Caranx rhonchus</t>
        </is>
      </c>
      <c r="B101" t="inlineStr">
        <is>
          <t>False scad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0.703</v>
      </c>
      <c r="AA101" t="n">
        <v>2.796</v>
      </c>
      <c r="AB101" t="n">
        <v>5.777</v>
      </c>
      <c r="AC101" t="n">
        <v>9.65</v>
      </c>
      <c r="AD101" t="n">
        <v>657.671</v>
      </c>
      <c r="AE101" t="n">
        <v>3462.061</v>
      </c>
      <c r="AF101" t="n">
        <v>255.646</v>
      </c>
      <c r="AG101" t="n">
        <v>69.76000000000001</v>
      </c>
      <c r="AH101" t="n">
        <v>7767.792</v>
      </c>
      <c r="AI101" t="n">
        <v>3624.75</v>
      </c>
      <c r="AJ101" t="n">
        <v>1772.984</v>
      </c>
      <c r="AK101" t="n">
        <v>6270.822</v>
      </c>
      <c r="AL101" t="n">
        <v>5420.152</v>
      </c>
      <c r="AM101" t="n">
        <v>1162.89</v>
      </c>
      <c r="AN101" t="n">
        <v>1166.346</v>
      </c>
      <c r="AO101" t="n">
        <v>5288.267</v>
      </c>
      <c r="AP101" t="n">
        <v>3333.784</v>
      </c>
      <c r="AQ101" t="n">
        <v>4622.44</v>
      </c>
      <c r="AR101" t="n">
        <v>2729.486</v>
      </c>
      <c r="AS101" t="n">
        <v>12521.487</v>
      </c>
      <c r="AT101" t="n">
        <v>4516.578</v>
      </c>
      <c r="AU101" t="n">
        <v>2489.024</v>
      </c>
      <c r="AV101" t="n">
        <v>2237.736</v>
      </c>
      <c r="AW101" t="n">
        <v>4026.897</v>
      </c>
      <c r="AX101" t="n">
        <v>3483.405</v>
      </c>
      <c r="AY101" t="n">
        <v>3314.734</v>
      </c>
      <c r="AZ101" t="n">
        <v>3352.594</v>
      </c>
      <c r="BA101" t="n">
        <v>2904.646</v>
      </c>
      <c r="BB101" t="n">
        <v>2753.762</v>
      </c>
      <c r="BC101" t="n">
        <v>3926.982</v>
      </c>
      <c r="BD101" t="n">
        <v>389.232</v>
      </c>
      <c r="BE101" t="n">
        <v>1808.616</v>
      </c>
      <c r="BF101" t="n">
        <v>3314.663</v>
      </c>
      <c r="BG101" t="n">
        <v>2485.164</v>
      </c>
      <c r="BH101" t="n">
        <v>1999.598</v>
      </c>
      <c r="BI101" t="n">
        <v>3579.108</v>
      </c>
      <c r="BJ101" t="n">
        <v>1138.106</v>
      </c>
      <c r="BK101" t="n">
        <v>1037.346</v>
      </c>
      <c r="BL101" t="n">
        <v>858.587</v>
      </c>
      <c r="BM101" t="n">
        <v>709.293</v>
      </c>
      <c r="BN101" t="n">
        <v>3993.933</v>
      </c>
      <c r="BO101" t="n">
        <v>6318.764</v>
      </c>
      <c r="BP101" t="n">
        <v>5274.61</v>
      </c>
      <c r="BQ101" t="n">
        <v>4304.784</v>
      </c>
      <c r="BR101" t="n">
        <v>2377.363</v>
      </c>
      <c r="BS101" t="n">
        <v>2780.694</v>
      </c>
      <c r="BT101" t="n">
        <v>7489.614</v>
      </c>
      <c r="BU101" t="n">
        <v>8263.873</v>
      </c>
      <c r="BV101" t="n">
        <v>4984.953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569.38</v>
      </c>
      <c r="F102" t="n">
        <v>589.933</v>
      </c>
      <c r="G102" t="n">
        <v>947.98</v>
      </c>
      <c r="H102" t="n">
        <v>1023.836</v>
      </c>
      <c r="I102" t="n">
        <v>1109.153</v>
      </c>
      <c r="J102" t="n">
        <v>1124.964</v>
      </c>
      <c r="K102" t="n">
        <v>1478.03</v>
      </c>
      <c r="L102" t="n">
        <v>1325.734</v>
      </c>
      <c r="M102" t="n">
        <v>1433.475</v>
      </c>
      <c r="N102" t="n">
        <v>1467.58</v>
      </c>
      <c r="O102" t="n">
        <v>2220.649</v>
      </c>
      <c r="P102" t="n">
        <v>2427.637</v>
      </c>
      <c r="Q102" t="n">
        <v>2459.748</v>
      </c>
      <c r="R102" t="n">
        <v>2430.082</v>
      </c>
      <c r="S102" t="n">
        <v>2191.878</v>
      </c>
      <c r="T102" t="n">
        <v>1417.044</v>
      </c>
      <c r="U102" t="n">
        <v>2351.605</v>
      </c>
      <c r="V102" t="n">
        <v>2317.34</v>
      </c>
      <c r="W102" t="n">
        <v>2399.115</v>
      </c>
      <c r="X102" t="n">
        <v>2265.704</v>
      </c>
      <c r="Y102" t="n">
        <v>1809.41</v>
      </c>
      <c r="Z102" t="n">
        <v>1755.12</v>
      </c>
      <c r="AA102" t="n">
        <v>1751.064</v>
      </c>
      <c r="AB102" t="n">
        <v>2192.695</v>
      </c>
      <c r="AC102" t="n">
        <v>1851.565</v>
      </c>
      <c r="AD102" t="n">
        <v>2058.891</v>
      </c>
      <c r="AE102" t="n">
        <v>2000.087</v>
      </c>
      <c r="AF102" t="n">
        <v>2512.662</v>
      </c>
      <c r="AG102" t="n">
        <v>2848.345</v>
      </c>
      <c r="AH102" t="n">
        <v>3227.089</v>
      </c>
      <c r="AI102" t="n">
        <v>2428.417</v>
      </c>
      <c r="AJ102" t="n">
        <v>1978.776</v>
      </c>
      <c r="AK102" t="n">
        <v>1861.851</v>
      </c>
      <c r="AL102" t="n">
        <v>2185.11</v>
      </c>
      <c r="AM102" t="n">
        <v>2075.328</v>
      </c>
      <c r="AN102" t="n">
        <v>2261.302</v>
      </c>
      <c r="AO102" t="n">
        <v>2295.386</v>
      </c>
      <c r="AP102" t="n">
        <v>2059.494</v>
      </c>
      <c r="AQ102" t="n">
        <v>2050.166</v>
      </c>
      <c r="AR102" t="n">
        <v>1879.707</v>
      </c>
      <c r="AS102" t="n">
        <v>1913.665</v>
      </c>
      <c r="AT102" t="n">
        <v>1677.469</v>
      </c>
      <c r="AU102" t="n">
        <v>1713.303</v>
      </c>
      <c r="AV102" t="n">
        <v>1743.598</v>
      </c>
      <c r="AW102" t="n">
        <v>1941.08</v>
      </c>
      <c r="AX102" t="n">
        <v>2529.818</v>
      </c>
      <c r="AY102" t="n">
        <v>2817.378</v>
      </c>
      <c r="AZ102" t="n">
        <v>2618.251</v>
      </c>
      <c r="BA102" t="n">
        <v>2765.772</v>
      </c>
      <c r="BB102" t="n">
        <v>3239.796</v>
      </c>
      <c r="BC102" t="n">
        <v>2979.009</v>
      </c>
      <c r="BD102" t="n">
        <v>2257.921</v>
      </c>
      <c r="BE102" t="n">
        <v>2715.958</v>
      </c>
      <c r="BF102" t="n">
        <v>2546.538</v>
      </c>
      <c r="BG102" t="n">
        <v>1886.089</v>
      </c>
      <c r="BH102" t="n">
        <v>3535.713</v>
      </c>
      <c r="BI102" t="n">
        <v>1996.552</v>
      </c>
      <c r="BJ102" t="n">
        <v>2427.101</v>
      </c>
      <c r="BK102" t="n">
        <v>2646.124</v>
      </c>
      <c r="BL102" t="n">
        <v>3927.565</v>
      </c>
      <c r="BM102" t="n">
        <v>4807.023</v>
      </c>
      <c r="BN102" t="n">
        <v>3176.785</v>
      </c>
      <c r="BO102" t="n">
        <v>2757.35</v>
      </c>
      <c r="BP102" t="n">
        <v>2338.915</v>
      </c>
      <c r="BQ102" t="n">
        <v>2391.07</v>
      </c>
      <c r="BR102" t="n">
        <v>1958.854</v>
      </c>
      <c r="BS102" t="n">
        <v>2182.873</v>
      </c>
      <c r="BT102" t="n">
        <v>3880.279</v>
      </c>
      <c r="BU102" t="n">
        <v>3178.969</v>
      </c>
      <c r="BV102" t="n">
        <v>2500.159</v>
      </c>
    </row>
    <row r="103">
      <c r="A103" t="inlineStr">
        <is>
          <t>Acanthocybium solandri</t>
        </is>
      </c>
      <c r="B103" t="inlineStr">
        <is>
          <t>Wahoo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195.956</v>
      </c>
      <c r="F103" t="n">
        <v>197.188</v>
      </c>
      <c r="G103" t="n">
        <v>198.44</v>
      </c>
      <c r="H103" t="n">
        <v>199.711</v>
      </c>
      <c r="I103" t="n">
        <v>201.002</v>
      </c>
      <c r="J103" t="n">
        <v>202.312</v>
      </c>
      <c r="K103" t="n">
        <v>203.642</v>
      </c>
      <c r="L103" t="n">
        <v>204.991</v>
      </c>
      <c r="M103" t="n">
        <v>207.867</v>
      </c>
      <c r="N103" t="n">
        <v>513.484</v>
      </c>
      <c r="O103" t="n">
        <v>637.487</v>
      </c>
      <c r="P103" t="n">
        <v>765.923</v>
      </c>
      <c r="Q103" t="n">
        <v>902.136</v>
      </c>
      <c r="R103" t="n">
        <v>1010.403</v>
      </c>
      <c r="S103" t="n">
        <v>1121.87</v>
      </c>
      <c r="T103" t="n">
        <v>1100.735</v>
      </c>
      <c r="U103" t="n">
        <v>1057.139</v>
      </c>
      <c r="V103" t="n">
        <v>1025.281</v>
      </c>
      <c r="W103" t="n">
        <v>1002.857</v>
      </c>
      <c r="X103" t="n">
        <v>982.276</v>
      </c>
      <c r="Y103" t="n">
        <v>974.523</v>
      </c>
      <c r="Z103" t="n">
        <v>974.458</v>
      </c>
      <c r="AA103" t="n">
        <v>957.164</v>
      </c>
      <c r="AB103" t="n">
        <v>940.439</v>
      </c>
      <c r="AC103" t="n">
        <v>956.462</v>
      </c>
      <c r="AD103" t="n">
        <v>956.2569999999999</v>
      </c>
      <c r="AE103" t="n">
        <v>1258.408</v>
      </c>
      <c r="AF103" t="n">
        <v>1267.568</v>
      </c>
      <c r="AG103" t="n">
        <v>1268.218</v>
      </c>
      <c r="AH103" t="n">
        <v>1306.551</v>
      </c>
      <c r="AI103" t="n">
        <v>1323.57</v>
      </c>
      <c r="AJ103" t="n">
        <v>2159.29</v>
      </c>
      <c r="AK103" t="n">
        <v>2449.859</v>
      </c>
      <c r="AL103" t="n">
        <v>1905.185</v>
      </c>
      <c r="AM103" t="n">
        <v>1588.136</v>
      </c>
      <c r="AN103" t="n">
        <v>2128.174</v>
      </c>
      <c r="AO103" t="n">
        <v>1849.738</v>
      </c>
      <c r="AP103" t="n">
        <v>2157.41</v>
      </c>
      <c r="AQ103" t="n">
        <v>2152.003</v>
      </c>
      <c r="AR103" t="n">
        <v>1830.384</v>
      </c>
      <c r="AS103" t="n">
        <v>1831.625</v>
      </c>
      <c r="AT103" t="n">
        <v>2479.692</v>
      </c>
      <c r="AU103" t="n">
        <v>2182.35</v>
      </c>
      <c r="AV103" t="n">
        <v>2167.301</v>
      </c>
      <c r="AW103" t="n">
        <v>1824.772</v>
      </c>
      <c r="AX103" t="n">
        <v>2101.999</v>
      </c>
      <c r="AY103" t="n">
        <v>2463.342</v>
      </c>
      <c r="AZ103" t="n">
        <v>1790.519</v>
      </c>
      <c r="BA103" t="n">
        <v>2078.431</v>
      </c>
      <c r="BB103" t="n">
        <v>2698.202</v>
      </c>
      <c r="BC103" t="n">
        <v>3318.639</v>
      </c>
      <c r="BD103" t="n">
        <v>3411.587</v>
      </c>
      <c r="BE103" t="n">
        <v>3432.567</v>
      </c>
      <c r="BF103" t="n">
        <v>3373.518</v>
      </c>
      <c r="BG103" t="n">
        <v>3617.506</v>
      </c>
      <c r="BH103" t="n">
        <v>3775.038</v>
      </c>
      <c r="BI103" t="n">
        <v>3714.382</v>
      </c>
      <c r="BJ103" t="n">
        <v>3850.759</v>
      </c>
      <c r="BK103" t="n">
        <v>4084.679</v>
      </c>
      <c r="BL103" t="n">
        <v>5099.197</v>
      </c>
      <c r="BM103" t="n">
        <v>5959.698</v>
      </c>
      <c r="BN103" t="n">
        <v>4282.748</v>
      </c>
      <c r="BO103" t="n">
        <v>5249.723</v>
      </c>
      <c r="BP103" t="n">
        <v>5461.455</v>
      </c>
      <c r="BQ103" t="n">
        <v>5456.828</v>
      </c>
      <c r="BR103" t="n">
        <v>5271.159</v>
      </c>
      <c r="BS103" t="n">
        <v>5649.476</v>
      </c>
      <c r="BT103" t="n">
        <v>5416.233</v>
      </c>
      <c r="BU103" t="n">
        <v>5038.513</v>
      </c>
      <c r="BV103" t="n">
        <v>6079.517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40.562</v>
      </c>
      <c r="V104" t="n">
        <v>2195.425</v>
      </c>
      <c r="W104" t="n">
        <v>233.17</v>
      </c>
      <c r="X104" t="n">
        <v>3184.015</v>
      </c>
      <c r="Y104" t="n">
        <v>6342.128</v>
      </c>
      <c r="Z104" t="n">
        <v>8157.751</v>
      </c>
      <c r="AA104" t="n">
        <v>5658.241</v>
      </c>
      <c r="AB104" t="n">
        <v>2645.954</v>
      </c>
      <c r="AC104" t="n">
        <v>4632.109</v>
      </c>
      <c r="AD104" t="n">
        <v>2038.871</v>
      </c>
      <c r="AE104" t="n">
        <v>3668.648</v>
      </c>
      <c r="AF104" t="n">
        <v>3206.608</v>
      </c>
      <c r="AG104" t="n">
        <v>3666.105</v>
      </c>
      <c r="AH104" t="n">
        <v>2809.977</v>
      </c>
      <c r="AI104" t="n">
        <v>212.176</v>
      </c>
      <c r="AJ104" t="n">
        <v>236.504</v>
      </c>
      <c r="AK104" t="n">
        <v>269.242</v>
      </c>
      <c r="AL104" t="n">
        <v>218.827</v>
      </c>
      <c r="AM104" t="n">
        <v>206.156</v>
      </c>
      <c r="AN104" t="n">
        <v>200.842</v>
      </c>
      <c r="AO104" t="n">
        <v>111.768</v>
      </c>
      <c r="AP104" t="n">
        <v>52.887</v>
      </c>
      <c r="AQ104" t="n">
        <v>190.88</v>
      </c>
      <c r="AR104" t="n">
        <v>52.887</v>
      </c>
      <c r="AS104" t="n">
        <v>4128.719</v>
      </c>
      <c r="AT104" t="n">
        <v>2180.532</v>
      </c>
      <c r="AU104" t="n">
        <v>1163.673</v>
      </c>
      <c r="AV104" t="n">
        <v>1432.745</v>
      </c>
      <c r="AW104" t="n">
        <v>1157.326</v>
      </c>
      <c r="AX104" t="n">
        <v>1833.459</v>
      </c>
      <c r="AY104" t="n">
        <v>1463.716</v>
      </c>
      <c r="AZ104" t="n">
        <v>1792.573</v>
      </c>
      <c r="BA104" t="n">
        <v>3032.31</v>
      </c>
      <c r="BB104" t="n">
        <v>418.872</v>
      </c>
      <c r="BC104" t="n">
        <v>487.631</v>
      </c>
      <c r="BD104" t="n">
        <v>2588.19</v>
      </c>
      <c r="BE104" t="n">
        <v>3036.458</v>
      </c>
      <c r="BF104" t="n">
        <v>3060.239</v>
      </c>
      <c r="BG104" t="n">
        <v>2584.443</v>
      </c>
      <c r="BH104" t="n">
        <v>2336.606</v>
      </c>
      <c r="BI104" t="n">
        <v>913.2140000000001</v>
      </c>
      <c r="BJ104" t="n">
        <v>882.749</v>
      </c>
      <c r="BK104" t="n">
        <v>783.6130000000001</v>
      </c>
      <c r="BL104" t="n">
        <v>3056.456</v>
      </c>
      <c r="BM104" t="n">
        <v>793.105</v>
      </c>
      <c r="BN104" t="n">
        <v>1932.997</v>
      </c>
      <c r="BO104" t="n">
        <v>2955.937</v>
      </c>
      <c r="BP104" t="n">
        <v>2221.875</v>
      </c>
      <c r="BQ104" t="n">
        <v>7207.273</v>
      </c>
      <c r="BR104" t="n">
        <v>6989.619</v>
      </c>
      <c r="BS104" t="n">
        <v>6676.314</v>
      </c>
      <c r="BT104" t="n">
        <v>12277.8</v>
      </c>
      <c r="BU104" t="n">
        <v>12908.697</v>
      </c>
      <c r="BV104" t="n">
        <v>12688.778</v>
      </c>
    </row>
    <row r="105">
      <c r="A105" t="inlineStr">
        <is>
          <t>Murex</t>
        </is>
      </c>
      <c r="B105" t="inlineStr">
        <is>
          <t>Murex shells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1292.106</v>
      </c>
      <c r="F105" t="n">
        <v>1297.11</v>
      </c>
      <c r="G105" t="n">
        <v>1302.114</v>
      </c>
      <c r="H105" t="n">
        <v>1307.117</v>
      </c>
      <c r="I105" t="n">
        <v>1312.12</v>
      </c>
      <c r="J105" t="n">
        <v>1317.123</v>
      </c>
      <c r="K105" t="n">
        <v>1322.126</v>
      </c>
      <c r="L105" t="n">
        <v>1327.13</v>
      </c>
      <c r="M105" t="n">
        <v>1332.133</v>
      </c>
      <c r="N105" t="n">
        <v>1337.137</v>
      </c>
      <c r="O105" t="n">
        <v>1342.14</v>
      </c>
      <c r="P105" t="n">
        <v>1347.144</v>
      </c>
      <c r="Q105" t="n">
        <v>1352.147</v>
      </c>
      <c r="R105" t="n">
        <v>1357.15</v>
      </c>
      <c r="S105" t="n">
        <v>1362.153</v>
      </c>
      <c r="T105" t="n">
        <v>1367.157</v>
      </c>
      <c r="U105" t="n">
        <v>1372.161</v>
      </c>
      <c r="V105" t="n">
        <v>1377.164</v>
      </c>
      <c r="W105" t="n">
        <v>1382.167</v>
      </c>
      <c r="X105" t="n">
        <v>1387.171</v>
      </c>
      <c r="Y105" t="n">
        <v>1392.174</v>
      </c>
      <c r="Z105" t="n">
        <v>1397.177</v>
      </c>
      <c r="AA105" t="n">
        <v>1402.702</v>
      </c>
      <c r="AB105" t="n">
        <v>1408.262</v>
      </c>
      <c r="AC105" t="n">
        <v>1413.988</v>
      </c>
      <c r="AD105" t="n">
        <v>1419.931</v>
      </c>
      <c r="AE105" t="n">
        <v>1426.305</v>
      </c>
      <c r="AF105" t="n">
        <v>1432.846</v>
      </c>
      <c r="AG105" t="n">
        <v>1439.517</v>
      </c>
      <c r="AH105" t="n">
        <v>1444.67</v>
      </c>
      <c r="AI105" t="n">
        <v>1484.168</v>
      </c>
      <c r="AJ105" t="n">
        <v>1522.412</v>
      </c>
      <c r="AK105" t="n">
        <v>1561.894</v>
      </c>
      <c r="AL105" t="n">
        <v>1600.643</v>
      </c>
      <c r="AM105" t="n">
        <v>1640.796</v>
      </c>
      <c r="AN105" t="n">
        <v>1680.572</v>
      </c>
      <c r="AO105" t="n">
        <v>1720.174</v>
      </c>
      <c r="AP105" t="n">
        <v>1760.918</v>
      </c>
      <c r="AQ105" t="n">
        <v>1799.377</v>
      </c>
      <c r="AR105" t="n">
        <v>1836.545</v>
      </c>
      <c r="AS105" t="n">
        <v>1874.902</v>
      </c>
      <c r="AT105" t="n">
        <v>1912.199</v>
      </c>
      <c r="AU105" t="n">
        <v>1952.761</v>
      </c>
      <c r="AV105" t="n">
        <v>1991.329</v>
      </c>
      <c r="AW105" t="n">
        <v>2032.004</v>
      </c>
      <c r="AX105" t="n">
        <v>2070.14</v>
      </c>
      <c r="AY105" t="n">
        <v>2110.031</v>
      </c>
      <c r="AZ105" t="n">
        <v>2147.685</v>
      </c>
      <c r="BA105" t="n">
        <v>2189.178</v>
      </c>
      <c r="BB105" t="n">
        <v>2226.087</v>
      </c>
      <c r="BC105" t="n">
        <v>2262.318</v>
      </c>
      <c r="BD105" t="n">
        <v>2381.327</v>
      </c>
      <c r="BE105" t="n">
        <v>2497.949</v>
      </c>
      <c r="BF105" t="n">
        <v>2611.78</v>
      </c>
      <c r="BG105" t="n">
        <v>2728.318</v>
      </c>
      <c r="BH105" t="n">
        <v>2843.455</v>
      </c>
      <c r="BI105" t="n">
        <v>2963.803</v>
      </c>
      <c r="BJ105" t="n">
        <v>3075.544</v>
      </c>
      <c r="BK105" t="n">
        <v>3192.432</v>
      </c>
      <c r="BL105" t="n">
        <v>3308.444</v>
      </c>
      <c r="BM105" t="n">
        <v>4006.827</v>
      </c>
      <c r="BN105" t="n">
        <v>4009.393</v>
      </c>
      <c r="BO105" t="n">
        <v>4357.997</v>
      </c>
      <c r="BP105" t="n">
        <v>5162.653</v>
      </c>
      <c r="BQ105" t="n">
        <v>4693.178</v>
      </c>
      <c r="BR105" t="n">
        <v>5215.381</v>
      </c>
      <c r="BS105" t="n">
        <v>5345.192</v>
      </c>
      <c r="BT105" t="n">
        <v>5841.236</v>
      </c>
      <c r="BU105" t="n">
        <v>5246.203</v>
      </c>
      <c r="BV105" t="n">
        <v>5052.495</v>
      </c>
    </row>
    <row r="106">
      <c r="A106" t="inlineStr">
        <is>
          <t>Trichiuridae</t>
        </is>
      </c>
      <c r="B106" t="inlineStr">
        <is>
          <t>Cutlassfishes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371.643</v>
      </c>
      <c r="F106" t="n">
        <v>408.266</v>
      </c>
      <c r="G106" t="n">
        <v>303.688</v>
      </c>
      <c r="H106" t="n">
        <v>407.685</v>
      </c>
      <c r="I106" t="n">
        <v>284.481</v>
      </c>
      <c r="J106" t="n">
        <v>272.981</v>
      </c>
      <c r="K106" t="n">
        <v>412.4</v>
      </c>
      <c r="L106" t="n">
        <v>505.495</v>
      </c>
      <c r="M106" t="n">
        <v>413.782</v>
      </c>
      <c r="N106" t="n">
        <v>345.455</v>
      </c>
      <c r="O106" t="n">
        <v>186.711</v>
      </c>
      <c r="P106" t="n">
        <v>235.674</v>
      </c>
      <c r="Q106" t="n">
        <v>206.679</v>
      </c>
      <c r="R106" t="n">
        <v>251.907</v>
      </c>
      <c r="S106" t="n">
        <v>296.739</v>
      </c>
      <c r="T106" t="n">
        <v>401.56</v>
      </c>
      <c r="U106" t="n">
        <v>422.279</v>
      </c>
      <c r="V106" t="n">
        <v>445.776</v>
      </c>
      <c r="W106" t="n">
        <v>346.322</v>
      </c>
      <c r="X106" t="n">
        <v>534.2910000000001</v>
      </c>
      <c r="Y106" t="n">
        <v>633.855</v>
      </c>
      <c r="Z106" t="n">
        <v>645.701</v>
      </c>
      <c r="AA106" t="n">
        <v>822.5309999999999</v>
      </c>
      <c r="AB106" t="n">
        <v>278.019</v>
      </c>
      <c r="AC106" t="n">
        <v>491.399</v>
      </c>
      <c r="AD106" t="n">
        <v>299.683</v>
      </c>
      <c r="AE106" t="n">
        <v>49.877</v>
      </c>
      <c r="AF106" t="n">
        <v>2477.786</v>
      </c>
      <c r="AG106" t="n">
        <v>280.903</v>
      </c>
      <c r="AH106" t="n">
        <v>543.984</v>
      </c>
      <c r="AI106" t="n">
        <v>935.487</v>
      </c>
      <c r="AJ106" t="n">
        <v>1471.687</v>
      </c>
      <c r="AK106" t="n">
        <v>1455.557</v>
      </c>
      <c r="AL106" t="n">
        <v>1945.769</v>
      </c>
      <c r="AM106" t="n">
        <v>2971.142</v>
      </c>
      <c r="AN106" t="n">
        <v>3739.594</v>
      </c>
      <c r="AO106" t="n">
        <v>3521.75</v>
      </c>
      <c r="AP106" t="n">
        <v>3918.314</v>
      </c>
      <c r="AQ106" t="n">
        <v>3856.284</v>
      </c>
      <c r="AR106" t="n">
        <v>3955.151</v>
      </c>
      <c r="AS106" t="n">
        <v>4957.61</v>
      </c>
      <c r="AT106" t="n">
        <v>8659.690000000001</v>
      </c>
      <c r="AU106" t="n">
        <v>5036.763</v>
      </c>
      <c r="AV106" t="n">
        <v>6645.933</v>
      </c>
      <c r="AW106" t="n">
        <v>6842.273</v>
      </c>
      <c r="AX106" t="n">
        <v>5493.335</v>
      </c>
      <c r="AY106" t="n">
        <v>5473.712</v>
      </c>
      <c r="AZ106" t="n">
        <v>5138.955</v>
      </c>
      <c r="BA106" t="n">
        <v>4626.43</v>
      </c>
      <c r="BB106" t="n">
        <v>5394.588</v>
      </c>
      <c r="BC106" t="n">
        <v>1945.404</v>
      </c>
      <c r="BD106" t="n">
        <v>3032.776</v>
      </c>
      <c r="BE106" t="n">
        <v>3598.614</v>
      </c>
      <c r="BF106" t="n">
        <v>2479.562</v>
      </c>
      <c r="BG106" t="n">
        <v>4326.888</v>
      </c>
      <c r="BH106" t="n">
        <v>4644.133</v>
      </c>
      <c r="BI106" t="n">
        <v>3119.834</v>
      </c>
      <c r="BJ106" t="n">
        <v>5073.725</v>
      </c>
      <c r="BK106" t="n">
        <v>3959.482</v>
      </c>
      <c r="BL106" t="n">
        <v>3051.684</v>
      </c>
      <c r="BM106" t="n">
        <v>2669.977</v>
      </c>
      <c r="BN106" t="n">
        <v>2453.753</v>
      </c>
      <c r="BO106" t="n">
        <v>4023.819</v>
      </c>
      <c r="BP106" t="n">
        <v>1468.018</v>
      </c>
      <c r="BQ106" t="n">
        <v>1368.852</v>
      </c>
      <c r="BR106" t="n">
        <v>1152.481</v>
      </c>
      <c r="BS106" t="n">
        <v>972.039</v>
      </c>
      <c r="BT106" t="n">
        <v>793.773</v>
      </c>
      <c r="BU106" t="n">
        <v>771.213</v>
      </c>
      <c r="BV106" t="n">
        <v>782.881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354.04</v>
      </c>
      <c r="O107" t="n">
        <v>0</v>
      </c>
      <c r="P107" t="n">
        <v>0</v>
      </c>
      <c r="Q107" t="n">
        <v>0</v>
      </c>
      <c r="R107" t="n">
        <v>0</v>
      </c>
      <c r="S107" t="n">
        <v>1062.119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708.08</v>
      </c>
      <c r="AC107" t="n">
        <v>708.08</v>
      </c>
      <c r="AD107" t="n">
        <v>708.08</v>
      </c>
      <c r="AE107" t="n">
        <v>1062.119</v>
      </c>
      <c r="AF107" t="n">
        <v>1066.747</v>
      </c>
      <c r="AG107" t="n">
        <v>1064.207</v>
      </c>
      <c r="AH107" t="n">
        <v>2.083</v>
      </c>
      <c r="AI107" t="n">
        <v>1065.607</v>
      </c>
      <c r="AJ107" t="n">
        <v>2130.517</v>
      </c>
      <c r="AK107" t="n">
        <v>2480.173</v>
      </c>
      <c r="AL107" t="n">
        <v>1770.849</v>
      </c>
      <c r="AM107" t="n">
        <v>1418.146</v>
      </c>
      <c r="AN107" t="n">
        <v>2130.904</v>
      </c>
      <c r="AO107" t="n">
        <v>1770.199</v>
      </c>
      <c r="AP107" t="n">
        <v>2124.239</v>
      </c>
      <c r="AQ107" t="n">
        <v>2124.41</v>
      </c>
      <c r="AR107" t="n">
        <v>1769.567</v>
      </c>
      <c r="AS107" t="n">
        <v>1768.59</v>
      </c>
      <c r="AT107" t="n">
        <v>2474.899</v>
      </c>
      <c r="AU107" t="n">
        <v>2120.376</v>
      </c>
      <c r="AV107" t="n">
        <v>2119.411</v>
      </c>
      <c r="AW107" t="n">
        <v>1799.751</v>
      </c>
      <c r="AX107" t="n">
        <v>2117.48</v>
      </c>
      <c r="AY107" t="n">
        <v>2469.266</v>
      </c>
      <c r="AZ107" t="n">
        <v>1762.957</v>
      </c>
      <c r="BA107" t="n">
        <v>2114.583</v>
      </c>
      <c r="BB107" t="n">
        <v>2818.157</v>
      </c>
      <c r="BC107" t="n">
        <v>3521.086</v>
      </c>
      <c r="BD107" t="n">
        <v>3519.477</v>
      </c>
      <c r="BE107" t="n">
        <v>3517.868</v>
      </c>
      <c r="BF107" t="n">
        <v>3516.259</v>
      </c>
      <c r="BG107" t="n">
        <v>3866.114</v>
      </c>
      <c r="BH107" t="n">
        <v>3864.344</v>
      </c>
      <c r="BI107" t="n">
        <v>3862.574</v>
      </c>
      <c r="BJ107" t="n">
        <v>3860.804</v>
      </c>
      <c r="BK107" t="n">
        <v>4209.855</v>
      </c>
      <c r="BL107" t="n">
        <v>5259.904</v>
      </c>
      <c r="BM107" t="n">
        <v>6308.989</v>
      </c>
      <c r="BN107" t="n">
        <v>4205.992</v>
      </c>
      <c r="BO107" t="n">
        <v>5607.99</v>
      </c>
      <c r="BP107" t="n">
        <v>5607.99</v>
      </c>
      <c r="BQ107" t="n">
        <v>5607.99</v>
      </c>
      <c r="BR107" t="n">
        <v>5607.99</v>
      </c>
      <c r="BS107" t="n">
        <v>5958.489</v>
      </c>
      <c r="BT107" t="n">
        <v>5958.489</v>
      </c>
      <c r="BU107" t="n">
        <v>9346.200999999999</v>
      </c>
      <c r="BV107" t="n">
        <v>9253.407999999999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0.247</v>
      </c>
      <c r="F108" t="n">
        <v>0.247</v>
      </c>
      <c r="G108" t="n">
        <v>0.247</v>
      </c>
      <c r="H108" t="n">
        <v>0.247</v>
      </c>
      <c r="I108" t="n">
        <v>98.875</v>
      </c>
      <c r="J108" t="n">
        <v>98.876</v>
      </c>
      <c r="K108" t="n">
        <v>88.104</v>
      </c>
      <c r="L108" t="n">
        <v>85.113</v>
      </c>
      <c r="M108" t="n">
        <v>84.563</v>
      </c>
      <c r="N108" t="n">
        <v>146.738</v>
      </c>
      <c r="O108" t="n">
        <v>206.673</v>
      </c>
      <c r="P108" t="n">
        <v>216.608</v>
      </c>
      <c r="Q108" t="n">
        <v>575.807</v>
      </c>
      <c r="R108" t="n">
        <v>803.383</v>
      </c>
      <c r="S108" t="n">
        <v>763.375</v>
      </c>
      <c r="T108" t="n">
        <v>1029.75</v>
      </c>
      <c r="U108" t="n">
        <v>1018.99</v>
      </c>
      <c r="V108" t="n">
        <v>894.997</v>
      </c>
      <c r="W108" t="n">
        <v>970.864</v>
      </c>
      <c r="X108" t="n">
        <v>1200.868</v>
      </c>
      <c r="Y108" t="n">
        <v>1713.677</v>
      </c>
      <c r="Z108" t="n">
        <v>2001.437</v>
      </c>
      <c r="AA108" t="n">
        <v>3032.225</v>
      </c>
      <c r="AB108" t="n">
        <v>4771.724</v>
      </c>
      <c r="AC108" t="n">
        <v>11277.602</v>
      </c>
      <c r="AD108" t="n">
        <v>8174.758</v>
      </c>
      <c r="AE108" t="n">
        <v>7893.538</v>
      </c>
      <c r="AF108" t="n">
        <v>3921.328</v>
      </c>
      <c r="AG108" t="n">
        <v>5549.978</v>
      </c>
      <c r="AH108" t="n">
        <v>9512.523999999999</v>
      </c>
      <c r="AI108" t="n">
        <v>7731.931</v>
      </c>
      <c r="AJ108" t="n">
        <v>8709.504000000001</v>
      </c>
      <c r="AK108" t="n">
        <v>3757.41</v>
      </c>
      <c r="AL108" t="n">
        <v>2805.154</v>
      </c>
      <c r="AM108" t="n">
        <v>977.241</v>
      </c>
      <c r="AN108" t="n">
        <v>1496.89</v>
      </c>
      <c r="AO108" t="n">
        <v>3062.737</v>
      </c>
      <c r="AP108" t="n">
        <v>2114.707</v>
      </c>
      <c r="AQ108" t="n">
        <v>1407.023</v>
      </c>
      <c r="AR108" t="n">
        <v>1714.339</v>
      </c>
      <c r="AS108" t="n">
        <v>2262.691</v>
      </c>
      <c r="AT108" t="n">
        <v>1967.329</v>
      </c>
      <c r="AU108" t="n">
        <v>1971.278</v>
      </c>
      <c r="AV108" t="n">
        <v>2965.703</v>
      </c>
      <c r="AW108" t="n">
        <v>2332.822</v>
      </c>
      <c r="AX108" t="n">
        <v>3222.104</v>
      </c>
      <c r="AY108" t="n">
        <v>4608.256</v>
      </c>
      <c r="AZ108" t="n">
        <v>1500.709</v>
      </c>
      <c r="BA108" t="n">
        <v>2992.609</v>
      </c>
      <c r="BB108" t="n">
        <v>5483.838</v>
      </c>
      <c r="BC108" t="n">
        <v>1024.972</v>
      </c>
      <c r="BD108" t="n">
        <v>1383.666</v>
      </c>
      <c r="BE108" t="n">
        <v>939.577</v>
      </c>
      <c r="BF108" t="n">
        <v>440.562</v>
      </c>
      <c r="BG108" t="n">
        <v>434.857</v>
      </c>
      <c r="BH108" t="n">
        <v>383.08</v>
      </c>
      <c r="BI108" t="n">
        <v>1700.778</v>
      </c>
      <c r="BJ108" t="n">
        <v>431.411</v>
      </c>
      <c r="BK108" t="n">
        <v>560.533</v>
      </c>
      <c r="BL108" t="n">
        <v>363.82</v>
      </c>
      <c r="BM108" t="n">
        <v>433.569</v>
      </c>
      <c r="BN108" t="n">
        <v>313.615</v>
      </c>
      <c r="BO108" t="n">
        <v>368.027</v>
      </c>
      <c r="BP108" t="n">
        <v>148.633</v>
      </c>
      <c r="BQ108" t="n">
        <v>220.482</v>
      </c>
      <c r="BR108" t="n">
        <v>188.659</v>
      </c>
      <c r="BS108" t="n">
        <v>213.116</v>
      </c>
      <c r="BT108" t="n">
        <v>411.331</v>
      </c>
      <c r="BU108" t="n">
        <v>303.049</v>
      </c>
      <c r="BV108" t="n">
        <v>1090.808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12.698</v>
      </c>
      <c r="F109" t="n">
        <v>12.877</v>
      </c>
      <c r="G109" t="n">
        <v>13.056</v>
      </c>
      <c r="H109" t="n">
        <v>13.64</v>
      </c>
      <c r="I109" t="n">
        <v>14.232</v>
      </c>
      <c r="J109" t="n">
        <v>14.833</v>
      </c>
      <c r="K109" t="n">
        <v>15.442</v>
      </c>
      <c r="L109" t="n">
        <v>16.06</v>
      </c>
      <c r="M109" t="n">
        <v>60.513</v>
      </c>
      <c r="N109" t="n">
        <v>92.21899999999999</v>
      </c>
      <c r="O109" t="n">
        <v>136.035</v>
      </c>
      <c r="P109" t="n">
        <v>179.534</v>
      </c>
      <c r="Q109" t="n">
        <v>222.715</v>
      </c>
      <c r="R109" t="n">
        <v>215.723</v>
      </c>
      <c r="S109" t="n">
        <v>221.215</v>
      </c>
      <c r="T109" t="n">
        <v>215.817</v>
      </c>
      <c r="U109" t="n">
        <v>211.935</v>
      </c>
      <c r="V109" t="n">
        <v>209.544</v>
      </c>
      <c r="W109" t="n">
        <v>213.873</v>
      </c>
      <c r="X109" t="n">
        <v>361.829</v>
      </c>
      <c r="Y109" t="n">
        <v>381.68</v>
      </c>
      <c r="Z109" t="n">
        <v>398.941</v>
      </c>
      <c r="AA109" t="n">
        <v>411.438</v>
      </c>
      <c r="AB109" t="n">
        <v>418.519</v>
      </c>
      <c r="AC109" t="n">
        <v>281.123</v>
      </c>
      <c r="AD109" t="n">
        <v>276.154</v>
      </c>
      <c r="AE109" t="n">
        <v>311.023</v>
      </c>
      <c r="AF109" t="n">
        <v>427.049</v>
      </c>
      <c r="AG109" t="n">
        <v>458.79</v>
      </c>
      <c r="AH109" t="n">
        <v>473.458</v>
      </c>
      <c r="AI109" t="n">
        <v>514.771</v>
      </c>
      <c r="AJ109" t="n">
        <v>560.774</v>
      </c>
      <c r="AK109" t="n">
        <v>532.337</v>
      </c>
      <c r="AL109" t="n">
        <v>538.016</v>
      </c>
      <c r="AM109" t="n">
        <v>652.472</v>
      </c>
      <c r="AN109" t="n">
        <v>701.708</v>
      </c>
      <c r="AO109" t="n">
        <v>800.48</v>
      </c>
      <c r="AP109" t="n">
        <v>904.516</v>
      </c>
      <c r="AQ109" t="n">
        <v>1026.2</v>
      </c>
      <c r="AR109" t="n">
        <v>1051.91</v>
      </c>
      <c r="AS109" t="n">
        <v>1096.939</v>
      </c>
      <c r="AT109" t="n">
        <v>1116.369</v>
      </c>
      <c r="AU109" t="n">
        <v>1096.819</v>
      </c>
      <c r="AV109" t="n">
        <v>1109.239</v>
      </c>
      <c r="AW109" t="n">
        <v>1152.137</v>
      </c>
      <c r="AX109" t="n">
        <v>1103.342</v>
      </c>
      <c r="AY109" t="n">
        <v>1152.536</v>
      </c>
      <c r="AZ109" t="n">
        <v>1174.285</v>
      </c>
      <c r="BA109" t="n">
        <v>3807.657</v>
      </c>
      <c r="BB109" t="n">
        <v>1218.126</v>
      </c>
      <c r="BC109" t="n">
        <v>1225.942</v>
      </c>
      <c r="BD109" t="n">
        <v>3644.369</v>
      </c>
      <c r="BE109" t="n">
        <v>3946.985</v>
      </c>
      <c r="BF109" t="n">
        <v>4062.061</v>
      </c>
      <c r="BG109" t="n">
        <v>4353.456</v>
      </c>
      <c r="BH109" t="n">
        <v>4221.807</v>
      </c>
      <c r="BI109" t="n">
        <v>3915.038</v>
      </c>
      <c r="BJ109" t="n">
        <v>4262.128</v>
      </c>
      <c r="BK109" t="n">
        <v>4038.975</v>
      </c>
      <c r="BL109" t="n">
        <v>3637.322</v>
      </c>
      <c r="BM109" t="n">
        <v>4380.811</v>
      </c>
      <c r="BN109" t="n">
        <v>4823.004</v>
      </c>
      <c r="BO109" t="n">
        <v>5869.186</v>
      </c>
      <c r="BP109" t="n">
        <v>6130.412</v>
      </c>
      <c r="BQ109" t="n">
        <v>7193.872</v>
      </c>
      <c r="BR109" t="n">
        <v>7268.536</v>
      </c>
      <c r="BS109" t="n">
        <v>6772.949</v>
      </c>
      <c r="BT109" t="n">
        <v>6155.013</v>
      </c>
      <c r="BU109" t="n">
        <v>6169.728</v>
      </c>
      <c r="BV109" t="n">
        <v>5772.991</v>
      </c>
    </row>
    <row r="110">
      <c r="A110" t="inlineStr">
        <is>
          <t>Crassostrea</t>
        </is>
      </c>
      <c r="B110" t="inlineStr">
        <is>
          <t>Cupped oysters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385.241</v>
      </c>
      <c r="F110" t="n">
        <v>406.82</v>
      </c>
      <c r="G110" t="n">
        <v>428.398</v>
      </c>
      <c r="H110" t="n">
        <v>445.861</v>
      </c>
      <c r="I110" t="n">
        <v>351.514</v>
      </c>
      <c r="J110" t="n">
        <v>348.752</v>
      </c>
      <c r="K110" t="n">
        <v>349.977</v>
      </c>
      <c r="L110" t="n">
        <v>431.197</v>
      </c>
      <c r="M110" t="n">
        <v>435.814</v>
      </c>
      <c r="N110" t="n">
        <v>423.128</v>
      </c>
      <c r="O110" t="n">
        <v>423.158</v>
      </c>
      <c r="P110" t="n">
        <v>426.034</v>
      </c>
      <c r="Q110" t="n">
        <v>423.255</v>
      </c>
      <c r="R110" t="n">
        <v>416.391</v>
      </c>
      <c r="S110" t="n">
        <v>420.894</v>
      </c>
      <c r="T110" t="n">
        <v>415.867</v>
      </c>
      <c r="U110" t="n">
        <v>404.222</v>
      </c>
      <c r="V110" t="n">
        <v>413.441</v>
      </c>
      <c r="W110" t="n">
        <v>510.744</v>
      </c>
      <c r="X110" t="n">
        <v>765.272</v>
      </c>
      <c r="Y110" t="n">
        <v>1186.035</v>
      </c>
      <c r="Z110" t="n">
        <v>1501.096</v>
      </c>
      <c r="AA110" t="n">
        <v>1414.529</v>
      </c>
      <c r="AB110" t="n">
        <v>1478.024</v>
      </c>
      <c r="AC110" t="n">
        <v>1969.296</v>
      </c>
      <c r="AD110" t="n">
        <v>1395.464</v>
      </c>
      <c r="AE110" t="n">
        <v>1687.326</v>
      </c>
      <c r="AF110" t="n">
        <v>1589.923</v>
      </c>
      <c r="AG110" t="n">
        <v>2964.419</v>
      </c>
      <c r="AH110" t="n">
        <v>2082.939</v>
      </c>
      <c r="AI110" t="n">
        <v>2302.691</v>
      </c>
      <c r="AJ110" t="n">
        <v>1080.724</v>
      </c>
      <c r="AK110" t="n">
        <v>448.985</v>
      </c>
      <c r="AL110" t="n">
        <v>577.962</v>
      </c>
      <c r="AM110" t="n">
        <v>445.254</v>
      </c>
      <c r="AN110" t="n">
        <v>445.15</v>
      </c>
      <c r="AO110" t="n">
        <v>444.369</v>
      </c>
      <c r="AP110" t="n">
        <v>444.321</v>
      </c>
      <c r="AQ110" t="n">
        <v>662.362</v>
      </c>
      <c r="AR110" t="n">
        <v>1664.143</v>
      </c>
      <c r="AS110" t="n">
        <v>2504.451</v>
      </c>
      <c r="AT110" t="n">
        <v>2813.141</v>
      </c>
      <c r="AU110" t="n">
        <v>2774.425</v>
      </c>
      <c r="AV110" t="n">
        <v>3614.965</v>
      </c>
      <c r="AW110" t="n">
        <v>3029.813</v>
      </c>
      <c r="AX110" t="n">
        <v>1916.787</v>
      </c>
      <c r="AY110" t="n">
        <v>2156.005</v>
      </c>
      <c r="AZ110" t="n">
        <v>2502.942</v>
      </c>
      <c r="BA110" t="n">
        <v>2736.093</v>
      </c>
      <c r="BB110" t="n">
        <v>3106.221</v>
      </c>
      <c r="BC110" t="n">
        <v>3637.483</v>
      </c>
      <c r="BD110" t="n">
        <v>2701.665</v>
      </c>
      <c r="BE110" t="n">
        <v>3215.409</v>
      </c>
      <c r="BF110" t="n">
        <v>3495.92</v>
      </c>
      <c r="BG110" t="n">
        <v>3944.409</v>
      </c>
      <c r="BH110" t="n">
        <v>4340.942</v>
      </c>
      <c r="BI110" t="n">
        <v>5277.076</v>
      </c>
      <c r="BJ110" t="n">
        <v>5535.958</v>
      </c>
      <c r="BK110" t="n">
        <v>5236.773</v>
      </c>
      <c r="BL110" t="n">
        <v>4765.576</v>
      </c>
      <c r="BM110" t="n">
        <v>4153.715</v>
      </c>
      <c r="BN110" t="n">
        <v>3558.236</v>
      </c>
      <c r="BO110" t="n">
        <v>2716.629</v>
      </c>
      <c r="BP110" t="n">
        <v>2765.284</v>
      </c>
      <c r="BQ110" t="n">
        <v>1282.91</v>
      </c>
      <c r="BR110" t="n">
        <v>607.399</v>
      </c>
      <c r="BS110" t="n">
        <v>219.23</v>
      </c>
      <c r="BT110" t="n">
        <v>1148.381</v>
      </c>
      <c r="BU110" t="n">
        <v>1250.716</v>
      </c>
      <c r="BV110" t="n">
        <v>1312.427</v>
      </c>
    </row>
    <row r="111">
      <c r="A111" t="inlineStr">
        <is>
          <t>Istiophorus albicans</t>
        </is>
      </c>
      <c r="B111" t="inlineStr">
        <is>
          <t>Atlantic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300.323</v>
      </c>
      <c r="F111" t="n">
        <v>302.212</v>
      </c>
      <c r="G111" t="n">
        <v>304.13</v>
      </c>
      <c r="H111" t="n">
        <v>306.079</v>
      </c>
      <c r="I111" t="n">
        <v>308.057</v>
      </c>
      <c r="J111" t="n">
        <v>310.065</v>
      </c>
      <c r="K111" t="n">
        <v>312.65</v>
      </c>
      <c r="L111" t="n">
        <v>392.398</v>
      </c>
      <c r="M111" t="n">
        <v>402.184</v>
      </c>
      <c r="N111" t="n">
        <v>331.195</v>
      </c>
      <c r="O111" t="n">
        <v>430.283</v>
      </c>
      <c r="P111" t="n">
        <v>514.771</v>
      </c>
      <c r="Q111" t="n">
        <v>591.232</v>
      </c>
      <c r="R111" t="n">
        <v>614.677</v>
      </c>
      <c r="S111" t="n">
        <v>743.913</v>
      </c>
      <c r="T111" t="n">
        <v>1440.935</v>
      </c>
      <c r="U111" t="n">
        <v>926.748</v>
      </c>
      <c r="V111" t="n">
        <v>605.675</v>
      </c>
      <c r="W111" t="n">
        <v>871.727</v>
      </c>
      <c r="X111" t="n">
        <v>796.686</v>
      </c>
      <c r="Y111" t="n">
        <v>810.004</v>
      </c>
      <c r="Z111" t="n">
        <v>860.626</v>
      </c>
      <c r="AA111" t="n">
        <v>775.022</v>
      </c>
      <c r="AB111" t="n">
        <v>617.234</v>
      </c>
      <c r="AC111" t="n">
        <v>6317.842</v>
      </c>
      <c r="AD111" t="n">
        <v>8591.168</v>
      </c>
      <c r="AE111" t="n">
        <v>8214.388000000001</v>
      </c>
      <c r="AF111" t="n">
        <v>2222.767</v>
      </c>
      <c r="AG111" t="n">
        <v>4388.289</v>
      </c>
      <c r="AH111" t="n">
        <v>5680.555</v>
      </c>
      <c r="AI111" t="n">
        <v>3228.292</v>
      </c>
      <c r="AJ111" t="n">
        <v>2719.992</v>
      </c>
      <c r="AK111" t="n">
        <v>3617.465</v>
      </c>
      <c r="AL111" t="n">
        <v>5309.104</v>
      </c>
      <c r="AM111" t="n">
        <v>3434.421</v>
      </c>
      <c r="AN111" t="n">
        <v>2824.763</v>
      </c>
      <c r="AO111" t="n">
        <v>2284.103</v>
      </c>
      <c r="AP111" t="n">
        <v>3265.063</v>
      </c>
      <c r="AQ111" t="n">
        <v>2375.346</v>
      </c>
      <c r="AR111" t="n">
        <v>1545.702</v>
      </c>
      <c r="AS111" t="n">
        <v>1437.918</v>
      </c>
      <c r="AT111" t="n">
        <v>1531.096</v>
      </c>
      <c r="AU111" t="n">
        <v>1271.831</v>
      </c>
      <c r="AV111" t="n">
        <v>1996.395</v>
      </c>
      <c r="AW111" t="n">
        <v>1475.279</v>
      </c>
      <c r="AX111" t="n">
        <v>1511.677</v>
      </c>
      <c r="AY111" t="n">
        <v>1694.169</v>
      </c>
      <c r="AZ111" t="n">
        <v>1056.297</v>
      </c>
      <c r="BA111" t="n">
        <v>1248.833</v>
      </c>
      <c r="BB111" t="n">
        <v>1141.452</v>
      </c>
      <c r="BC111" t="n">
        <v>1153.279</v>
      </c>
      <c r="BD111" t="n">
        <v>1612.602</v>
      </c>
      <c r="BE111" t="n">
        <v>1820.939</v>
      </c>
      <c r="BF111" t="n">
        <v>1870.602</v>
      </c>
      <c r="BG111" t="n">
        <v>2161.948</v>
      </c>
      <c r="BH111" t="n">
        <v>2185.595</v>
      </c>
      <c r="BI111" t="n">
        <v>1659.175</v>
      </c>
      <c r="BJ111" t="n">
        <v>1627.704</v>
      </c>
      <c r="BK111" t="n">
        <v>2105.692</v>
      </c>
      <c r="BL111" t="n">
        <v>1545.324</v>
      </c>
      <c r="BM111" t="n">
        <v>1411.195</v>
      </c>
      <c r="BN111" t="n">
        <v>1234.651</v>
      </c>
      <c r="BO111" t="n">
        <v>1026.537</v>
      </c>
      <c r="BP111" t="n">
        <v>867.308</v>
      </c>
      <c r="BQ111" t="n">
        <v>899.149</v>
      </c>
      <c r="BR111" t="n">
        <v>785.223</v>
      </c>
      <c r="BS111" t="n">
        <v>958.795</v>
      </c>
      <c r="BT111" t="n">
        <v>735.1849999999999</v>
      </c>
      <c r="BU111" t="n">
        <v>265.627</v>
      </c>
      <c r="BV111" t="n">
        <v>1143.406</v>
      </c>
    </row>
    <row r="112">
      <c r="A112" t="inlineStr">
        <is>
          <t>Sepia officinalis</t>
        </is>
      </c>
      <c r="B112" t="inlineStr">
        <is>
          <t>Common cuttlefish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196.984</v>
      </c>
      <c r="F112" t="n">
        <v>207.834</v>
      </c>
      <c r="G112" t="n">
        <v>218.685</v>
      </c>
      <c r="H112" t="n">
        <v>227.617</v>
      </c>
      <c r="I112" t="n">
        <v>180.648</v>
      </c>
      <c r="J112" t="n">
        <v>179.473</v>
      </c>
      <c r="K112" t="n">
        <v>180.295</v>
      </c>
      <c r="L112" t="n">
        <v>221.117</v>
      </c>
      <c r="M112" t="n">
        <v>2080.268</v>
      </c>
      <c r="N112" t="n">
        <v>3045.517</v>
      </c>
      <c r="O112" t="n">
        <v>3499.892</v>
      </c>
      <c r="P112" t="n">
        <v>1338.987</v>
      </c>
      <c r="Q112" t="n">
        <v>813.897</v>
      </c>
      <c r="R112" t="n">
        <v>788.903</v>
      </c>
      <c r="S112" t="n">
        <v>1628.905</v>
      </c>
      <c r="T112" t="n">
        <v>1832.608</v>
      </c>
      <c r="U112" t="n">
        <v>2120.51</v>
      </c>
      <c r="V112" t="n">
        <v>1331.881</v>
      </c>
      <c r="W112" t="n">
        <v>662.438</v>
      </c>
      <c r="X112" t="n">
        <v>1261.804</v>
      </c>
      <c r="Y112" t="n">
        <v>2158.737</v>
      </c>
      <c r="Z112" t="n">
        <v>887.721</v>
      </c>
      <c r="AA112" t="n">
        <v>1878.435</v>
      </c>
      <c r="AB112" t="n">
        <v>1652.9</v>
      </c>
      <c r="AC112" t="n">
        <v>1767.099</v>
      </c>
      <c r="AD112" t="n">
        <v>1265.28</v>
      </c>
      <c r="AE112" t="n">
        <v>1628.879</v>
      </c>
      <c r="AF112" t="n">
        <v>1852.965</v>
      </c>
      <c r="AG112" t="n">
        <v>1656.755</v>
      </c>
      <c r="AH112" t="n">
        <v>2153.724</v>
      </c>
      <c r="AI112" t="n">
        <v>1513.967</v>
      </c>
      <c r="AJ112" t="n">
        <v>956.1369999999999</v>
      </c>
      <c r="AK112" t="n">
        <v>848.5549999999999</v>
      </c>
      <c r="AL112" t="n">
        <v>1074.231</v>
      </c>
      <c r="AM112" t="n">
        <v>1187.909</v>
      </c>
      <c r="AN112" t="n">
        <v>1056.605</v>
      </c>
      <c r="AO112" t="n">
        <v>1132.092</v>
      </c>
      <c r="AP112" t="n">
        <v>1145.809</v>
      </c>
      <c r="AQ112" t="n">
        <v>1227.153</v>
      </c>
      <c r="AR112" t="n">
        <v>1937.961</v>
      </c>
      <c r="AS112" t="n">
        <v>2230.754</v>
      </c>
      <c r="AT112" t="n">
        <v>2593.994</v>
      </c>
      <c r="AU112" t="n">
        <v>2818.783</v>
      </c>
      <c r="AV112" t="n">
        <v>3176.6</v>
      </c>
      <c r="AW112" t="n">
        <v>2864.465</v>
      </c>
      <c r="AX112" t="n">
        <v>2171.167</v>
      </c>
      <c r="AY112" t="n">
        <v>2216.399</v>
      </c>
      <c r="AZ112" t="n">
        <v>2227.533</v>
      </c>
      <c r="BA112" t="n">
        <v>2197.889</v>
      </c>
      <c r="BB112" t="n">
        <v>2321.457</v>
      </c>
      <c r="BC112" t="n">
        <v>2378.151</v>
      </c>
      <c r="BD112" t="n">
        <v>2308.767</v>
      </c>
      <c r="BE112" t="n">
        <v>2966.679</v>
      </c>
      <c r="BF112" t="n">
        <v>2852.433</v>
      </c>
      <c r="BG112" t="n">
        <v>2775.44</v>
      </c>
      <c r="BH112" t="n">
        <v>2944.02</v>
      </c>
      <c r="BI112" t="n">
        <v>3484.464</v>
      </c>
      <c r="BJ112" t="n">
        <v>3330.273</v>
      </c>
      <c r="BK112" t="n">
        <v>3155.508</v>
      </c>
      <c r="BL112" t="n">
        <v>2631.034</v>
      </c>
      <c r="BM112" t="n">
        <v>2602.332</v>
      </c>
      <c r="BN112" t="n">
        <v>2273.233</v>
      </c>
      <c r="BO112" t="n">
        <v>1887.641</v>
      </c>
      <c r="BP112" t="n">
        <v>1538.196</v>
      </c>
      <c r="BQ112" t="n">
        <v>1139.518</v>
      </c>
      <c r="BR112" t="n">
        <v>791.987</v>
      </c>
      <c r="BS112" t="n">
        <v>719.985</v>
      </c>
      <c r="BT112" t="n">
        <v>1149.14</v>
      </c>
      <c r="BU112" t="n">
        <v>1159.927</v>
      </c>
      <c r="BV112" t="n">
        <v>1375.356</v>
      </c>
    </row>
    <row r="113">
      <c r="A113" t="inlineStr">
        <is>
          <t>Scomberomorus</t>
        </is>
      </c>
      <c r="B113" t="inlineStr">
        <is>
          <t>Spanish mackerels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894.576</v>
      </c>
      <c r="AB113" t="n">
        <v>0</v>
      </c>
      <c r="AC113" t="n">
        <v>0</v>
      </c>
      <c r="AD113" t="n">
        <v>0.3</v>
      </c>
      <c r="AE113" t="n">
        <v>0.234</v>
      </c>
      <c r="AF113" t="n">
        <v>0.316</v>
      </c>
      <c r="AG113" t="n">
        <v>0.298</v>
      </c>
      <c r="AH113" t="n">
        <v>0.27</v>
      </c>
      <c r="AI113" t="n">
        <v>0.335</v>
      </c>
      <c r="AJ113" t="n">
        <v>0.345</v>
      </c>
      <c r="AK113" t="n">
        <v>0.354</v>
      </c>
      <c r="AL113" t="n">
        <v>6959.77</v>
      </c>
      <c r="AM113" t="n">
        <v>2464.606</v>
      </c>
      <c r="AN113" t="n">
        <v>746.0839999999999</v>
      </c>
      <c r="AO113" t="n">
        <v>1222.652</v>
      </c>
      <c r="AP113" t="n">
        <v>701.774</v>
      </c>
      <c r="AQ113" t="n">
        <v>693.388</v>
      </c>
      <c r="AR113" t="n">
        <v>1774.565</v>
      </c>
      <c r="AS113" t="n">
        <v>15.673</v>
      </c>
      <c r="AT113" t="n">
        <v>1643.897</v>
      </c>
      <c r="AU113" t="n">
        <v>1206.72</v>
      </c>
      <c r="AV113" t="n">
        <v>3126.927</v>
      </c>
      <c r="AW113" t="n">
        <v>3268.789</v>
      </c>
      <c r="AX113" t="n">
        <v>2773.313</v>
      </c>
      <c r="AY113" t="n">
        <v>4258.089</v>
      </c>
      <c r="AZ113" t="n">
        <v>3593.503</v>
      </c>
      <c r="BA113" t="n">
        <v>4159.685</v>
      </c>
      <c r="BB113" t="n">
        <v>3350.988</v>
      </c>
      <c r="BC113" t="n">
        <v>3426.7</v>
      </c>
      <c r="BD113" t="n">
        <v>4528.437</v>
      </c>
      <c r="BE113" t="n">
        <v>4055.754</v>
      </c>
      <c r="BF113" t="n">
        <v>4739.96</v>
      </c>
      <c r="BG113" t="n">
        <v>3001.698</v>
      </c>
      <c r="BH113" t="n">
        <v>2775.449</v>
      </c>
      <c r="BI113" t="n">
        <v>3843.625</v>
      </c>
      <c r="BJ113" t="n">
        <v>3140.684</v>
      </c>
      <c r="BK113" t="n">
        <v>3499.113</v>
      </c>
      <c r="BL113" t="n">
        <v>3357.702</v>
      </c>
      <c r="BM113" t="n">
        <v>3226.798</v>
      </c>
      <c r="BN113" t="n">
        <v>3420.026</v>
      </c>
      <c r="BO113" t="n">
        <v>3933.159</v>
      </c>
      <c r="BP113" t="n">
        <v>4278.438</v>
      </c>
      <c r="BQ113" t="n">
        <v>4381.116</v>
      </c>
      <c r="BR113" t="n">
        <v>4593.125</v>
      </c>
      <c r="BS113" t="n">
        <v>4312.358</v>
      </c>
      <c r="BT113" t="n">
        <v>3888.153</v>
      </c>
      <c r="BU113" t="n">
        <v>3919.737</v>
      </c>
      <c r="BV113" t="n">
        <v>3591.557</v>
      </c>
    </row>
    <row r="114">
      <c r="A114" t="inlineStr">
        <is>
          <t>Balistes</t>
        </is>
      </c>
      <c r="B114" t="inlineStr">
        <is>
          <t>Triggerfish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9344.254000000001</v>
      </c>
      <c r="BO114" t="n">
        <v>12459.005</v>
      </c>
      <c r="BP114" t="n">
        <v>12459.005</v>
      </c>
      <c r="BQ114" t="n">
        <v>12459.005</v>
      </c>
      <c r="BR114" t="n">
        <v>12459.005</v>
      </c>
      <c r="BS114" t="n">
        <v>13237.693</v>
      </c>
      <c r="BT114" t="n">
        <v>13237.693</v>
      </c>
      <c r="BU114" t="n">
        <v>12726.355</v>
      </c>
      <c r="BV114" t="n">
        <v>13199.785</v>
      </c>
    </row>
    <row r="115">
      <c r="A115" t="inlineStr">
        <is>
          <t>Cynoglossus canariensis</t>
        </is>
      </c>
      <c r="B115" t="inlineStr">
        <is>
          <t>Canary tonguesole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106.465</v>
      </c>
      <c r="G115" t="n">
        <v>223.374</v>
      </c>
      <c r="H115" t="n">
        <v>340.865</v>
      </c>
      <c r="I115" t="n">
        <v>445.206</v>
      </c>
      <c r="J115" t="n">
        <v>561.208</v>
      </c>
      <c r="K115" t="n">
        <v>681.117</v>
      </c>
      <c r="L115" t="n">
        <v>783.854</v>
      </c>
      <c r="M115" t="n">
        <v>903.205</v>
      </c>
      <c r="N115" t="n">
        <v>1023.053</v>
      </c>
      <c r="O115" t="n">
        <v>1121.767</v>
      </c>
      <c r="P115" t="n">
        <v>1241.353</v>
      </c>
      <c r="Q115" t="n">
        <v>1361.343</v>
      </c>
      <c r="R115" t="n">
        <v>1481.681</v>
      </c>
      <c r="S115" t="n">
        <v>1577.186</v>
      </c>
      <c r="T115" t="n">
        <v>1697.387</v>
      </c>
      <c r="U115" t="n">
        <v>1817.877</v>
      </c>
      <c r="V115" t="n">
        <v>1911.556</v>
      </c>
      <c r="W115" t="n">
        <v>2034.863</v>
      </c>
      <c r="X115" t="n">
        <v>2155.701</v>
      </c>
      <c r="Y115" t="n">
        <v>2276.754</v>
      </c>
      <c r="Z115" t="n">
        <v>2314.54</v>
      </c>
      <c r="AA115" t="n">
        <v>2434.821</v>
      </c>
      <c r="AB115" t="n">
        <v>2510.656</v>
      </c>
      <c r="AC115" t="n">
        <v>2532.961</v>
      </c>
      <c r="AD115" t="n">
        <v>2604.052</v>
      </c>
      <c r="AE115" t="n">
        <v>2857.145</v>
      </c>
      <c r="AF115" t="n">
        <v>3008.918</v>
      </c>
      <c r="AG115" t="n">
        <v>3095.692</v>
      </c>
      <c r="AH115" t="n">
        <v>2883.722</v>
      </c>
      <c r="AI115" t="n">
        <v>2945.495</v>
      </c>
      <c r="AJ115" t="n">
        <v>2992.755</v>
      </c>
      <c r="AK115" t="n">
        <v>3035.46</v>
      </c>
      <c r="AL115" t="n">
        <v>3081.448</v>
      </c>
      <c r="AM115" t="n">
        <v>3120.892</v>
      </c>
      <c r="AN115" t="n">
        <v>3178.929</v>
      </c>
      <c r="AO115" t="n">
        <v>2824.459</v>
      </c>
      <c r="AP115" t="n">
        <v>2688.469</v>
      </c>
      <c r="AQ115" t="n">
        <v>2500.767</v>
      </c>
      <c r="AR115" t="n">
        <v>2314.748</v>
      </c>
      <c r="AS115" t="n">
        <v>2169.813</v>
      </c>
      <c r="AT115" t="n">
        <v>1975.452</v>
      </c>
      <c r="AU115" t="n">
        <v>1813.88</v>
      </c>
      <c r="AV115" t="n">
        <v>1591.232</v>
      </c>
      <c r="AW115" t="n">
        <v>1391.499</v>
      </c>
      <c r="AX115" t="n">
        <v>1160.341</v>
      </c>
      <c r="AY115" t="n">
        <v>1184.479</v>
      </c>
      <c r="AZ115" t="n">
        <v>1238.579</v>
      </c>
      <c r="BA115" t="n">
        <v>869.252</v>
      </c>
      <c r="BB115" t="n">
        <v>340.338</v>
      </c>
      <c r="BC115" t="n">
        <v>320.879</v>
      </c>
      <c r="BD115" t="n">
        <v>126.265</v>
      </c>
      <c r="BE115" t="n">
        <v>783.596</v>
      </c>
      <c r="BF115" t="n">
        <v>291.954</v>
      </c>
      <c r="BG115" t="n">
        <v>701.562</v>
      </c>
      <c r="BH115" t="n">
        <v>504.825</v>
      </c>
      <c r="BI115" t="n">
        <v>687.038</v>
      </c>
      <c r="BJ115" t="n">
        <v>1051.322</v>
      </c>
      <c r="BK115" t="n">
        <v>895.6660000000001</v>
      </c>
      <c r="BL115" t="n">
        <v>182.412</v>
      </c>
      <c r="BM115" t="n">
        <v>581.117</v>
      </c>
      <c r="BN115" t="n">
        <v>220.973</v>
      </c>
      <c r="BO115" t="n">
        <v>190.877</v>
      </c>
      <c r="BP115" t="n">
        <v>163.661</v>
      </c>
      <c r="BQ115" t="n">
        <v>138.928</v>
      </c>
      <c r="BR115" t="n">
        <v>116.355</v>
      </c>
      <c r="BS115" t="n">
        <v>95.67100000000001</v>
      </c>
      <c r="BT115" t="n">
        <v>76.64700000000001</v>
      </c>
      <c r="BU115" t="n">
        <v>59.092</v>
      </c>
      <c r="BV115" t="n">
        <v>70.062</v>
      </c>
    </row>
    <row r="116">
      <c r="A116" t="inlineStr">
        <is>
          <t>Mollusca</t>
        </is>
      </c>
      <c r="B116" t="inlineStr">
        <is>
          <t>Clams, seasnails, squids, octopuses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1.187</v>
      </c>
      <c r="F116" t="n">
        <v>1.333</v>
      </c>
      <c r="G116" t="n">
        <v>1.418</v>
      </c>
      <c r="H116" t="n">
        <v>1.873</v>
      </c>
      <c r="I116" t="n">
        <v>5.09</v>
      </c>
      <c r="J116" t="n">
        <v>6.834</v>
      </c>
      <c r="K116" t="n">
        <v>29.789</v>
      </c>
      <c r="L116" t="n">
        <v>46.285</v>
      </c>
      <c r="M116" t="n">
        <v>132.981</v>
      </c>
      <c r="N116" t="n">
        <v>128.779</v>
      </c>
      <c r="O116" t="n">
        <v>334.557</v>
      </c>
      <c r="P116" t="n">
        <v>334.315</v>
      </c>
      <c r="Q116" t="n">
        <v>45.924</v>
      </c>
      <c r="R116" t="n">
        <v>289.732</v>
      </c>
      <c r="S116" t="n">
        <v>262.402</v>
      </c>
      <c r="T116" t="n">
        <v>667.968</v>
      </c>
      <c r="U116" t="n">
        <v>771.573</v>
      </c>
      <c r="V116" t="n">
        <v>664.351</v>
      </c>
      <c r="W116" t="n">
        <v>811.972</v>
      </c>
      <c r="X116" t="n">
        <v>2390.542</v>
      </c>
      <c r="Y116" t="n">
        <v>3106.013</v>
      </c>
      <c r="Z116" t="n">
        <v>3076.911</v>
      </c>
      <c r="AA116" t="n">
        <v>1037.748</v>
      </c>
      <c r="AB116" t="n">
        <v>1412.906</v>
      </c>
      <c r="AC116" t="n">
        <v>2405.76</v>
      </c>
      <c r="AD116" t="n">
        <v>1321.544</v>
      </c>
      <c r="AE116" t="n">
        <v>1593.988</v>
      </c>
      <c r="AF116" t="n">
        <v>1706.466</v>
      </c>
      <c r="AG116" t="n">
        <v>625.87</v>
      </c>
      <c r="AH116" t="n">
        <v>483.451</v>
      </c>
      <c r="AI116" t="n">
        <v>272.136</v>
      </c>
      <c r="AJ116" t="n">
        <v>2563.968</v>
      </c>
      <c r="AK116" t="n">
        <v>2147.23</v>
      </c>
      <c r="AL116" t="n">
        <v>2228.538</v>
      </c>
      <c r="AM116" t="n">
        <v>1881.563</v>
      </c>
      <c r="AN116" t="n">
        <v>1525.609</v>
      </c>
      <c r="AO116" t="n">
        <v>838.545</v>
      </c>
      <c r="AP116" t="n">
        <v>1759.739</v>
      </c>
      <c r="AQ116" t="n">
        <v>1330.956</v>
      </c>
      <c r="AR116" t="n">
        <v>2330.151</v>
      </c>
      <c r="AS116" t="n">
        <v>1114.951</v>
      </c>
      <c r="AT116" t="n">
        <v>648.337</v>
      </c>
      <c r="AU116" t="n">
        <v>523.211</v>
      </c>
      <c r="AV116" t="n">
        <v>1963.07</v>
      </c>
      <c r="AW116" t="n">
        <v>959.158</v>
      </c>
      <c r="AX116" t="n">
        <v>1328.798</v>
      </c>
      <c r="AY116" t="n">
        <v>853.833</v>
      </c>
      <c r="AZ116" t="n">
        <v>927.8049999999999</v>
      </c>
      <c r="BA116" t="n">
        <v>4260.358</v>
      </c>
      <c r="BB116" t="n">
        <v>738.65</v>
      </c>
      <c r="BC116" t="n">
        <v>664.424</v>
      </c>
      <c r="BD116" t="n">
        <v>782.379</v>
      </c>
      <c r="BE116" t="n">
        <v>3039.625</v>
      </c>
      <c r="BF116" t="n">
        <v>3707.579</v>
      </c>
      <c r="BG116" t="n">
        <v>1616.286</v>
      </c>
      <c r="BH116" t="n">
        <v>2234.782</v>
      </c>
      <c r="BI116" t="n">
        <v>1396.182</v>
      </c>
      <c r="BJ116" t="n">
        <v>1317.938</v>
      </c>
      <c r="BK116" t="n">
        <v>837.7910000000001</v>
      </c>
      <c r="BL116" t="n">
        <v>821.167</v>
      </c>
      <c r="BM116" t="n">
        <v>2400.162</v>
      </c>
      <c r="BN116" t="n">
        <v>2043.49</v>
      </c>
      <c r="BO116" t="n">
        <v>2941.747</v>
      </c>
      <c r="BP116" t="n">
        <v>2150.798</v>
      </c>
      <c r="BQ116" t="n">
        <v>2132.549</v>
      </c>
      <c r="BR116" t="n">
        <v>3167.616</v>
      </c>
      <c r="BS116" t="n">
        <v>3192.424</v>
      </c>
      <c r="BT116" t="n">
        <v>3240.499</v>
      </c>
      <c r="BU116" t="n">
        <v>2316.787</v>
      </c>
      <c r="BV116" t="n">
        <v>3352.623</v>
      </c>
    </row>
    <row r="117">
      <c r="A117" t="inlineStr">
        <is>
          <t>Cheilopogon melanurus</t>
        </is>
      </c>
      <c r="B117" t="inlineStr">
        <is>
          <t>Atlantic flyingfish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n">
        <v>1148.212</v>
      </c>
      <c r="F117" t="n">
        <v>1155.433</v>
      </c>
      <c r="G117" t="n">
        <v>1162.768</v>
      </c>
      <c r="H117" t="n">
        <v>1170.217</v>
      </c>
      <c r="I117" t="n">
        <v>1177.78</v>
      </c>
      <c r="J117" t="n">
        <v>1185.457</v>
      </c>
      <c r="K117" t="n">
        <v>1193.249</v>
      </c>
      <c r="L117" t="n">
        <v>1201.154</v>
      </c>
      <c r="M117" t="n">
        <v>1218.008</v>
      </c>
      <c r="N117" t="n">
        <v>1234.977</v>
      </c>
      <c r="O117" t="n">
        <v>1252.059</v>
      </c>
      <c r="P117" t="n">
        <v>1295.117</v>
      </c>
      <c r="Q117" t="n">
        <v>1383.74</v>
      </c>
      <c r="R117" t="n">
        <v>1308.61</v>
      </c>
      <c r="S117" t="n">
        <v>1252.239</v>
      </c>
      <c r="T117" t="n">
        <v>1325.484</v>
      </c>
      <c r="U117" t="n">
        <v>1267.122</v>
      </c>
      <c r="V117" t="n">
        <v>1277.537</v>
      </c>
      <c r="W117" t="n">
        <v>1343.234</v>
      </c>
      <c r="X117" t="n">
        <v>1419.725</v>
      </c>
      <c r="Y117" t="n">
        <v>1496.09</v>
      </c>
      <c r="Z117" t="n">
        <v>1587.074</v>
      </c>
      <c r="AA117" t="n">
        <v>1678.451</v>
      </c>
      <c r="AB117" t="n">
        <v>1770.22</v>
      </c>
      <c r="AC117" t="n">
        <v>1862.382</v>
      </c>
      <c r="AD117" t="n">
        <v>1861.36</v>
      </c>
      <c r="AE117" t="n">
        <v>1895.628</v>
      </c>
      <c r="AF117" t="n">
        <v>1946.56</v>
      </c>
      <c r="AG117" t="n">
        <v>1967.625</v>
      </c>
      <c r="AH117" t="n">
        <v>2203.844</v>
      </c>
      <c r="AI117" t="n">
        <v>2325.528</v>
      </c>
      <c r="AJ117" t="n">
        <v>1913.078</v>
      </c>
      <c r="AK117" t="n">
        <v>1845.801</v>
      </c>
      <c r="AL117" t="n">
        <v>2211.312</v>
      </c>
      <c r="AM117" t="n">
        <v>2126.264</v>
      </c>
      <c r="AN117" t="n">
        <v>1727.543</v>
      </c>
      <c r="AO117" t="n">
        <v>1753.563</v>
      </c>
      <c r="AP117" t="n">
        <v>1750.232</v>
      </c>
      <c r="AQ117" t="n">
        <v>1586.203</v>
      </c>
      <c r="AR117" t="n">
        <v>1549.496</v>
      </c>
      <c r="AS117" t="n">
        <v>1518.481</v>
      </c>
      <c r="AT117" t="n">
        <v>1671.036</v>
      </c>
      <c r="AU117" t="n">
        <v>1695.583</v>
      </c>
      <c r="AV117" t="n">
        <v>1607.436</v>
      </c>
      <c r="AW117" t="n">
        <v>1360.252</v>
      </c>
      <c r="AX117" t="n">
        <v>1203.231</v>
      </c>
      <c r="AY117" t="n">
        <v>1317.6</v>
      </c>
      <c r="AZ117" t="n">
        <v>1077.043</v>
      </c>
      <c r="BA117" t="n">
        <v>1072.832</v>
      </c>
      <c r="BB117" t="n">
        <v>1069.741</v>
      </c>
      <c r="BC117" t="n">
        <v>1095.525</v>
      </c>
      <c r="BD117" t="n">
        <v>983.949</v>
      </c>
      <c r="BE117" t="n">
        <v>1098.606</v>
      </c>
      <c r="BF117" t="n">
        <v>813.7089999999999</v>
      </c>
      <c r="BG117" t="n">
        <v>1015.545</v>
      </c>
      <c r="BH117" t="n">
        <v>1423.468</v>
      </c>
      <c r="BI117" t="n">
        <v>1610.224</v>
      </c>
      <c r="BJ117" t="n">
        <v>1410.152</v>
      </c>
      <c r="BK117" t="n">
        <v>1571.649</v>
      </c>
      <c r="BL117" t="n">
        <v>1552.356</v>
      </c>
      <c r="BM117" t="n">
        <v>1486.781</v>
      </c>
      <c r="BN117" t="n">
        <v>945.27</v>
      </c>
      <c r="BO117" t="n">
        <v>854.841</v>
      </c>
      <c r="BP117" t="n">
        <v>925.554</v>
      </c>
      <c r="BQ117" t="n">
        <v>989.508</v>
      </c>
      <c r="BR117" t="n">
        <v>450.285</v>
      </c>
      <c r="BS117" t="n">
        <v>969.4829999999999</v>
      </c>
      <c r="BT117" t="n">
        <v>641.119</v>
      </c>
      <c r="BU117" t="n">
        <v>530.0940000000001</v>
      </c>
      <c r="BV117" t="n">
        <v>660.09</v>
      </c>
    </row>
    <row r="118">
      <c r="A118" t="inlineStr">
        <is>
          <t>Aristeus varidens</t>
        </is>
      </c>
      <c r="B118" t="inlineStr">
        <is>
          <t>Striped red shrimp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290.08</v>
      </c>
      <c r="O118" t="n">
        <v>574.319</v>
      </c>
      <c r="P118" t="n">
        <v>852.718</v>
      </c>
      <c r="Q118" t="n">
        <v>1125.276</v>
      </c>
      <c r="R118" t="n">
        <v>1391.994</v>
      </c>
      <c r="S118" t="n">
        <v>1652.871</v>
      </c>
      <c r="T118" t="n">
        <v>1907.908</v>
      </c>
      <c r="U118" t="n">
        <v>2157.104</v>
      </c>
      <c r="V118" t="n">
        <v>2400.459</v>
      </c>
      <c r="W118" t="n">
        <v>2899.395</v>
      </c>
      <c r="X118" t="n">
        <v>3236.532</v>
      </c>
      <c r="Y118" t="n">
        <v>445.437</v>
      </c>
      <c r="Z118" t="n">
        <v>488.002</v>
      </c>
      <c r="AA118" t="n">
        <v>531.568</v>
      </c>
      <c r="AB118" t="n">
        <v>2690.783</v>
      </c>
      <c r="AC118" t="n">
        <v>4927.056</v>
      </c>
      <c r="AD118" t="n">
        <v>6387.25</v>
      </c>
      <c r="AE118" t="n">
        <v>7382.177</v>
      </c>
      <c r="AF118" t="n">
        <v>8202.735000000001</v>
      </c>
      <c r="AG118" t="n">
        <v>8831.254999999999</v>
      </c>
      <c r="AH118" t="n">
        <v>9250.071</v>
      </c>
      <c r="AI118" t="n">
        <v>9441.516</v>
      </c>
      <c r="AJ118" t="n">
        <v>6600.67</v>
      </c>
      <c r="AK118" t="n">
        <v>4394.789</v>
      </c>
      <c r="AL118" t="n">
        <v>2743.722</v>
      </c>
      <c r="AM118" t="n">
        <v>1567.32</v>
      </c>
      <c r="AN118" t="n">
        <v>785.431</v>
      </c>
      <c r="AO118" t="n">
        <v>317.905</v>
      </c>
      <c r="AP118" t="n">
        <v>138.407</v>
      </c>
      <c r="AQ118" t="n">
        <v>37.63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355.725</v>
      </c>
      <c r="BH118" t="n">
        <v>353.066</v>
      </c>
      <c r="BI118" t="n">
        <v>317.538</v>
      </c>
      <c r="BJ118" t="n">
        <v>301.174</v>
      </c>
      <c r="BK118" t="n">
        <v>339.348</v>
      </c>
      <c r="BL118" t="n">
        <v>0</v>
      </c>
      <c r="BM118" t="n">
        <v>0.764</v>
      </c>
      <c r="BN118" t="n">
        <v>4.397</v>
      </c>
      <c r="BO118" t="n">
        <v>13.092</v>
      </c>
      <c r="BP118" t="n">
        <v>87.929</v>
      </c>
      <c r="BQ118" t="n">
        <v>295.506</v>
      </c>
      <c r="BR118" t="n">
        <v>143.663</v>
      </c>
      <c r="BS118" t="n">
        <v>104.974</v>
      </c>
      <c r="BT118" t="n">
        <v>230.43</v>
      </c>
      <c r="BU118" t="n">
        <v>250.913</v>
      </c>
      <c r="BV118" t="n">
        <v>198.255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84.248</v>
      </c>
      <c r="F119" t="n">
        <v>92.048</v>
      </c>
      <c r="G119" t="n">
        <v>99.95399999999999</v>
      </c>
      <c r="H119" t="n">
        <v>107.961</v>
      </c>
      <c r="I119" t="n">
        <v>111.408</v>
      </c>
      <c r="J119" t="n">
        <v>119.192</v>
      </c>
      <c r="K119" t="n">
        <v>127.072</v>
      </c>
      <c r="L119" t="n">
        <v>135.043</v>
      </c>
      <c r="M119" t="n">
        <v>143.1</v>
      </c>
      <c r="N119" t="n">
        <v>151.239</v>
      </c>
      <c r="O119" t="n">
        <v>139.688</v>
      </c>
      <c r="P119" t="n">
        <v>155.521</v>
      </c>
      <c r="Q119" t="n">
        <v>149.965</v>
      </c>
      <c r="R119" t="n">
        <v>154.539</v>
      </c>
      <c r="S119" t="n">
        <v>154.723</v>
      </c>
      <c r="T119" t="n">
        <v>160.65</v>
      </c>
      <c r="U119" t="n">
        <v>166.591</v>
      </c>
      <c r="V119" t="n">
        <v>172.544</v>
      </c>
      <c r="W119" t="n">
        <v>178.509</v>
      </c>
      <c r="X119" t="n">
        <v>184.486</v>
      </c>
      <c r="Y119" t="n">
        <v>190.475</v>
      </c>
      <c r="Z119" t="n">
        <v>200.956</v>
      </c>
      <c r="AA119" t="n">
        <v>211.946</v>
      </c>
      <c r="AB119" t="n">
        <v>223.48</v>
      </c>
      <c r="AC119" t="n">
        <v>235.598</v>
      </c>
      <c r="AD119" t="n">
        <v>248.344</v>
      </c>
      <c r="AE119" t="n">
        <v>260.094</v>
      </c>
      <c r="AF119" t="n">
        <v>272.489</v>
      </c>
      <c r="AG119" t="n">
        <v>285.588</v>
      </c>
      <c r="AH119" t="n">
        <v>299.458</v>
      </c>
      <c r="AI119" t="n">
        <v>264.689</v>
      </c>
      <c r="AJ119" t="n">
        <v>329.035</v>
      </c>
      <c r="AK119" t="n">
        <v>396.174</v>
      </c>
      <c r="AL119" t="n">
        <v>506.286</v>
      </c>
      <c r="AM119" t="n">
        <v>636.663</v>
      </c>
      <c r="AN119" t="n">
        <v>784.277</v>
      </c>
      <c r="AO119" t="n">
        <v>925.155</v>
      </c>
      <c r="AP119" t="n">
        <v>1175.195</v>
      </c>
      <c r="AQ119" t="n">
        <v>1281.899</v>
      </c>
      <c r="AR119" t="n">
        <v>1350.795</v>
      </c>
      <c r="AS119" t="n">
        <v>1277.309</v>
      </c>
      <c r="AT119" t="n">
        <v>1896.821</v>
      </c>
      <c r="AU119" t="n">
        <v>1792.751</v>
      </c>
      <c r="AV119" t="n">
        <v>2589.323</v>
      </c>
      <c r="AW119" t="n">
        <v>2563.488</v>
      </c>
      <c r="AX119" t="n">
        <v>2039.775</v>
      </c>
      <c r="AY119" t="n">
        <v>2185.263</v>
      </c>
      <c r="AZ119" t="n">
        <v>1847.524</v>
      </c>
      <c r="BA119" t="n">
        <v>1672.418</v>
      </c>
      <c r="BB119" t="n">
        <v>1870.768</v>
      </c>
      <c r="BC119" t="n">
        <v>4372.29</v>
      </c>
      <c r="BD119" t="n">
        <v>4376.614</v>
      </c>
      <c r="BE119" t="n">
        <v>4469.713</v>
      </c>
      <c r="BF119" t="n">
        <v>4406.55</v>
      </c>
      <c r="BG119" t="n">
        <v>4365.928</v>
      </c>
      <c r="BH119" t="n">
        <v>4275.682</v>
      </c>
      <c r="BI119" t="n">
        <v>3975.974</v>
      </c>
      <c r="BJ119" t="n">
        <v>4050.591</v>
      </c>
      <c r="BK119" t="n">
        <v>3619.286</v>
      </c>
      <c r="BL119" t="n">
        <v>3367.622</v>
      </c>
      <c r="BM119" t="n">
        <v>2974.466</v>
      </c>
      <c r="BN119" t="n">
        <v>2745.003</v>
      </c>
      <c r="BO119" t="n">
        <v>2217.477</v>
      </c>
      <c r="BP119" t="n">
        <v>1686.388</v>
      </c>
      <c r="BQ119" t="n">
        <v>1603.197</v>
      </c>
      <c r="BR119" t="n">
        <v>2015.166</v>
      </c>
      <c r="BS119" t="n">
        <v>1723.909</v>
      </c>
      <c r="BT119" t="n">
        <v>1728.491</v>
      </c>
      <c r="BU119" t="n">
        <v>1739.752</v>
      </c>
      <c r="BV119" t="n">
        <v>1744.341</v>
      </c>
    </row>
    <row r="120">
      <c r="A120" t="inlineStr">
        <is>
          <t>Xiphias gladius</t>
        </is>
      </c>
      <c r="B120" t="inlineStr">
        <is>
          <t>Swordfish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11.983</v>
      </c>
      <c r="F120" t="n">
        <v>12.386</v>
      </c>
      <c r="G120" t="n">
        <v>12.801</v>
      </c>
      <c r="H120" t="n">
        <v>13.251</v>
      </c>
      <c r="I120" t="n">
        <v>13.654</v>
      </c>
      <c r="J120" t="n">
        <v>14.021</v>
      </c>
      <c r="K120" t="n">
        <v>15.26</v>
      </c>
      <c r="L120" t="n">
        <v>125.21</v>
      </c>
      <c r="M120" t="n">
        <v>129.092</v>
      </c>
      <c r="N120" t="n">
        <v>99.661</v>
      </c>
      <c r="O120" t="n">
        <v>102.022</v>
      </c>
      <c r="P120" t="n">
        <v>300.542</v>
      </c>
      <c r="Q120" t="n">
        <v>369.354</v>
      </c>
      <c r="R120" t="n">
        <v>973.325</v>
      </c>
      <c r="S120" t="n">
        <v>1697.228</v>
      </c>
      <c r="T120" t="n">
        <v>2379.18</v>
      </c>
      <c r="U120" t="n">
        <v>1677.883</v>
      </c>
      <c r="V120" t="n">
        <v>710.136</v>
      </c>
      <c r="W120" t="n">
        <v>1256.388</v>
      </c>
      <c r="X120" t="n">
        <v>2368.135</v>
      </c>
      <c r="Y120" t="n">
        <v>3227.371</v>
      </c>
      <c r="Z120" t="n">
        <v>1635.071</v>
      </c>
      <c r="AA120" t="n">
        <v>1851.369</v>
      </c>
      <c r="AB120" t="n">
        <v>1037.054</v>
      </c>
      <c r="AC120" t="n">
        <v>1652.971</v>
      </c>
      <c r="AD120" t="n">
        <v>2665.845</v>
      </c>
      <c r="AE120" t="n">
        <v>1152.277</v>
      </c>
      <c r="AF120" t="n">
        <v>1107.761</v>
      </c>
      <c r="AG120" t="n">
        <v>1184.961</v>
      </c>
      <c r="AH120" t="n">
        <v>906.353</v>
      </c>
      <c r="AI120" t="n">
        <v>2765.639</v>
      </c>
      <c r="AJ120" t="n">
        <v>3068.5</v>
      </c>
      <c r="AK120" t="n">
        <v>3533.421</v>
      </c>
      <c r="AL120" t="n">
        <v>1612.885</v>
      </c>
      <c r="AM120" t="n">
        <v>1141.609</v>
      </c>
      <c r="AN120" t="n">
        <v>448.829</v>
      </c>
      <c r="AO120" t="n">
        <v>464.083</v>
      </c>
      <c r="AP120" t="n">
        <v>693.023</v>
      </c>
      <c r="AQ120" t="n">
        <v>3085.135</v>
      </c>
      <c r="AR120" t="n">
        <v>3570.465</v>
      </c>
      <c r="AS120" t="n">
        <v>2654.308</v>
      </c>
      <c r="AT120" t="n">
        <v>3178.199</v>
      </c>
      <c r="AU120" t="n">
        <v>1965.02</v>
      </c>
      <c r="AV120" t="n">
        <v>2977.904</v>
      </c>
      <c r="AW120" t="n">
        <v>2086.222</v>
      </c>
      <c r="AX120" t="n">
        <v>1805.243</v>
      </c>
      <c r="AY120" t="n">
        <v>2256.656</v>
      </c>
      <c r="AZ120" t="n">
        <v>2503.665</v>
      </c>
      <c r="BA120" t="n">
        <v>1065.638</v>
      </c>
      <c r="BB120" t="n">
        <v>1250.033</v>
      </c>
      <c r="BC120" t="n">
        <v>728.456</v>
      </c>
      <c r="BD120" t="n">
        <v>1153.845</v>
      </c>
      <c r="BE120" t="n">
        <v>1290.245</v>
      </c>
      <c r="BF120" t="n">
        <v>1649.948</v>
      </c>
      <c r="BG120" t="n">
        <v>836.641</v>
      </c>
      <c r="BH120" t="n">
        <v>626.385</v>
      </c>
      <c r="BI120" t="n">
        <v>551.199</v>
      </c>
      <c r="BJ120" t="n">
        <v>888.1900000000001</v>
      </c>
      <c r="BK120" t="n">
        <v>982.792</v>
      </c>
      <c r="BL120" t="n">
        <v>1103.628</v>
      </c>
      <c r="BM120" t="n">
        <v>1094.977</v>
      </c>
      <c r="BN120" t="n">
        <v>1132.81</v>
      </c>
      <c r="BO120" t="n">
        <v>1447.494</v>
      </c>
      <c r="BP120" t="n">
        <v>1022.111</v>
      </c>
      <c r="BQ120" t="n">
        <v>1191.686</v>
      </c>
      <c r="BR120" t="n">
        <v>927.169</v>
      </c>
      <c r="BS120" t="n">
        <v>839.574</v>
      </c>
      <c r="BT120" t="n">
        <v>941.091</v>
      </c>
      <c r="BU120" t="n">
        <v>369.089</v>
      </c>
      <c r="BV120" t="n">
        <v>392.066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16.273</v>
      </c>
      <c r="W121" t="n">
        <v>23.824</v>
      </c>
      <c r="X121" t="n">
        <v>19.427</v>
      </c>
      <c r="Y121" t="n">
        <v>17.581</v>
      </c>
      <c r="Z121" t="n">
        <v>52.761</v>
      </c>
      <c r="AA121" t="n">
        <v>90.69199999999999</v>
      </c>
      <c r="AB121" t="n">
        <v>169.095</v>
      </c>
      <c r="AC121" t="n">
        <v>356.785</v>
      </c>
      <c r="AD121" t="n">
        <v>472.31</v>
      </c>
      <c r="AE121" t="n">
        <v>362.342</v>
      </c>
      <c r="AF121" t="n">
        <v>293.424</v>
      </c>
      <c r="AG121" t="n">
        <v>486.712</v>
      </c>
      <c r="AH121" t="n">
        <v>615.845</v>
      </c>
      <c r="AI121" t="n">
        <v>826.48</v>
      </c>
      <c r="AJ121" t="n">
        <v>993.298</v>
      </c>
      <c r="AK121" t="n">
        <v>1097.827</v>
      </c>
      <c r="AL121" t="n">
        <v>1189.415</v>
      </c>
      <c r="AM121" t="n">
        <v>937.302</v>
      </c>
      <c r="AN121" t="n">
        <v>737.124</v>
      </c>
      <c r="AO121" t="n">
        <v>685.611</v>
      </c>
      <c r="AP121" t="n">
        <v>378.116</v>
      </c>
      <c r="AQ121" t="n">
        <v>565.026</v>
      </c>
      <c r="AR121" t="n">
        <v>734.509</v>
      </c>
      <c r="AS121" t="n">
        <v>1079.122</v>
      </c>
      <c r="AT121" t="n">
        <v>1555.436</v>
      </c>
      <c r="AU121" t="n">
        <v>1557.172</v>
      </c>
      <c r="AV121" t="n">
        <v>1992.021</v>
      </c>
      <c r="AW121" t="n">
        <v>608.699</v>
      </c>
      <c r="AX121" t="n">
        <v>1069.347</v>
      </c>
      <c r="AY121" t="n">
        <v>710.321</v>
      </c>
      <c r="AZ121" t="n">
        <v>707.576</v>
      </c>
      <c r="BA121" t="n">
        <v>491.545</v>
      </c>
      <c r="BB121" t="n">
        <v>431.916</v>
      </c>
      <c r="BC121" t="n">
        <v>871.0599999999999</v>
      </c>
      <c r="BD121" t="n">
        <v>976.849</v>
      </c>
      <c r="BE121" t="n">
        <v>591.057</v>
      </c>
      <c r="BF121" t="n">
        <v>709.163</v>
      </c>
      <c r="BG121" t="n">
        <v>375.734</v>
      </c>
      <c r="BH121" t="n">
        <v>535.974</v>
      </c>
      <c r="BI121" t="n">
        <v>568.869</v>
      </c>
      <c r="BJ121" t="n">
        <v>454.767</v>
      </c>
      <c r="BK121" t="n">
        <v>514.989</v>
      </c>
      <c r="BL121" t="n">
        <v>1417.601</v>
      </c>
      <c r="BM121" t="n">
        <v>4574.975</v>
      </c>
      <c r="BN121" t="n">
        <v>2746.176</v>
      </c>
      <c r="BO121" t="n">
        <v>5662.288</v>
      </c>
      <c r="BP121" t="n">
        <v>3335.866</v>
      </c>
      <c r="BQ121" t="n">
        <v>3598.701</v>
      </c>
      <c r="BR121" t="n">
        <v>7566.95</v>
      </c>
      <c r="BS121" t="n">
        <v>8194.602000000001</v>
      </c>
      <c r="BT121" t="n">
        <v>8725.204</v>
      </c>
      <c r="BU121" t="n">
        <v>5358.661</v>
      </c>
      <c r="BV121" t="n">
        <v>9271.088</v>
      </c>
    </row>
    <row r="122">
      <c r="A122" t="inlineStr">
        <is>
          <t>Raja miraletus</t>
        </is>
      </c>
      <c r="B122" t="inlineStr">
        <is>
          <t>Brown ray</t>
        </is>
      </c>
      <c r="C122" t="inlineStr">
        <is>
          <t>Small to medium rays (&lt;90 cm)</t>
        </is>
      </c>
      <c r="D122" t="inlineStr">
        <is>
          <t>Sharks &amp; rays</t>
        </is>
      </c>
      <c r="E122" t="n">
        <v>444.646</v>
      </c>
      <c r="F122" t="n">
        <v>457.076</v>
      </c>
      <c r="G122" t="n">
        <v>484.087</v>
      </c>
      <c r="H122" t="n">
        <v>498.777</v>
      </c>
      <c r="I122" t="n">
        <v>457.943</v>
      </c>
      <c r="J122" t="n">
        <v>462.304</v>
      </c>
      <c r="K122" t="n">
        <v>470.148</v>
      </c>
      <c r="L122" t="n">
        <v>516.3920000000001</v>
      </c>
      <c r="M122" t="n">
        <v>525.393</v>
      </c>
      <c r="N122" t="n">
        <v>496.485</v>
      </c>
      <c r="O122" t="n">
        <v>502.876</v>
      </c>
      <c r="P122" t="n">
        <v>510.746</v>
      </c>
      <c r="Q122" t="n">
        <v>510.422</v>
      </c>
      <c r="R122" t="n">
        <v>513.2329999999999</v>
      </c>
      <c r="S122" t="n">
        <v>525.365</v>
      </c>
      <c r="T122" t="n">
        <v>530.119</v>
      </c>
      <c r="U122" t="n">
        <v>529.252</v>
      </c>
      <c r="V122" t="n">
        <v>534.662</v>
      </c>
      <c r="W122" t="n">
        <v>584.582</v>
      </c>
      <c r="X122" t="n">
        <v>721.9640000000001</v>
      </c>
      <c r="Y122" t="n">
        <v>901.543</v>
      </c>
      <c r="Z122" t="n">
        <v>1080.112</v>
      </c>
      <c r="AA122" t="n">
        <v>1034.064</v>
      </c>
      <c r="AB122" t="n">
        <v>1073.326</v>
      </c>
      <c r="AC122" t="n">
        <v>1326.378</v>
      </c>
      <c r="AD122" t="n">
        <v>1046.775</v>
      </c>
      <c r="AE122" t="n">
        <v>1059.331</v>
      </c>
      <c r="AF122" t="n">
        <v>1140.902</v>
      </c>
      <c r="AG122" t="n">
        <v>1301.682</v>
      </c>
      <c r="AH122" t="n">
        <v>932.718</v>
      </c>
      <c r="AI122" t="n">
        <v>1028.22</v>
      </c>
      <c r="AJ122" t="n">
        <v>884.492</v>
      </c>
      <c r="AK122" t="n">
        <v>552.133</v>
      </c>
      <c r="AL122" t="n">
        <v>603.457</v>
      </c>
      <c r="AM122" t="n">
        <v>503.504</v>
      </c>
      <c r="AN122" t="n">
        <v>502.54</v>
      </c>
      <c r="AO122" t="n">
        <v>493.244</v>
      </c>
      <c r="AP122" t="n">
        <v>493.744</v>
      </c>
      <c r="AQ122" t="n">
        <v>598.5890000000001</v>
      </c>
      <c r="AR122" t="n">
        <v>1101.786</v>
      </c>
      <c r="AS122" t="n">
        <v>1519.771</v>
      </c>
      <c r="AT122" t="n">
        <v>1613.816</v>
      </c>
      <c r="AU122" t="n">
        <v>1594.041</v>
      </c>
      <c r="AV122" t="n">
        <v>2005.895</v>
      </c>
      <c r="AW122" t="n">
        <v>1727.348</v>
      </c>
      <c r="AX122" t="n">
        <v>1182.335</v>
      </c>
      <c r="AY122" t="n">
        <v>1315.687</v>
      </c>
      <c r="AZ122" t="n">
        <v>1514.445</v>
      </c>
      <c r="BA122" t="n">
        <v>1648.681</v>
      </c>
      <c r="BB122" t="n">
        <v>1854.028</v>
      </c>
      <c r="BC122" t="n">
        <v>2164.547</v>
      </c>
      <c r="BD122" t="n">
        <v>1711.697</v>
      </c>
      <c r="BE122" t="n">
        <v>1989.214</v>
      </c>
      <c r="BF122" t="n">
        <v>2150.023</v>
      </c>
      <c r="BG122" t="n">
        <v>2375.546</v>
      </c>
      <c r="BH122" t="n">
        <v>2583.489</v>
      </c>
      <c r="BI122" t="n">
        <v>3027.918</v>
      </c>
      <c r="BJ122" t="n">
        <v>3148.134</v>
      </c>
      <c r="BK122" t="n">
        <v>2989.006</v>
      </c>
      <c r="BL122" t="n">
        <v>2741.041</v>
      </c>
      <c r="BM122" t="n">
        <v>2378.617</v>
      </c>
      <c r="BN122" t="n">
        <v>2044.41</v>
      </c>
      <c r="BO122" t="n">
        <v>1650.999</v>
      </c>
      <c r="BP122" t="n">
        <v>1243.868</v>
      </c>
      <c r="BQ122" t="n">
        <v>849.228</v>
      </c>
      <c r="BR122" t="n">
        <v>572.778</v>
      </c>
      <c r="BS122" t="n">
        <v>297.172</v>
      </c>
      <c r="BT122" t="n">
        <v>798.607</v>
      </c>
      <c r="BU122" t="n">
        <v>811.4880000000001</v>
      </c>
      <c r="BV122" t="n">
        <v>837.373</v>
      </c>
    </row>
    <row r="123">
      <c r="A123" t="inlineStr">
        <is>
          <t>Umbrina canariensis</t>
        </is>
      </c>
      <c r="B123" t="inlineStr">
        <is>
          <t>Canary drum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312.313</v>
      </c>
      <c r="F123" t="n">
        <v>328.735</v>
      </c>
      <c r="G123" t="n">
        <v>356.995</v>
      </c>
      <c r="H123" t="n">
        <v>377.008</v>
      </c>
      <c r="I123" t="n">
        <v>397.507</v>
      </c>
      <c r="J123" t="n">
        <v>417.477</v>
      </c>
      <c r="K123" t="n">
        <v>438.725</v>
      </c>
      <c r="L123" t="n">
        <v>458.759</v>
      </c>
      <c r="M123" t="n">
        <v>480.823</v>
      </c>
      <c r="N123" t="n">
        <v>479.26</v>
      </c>
      <c r="O123" t="n">
        <v>501.189</v>
      </c>
      <c r="P123" t="n">
        <v>521.34</v>
      </c>
      <c r="Q123" t="n">
        <v>536.655</v>
      </c>
      <c r="R123" t="n">
        <v>555.625</v>
      </c>
      <c r="S123" t="n">
        <v>574.378</v>
      </c>
      <c r="T123" t="n">
        <v>629.091</v>
      </c>
      <c r="U123" t="n">
        <v>650.97</v>
      </c>
      <c r="V123" t="n">
        <v>670.92</v>
      </c>
      <c r="W123" t="n">
        <v>671.343</v>
      </c>
      <c r="X123" t="n">
        <v>696.011</v>
      </c>
      <c r="Y123" t="n">
        <v>759.284</v>
      </c>
      <c r="Z123" t="n">
        <v>851.922</v>
      </c>
      <c r="AA123" t="n">
        <v>927.771</v>
      </c>
      <c r="AB123" t="n">
        <v>967.876</v>
      </c>
      <c r="AC123" t="n">
        <v>993.504</v>
      </c>
      <c r="AD123" t="n">
        <v>1074.573</v>
      </c>
      <c r="AE123" t="n">
        <v>1216.987</v>
      </c>
      <c r="AF123" t="n">
        <v>1330.356</v>
      </c>
      <c r="AG123" t="n">
        <v>1363.682</v>
      </c>
      <c r="AH123" t="n">
        <v>1171.1</v>
      </c>
      <c r="AI123" t="n">
        <v>1230.949</v>
      </c>
      <c r="AJ123" t="n">
        <v>1713.588</v>
      </c>
      <c r="AK123" t="n">
        <v>1562.921</v>
      </c>
      <c r="AL123" t="n">
        <v>1521.286</v>
      </c>
      <c r="AM123" t="n">
        <v>1536.897</v>
      </c>
      <c r="AN123" t="n">
        <v>1639.213</v>
      </c>
      <c r="AO123" t="n">
        <v>1657.315</v>
      </c>
      <c r="AP123" t="n">
        <v>1506.895</v>
      </c>
      <c r="AQ123" t="n">
        <v>1492.166</v>
      </c>
      <c r="AR123" t="n">
        <v>1537.791</v>
      </c>
      <c r="AS123" t="n">
        <v>1528.193</v>
      </c>
      <c r="AT123" t="n">
        <v>1486.166</v>
      </c>
      <c r="AU123" t="n">
        <v>1296.24</v>
      </c>
      <c r="AV123" t="n">
        <v>1036.341</v>
      </c>
      <c r="AW123" t="n">
        <v>1150.386</v>
      </c>
      <c r="AX123" t="n">
        <v>1064.831</v>
      </c>
      <c r="AY123" t="n">
        <v>1602.681</v>
      </c>
      <c r="AZ123" t="n">
        <v>1608.498</v>
      </c>
      <c r="BA123" t="n">
        <v>1637.614</v>
      </c>
      <c r="BB123" t="n">
        <v>1677.867</v>
      </c>
      <c r="BC123" t="n">
        <v>1722.432</v>
      </c>
      <c r="BD123" t="n">
        <v>1693.604</v>
      </c>
      <c r="BE123" t="n">
        <v>1475.082</v>
      </c>
      <c r="BF123" t="n">
        <v>1604.083</v>
      </c>
      <c r="BG123" t="n">
        <v>1591.061</v>
      </c>
      <c r="BH123" t="n">
        <v>1615.313</v>
      </c>
      <c r="BI123" t="n">
        <v>1996.471</v>
      </c>
      <c r="BJ123" t="n">
        <v>2043.965</v>
      </c>
      <c r="BK123" t="n">
        <v>1176.109</v>
      </c>
      <c r="BL123" t="n">
        <v>1465.218</v>
      </c>
      <c r="BM123" t="n">
        <v>1556.405</v>
      </c>
      <c r="BN123" t="n">
        <v>1918.399</v>
      </c>
      <c r="BO123" t="n">
        <v>1155.321</v>
      </c>
      <c r="BP123" t="n">
        <v>1196.43</v>
      </c>
      <c r="BQ123" t="n">
        <v>1268.475</v>
      </c>
      <c r="BR123" t="n">
        <v>839.044</v>
      </c>
      <c r="BS123" t="n">
        <v>1278.08</v>
      </c>
      <c r="BT123" t="n">
        <v>1075.361</v>
      </c>
      <c r="BU123" t="n">
        <v>1381.019</v>
      </c>
      <c r="BV123" t="n">
        <v>1102.967</v>
      </c>
    </row>
    <row r="124">
      <c r="A124" t="inlineStr">
        <is>
          <t>Makaira nigricans</t>
        </is>
      </c>
      <c r="B124" t="inlineStr">
        <is>
          <t>Blue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32.155</v>
      </c>
      <c r="L124" t="n">
        <v>630.062</v>
      </c>
      <c r="M124" t="n">
        <v>650.272</v>
      </c>
      <c r="N124" t="n">
        <v>712.0839999999999</v>
      </c>
      <c r="O124" t="n">
        <v>2375.078</v>
      </c>
      <c r="P124" t="n">
        <v>3354.414</v>
      </c>
      <c r="Q124" t="n">
        <v>5809.561</v>
      </c>
      <c r="R124" t="n">
        <v>7248.564</v>
      </c>
      <c r="S124" t="n">
        <v>6427.481</v>
      </c>
      <c r="T124" t="n">
        <v>4742.922</v>
      </c>
      <c r="U124" t="n">
        <v>2845.242</v>
      </c>
      <c r="V124" t="n">
        <v>908.689</v>
      </c>
      <c r="W124" t="n">
        <v>970.27</v>
      </c>
      <c r="X124" t="n">
        <v>1052.076</v>
      </c>
      <c r="Y124" t="n">
        <v>1135.143</v>
      </c>
      <c r="Z124" t="n">
        <v>1441.839</v>
      </c>
      <c r="AA124" t="n">
        <v>597.849</v>
      </c>
      <c r="AB124" t="n">
        <v>415.739</v>
      </c>
      <c r="AC124" t="n">
        <v>477.433</v>
      </c>
      <c r="AD124" t="n">
        <v>819.421</v>
      </c>
      <c r="AE124" t="n">
        <v>473.949</v>
      </c>
      <c r="AF124" t="n">
        <v>427.124</v>
      </c>
      <c r="AG124" t="n">
        <v>381.063</v>
      </c>
      <c r="AH124" t="n">
        <v>318.967</v>
      </c>
      <c r="AI124" t="n">
        <v>662.6</v>
      </c>
      <c r="AJ124" t="n">
        <v>875.877</v>
      </c>
      <c r="AK124" t="n">
        <v>1145.883</v>
      </c>
      <c r="AL124" t="n">
        <v>642.337</v>
      </c>
      <c r="AM124" t="n">
        <v>505.001</v>
      </c>
      <c r="AN124" t="n">
        <v>345.265</v>
      </c>
      <c r="AO124" t="n">
        <v>250.45</v>
      </c>
      <c r="AP124" t="n">
        <v>289.537</v>
      </c>
      <c r="AQ124" t="n">
        <v>348.092</v>
      </c>
      <c r="AR124" t="n">
        <v>631.851</v>
      </c>
      <c r="AS124" t="n">
        <v>551.574</v>
      </c>
      <c r="AT124" t="n">
        <v>568.706</v>
      </c>
      <c r="AU124" t="n">
        <v>471.299</v>
      </c>
      <c r="AV124" t="n">
        <v>712.769</v>
      </c>
      <c r="AW124" t="n">
        <v>899.98</v>
      </c>
      <c r="AX124" t="n">
        <v>927.3200000000001</v>
      </c>
      <c r="AY124" t="n">
        <v>1789.236</v>
      </c>
      <c r="AZ124" t="n">
        <v>1200.95</v>
      </c>
      <c r="BA124" t="n">
        <v>847.883</v>
      </c>
      <c r="BB124" t="n">
        <v>1084.172</v>
      </c>
      <c r="BC124" t="n">
        <v>1125.748</v>
      </c>
      <c r="BD124" t="n">
        <v>1119.819</v>
      </c>
      <c r="BE124" t="n">
        <v>1087.766</v>
      </c>
      <c r="BF124" t="n">
        <v>1191.76</v>
      </c>
      <c r="BG124" t="n">
        <v>646.223</v>
      </c>
      <c r="BH124" t="n">
        <v>780.527</v>
      </c>
      <c r="BI124" t="n">
        <v>591.217</v>
      </c>
      <c r="BJ124" t="n">
        <v>1119.77</v>
      </c>
      <c r="BK124" t="n">
        <v>1317.009</v>
      </c>
      <c r="BL124" t="n">
        <v>986.633</v>
      </c>
      <c r="BM124" t="n">
        <v>677.635</v>
      </c>
      <c r="BN124" t="n">
        <v>811.631</v>
      </c>
      <c r="BO124" t="n">
        <v>799.5940000000001</v>
      </c>
      <c r="BP124" t="n">
        <v>641.1</v>
      </c>
      <c r="BQ124" t="n">
        <v>953.02</v>
      </c>
      <c r="BR124" t="n">
        <v>496.54</v>
      </c>
      <c r="BS124" t="n">
        <v>540.109</v>
      </c>
      <c r="BT124" t="n">
        <v>396.714</v>
      </c>
      <c r="BU124" t="n">
        <v>240.749</v>
      </c>
      <c r="BV124" t="n">
        <v>269.092</v>
      </c>
    </row>
    <row r="125">
      <c r="A125" t="inlineStr">
        <is>
          <t>Serranidae</t>
        </is>
      </c>
      <c r="B125" t="inlineStr">
        <is>
          <t>Basses, groupers,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903.066</v>
      </c>
      <c r="F125" t="n">
        <v>927.991</v>
      </c>
      <c r="G125" t="n">
        <v>942.837</v>
      </c>
      <c r="H125" t="n">
        <v>972.596</v>
      </c>
      <c r="I125" t="n">
        <v>988.452</v>
      </c>
      <c r="J125" t="n">
        <v>1009.959</v>
      </c>
      <c r="K125" t="n">
        <v>1042.252</v>
      </c>
      <c r="L125" t="n">
        <v>1041.149</v>
      </c>
      <c r="M125" t="n">
        <v>1058.001</v>
      </c>
      <c r="N125" t="n">
        <v>1046.13</v>
      </c>
      <c r="O125" t="n">
        <v>1068.087</v>
      </c>
      <c r="P125" t="n">
        <v>1112.612</v>
      </c>
      <c r="Q125" t="n">
        <v>1138.565</v>
      </c>
      <c r="R125" t="n">
        <v>1124.639</v>
      </c>
      <c r="S125" t="n">
        <v>1143.451</v>
      </c>
      <c r="T125" t="n">
        <v>1259.293</v>
      </c>
      <c r="U125" t="n">
        <v>1157.804</v>
      </c>
      <c r="V125" t="n">
        <v>1250.38</v>
      </c>
      <c r="W125" t="n">
        <v>956.4160000000001</v>
      </c>
      <c r="X125" t="n">
        <v>959.044</v>
      </c>
      <c r="Y125" t="n">
        <v>1490.419</v>
      </c>
      <c r="Z125" t="n">
        <v>1478.062</v>
      </c>
      <c r="AA125" t="n">
        <v>1443.198</v>
      </c>
      <c r="AB125" t="n">
        <v>1231.22</v>
      </c>
      <c r="AC125" t="n">
        <v>1987.697</v>
      </c>
      <c r="AD125" t="n">
        <v>1678.266</v>
      </c>
      <c r="AE125" t="n">
        <v>1758.225</v>
      </c>
      <c r="AF125" t="n">
        <v>1916.532</v>
      </c>
      <c r="AG125" t="n">
        <v>1470.77</v>
      </c>
      <c r="AH125" t="n">
        <v>1356.112</v>
      </c>
      <c r="AI125" t="n">
        <v>2990.629</v>
      </c>
      <c r="AJ125" t="n">
        <v>1367.582</v>
      </c>
      <c r="AK125" t="n">
        <v>481.854</v>
      </c>
      <c r="AL125" t="n">
        <v>370.013</v>
      </c>
      <c r="AM125" t="n">
        <v>479.838</v>
      </c>
      <c r="AN125" t="n">
        <v>965.347</v>
      </c>
      <c r="AO125" t="n">
        <v>676.293</v>
      </c>
      <c r="AP125" t="n">
        <v>537.297</v>
      </c>
      <c r="AQ125" t="n">
        <v>890.471</v>
      </c>
      <c r="AR125" t="n">
        <v>1473.038</v>
      </c>
      <c r="AS125" t="n">
        <v>747.181</v>
      </c>
      <c r="AT125" t="n">
        <v>691.49</v>
      </c>
      <c r="AU125" t="n">
        <v>681.4299999999999</v>
      </c>
      <c r="AV125" t="n">
        <v>843.543</v>
      </c>
      <c r="AW125" t="n">
        <v>670.468</v>
      </c>
      <c r="AX125" t="n">
        <v>875.5890000000001</v>
      </c>
      <c r="AY125" t="n">
        <v>765.197</v>
      </c>
      <c r="AZ125" t="n">
        <v>736.845</v>
      </c>
      <c r="BA125" t="n">
        <v>1153.176</v>
      </c>
      <c r="BB125" t="n">
        <v>929.46</v>
      </c>
      <c r="BC125" t="n">
        <v>1203.566</v>
      </c>
      <c r="BD125" t="n">
        <v>1070.482</v>
      </c>
      <c r="BE125" t="n">
        <v>935.999</v>
      </c>
      <c r="BF125" t="n">
        <v>1116.281</v>
      </c>
      <c r="BG125" t="n">
        <v>1232.312</v>
      </c>
      <c r="BH125" t="n">
        <v>1073.41</v>
      </c>
      <c r="BI125" t="n">
        <v>898.054</v>
      </c>
      <c r="BJ125" t="n">
        <v>1061.403</v>
      </c>
      <c r="BK125" t="n">
        <v>1077.914</v>
      </c>
      <c r="BL125" t="n">
        <v>920.6900000000001</v>
      </c>
      <c r="BM125" t="n">
        <v>834.222</v>
      </c>
      <c r="BN125" t="n">
        <v>1382.159</v>
      </c>
      <c r="BO125" t="n">
        <v>941.569</v>
      </c>
      <c r="BP125" t="n">
        <v>1075.118</v>
      </c>
      <c r="BQ125" t="n">
        <v>881.34</v>
      </c>
      <c r="BR125" t="n">
        <v>682.523</v>
      </c>
      <c r="BS125" t="n">
        <v>814.9589999999999</v>
      </c>
      <c r="BT125" t="n">
        <v>663.8819999999999</v>
      </c>
      <c r="BU125" t="n">
        <v>586.893</v>
      </c>
      <c r="BV125" t="n">
        <v>562.135</v>
      </c>
    </row>
    <row r="126">
      <c r="A126" t="inlineStr">
        <is>
          <t>Selar crumenophthalmus</t>
        </is>
      </c>
      <c r="B126" t="inlineStr">
        <is>
          <t>Bigeye scad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395.356</v>
      </c>
      <c r="F126" t="n">
        <v>411.862</v>
      </c>
      <c r="G126" t="n">
        <v>427.951</v>
      </c>
      <c r="H126" t="n">
        <v>442.429</v>
      </c>
      <c r="I126" t="n">
        <v>400.551</v>
      </c>
      <c r="J126" t="n">
        <v>404.155</v>
      </c>
      <c r="K126" t="n">
        <v>410.736</v>
      </c>
      <c r="L126" t="n">
        <v>455.216</v>
      </c>
      <c r="M126" t="n">
        <v>467.853</v>
      </c>
      <c r="N126" t="n">
        <v>465.911</v>
      </c>
      <c r="O126" t="n">
        <v>467.056</v>
      </c>
      <c r="P126" t="n">
        <v>475.154</v>
      </c>
      <c r="Q126" t="n">
        <v>485.266</v>
      </c>
      <c r="R126" t="n">
        <v>491.23</v>
      </c>
      <c r="S126" t="n">
        <v>494.228</v>
      </c>
      <c r="T126" t="n">
        <v>497.768</v>
      </c>
      <c r="U126" t="n">
        <v>480.154</v>
      </c>
      <c r="V126" t="n">
        <v>490.004</v>
      </c>
      <c r="W126" t="n">
        <v>529.232</v>
      </c>
      <c r="X126" t="n">
        <v>662.896</v>
      </c>
      <c r="Y126" t="n">
        <v>864.932</v>
      </c>
      <c r="Z126" t="n">
        <v>1031.329</v>
      </c>
      <c r="AA126" t="n">
        <v>992.099</v>
      </c>
      <c r="AB126" t="n">
        <v>1024.553</v>
      </c>
      <c r="AC126" t="n">
        <v>1274.355</v>
      </c>
      <c r="AD126" t="n">
        <v>969.972</v>
      </c>
      <c r="AE126" t="n">
        <v>954.754</v>
      </c>
      <c r="AF126" t="n">
        <v>1083.601</v>
      </c>
      <c r="AG126" t="n">
        <v>1192.332</v>
      </c>
      <c r="AH126" t="n">
        <v>889.314</v>
      </c>
      <c r="AI126" t="n">
        <v>981.508</v>
      </c>
      <c r="AJ126" t="n">
        <v>826.182</v>
      </c>
      <c r="AK126" t="n">
        <v>485.568</v>
      </c>
      <c r="AL126" t="n">
        <v>566.38</v>
      </c>
      <c r="AM126" t="n">
        <v>490.988</v>
      </c>
      <c r="AN126" t="n">
        <v>460.804</v>
      </c>
      <c r="AO126" t="n">
        <v>463.263</v>
      </c>
      <c r="AP126" t="n">
        <v>457.486</v>
      </c>
      <c r="AQ126" t="n">
        <v>554.675</v>
      </c>
      <c r="AR126" t="n">
        <v>1050.716</v>
      </c>
      <c r="AS126" t="n">
        <v>1472.885</v>
      </c>
      <c r="AT126" t="n">
        <v>1649.215</v>
      </c>
      <c r="AU126" t="n">
        <v>1640.687</v>
      </c>
      <c r="AV126" t="n">
        <v>2018.202</v>
      </c>
      <c r="AW126" t="n">
        <v>1718.796</v>
      </c>
      <c r="AX126" t="n">
        <v>1151.664</v>
      </c>
      <c r="AY126" t="n">
        <v>1253.936</v>
      </c>
      <c r="AZ126" t="n">
        <v>1415.201</v>
      </c>
      <c r="BA126" t="n">
        <v>1512.229</v>
      </c>
      <c r="BB126" t="n">
        <v>1656.052</v>
      </c>
      <c r="BC126" t="n">
        <v>1928.13</v>
      </c>
      <c r="BD126" t="n">
        <v>1444.639</v>
      </c>
      <c r="BE126" t="n">
        <v>1709.589</v>
      </c>
      <c r="BF126" t="n">
        <v>1796.092</v>
      </c>
      <c r="BG126" t="n">
        <v>2023.419</v>
      </c>
      <c r="BH126" t="n">
        <v>2239.091</v>
      </c>
      <c r="BI126" t="n">
        <v>2725.57</v>
      </c>
      <c r="BJ126" t="n">
        <v>2862.96</v>
      </c>
      <c r="BK126" t="n">
        <v>2701.465</v>
      </c>
      <c r="BL126" t="n">
        <v>2457.622</v>
      </c>
      <c r="BM126" t="n">
        <v>2111.906</v>
      </c>
      <c r="BN126" t="n">
        <v>1768.231</v>
      </c>
      <c r="BO126" t="n">
        <v>1370.323</v>
      </c>
      <c r="BP126" t="n">
        <v>974.85</v>
      </c>
      <c r="BQ126" t="n">
        <v>599.7</v>
      </c>
      <c r="BR126" t="n">
        <v>268.803</v>
      </c>
      <c r="BS126" t="n">
        <v>144.043</v>
      </c>
      <c r="BT126" t="n">
        <v>582.99</v>
      </c>
      <c r="BU126" t="n">
        <v>605.967</v>
      </c>
      <c r="BV126" t="n">
        <v>624.14</v>
      </c>
    </row>
    <row r="127">
      <c r="A127" t="inlineStr">
        <is>
          <t>Ablennes hians</t>
        </is>
      </c>
      <c r="B127" t="inlineStr">
        <is>
          <t>Flat needlefish</t>
        </is>
      </c>
      <c r="C127" t="inlineStr">
        <is>
          <t>Large pelagics (&gt;=90 cm)</t>
        </is>
      </c>
      <c r="D127" t="inlineStr">
        <is>
          <t>Other fishes &amp; inverts</t>
        </is>
      </c>
      <c r="E127" t="n">
        <v>76.235</v>
      </c>
      <c r="F127" t="n">
        <v>76.715</v>
      </c>
      <c r="G127" t="n">
        <v>77.202</v>
      </c>
      <c r="H127" t="n">
        <v>77.696</v>
      </c>
      <c r="I127" t="n">
        <v>78.199</v>
      </c>
      <c r="J127" t="n">
        <v>78.708</v>
      </c>
      <c r="K127" t="n">
        <v>79.226</v>
      </c>
      <c r="L127" t="n">
        <v>15773.915</v>
      </c>
      <c r="M127" t="n">
        <v>80.87</v>
      </c>
      <c r="N127" t="n">
        <v>81.996</v>
      </c>
      <c r="O127" t="n">
        <v>83.13</v>
      </c>
      <c r="P127" t="n">
        <v>85.989</v>
      </c>
      <c r="Q127" t="n">
        <v>91.873</v>
      </c>
      <c r="R127" t="n">
        <v>86.88500000000001</v>
      </c>
      <c r="S127" t="n">
        <v>83.142</v>
      </c>
      <c r="T127" t="n">
        <v>88.005</v>
      </c>
      <c r="U127" t="n">
        <v>84.13</v>
      </c>
      <c r="V127" t="n">
        <v>1926.05</v>
      </c>
      <c r="W127" t="n">
        <v>89.184</v>
      </c>
      <c r="X127" t="n">
        <v>94.262</v>
      </c>
      <c r="Y127" t="n">
        <v>99.333</v>
      </c>
      <c r="Z127" t="n">
        <v>105.374</v>
      </c>
      <c r="AA127" t="n">
        <v>111.441</v>
      </c>
      <c r="AB127" t="n">
        <v>117.534</v>
      </c>
      <c r="AC127" t="n">
        <v>123.653</v>
      </c>
      <c r="AD127" t="n">
        <v>123.585</v>
      </c>
      <c r="AE127" t="n">
        <v>125.86</v>
      </c>
      <c r="AF127" t="n">
        <v>3390.694</v>
      </c>
      <c r="AG127" t="n">
        <v>130.64</v>
      </c>
      <c r="AH127" t="n">
        <v>146.324</v>
      </c>
      <c r="AI127" t="n">
        <v>154.403</v>
      </c>
      <c r="AJ127" t="n">
        <v>127.019</v>
      </c>
      <c r="AK127" t="n">
        <v>122.552</v>
      </c>
      <c r="AL127" t="n">
        <v>146.82</v>
      </c>
      <c r="AM127" t="n">
        <v>141.173</v>
      </c>
      <c r="AN127" t="n">
        <v>114.7</v>
      </c>
      <c r="AO127" t="n">
        <v>116.428</v>
      </c>
      <c r="AP127" t="n">
        <v>10550.144</v>
      </c>
      <c r="AQ127" t="n">
        <v>4397.641</v>
      </c>
      <c r="AR127" t="n">
        <v>102.879</v>
      </c>
      <c r="AS127" t="n">
        <v>100.819</v>
      </c>
      <c r="AT127" t="n">
        <v>110.948</v>
      </c>
      <c r="AU127" t="n">
        <v>112.578</v>
      </c>
      <c r="AV127" t="n">
        <v>106.726</v>
      </c>
      <c r="AW127" t="n">
        <v>90.31399999999999</v>
      </c>
      <c r="AX127" t="n">
        <v>79.88800000000001</v>
      </c>
      <c r="AY127" t="n">
        <v>87.482</v>
      </c>
      <c r="AZ127" t="n">
        <v>9763.071</v>
      </c>
      <c r="BA127" t="n">
        <v>9385.898999999999</v>
      </c>
      <c r="BB127" t="n">
        <v>71.02500000000001</v>
      </c>
      <c r="BC127" t="n">
        <v>77.351</v>
      </c>
      <c r="BD127" t="n">
        <v>209.69</v>
      </c>
      <c r="BE127" t="n">
        <v>761.268</v>
      </c>
      <c r="BF127" t="n">
        <v>648.972</v>
      </c>
      <c r="BG127" t="n">
        <v>350.77</v>
      </c>
      <c r="BH127" t="n">
        <v>215.695</v>
      </c>
      <c r="BI127" t="n">
        <v>306.872</v>
      </c>
      <c r="BJ127" t="n">
        <v>463.701</v>
      </c>
      <c r="BK127" t="n">
        <v>361.184</v>
      </c>
      <c r="BL127" t="n">
        <v>370.675</v>
      </c>
      <c r="BM127" t="n">
        <v>1109.679</v>
      </c>
      <c r="BN127" t="n">
        <v>580.799</v>
      </c>
      <c r="BO127" t="n">
        <v>1063.993</v>
      </c>
      <c r="BP127" t="n">
        <v>577.717</v>
      </c>
      <c r="BQ127" t="n">
        <v>580.487</v>
      </c>
      <c r="BR127" t="n">
        <v>1023.901</v>
      </c>
      <c r="BS127" t="n">
        <v>1052.04</v>
      </c>
      <c r="BT127" t="n">
        <v>1023.807</v>
      </c>
      <c r="BU127" t="n">
        <v>533.679</v>
      </c>
      <c r="BV127" t="n">
        <v>1067.278</v>
      </c>
    </row>
    <row r="128">
      <c r="A128" t="inlineStr">
        <is>
          <t>Soleidae</t>
        </is>
      </c>
      <c r="B128" t="inlineStr">
        <is>
          <t>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n">
        <v>101.325</v>
      </c>
      <c r="F128" t="n">
        <v>101.733</v>
      </c>
      <c r="G128" t="n">
        <v>102.141</v>
      </c>
      <c r="H128" t="n">
        <v>102.598</v>
      </c>
      <c r="I128" t="n">
        <v>103.056</v>
      </c>
      <c r="J128" t="n">
        <v>103.515</v>
      </c>
      <c r="K128" t="n">
        <v>103.975</v>
      </c>
      <c r="L128" t="n">
        <v>104.436</v>
      </c>
      <c r="M128" t="n">
        <v>110.193</v>
      </c>
      <c r="N128" t="n">
        <v>114.41</v>
      </c>
      <c r="O128" t="n">
        <v>120.09</v>
      </c>
      <c r="P128" t="n">
        <v>125.731</v>
      </c>
      <c r="Q128" t="n">
        <v>131.335</v>
      </c>
      <c r="R128" t="n">
        <v>130.877</v>
      </c>
      <c r="S128" t="n">
        <v>131.926</v>
      </c>
      <c r="T128" t="n">
        <v>131.661</v>
      </c>
      <c r="U128" t="n">
        <v>131.578</v>
      </c>
      <c r="V128" t="n">
        <v>131.676</v>
      </c>
      <c r="W128" t="n">
        <v>132.585</v>
      </c>
      <c r="X128" t="n">
        <v>150.847</v>
      </c>
      <c r="Y128" t="n">
        <v>174.533</v>
      </c>
      <c r="Z128" t="n">
        <v>330.264</v>
      </c>
      <c r="AA128" t="n">
        <v>352.933</v>
      </c>
      <c r="AB128" t="n">
        <v>772.567</v>
      </c>
      <c r="AC128" t="n">
        <v>281.701</v>
      </c>
      <c r="AD128" t="n">
        <v>295.474</v>
      </c>
      <c r="AE128" t="n">
        <v>346.183</v>
      </c>
      <c r="AF128" t="n">
        <v>1816.065</v>
      </c>
      <c r="AG128" t="n">
        <v>2739.94</v>
      </c>
      <c r="AH128" t="n">
        <v>602.0069999999999</v>
      </c>
      <c r="AI128" t="n">
        <v>652.201</v>
      </c>
      <c r="AJ128" t="n">
        <v>638.978</v>
      </c>
      <c r="AK128" t="n">
        <v>613.109</v>
      </c>
      <c r="AL128" t="n">
        <v>745.076</v>
      </c>
      <c r="AM128" t="n">
        <v>749.794</v>
      </c>
      <c r="AN128" t="n">
        <v>688.961</v>
      </c>
      <c r="AO128" t="n">
        <v>1351.079</v>
      </c>
      <c r="AP128" t="n">
        <v>1494.417</v>
      </c>
      <c r="AQ128" t="n">
        <v>1286.445</v>
      </c>
      <c r="AR128" t="n">
        <v>1261.252</v>
      </c>
      <c r="AS128" t="n">
        <v>1183.112</v>
      </c>
      <c r="AT128" t="n">
        <v>1060.399</v>
      </c>
      <c r="AU128" t="n">
        <v>1065.166</v>
      </c>
      <c r="AV128" t="n">
        <v>1448.443</v>
      </c>
      <c r="AW128" t="n">
        <v>1547.141</v>
      </c>
      <c r="AX128" t="n">
        <v>2088.271</v>
      </c>
      <c r="AY128" t="n">
        <v>3995.293</v>
      </c>
      <c r="AZ128" t="n">
        <v>2854.817</v>
      </c>
      <c r="BA128" t="n">
        <v>3402.712</v>
      </c>
      <c r="BB128" t="n">
        <v>1688.369</v>
      </c>
      <c r="BC128" t="n">
        <v>1444.685</v>
      </c>
      <c r="BD128" t="n">
        <v>2728.92</v>
      </c>
      <c r="BE128" t="n">
        <v>760.2670000000001</v>
      </c>
      <c r="BF128" t="n">
        <v>741.905</v>
      </c>
      <c r="BG128" t="n">
        <v>1000.503</v>
      </c>
      <c r="BH128" t="n">
        <v>1207.01</v>
      </c>
      <c r="BI128" t="n">
        <v>1488.609</v>
      </c>
      <c r="BJ128" t="n">
        <v>1642.127</v>
      </c>
      <c r="BK128" t="n">
        <v>1606.951</v>
      </c>
      <c r="BL128" t="n">
        <v>1307.632</v>
      </c>
      <c r="BM128" t="n">
        <v>1108.199</v>
      </c>
      <c r="BN128" t="n">
        <v>1049.327</v>
      </c>
      <c r="BO128" t="n">
        <v>972.787</v>
      </c>
      <c r="BP128" t="n">
        <v>952.478</v>
      </c>
      <c r="BQ128" t="n">
        <v>987.25</v>
      </c>
      <c r="BR128" t="n">
        <v>989.705</v>
      </c>
      <c r="BS128" t="n">
        <v>857.095</v>
      </c>
      <c r="BT128" t="n">
        <v>3410.016</v>
      </c>
      <c r="BU128" t="n">
        <v>2336.885</v>
      </c>
      <c r="BV128" t="n">
        <v>1814.266</v>
      </c>
    </row>
    <row r="129">
      <c r="A129" t="inlineStr">
        <is>
          <t>Decapterus punctatus</t>
        </is>
      </c>
      <c r="B129" t="inlineStr">
        <is>
          <t>Round scad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296.079</v>
      </c>
      <c r="F129" t="n">
        <v>307.511</v>
      </c>
      <c r="G129" t="n">
        <v>318.954</v>
      </c>
      <c r="H129" t="n">
        <v>328.351</v>
      </c>
      <c r="I129" t="n">
        <v>281.897</v>
      </c>
      <c r="J129" t="n">
        <v>281.209</v>
      </c>
      <c r="K129" t="n">
        <v>282.525</v>
      </c>
      <c r="L129" t="n">
        <v>323.816</v>
      </c>
      <c r="M129" t="n">
        <v>327.643</v>
      </c>
      <c r="N129" t="n">
        <v>322.837</v>
      </c>
      <c r="O129" t="n">
        <v>324.393</v>
      </c>
      <c r="P129" t="n">
        <v>329.715</v>
      </c>
      <c r="Q129" t="n">
        <v>336.324</v>
      </c>
      <c r="R129" t="n">
        <v>326.115</v>
      </c>
      <c r="S129" t="n">
        <v>323.278</v>
      </c>
      <c r="T129" t="n">
        <v>327.376</v>
      </c>
      <c r="U129" t="n">
        <v>316.292</v>
      </c>
      <c r="V129" t="n">
        <v>321.837</v>
      </c>
      <c r="W129" t="n">
        <v>376.379</v>
      </c>
      <c r="X129" t="n">
        <v>510.444</v>
      </c>
      <c r="Y129" t="n">
        <v>727.549</v>
      </c>
      <c r="Z129" t="n">
        <v>893.165</v>
      </c>
      <c r="AA129" t="n">
        <v>858.1609999999999</v>
      </c>
      <c r="AB129" t="n">
        <v>898.164</v>
      </c>
      <c r="AC129" t="n">
        <v>1151.921</v>
      </c>
      <c r="AD129" t="n">
        <v>865.141</v>
      </c>
      <c r="AE129" t="n">
        <v>865.093</v>
      </c>
      <c r="AF129" t="n">
        <v>969.982</v>
      </c>
      <c r="AG129" t="n">
        <v>1116.385</v>
      </c>
      <c r="AH129" t="n">
        <v>767.817</v>
      </c>
      <c r="AI129" t="n">
        <v>873.6900000000001</v>
      </c>
      <c r="AJ129" t="n">
        <v>712.563</v>
      </c>
      <c r="AK129" t="n">
        <v>390.874</v>
      </c>
      <c r="AL129" t="n">
        <v>488.294</v>
      </c>
      <c r="AM129" t="n">
        <v>414.318</v>
      </c>
      <c r="AN129" t="n">
        <v>378.287</v>
      </c>
      <c r="AO129" t="n">
        <v>380.244</v>
      </c>
      <c r="AP129" t="n">
        <v>379.92</v>
      </c>
      <c r="AQ129" t="n">
        <v>474.052</v>
      </c>
      <c r="AR129" t="n">
        <v>971.232</v>
      </c>
      <c r="AS129" t="n">
        <v>1388.254</v>
      </c>
      <c r="AT129" t="n">
        <v>1556.242</v>
      </c>
      <c r="AU129" t="n">
        <v>1539.114</v>
      </c>
      <c r="AV129" t="n">
        <v>1951.096</v>
      </c>
      <c r="AW129" t="n">
        <v>1636.448</v>
      </c>
      <c r="AX129" t="n">
        <v>1066.208</v>
      </c>
      <c r="AY129" t="n">
        <v>1196.042</v>
      </c>
      <c r="AZ129" t="n">
        <v>1347.666</v>
      </c>
      <c r="BA129" t="n">
        <v>1463.769</v>
      </c>
      <c r="BB129" t="n">
        <v>1648.406</v>
      </c>
      <c r="BC129" t="n">
        <v>1916.153</v>
      </c>
      <c r="BD129" t="n">
        <v>1438.547</v>
      </c>
      <c r="BE129" t="n">
        <v>1705.562</v>
      </c>
      <c r="BF129" t="n">
        <v>1819.997</v>
      </c>
      <c r="BG129" t="n">
        <v>2062.277</v>
      </c>
      <c r="BH129" t="n">
        <v>2297.195</v>
      </c>
      <c r="BI129" t="n">
        <v>2781.743</v>
      </c>
      <c r="BJ129" t="n">
        <v>2893.028</v>
      </c>
      <c r="BK129" t="n">
        <v>2758.126</v>
      </c>
      <c r="BL129" t="n">
        <v>2520.975</v>
      </c>
      <c r="BM129" t="n">
        <v>2172.784</v>
      </c>
      <c r="BN129" t="n">
        <v>1794.215</v>
      </c>
      <c r="BO129" t="n">
        <v>1405.195</v>
      </c>
      <c r="BP129" t="n">
        <v>1013.031</v>
      </c>
      <c r="BQ129" t="n">
        <v>640.8869999999999</v>
      </c>
      <c r="BR129" t="n">
        <v>287.549</v>
      </c>
      <c r="BS129" t="n">
        <v>184.766</v>
      </c>
      <c r="BT129" t="n">
        <v>609.514</v>
      </c>
      <c r="BU129" t="n">
        <v>627.794</v>
      </c>
      <c r="BV129" t="n">
        <v>637.366</v>
      </c>
    </row>
    <row r="130">
      <c r="A130" t="inlineStr">
        <is>
          <t>Auxis</t>
        </is>
      </c>
      <c r="B130" t="inlineStr">
        <is>
          <t>Bullet and frigate tunas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0.158</v>
      </c>
      <c r="F130" t="n">
        <v>0.158</v>
      </c>
      <c r="G130" t="n">
        <v>0.317</v>
      </c>
      <c r="H130" t="n">
        <v>0.317</v>
      </c>
      <c r="I130" t="n">
        <v>0.317</v>
      </c>
      <c r="J130" t="n">
        <v>0.396</v>
      </c>
      <c r="K130" t="n">
        <v>0.436</v>
      </c>
      <c r="L130" t="n">
        <v>11.111</v>
      </c>
      <c r="M130" t="n">
        <v>11.896</v>
      </c>
      <c r="N130" t="n">
        <v>12.596</v>
      </c>
      <c r="O130" t="n">
        <v>34.208</v>
      </c>
      <c r="P130" t="n">
        <v>61.157</v>
      </c>
      <c r="Q130" t="n">
        <v>75.133</v>
      </c>
      <c r="R130" t="n">
        <v>72.325</v>
      </c>
      <c r="S130" t="n">
        <v>91.325</v>
      </c>
      <c r="T130" t="n">
        <v>97.706</v>
      </c>
      <c r="U130" t="n">
        <v>137.461</v>
      </c>
      <c r="V130" t="n">
        <v>128.859</v>
      </c>
      <c r="W130" t="n">
        <v>195.296</v>
      </c>
      <c r="X130" t="n">
        <v>247.429</v>
      </c>
      <c r="Y130" t="n">
        <v>376.022</v>
      </c>
      <c r="Z130" t="n">
        <v>288.133</v>
      </c>
      <c r="AA130" t="n">
        <v>304.095</v>
      </c>
      <c r="AB130" t="n">
        <v>414.394</v>
      </c>
      <c r="AC130" t="n">
        <v>521.122</v>
      </c>
      <c r="AD130" t="n">
        <v>772.331</v>
      </c>
      <c r="AE130" t="n">
        <v>705.394</v>
      </c>
      <c r="AF130" t="n">
        <v>871.042</v>
      </c>
      <c r="AG130" t="n">
        <v>1005.694</v>
      </c>
      <c r="AH130" t="n">
        <v>973.049</v>
      </c>
      <c r="AI130" t="n">
        <v>2445.92</v>
      </c>
      <c r="AJ130" t="n">
        <v>2304.854</v>
      </c>
      <c r="AK130" t="n">
        <v>3182.988</v>
      </c>
      <c r="AL130" t="n">
        <v>1934.543</v>
      </c>
      <c r="AM130" t="n">
        <v>3573.519</v>
      </c>
      <c r="AN130" t="n">
        <v>3167.026</v>
      </c>
      <c r="AO130" t="n">
        <v>3171.124</v>
      </c>
      <c r="AP130" t="n">
        <v>4028.256</v>
      </c>
      <c r="AQ130" t="n">
        <v>3017.005</v>
      </c>
      <c r="AR130" t="n">
        <v>2119.308</v>
      </c>
      <c r="AS130" t="n">
        <v>2556.104</v>
      </c>
      <c r="AT130" t="n">
        <v>1268.262</v>
      </c>
      <c r="AU130" t="n">
        <v>321.878</v>
      </c>
      <c r="AV130" t="n">
        <v>241.448</v>
      </c>
      <c r="AW130" t="n">
        <v>474.59</v>
      </c>
      <c r="AX130" t="n">
        <v>501.481</v>
      </c>
      <c r="AY130" t="n">
        <v>672.957</v>
      </c>
      <c r="AZ130" t="n">
        <v>542.833</v>
      </c>
      <c r="BA130" t="n">
        <v>960.744</v>
      </c>
      <c r="BB130" t="n">
        <v>343.715</v>
      </c>
      <c r="BC130" t="n">
        <v>769.65</v>
      </c>
      <c r="BD130" t="n">
        <v>835.825</v>
      </c>
      <c r="BE130" t="n">
        <v>610.485</v>
      </c>
      <c r="BF130" t="n">
        <v>452.666</v>
      </c>
      <c r="BG130" t="n">
        <v>296.12</v>
      </c>
      <c r="BH130" t="n">
        <v>419.438</v>
      </c>
      <c r="BI130" t="n">
        <v>200.169</v>
      </c>
      <c r="BJ130" t="n">
        <v>650.52</v>
      </c>
      <c r="BK130" t="n">
        <v>614.472</v>
      </c>
      <c r="BL130" t="n">
        <v>829.08</v>
      </c>
      <c r="BM130" t="n">
        <v>1209.871</v>
      </c>
      <c r="BN130" t="n">
        <v>1391.675</v>
      </c>
      <c r="BO130" t="n">
        <v>2064.3</v>
      </c>
      <c r="BP130" t="n">
        <v>1710.301</v>
      </c>
      <c r="BQ130" t="n">
        <v>1281.363</v>
      </c>
      <c r="BR130" t="n">
        <v>2310.02</v>
      </c>
      <c r="BS130" t="n">
        <v>2575.951</v>
      </c>
      <c r="BT130" t="n">
        <v>1660.655</v>
      </c>
      <c r="BU130" t="n">
        <v>1446.235</v>
      </c>
      <c r="BV130" t="n">
        <v>1283.356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0.672</v>
      </c>
      <c r="F131" t="n">
        <v>0.695</v>
      </c>
      <c r="G131" t="n">
        <v>0.717</v>
      </c>
      <c r="H131" t="n">
        <v>0.742</v>
      </c>
      <c r="I131" t="n">
        <v>0.765</v>
      </c>
      <c r="J131" t="n">
        <v>0.785</v>
      </c>
      <c r="K131" t="n">
        <v>0.8080000000000001</v>
      </c>
      <c r="L131" t="n">
        <v>0.82</v>
      </c>
      <c r="M131" t="n">
        <v>0.858</v>
      </c>
      <c r="N131" t="n">
        <v>403.382</v>
      </c>
      <c r="O131" t="n">
        <v>499.179</v>
      </c>
      <c r="P131" t="n">
        <v>252.176</v>
      </c>
      <c r="Q131" t="n">
        <v>1025.887</v>
      </c>
      <c r="R131" t="n">
        <v>758.0549999999999</v>
      </c>
      <c r="S131" t="n">
        <v>469.314</v>
      </c>
      <c r="T131" t="n">
        <v>488.385</v>
      </c>
      <c r="U131" t="n">
        <v>485.898</v>
      </c>
      <c r="V131" t="n">
        <v>412.178</v>
      </c>
      <c r="W131" t="n">
        <v>473.424</v>
      </c>
      <c r="X131" t="n">
        <v>930.215</v>
      </c>
      <c r="Y131" t="n">
        <v>1705.531</v>
      </c>
      <c r="Z131" t="n">
        <v>2339.778</v>
      </c>
      <c r="AA131" t="n">
        <v>2565.86</v>
      </c>
      <c r="AB131" t="n">
        <v>4057.981</v>
      </c>
      <c r="AC131" t="n">
        <v>6149.156</v>
      </c>
      <c r="AD131" t="n">
        <v>3931.507</v>
      </c>
      <c r="AE131" t="n">
        <v>4571.793</v>
      </c>
      <c r="AF131" t="n">
        <v>1755.819</v>
      </c>
      <c r="AG131" t="n">
        <v>1818.101</v>
      </c>
      <c r="AH131" t="n">
        <v>960.187</v>
      </c>
      <c r="AI131" t="n">
        <v>1358.428</v>
      </c>
      <c r="AJ131" t="n">
        <v>709.324</v>
      </c>
      <c r="AK131" t="n">
        <v>1934.221</v>
      </c>
      <c r="AL131" t="n">
        <v>2981.271</v>
      </c>
      <c r="AM131" t="n">
        <v>1973.601</v>
      </c>
      <c r="AN131" t="n">
        <v>2355.694</v>
      </c>
      <c r="AO131" t="n">
        <v>1956.025</v>
      </c>
      <c r="AP131" t="n">
        <v>2204.277</v>
      </c>
      <c r="AQ131" t="n">
        <v>751.85</v>
      </c>
      <c r="AR131" t="n">
        <v>1041.234</v>
      </c>
      <c r="AS131" t="n">
        <v>752.034</v>
      </c>
      <c r="AT131" t="n">
        <v>762.41</v>
      </c>
      <c r="AU131" t="n">
        <v>505.429</v>
      </c>
      <c r="AV131" t="n">
        <v>885.4640000000001</v>
      </c>
      <c r="AW131" t="n">
        <v>92.892</v>
      </c>
      <c r="AX131" t="n">
        <v>44.398</v>
      </c>
      <c r="AY131" t="n">
        <v>109.628</v>
      </c>
      <c r="AZ131" t="n">
        <v>94.529</v>
      </c>
      <c r="BA131" t="n">
        <v>331.604</v>
      </c>
      <c r="BB131" t="n">
        <v>468.732</v>
      </c>
      <c r="BC131" t="n">
        <v>537.794</v>
      </c>
      <c r="BD131" t="n">
        <v>164.937</v>
      </c>
      <c r="BE131" t="n">
        <v>184.138</v>
      </c>
      <c r="BF131" t="n">
        <v>59.161</v>
      </c>
      <c r="BG131" t="n">
        <v>101.219</v>
      </c>
      <c r="BH131" t="n">
        <v>107.005</v>
      </c>
      <c r="BI131" t="n">
        <v>306.929</v>
      </c>
      <c r="BJ131" t="n">
        <v>177.216</v>
      </c>
      <c r="BK131" t="n">
        <v>127.257</v>
      </c>
      <c r="BL131" t="n">
        <v>139.776</v>
      </c>
      <c r="BM131" t="n">
        <v>126.913</v>
      </c>
      <c r="BN131" t="n">
        <v>90.67400000000001</v>
      </c>
      <c r="BO131" t="n">
        <v>145.672</v>
      </c>
      <c r="BP131" t="n">
        <v>736.461</v>
      </c>
      <c r="BQ131" t="n">
        <v>253.774</v>
      </c>
      <c r="BR131" t="n">
        <v>447.618</v>
      </c>
      <c r="BS131" t="n">
        <v>631.2569999999999</v>
      </c>
      <c r="BT131" t="n">
        <v>579.861</v>
      </c>
      <c r="BU131" t="n">
        <v>472.17</v>
      </c>
      <c r="BV131" t="n">
        <v>1293.222</v>
      </c>
    </row>
    <row r="132">
      <c r="A132" t="inlineStr">
        <is>
          <t>Sphyrna zygaena</t>
        </is>
      </c>
      <c r="B132" t="inlineStr">
        <is>
          <t>Smooth hammerhead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134.882</v>
      </c>
      <c r="F132" t="n">
        <v>134.882</v>
      </c>
      <c r="G132" t="n">
        <v>134.882</v>
      </c>
      <c r="H132" t="n">
        <v>134.882</v>
      </c>
      <c r="I132" t="n">
        <v>134.882</v>
      </c>
      <c r="J132" t="n">
        <v>134.882</v>
      </c>
      <c r="K132" t="n">
        <v>269.764</v>
      </c>
      <c r="L132" t="n">
        <v>134.882</v>
      </c>
      <c r="M132" t="n">
        <v>134.882</v>
      </c>
      <c r="N132" t="n">
        <v>269.764</v>
      </c>
      <c r="O132" t="n">
        <v>269.764</v>
      </c>
      <c r="P132" t="n">
        <v>40.465</v>
      </c>
      <c r="Q132" t="n">
        <v>40.465</v>
      </c>
      <c r="R132" t="n">
        <v>40.465</v>
      </c>
      <c r="S132" t="n">
        <v>26.976</v>
      </c>
      <c r="T132" t="n">
        <v>26.976</v>
      </c>
      <c r="U132" t="n">
        <v>26.976</v>
      </c>
      <c r="V132" t="n">
        <v>26.976</v>
      </c>
      <c r="W132" t="n">
        <v>13.488</v>
      </c>
      <c r="X132" t="n">
        <v>13.488</v>
      </c>
      <c r="Y132" t="n">
        <v>28.595</v>
      </c>
      <c r="Z132" t="n">
        <v>17.804</v>
      </c>
      <c r="AA132" t="n">
        <v>17.4</v>
      </c>
      <c r="AB132" t="n">
        <v>19.828</v>
      </c>
      <c r="AC132" t="n">
        <v>22.525</v>
      </c>
      <c r="AD132" t="n">
        <v>22.525</v>
      </c>
      <c r="AE132" t="n">
        <v>15.107</v>
      </c>
      <c r="AF132" t="n">
        <v>26.572</v>
      </c>
      <c r="AG132" t="n">
        <v>180.202</v>
      </c>
      <c r="AH132" t="n">
        <v>88.617</v>
      </c>
      <c r="AI132" t="n">
        <v>28.595</v>
      </c>
      <c r="AJ132" t="n">
        <v>41.813</v>
      </c>
      <c r="AK132" t="n">
        <v>55.976</v>
      </c>
      <c r="AL132" t="n">
        <v>53.683</v>
      </c>
      <c r="AM132" t="n">
        <v>55.032</v>
      </c>
      <c r="AN132" t="n">
        <v>56.65</v>
      </c>
      <c r="AO132" t="n">
        <v>57.999</v>
      </c>
      <c r="AP132" t="n">
        <v>57.999</v>
      </c>
      <c r="AQ132" t="n">
        <v>57.999</v>
      </c>
      <c r="AR132" t="n">
        <v>57.729</v>
      </c>
      <c r="AS132" t="n">
        <v>53.953</v>
      </c>
      <c r="AT132" t="n">
        <v>194.5</v>
      </c>
      <c r="AU132" t="n">
        <v>192.072</v>
      </c>
      <c r="AV132" t="n">
        <v>343.173</v>
      </c>
      <c r="AW132" t="n">
        <v>373.968</v>
      </c>
      <c r="AX132" t="n">
        <v>559.325</v>
      </c>
      <c r="AY132" t="n">
        <v>490.863</v>
      </c>
      <c r="AZ132" t="n">
        <v>451.666</v>
      </c>
      <c r="BA132" t="n">
        <v>242.947</v>
      </c>
      <c r="BB132" t="n">
        <v>306.12</v>
      </c>
      <c r="BC132" t="n">
        <v>524.651</v>
      </c>
      <c r="BD132" t="n">
        <v>315.795</v>
      </c>
      <c r="BE132" t="n">
        <v>1963.168</v>
      </c>
      <c r="BF132" t="n">
        <v>1730.369</v>
      </c>
      <c r="BG132" t="n">
        <v>887.434</v>
      </c>
      <c r="BH132" t="n">
        <v>921.343</v>
      </c>
      <c r="BI132" t="n">
        <v>931.4690000000001</v>
      </c>
      <c r="BJ132" t="n">
        <v>1032.11</v>
      </c>
      <c r="BK132" t="n">
        <v>1526.73</v>
      </c>
      <c r="BL132" t="n">
        <v>1857.252</v>
      </c>
      <c r="BM132" t="n">
        <v>4022.242</v>
      </c>
      <c r="BN132" t="n">
        <v>2381.407</v>
      </c>
      <c r="BO132" t="n">
        <v>4546.771</v>
      </c>
      <c r="BP132" t="n">
        <v>2743.44</v>
      </c>
      <c r="BQ132" t="n">
        <v>2916.56</v>
      </c>
      <c r="BR132" t="n">
        <v>5625.078</v>
      </c>
      <c r="BS132" t="n">
        <v>5827.21</v>
      </c>
      <c r="BT132" t="n">
        <v>6093.027</v>
      </c>
      <c r="BU132" t="n">
        <v>3501.999</v>
      </c>
      <c r="BV132" t="n">
        <v>6564.091</v>
      </c>
    </row>
    <row r="133">
      <c r="A133" t="inlineStr">
        <is>
          <t>Octopus</t>
        </is>
      </c>
      <c r="B133" t="inlineStr">
        <is>
          <t>Octopuses, pikas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7.003</v>
      </c>
      <c r="F133" t="n">
        <v>7.102</v>
      </c>
      <c r="G133" t="n">
        <v>7.2</v>
      </c>
      <c r="H133" t="n">
        <v>7.522</v>
      </c>
      <c r="I133" t="n">
        <v>7.849</v>
      </c>
      <c r="J133" t="n">
        <v>8.180999999999999</v>
      </c>
      <c r="K133" t="n">
        <v>11.537</v>
      </c>
      <c r="L133" t="n">
        <v>14.876</v>
      </c>
      <c r="M133" t="n">
        <v>42.368</v>
      </c>
      <c r="N133" t="n">
        <v>62.807</v>
      </c>
      <c r="O133" t="n">
        <v>89.90300000000001</v>
      </c>
      <c r="P133" t="n">
        <v>116.802</v>
      </c>
      <c r="Q133" t="n">
        <v>143.503</v>
      </c>
      <c r="R133" t="n">
        <v>142.511</v>
      </c>
      <c r="S133" t="n">
        <v>148.381</v>
      </c>
      <c r="T133" t="n">
        <v>148.223</v>
      </c>
      <c r="U133" t="n">
        <v>148.878</v>
      </c>
      <c r="V133" t="n">
        <v>150.334</v>
      </c>
      <c r="W133" t="n">
        <v>155.499</v>
      </c>
      <c r="X133" t="n">
        <v>239.857</v>
      </c>
      <c r="Y133" t="n">
        <v>253.536</v>
      </c>
      <c r="Z133" t="n">
        <v>265.772</v>
      </c>
      <c r="AA133" t="n">
        <v>275.035</v>
      </c>
      <c r="AB133" t="n">
        <v>281.371</v>
      </c>
      <c r="AC133" t="n">
        <v>212.015</v>
      </c>
      <c r="AD133" t="n">
        <v>215.787</v>
      </c>
      <c r="AE133" t="n">
        <v>255.085</v>
      </c>
      <c r="AF133" t="n">
        <v>324.226</v>
      </c>
      <c r="AG133" t="n">
        <v>341.73</v>
      </c>
      <c r="AH133" t="n">
        <v>365.421</v>
      </c>
      <c r="AI133" t="n">
        <v>392.606</v>
      </c>
      <c r="AJ133" t="n">
        <v>408.807</v>
      </c>
      <c r="AK133" t="n">
        <v>401.187</v>
      </c>
      <c r="AL133" t="n">
        <v>391.297</v>
      </c>
      <c r="AM133" t="n">
        <v>482.263</v>
      </c>
      <c r="AN133" t="n">
        <v>575.758</v>
      </c>
      <c r="AO133" t="n">
        <v>612.667</v>
      </c>
      <c r="AP133" t="n">
        <v>932.122</v>
      </c>
      <c r="AQ133" t="n">
        <v>720.706</v>
      </c>
      <c r="AR133" t="n">
        <v>920.522</v>
      </c>
      <c r="AS133" t="n">
        <v>4716.368</v>
      </c>
      <c r="AT133" t="n">
        <v>1152.893</v>
      </c>
      <c r="AU133" t="n">
        <v>1223.39</v>
      </c>
      <c r="AV133" t="n">
        <v>945.905</v>
      </c>
      <c r="AW133" t="n">
        <v>1003.944</v>
      </c>
      <c r="AX133" t="n">
        <v>1165.822</v>
      </c>
      <c r="AY133" t="n">
        <v>1208.281</v>
      </c>
      <c r="AZ133" t="n">
        <v>1120.513</v>
      </c>
      <c r="BA133" t="n">
        <v>1735.038</v>
      </c>
      <c r="BB133" t="n">
        <v>4039.422</v>
      </c>
      <c r="BC133" t="n">
        <v>1028.154</v>
      </c>
      <c r="BD133" t="n">
        <v>1186.185</v>
      </c>
      <c r="BE133" t="n">
        <v>977.874</v>
      </c>
      <c r="BF133" t="n">
        <v>1132.598</v>
      </c>
      <c r="BG133" t="n">
        <v>1176.928</v>
      </c>
      <c r="BH133" t="n">
        <v>1814.291</v>
      </c>
      <c r="BI133" t="n">
        <v>966.973</v>
      </c>
      <c r="BJ133" t="n">
        <v>940.25</v>
      </c>
      <c r="BK133" t="n">
        <v>862.6900000000001</v>
      </c>
      <c r="BL133" t="n">
        <v>535.088</v>
      </c>
      <c r="BM133" t="n">
        <v>1958.47</v>
      </c>
      <c r="BN133" t="n">
        <v>1440.17</v>
      </c>
      <c r="BO133" t="n">
        <v>2271.48</v>
      </c>
      <c r="BP133" t="n">
        <v>1620.96</v>
      </c>
      <c r="BQ133" t="n">
        <v>1736.795</v>
      </c>
      <c r="BR133" t="n">
        <v>2815.814</v>
      </c>
      <c r="BS133" t="n">
        <v>3073.271</v>
      </c>
      <c r="BT133" t="n">
        <v>2822.901</v>
      </c>
      <c r="BU133" t="n">
        <v>2023.442</v>
      </c>
      <c r="BV133" t="n">
        <v>2901.532</v>
      </c>
    </row>
    <row r="134">
      <c r="A134" t="inlineStr">
        <is>
          <t>Gobiidae</t>
        </is>
      </c>
      <c r="B134" t="inlineStr">
        <is>
          <t>Gobies</t>
        </is>
      </c>
      <c r="C134" t="inlineStr">
        <is>
          <t>Small reef assoc. fish (&lt;30 cm)</t>
        </is>
      </c>
      <c r="D134" t="inlineStr">
        <is>
          <t>Perch-likes</t>
        </is>
      </c>
      <c r="E134" t="n">
        <v>192.482</v>
      </c>
      <c r="F134" t="n">
        <v>203.263</v>
      </c>
      <c r="G134" t="n">
        <v>214.044</v>
      </c>
      <c r="H134" t="n">
        <v>222.77</v>
      </c>
      <c r="I134" t="n">
        <v>175.63</v>
      </c>
      <c r="J134" t="n">
        <v>174.25</v>
      </c>
      <c r="K134" t="n">
        <v>174.862</v>
      </c>
      <c r="L134" t="n">
        <v>215.443</v>
      </c>
      <c r="M134" t="n">
        <v>217.749</v>
      </c>
      <c r="N134" t="n">
        <v>211.411</v>
      </c>
      <c r="O134" t="n">
        <v>211.426</v>
      </c>
      <c r="P134" t="n">
        <v>212.863</v>
      </c>
      <c r="Q134" t="n">
        <v>211.475</v>
      </c>
      <c r="R134" t="n">
        <v>208.045</v>
      </c>
      <c r="S134" t="n">
        <v>210.295</v>
      </c>
      <c r="T134" t="n">
        <v>207.784</v>
      </c>
      <c r="U134" t="n">
        <v>201.965</v>
      </c>
      <c r="V134" t="n">
        <v>206.571</v>
      </c>
      <c r="W134" t="n">
        <v>255.187</v>
      </c>
      <c r="X134" t="n">
        <v>382.36</v>
      </c>
      <c r="Y134" t="n">
        <v>592.5890000000001</v>
      </c>
      <c r="Z134" t="n">
        <v>750.006</v>
      </c>
      <c r="AA134" t="n">
        <v>706.754</v>
      </c>
      <c r="AB134" t="n">
        <v>738.478</v>
      </c>
      <c r="AC134" t="n">
        <v>983.937</v>
      </c>
      <c r="AD134" t="n">
        <v>697.228</v>
      </c>
      <c r="AE134" t="n">
        <v>694.087</v>
      </c>
      <c r="AF134" t="n">
        <v>794.3869999999999</v>
      </c>
      <c r="AG134" t="n">
        <v>938.9</v>
      </c>
      <c r="AH134" t="n">
        <v>568.99</v>
      </c>
      <c r="AI134" t="n">
        <v>663.889</v>
      </c>
      <c r="AJ134" t="n">
        <v>539.972</v>
      </c>
      <c r="AK134" t="n">
        <v>224.33</v>
      </c>
      <c r="AL134" t="n">
        <v>290.366</v>
      </c>
      <c r="AM134" t="n">
        <v>224.206</v>
      </c>
      <c r="AN134" t="n">
        <v>224.467</v>
      </c>
      <c r="AO134" t="n">
        <v>224.259</v>
      </c>
      <c r="AP134" t="n">
        <v>224.939</v>
      </c>
      <c r="AQ134" t="n">
        <v>334.735</v>
      </c>
      <c r="AR134" t="n">
        <v>835.426</v>
      </c>
      <c r="AS134" t="n">
        <v>1255.879</v>
      </c>
      <c r="AT134" t="n">
        <v>1410.264</v>
      </c>
      <c r="AU134" t="n">
        <v>1390.728</v>
      </c>
      <c r="AV134" t="n">
        <v>1810.453</v>
      </c>
      <c r="AW134" t="n">
        <v>1517.976</v>
      </c>
      <c r="AX134" t="n">
        <v>961.278</v>
      </c>
      <c r="AY134" t="n">
        <v>1080.789</v>
      </c>
      <c r="AZ134" t="n">
        <v>1253.85</v>
      </c>
      <c r="BA134" t="n">
        <v>1376.438</v>
      </c>
      <c r="BB134" t="n">
        <v>1564.865</v>
      </c>
      <c r="BC134" t="n">
        <v>1839.542</v>
      </c>
      <c r="BD134" t="n">
        <v>1374.876</v>
      </c>
      <c r="BE134" t="n">
        <v>1639.73</v>
      </c>
      <c r="BF134" t="n">
        <v>1783.316</v>
      </c>
      <c r="BG134" t="n">
        <v>2157.965</v>
      </c>
      <c r="BH134" t="n">
        <v>2683.085</v>
      </c>
      <c r="BI134" t="n">
        <v>2808.966</v>
      </c>
      <c r="BJ134" t="n">
        <v>2933.074</v>
      </c>
      <c r="BK134" t="n">
        <v>2782.694</v>
      </c>
      <c r="BL134" t="n">
        <v>2543.02</v>
      </c>
      <c r="BM134" t="n">
        <v>2197.724</v>
      </c>
      <c r="BN134" t="n">
        <v>1874.689</v>
      </c>
      <c r="BO134" t="n">
        <v>1480.307</v>
      </c>
      <c r="BP134" t="n">
        <v>1072.131</v>
      </c>
      <c r="BQ134" t="n">
        <v>703.991</v>
      </c>
      <c r="BR134" t="n">
        <v>394.319</v>
      </c>
      <c r="BS134" t="n">
        <v>226.616</v>
      </c>
      <c r="BT134" t="n">
        <v>709.537</v>
      </c>
      <c r="BU134" t="n">
        <v>696.982</v>
      </c>
      <c r="BV134" t="n">
        <v>649.4450000000001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495.503</v>
      </c>
      <c r="F135" t="n">
        <v>497.528</v>
      </c>
      <c r="G135" t="n">
        <v>499.554</v>
      </c>
      <c r="H135" t="n">
        <v>501.58</v>
      </c>
      <c r="I135" t="n">
        <v>503.606</v>
      </c>
      <c r="J135" t="n">
        <v>505.631</v>
      </c>
      <c r="K135" t="n">
        <v>693.217</v>
      </c>
      <c r="L135" t="n">
        <v>509.683</v>
      </c>
      <c r="M135" t="n">
        <v>511.709</v>
      </c>
      <c r="N135" t="n">
        <v>699.294</v>
      </c>
      <c r="O135" t="n">
        <v>701.3200000000001</v>
      </c>
      <c r="P135" t="n">
        <v>387.894</v>
      </c>
      <c r="Q135" t="n">
        <v>389.92</v>
      </c>
      <c r="R135" t="n">
        <v>391.946</v>
      </c>
      <c r="S135" t="n">
        <v>375.415</v>
      </c>
      <c r="T135" t="n">
        <v>377.441</v>
      </c>
      <c r="U135" t="n">
        <v>379.467</v>
      </c>
      <c r="V135" t="n">
        <v>381.139</v>
      </c>
      <c r="W135" t="n">
        <v>360.627</v>
      </c>
      <c r="X135" t="n">
        <v>368.027</v>
      </c>
      <c r="Y135" t="n">
        <v>344.917</v>
      </c>
      <c r="Z135" t="n">
        <v>346.816</v>
      </c>
      <c r="AA135" t="n">
        <v>352.686</v>
      </c>
      <c r="AB135" t="n">
        <v>354.94</v>
      </c>
      <c r="AC135" t="n">
        <v>361.303</v>
      </c>
      <c r="AD135" t="n">
        <v>363.942</v>
      </c>
      <c r="AE135" t="n">
        <v>376.399</v>
      </c>
      <c r="AF135" t="n">
        <v>359.883</v>
      </c>
      <c r="AG135" t="n">
        <v>595.152</v>
      </c>
      <c r="AH135" t="n">
        <v>469.555</v>
      </c>
      <c r="AI135" t="n">
        <v>392.085</v>
      </c>
      <c r="AJ135" t="n">
        <v>651.627</v>
      </c>
      <c r="AK135" t="n">
        <v>595.0890000000001</v>
      </c>
      <c r="AL135" t="n">
        <v>581.822</v>
      </c>
      <c r="AM135" t="n">
        <v>653.528</v>
      </c>
      <c r="AN135" t="n">
        <v>939.616</v>
      </c>
      <c r="AO135" t="n">
        <v>828.761</v>
      </c>
      <c r="AP135" t="n">
        <v>898.24</v>
      </c>
      <c r="AQ135" t="n">
        <v>575.735</v>
      </c>
      <c r="AR135" t="n">
        <v>642.836</v>
      </c>
      <c r="AS135" t="n">
        <v>655.36</v>
      </c>
      <c r="AT135" t="n">
        <v>725.381</v>
      </c>
      <c r="AU135" t="n">
        <v>737.573</v>
      </c>
      <c r="AV135" t="n">
        <v>704.171</v>
      </c>
      <c r="AW135" t="n">
        <v>794.099</v>
      </c>
      <c r="AX135" t="n">
        <v>775.1079999999999</v>
      </c>
      <c r="AY135" t="n">
        <v>839.11</v>
      </c>
      <c r="AZ135" t="n">
        <v>888.193</v>
      </c>
      <c r="BA135" t="n">
        <v>660.452</v>
      </c>
      <c r="BB135" t="n">
        <v>775.061</v>
      </c>
      <c r="BC135" t="n">
        <v>1263.591</v>
      </c>
      <c r="BD135" t="n">
        <v>952.346</v>
      </c>
      <c r="BE135" t="n">
        <v>1047.655</v>
      </c>
      <c r="BF135" t="n">
        <v>1344.418</v>
      </c>
      <c r="BG135" t="n">
        <v>1505.487</v>
      </c>
      <c r="BH135" t="n">
        <v>1513.268</v>
      </c>
      <c r="BI135" t="n">
        <v>1403.686</v>
      </c>
      <c r="BJ135" t="n">
        <v>1496.433</v>
      </c>
      <c r="BK135" t="n">
        <v>1621.04</v>
      </c>
      <c r="BL135" t="n">
        <v>1612.215</v>
      </c>
      <c r="BM135" t="n">
        <v>1909.981</v>
      </c>
      <c r="BN135" t="n">
        <v>2396.851</v>
      </c>
      <c r="BO135" t="n">
        <v>1921.913</v>
      </c>
      <c r="BP135" t="n">
        <v>1817.695</v>
      </c>
      <c r="BQ135" t="n">
        <v>1858.917</v>
      </c>
      <c r="BR135" t="n">
        <v>2123.566</v>
      </c>
      <c r="BS135" t="n">
        <v>1830.185</v>
      </c>
      <c r="BT135" t="n">
        <v>1818.028</v>
      </c>
      <c r="BU135" t="n">
        <v>1532.636</v>
      </c>
      <c r="BV135" t="n">
        <v>1566.825</v>
      </c>
    </row>
    <row r="136">
      <c r="A136" t="inlineStr">
        <is>
          <t>Trachinotus ovatus</t>
        </is>
      </c>
      <c r="B136" t="inlineStr">
        <is>
          <t>Pompano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205.424</v>
      </c>
      <c r="F136" t="n">
        <v>216.682</v>
      </c>
      <c r="G136" t="n">
        <v>227.903</v>
      </c>
      <c r="H136" t="n">
        <v>237.104</v>
      </c>
      <c r="I136" t="n">
        <v>190.319</v>
      </c>
      <c r="J136" t="n">
        <v>189.335</v>
      </c>
      <c r="K136" t="n">
        <v>190.427</v>
      </c>
      <c r="L136" t="n">
        <v>231.367</v>
      </c>
      <c r="M136" t="n">
        <v>234.495</v>
      </c>
      <c r="N136" t="n">
        <v>228.46</v>
      </c>
      <c r="O136" t="n">
        <v>228.503</v>
      </c>
      <c r="P136" t="n">
        <v>230.335</v>
      </c>
      <c r="Q136" t="n">
        <v>229.566</v>
      </c>
      <c r="R136" t="n">
        <v>227.248</v>
      </c>
      <c r="S136" t="n">
        <v>229.798</v>
      </c>
      <c r="T136" t="n">
        <v>227.501</v>
      </c>
      <c r="U136" t="n">
        <v>220.902</v>
      </c>
      <c r="V136" t="n">
        <v>225.924</v>
      </c>
      <c r="W136" t="n">
        <v>273.534</v>
      </c>
      <c r="X136" t="n">
        <v>401.127</v>
      </c>
      <c r="Y136" t="n">
        <v>610.634</v>
      </c>
      <c r="Z136" t="n">
        <v>768.6660000000001</v>
      </c>
      <c r="AA136" t="n">
        <v>725.321</v>
      </c>
      <c r="AB136" t="n">
        <v>756.771</v>
      </c>
      <c r="AC136" t="n">
        <v>1002.564</v>
      </c>
      <c r="AD136" t="n">
        <v>713.9400000000001</v>
      </c>
      <c r="AE136" t="n">
        <v>709.6180000000001</v>
      </c>
      <c r="AF136" t="n">
        <v>812.298</v>
      </c>
      <c r="AG136" t="n">
        <v>953.854</v>
      </c>
      <c r="AH136" t="n">
        <v>588.186</v>
      </c>
      <c r="AI136" t="n">
        <v>682.484</v>
      </c>
      <c r="AJ136" t="n">
        <v>557.397</v>
      </c>
      <c r="AK136" t="n">
        <v>239.451</v>
      </c>
      <c r="AL136" t="n">
        <v>303.873</v>
      </c>
      <c r="AM136" t="n">
        <v>237.043</v>
      </c>
      <c r="AN136" t="n">
        <v>236.05</v>
      </c>
      <c r="AO136" t="n">
        <v>235.795</v>
      </c>
      <c r="AP136" t="n">
        <v>235.292</v>
      </c>
      <c r="AQ136" t="n">
        <v>344.056</v>
      </c>
      <c r="AR136" t="n">
        <v>845.048</v>
      </c>
      <c r="AS136" t="n">
        <v>1265.813</v>
      </c>
      <c r="AT136" t="n">
        <v>1421.528</v>
      </c>
      <c r="AU136" t="n">
        <v>1402.984</v>
      </c>
      <c r="AV136" t="n">
        <v>1820.259</v>
      </c>
      <c r="AW136" t="n">
        <v>1527.903</v>
      </c>
      <c r="AX136" t="n">
        <v>970.728</v>
      </c>
      <c r="AY136" t="n">
        <v>1088.524</v>
      </c>
      <c r="AZ136" t="n">
        <v>1262.038</v>
      </c>
      <c r="BA136" t="n">
        <v>1377.068</v>
      </c>
      <c r="BB136" t="n">
        <v>1558.769</v>
      </c>
      <c r="BC136" t="n">
        <v>1829.749</v>
      </c>
      <c r="BD136" t="n">
        <v>1355.873</v>
      </c>
      <c r="BE136" t="n">
        <v>1626.972</v>
      </c>
      <c r="BF136" t="n">
        <v>1750.242</v>
      </c>
      <c r="BG136" t="n">
        <v>1973.858</v>
      </c>
      <c r="BH136" t="n">
        <v>2172.134</v>
      </c>
      <c r="BI136" t="n">
        <v>2646.817</v>
      </c>
      <c r="BJ136" t="n">
        <v>2780.558</v>
      </c>
      <c r="BK136" t="n">
        <v>2620.954</v>
      </c>
      <c r="BL136" t="n">
        <v>2384.581</v>
      </c>
      <c r="BM136" t="n">
        <v>2042.542</v>
      </c>
      <c r="BN136" t="n">
        <v>1713.091</v>
      </c>
      <c r="BO136" t="n">
        <v>1330.368</v>
      </c>
      <c r="BP136" t="n">
        <v>931.081</v>
      </c>
      <c r="BQ136" t="n">
        <v>552.502</v>
      </c>
      <c r="BR136" t="n">
        <v>266.545</v>
      </c>
      <c r="BS136" t="n">
        <v>117.633</v>
      </c>
      <c r="BT136" t="n">
        <v>552.741</v>
      </c>
      <c r="BU136" t="n">
        <v>581.053</v>
      </c>
      <c r="BV136" t="n">
        <v>612.896</v>
      </c>
    </row>
    <row r="137">
      <c r="A137" t="inlineStr">
        <is>
          <t>Pseudotolithus senegallus</t>
        </is>
      </c>
      <c r="B137" t="inlineStr">
        <is>
          <t>Law croaker</t>
        </is>
      </c>
      <c r="C137" t="inlineStr">
        <is>
          <t>Large demersals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173.853</v>
      </c>
      <c r="V137" t="n">
        <v>349.395</v>
      </c>
      <c r="W137" t="n">
        <v>476.534</v>
      </c>
      <c r="X137" t="n">
        <v>588.658</v>
      </c>
      <c r="Y137" t="n">
        <v>750.827</v>
      </c>
      <c r="Z137" t="n">
        <v>661.163</v>
      </c>
      <c r="AA137" t="n">
        <v>600.3819999999999</v>
      </c>
      <c r="AB137" t="n">
        <v>539.659</v>
      </c>
      <c r="AC137" t="n">
        <v>485.41</v>
      </c>
      <c r="AD137" t="n">
        <v>401.381</v>
      </c>
      <c r="AE137" t="n">
        <v>367.6</v>
      </c>
      <c r="AF137" t="n">
        <v>347.311</v>
      </c>
      <c r="AG137" t="n">
        <v>333.028</v>
      </c>
      <c r="AH137" t="n">
        <v>219.599</v>
      </c>
      <c r="AI137" t="n">
        <v>174.901</v>
      </c>
      <c r="AJ137" t="n">
        <v>146.084</v>
      </c>
      <c r="AK137" t="n">
        <v>126.156</v>
      </c>
      <c r="AL137" t="n">
        <v>148.067</v>
      </c>
      <c r="AM137" t="n">
        <v>180.76</v>
      </c>
      <c r="AN137" t="n">
        <v>164.162</v>
      </c>
      <c r="AO137" t="n">
        <v>124.123</v>
      </c>
      <c r="AP137" t="n">
        <v>96.44199999999999</v>
      </c>
      <c r="AQ137" t="n">
        <v>100.677</v>
      </c>
      <c r="AR137" t="n">
        <v>96.44199999999999</v>
      </c>
      <c r="AS137" t="n">
        <v>92.206</v>
      </c>
      <c r="AT137" t="n">
        <v>12.706</v>
      </c>
      <c r="AU137" t="n">
        <v>8.471</v>
      </c>
      <c r="AV137" t="n">
        <v>359.005</v>
      </c>
      <c r="AW137" t="n">
        <v>353.776</v>
      </c>
      <c r="AX137" t="n">
        <v>361.726</v>
      </c>
      <c r="AY137" t="n">
        <v>357.751</v>
      </c>
      <c r="AZ137" t="n">
        <v>390.544</v>
      </c>
      <c r="BA137" t="n">
        <v>89.438</v>
      </c>
      <c r="BB137" t="n">
        <v>47.7</v>
      </c>
      <c r="BC137" t="n">
        <v>354.769</v>
      </c>
      <c r="BD137" t="n">
        <v>225.582</v>
      </c>
      <c r="BE137" t="n">
        <v>64.854</v>
      </c>
      <c r="BF137" t="n">
        <v>535.42</v>
      </c>
      <c r="BG137" t="n">
        <v>1198.512</v>
      </c>
      <c r="BH137" t="n">
        <v>907.864</v>
      </c>
      <c r="BI137" t="n">
        <v>1511.332</v>
      </c>
      <c r="BJ137" t="n">
        <v>1186.895</v>
      </c>
      <c r="BK137" t="n">
        <v>2413.446</v>
      </c>
      <c r="BL137" t="n">
        <v>2377.671</v>
      </c>
      <c r="BM137" t="n">
        <v>2377.671</v>
      </c>
      <c r="BN137" t="n">
        <v>3391.049</v>
      </c>
      <c r="BO137" t="n">
        <v>3798.139</v>
      </c>
      <c r="BP137" t="n">
        <v>3466.191</v>
      </c>
      <c r="BQ137" t="n">
        <v>3953.328</v>
      </c>
      <c r="BR137" t="n">
        <v>4159.084</v>
      </c>
      <c r="BS137" t="n">
        <v>4134.606</v>
      </c>
      <c r="BT137" t="n">
        <v>4474.258</v>
      </c>
      <c r="BU137" t="n">
        <v>4615.446</v>
      </c>
      <c r="BV137" t="n">
        <v>4726.131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192.763</v>
      </c>
      <c r="F138" t="n">
        <v>203.559</v>
      </c>
      <c r="G138" t="n">
        <v>214.354</v>
      </c>
      <c r="H138" t="n">
        <v>223.091</v>
      </c>
      <c r="I138" t="n">
        <v>175.886</v>
      </c>
      <c r="J138" t="n">
        <v>174.511</v>
      </c>
      <c r="K138" t="n">
        <v>175.121</v>
      </c>
      <c r="L138" t="n">
        <v>215.759</v>
      </c>
      <c r="M138" t="n">
        <v>218.071</v>
      </c>
      <c r="N138" t="n">
        <v>211.738</v>
      </c>
      <c r="O138" t="n">
        <v>211.759</v>
      </c>
      <c r="P138" t="n">
        <v>213.194</v>
      </c>
      <c r="Q138" t="n">
        <v>211.806</v>
      </c>
      <c r="R138" t="n">
        <v>208.371</v>
      </c>
      <c r="S138" t="n">
        <v>210.625</v>
      </c>
      <c r="T138" t="n">
        <v>208.112</v>
      </c>
      <c r="U138" t="n">
        <v>202.285</v>
      </c>
      <c r="V138" t="n">
        <v>206.903</v>
      </c>
      <c r="W138" t="n">
        <v>255.594</v>
      </c>
      <c r="X138" t="n">
        <v>382.949</v>
      </c>
      <c r="Y138" t="n">
        <v>593.586</v>
      </c>
      <c r="Z138" t="n">
        <v>751.22</v>
      </c>
      <c r="AA138" t="n">
        <v>709.496</v>
      </c>
      <c r="AB138" t="n">
        <v>739.977</v>
      </c>
      <c r="AC138" t="n">
        <v>985.453</v>
      </c>
      <c r="AD138" t="n">
        <v>698.3440000000001</v>
      </c>
      <c r="AE138" t="n">
        <v>700.836</v>
      </c>
      <c r="AF138" t="n">
        <v>797.093</v>
      </c>
      <c r="AG138" t="n">
        <v>946.3920000000001</v>
      </c>
      <c r="AH138" t="n">
        <v>570.196</v>
      </c>
      <c r="AI138" t="n">
        <v>698.4109999999999</v>
      </c>
      <c r="AJ138" t="n">
        <v>541.453</v>
      </c>
      <c r="AK138" t="n">
        <v>224.726</v>
      </c>
      <c r="AL138" t="n">
        <v>289.233</v>
      </c>
      <c r="AM138" t="n">
        <v>222.864</v>
      </c>
      <c r="AN138" t="n">
        <v>222.853</v>
      </c>
      <c r="AO138" t="n">
        <v>222.387</v>
      </c>
      <c r="AP138" t="n">
        <v>223.123</v>
      </c>
      <c r="AQ138" t="n">
        <v>331.456</v>
      </c>
      <c r="AR138" t="n">
        <v>832.71</v>
      </c>
      <c r="AS138" t="n">
        <v>1253.105</v>
      </c>
      <c r="AT138" t="n">
        <v>1407.552</v>
      </c>
      <c r="AU138" t="n">
        <v>1390.886</v>
      </c>
      <c r="AV138" t="n">
        <v>1816.871</v>
      </c>
      <c r="AW138" t="n">
        <v>1522.187</v>
      </c>
      <c r="AX138" t="n">
        <v>959.717</v>
      </c>
      <c r="AY138" t="n">
        <v>1078.71</v>
      </c>
      <c r="AZ138" t="n">
        <v>1253.067</v>
      </c>
      <c r="BA138" t="n">
        <v>1371.239</v>
      </c>
      <c r="BB138" t="n">
        <v>1554.162</v>
      </c>
      <c r="BC138" t="n">
        <v>1820.65</v>
      </c>
      <c r="BD138" t="n">
        <v>1351.8</v>
      </c>
      <c r="BE138" t="n">
        <v>1608.838</v>
      </c>
      <c r="BF138" t="n">
        <v>1749.173</v>
      </c>
      <c r="BG138" t="n">
        <v>1973.585</v>
      </c>
      <c r="BH138" t="n">
        <v>2171.966</v>
      </c>
      <c r="BI138" t="n">
        <v>2640.345</v>
      </c>
      <c r="BJ138" t="n">
        <v>2769.853</v>
      </c>
      <c r="BK138" t="n">
        <v>2620.165</v>
      </c>
      <c r="BL138" t="n">
        <v>2384.393</v>
      </c>
      <c r="BM138" t="n">
        <v>2041.618</v>
      </c>
      <c r="BN138" t="n">
        <v>1711.432</v>
      </c>
      <c r="BO138" t="n">
        <v>1330.016</v>
      </c>
      <c r="BP138" t="n">
        <v>930.888</v>
      </c>
      <c r="BQ138" t="n">
        <v>552.421</v>
      </c>
      <c r="BR138" t="n">
        <v>247.291</v>
      </c>
      <c r="BS138" t="n">
        <v>97.43600000000001</v>
      </c>
      <c r="BT138" t="n">
        <v>552.476</v>
      </c>
      <c r="BU138" t="n">
        <v>580.812</v>
      </c>
      <c r="BV138" t="n">
        <v>616.953</v>
      </c>
    </row>
    <row r="139">
      <c r="A139" t="inlineStr">
        <is>
          <t>Ocypode cursor</t>
        </is>
      </c>
      <c r="B139" t="inlineStr">
        <is>
          <t>Tufted ghost crab</t>
        </is>
      </c>
      <c r="C139" t="inlineStr">
        <is>
          <t>Lobsters, crabs</t>
        </is>
      </c>
      <c r="D139" t="inlineStr">
        <is>
          <t>Crustaceans</t>
        </is>
      </c>
      <c r="E139" t="n">
        <v>192.845</v>
      </c>
      <c r="F139" t="n">
        <v>203.647</v>
      </c>
      <c r="G139" t="n">
        <v>214.448</v>
      </c>
      <c r="H139" t="n">
        <v>223.19</v>
      </c>
      <c r="I139" t="n">
        <v>175.962</v>
      </c>
      <c r="J139" t="n">
        <v>174.579</v>
      </c>
      <c r="K139" t="n">
        <v>175.192</v>
      </c>
      <c r="L139" t="n">
        <v>215.849</v>
      </c>
      <c r="M139" t="n">
        <v>218.16</v>
      </c>
      <c r="N139" t="n">
        <v>211.81</v>
      </c>
      <c r="O139" t="n">
        <v>211.825</v>
      </c>
      <c r="P139" t="n">
        <v>213.265</v>
      </c>
      <c r="Q139" t="n">
        <v>211.874</v>
      </c>
      <c r="R139" t="n">
        <v>208.438</v>
      </c>
      <c r="S139" t="n">
        <v>210.692</v>
      </c>
      <c r="T139" t="n">
        <v>208.176</v>
      </c>
      <c r="U139" t="n">
        <v>202.346</v>
      </c>
      <c r="V139" t="n">
        <v>206.961</v>
      </c>
      <c r="W139" t="n">
        <v>255.669</v>
      </c>
      <c r="X139" t="n">
        <v>383.081</v>
      </c>
      <c r="Y139" t="n">
        <v>593.707</v>
      </c>
      <c r="Z139" t="n">
        <v>751.421</v>
      </c>
      <c r="AA139" t="n">
        <v>708.087</v>
      </c>
      <c r="AB139" t="n">
        <v>739.871</v>
      </c>
      <c r="AC139" t="n">
        <v>985.793</v>
      </c>
      <c r="AD139" t="n">
        <v>698.543</v>
      </c>
      <c r="AE139" t="n">
        <v>695.397</v>
      </c>
      <c r="AF139" t="n">
        <v>795.886</v>
      </c>
      <c r="AG139" t="n">
        <v>940.672</v>
      </c>
      <c r="AH139" t="n">
        <v>570.063</v>
      </c>
      <c r="AI139" t="n">
        <v>665.1420000000001</v>
      </c>
      <c r="AJ139" t="n">
        <v>540.991</v>
      </c>
      <c r="AK139" t="n">
        <v>224.754</v>
      </c>
      <c r="AL139" t="n">
        <v>289.317</v>
      </c>
      <c r="AM139" t="n">
        <v>222.886</v>
      </c>
      <c r="AN139" t="n">
        <v>222.834</v>
      </c>
      <c r="AO139" t="n">
        <v>222.443</v>
      </c>
      <c r="AP139" t="n">
        <v>222.419</v>
      </c>
      <c r="AQ139" t="n">
        <v>331.566</v>
      </c>
      <c r="AR139" t="n">
        <v>833.039</v>
      </c>
      <c r="AS139" t="n">
        <v>1253.682</v>
      </c>
      <c r="AT139" t="n">
        <v>1408.206</v>
      </c>
      <c r="AU139" t="n">
        <v>1388.826</v>
      </c>
      <c r="AV139" t="n">
        <v>1809.584</v>
      </c>
      <c r="AW139" t="n">
        <v>1516.669</v>
      </c>
      <c r="AX139" t="n">
        <v>959.508</v>
      </c>
      <c r="AY139" t="n">
        <v>1079.256</v>
      </c>
      <c r="AZ139" t="n">
        <v>1252.927</v>
      </c>
      <c r="BA139" t="n">
        <v>1369.638</v>
      </c>
      <c r="BB139" t="n">
        <v>1554.917</v>
      </c>
      <c r="BC139" t="n">
        <v>1820.857</v>
      </c>
      <c r="BD139" t="n">
        <v>1352.404</v>
      </c>
      <c r="BE139" t="n">
        <v>1609.574</v>
      </c>
      <c r="BF139" t="n">
        <v>1749.993</v>
      </c>
      <c r="BG139" t="n">
        <v>1974.498</v>
      </c>
      <c r="BH139" t="n">
        <v>2172.995</v>
      </c>
      <c r="BI139" t="n">
        <v>2641.607</v>
      </c>
      <c r="BJ139" t="n">
        <v>2771.199</v>
      </c>
      <c r="BK139" t="n">
        <v>2621.318</v>
      </c>
      <c r="BL139" t="n">
        <v>2385.342</v>
      </c>
      <c r="BM139" t="n">
        <v>2042.405</v>
      </c>
      <c r="BN139" t="n">
        <v>1712.055</v>
      </c>
      <c r="BO139" t="n">
        <v>1330.472</v>
      </c>
      <c r="BP139" t="n">
        <v>931.182</v>
      </c>
      <c r="BQ139" t="n">
        <v>552.559</v>
      </c>
      <c r="BR139" t="n">
        <v>247.312</v>
      </c>
      <c r="BS139" t="n">
        <v>97.315</v>
      </c>
      <c r="BT139" t="n">
        <v>552.471</v>
      </c>
      <c r="BU139" t="n">
        <v>580.807</v>
      </c>
      <c r="BV139" t="n">
        <v>608.808</v>
      </c>
    </row>
    <row r="140">
      <c r="A140" t="inlineStr">
        <is>
          <t>Callinectes marginatus</t>
        </is>
      </c>
      <c r="B140" t="inlineStr">
        <is>
          <t>Marbled swimcrab</t>
        </is>
      </c>
      <c r="C140" t="inlineStr">
        <is>
          <t>Lobsters, crabs</t>
        </is>
      </c>
      <c r="D140" t="inlineStr">
        <is>
          <t>Crustaceans</t>
        </is>
      </c>
      <c r="E140" t="n">
        <v>192.782</v>
      </c>
      <c r="F140" t="n">
        <v>203.58</v>
      </c>
      <c r="G140" t="n">
        <v>214.378</v>
      </c>
      <c r="H140" t="n">
        <v>223.117</v>
      </c>
      <c r="I140" t="n">
        <v>175.904</v>
      </c>
      <c r="J140" t="n">
        <v>174.522</v>
      </c>
      <c r="K140" t="n">
        <v>175.135</v>
      </c>
      <c r="L140" t="n">
        <v>215.779</v>
      </c>
      <c r="M140" t="n">
        <v>218.089</v>
      </c>
      <c r="N140" t="n">
        <v>211.741</v>
      </c>
      <c r="O140" t="n">
        <v>211.756</v>
      </c>
      <c r="P140" t="n">
        <v>213.195</v>
      </c>
      <c r="Q140" t="n">
        <v>211.805</v>
      </c>
      <c r="R140" t="n">
        <v>208.37</v>
      </c>
      <c r="S140" t="n">
        <v>210.623</v>
      </c>
      <c r="T140" t="n">
        <v>208.108</v>
      </c>
      <c r="U140" t="n">
        <v>202.28</v>
      </c>
      <c r="V140" t="n">
        <v>206.893</v>
      </c>
      <c r="W140" t="n">
        <v>255.586</v>
      </c>
      <c r="X140" t="n">
        <v>382.956</v>
      </c>
      <c r="Y140" t="n">
        <v>593.514</v>
      </c>
      <c r="Z140" t="n">
        <v>751.176</v>
      </c>
      <c r="AA140" t="n">
        <v>707.856</v>
      </c>
      <c r="AB140" t="n">
        <v>739.63</v>
      </c>
      <c r="AC140" t="n">
        <v>985.472</v>
      </c>
      <c r="AD140" t="n">
        <v>698.316</v>
      </c>
      <c r="AE140" t="n">
        <v>695.17</v>
      </c>
      <c r="AF140" t="n">
        <v>795.627</v>
      </c>
      <c r="AG140" t="n">
        <v>940.365</v>
      </c>
      <c r="AH140" t="n">
        <v>569.877</v>
      </c>
      <c r="AI140" t="n">
        <v>664.925</v>
      </c>
      <c r="AJ140" t="n">
        <v>540.814</v>
      </c>
      <c r="AK140" t="n">
        <v>224.68</v>
      </c>
      <c r="AL140" t="n">
        <v>289.223</v>
      </c>
      <c r="AM140" t="n">
        <v>222.813</v>
      </c>
      <c r="AN140" t="n">
        <v>222.761</v>
      </c>
      <c r="AO140" t="n">
        <v>222.37</v>
      </c>
      <c r="AP140" t="n">
        <v>222.346</v>
      </c>
      <c r="AQ140" t="n">
        <v>331.458</v>
      </c>
      <c r="AR140" t="n">
        <v>832.768</v>
      </c>
      <c r="AS140" t="n">
        <v>1253.273</v>
      </c>
      <c r="AT140" t="n">
        <v>1407.747</v>
      </c>
      <c r="AU140" t="n">
        <v>1388.373</v>
      </c>
      <c r="AV140" t="n">
        <v>1808.994</v>
      </c>
      <c r="AW140" t="n">
        <v>1516.174</v>
      </c>
      <c r="AX140" t="n">
        <v>959.1950000000001</v>
      </c>
      <c r="AY140" t="n">
        <v>1078.904</v>
      </c>
      <c r="AZ140" t="n">
        <v>1252.518</v>
      </c>
      <c r="BA140" t="n">
        <v>1369.191</v>
      </c>
      <c r="BB140" t="n">
        <v>1554.41</v>
      </c>
      <c r="BC140" t="n">
        <v>1820.263</v>
      </c>
      <c r="BD140" t="n">
        <v>1351.962</v>
      </c>
      <c r="BE140" t="n">
        <v>1609.049</v>
      </c>
      <c r="BF140" t="n">
        <v>1749.423</v>
      </c>
      <c r="BG140" t="n">
        <v>1973.855</v>
      </c>
      <c r="BH140" t="n">
        <v>2172.287</v>
      </c>
      <c r="BI140" t="n">
        <v>2640.745</v>
      </c>
      <c r="BJ140" t="n">
        <v>2770.295</v>
      </c>
      <c r="BK140" t="n">
        <v>2620.577</v>
      </c>
      <c r="BL140" t="n">
        <v>2384.781</v>
      </c>
      <c r="BM140" t="n">
        <v>2041.949</v>
      </c>
      <c r="BN140" t="n">
        <v>1711.707</v>
      </c>
      <c r="BO140" t="n">
        <v>1330.225</v>
      </c>
      <c r="BP140" t="n">
        <v>931.029</v>
      </c>
      <c r="BQ140" t="n">
        <v>552.498</v>
      </c>
      <c r="BR140" t="n">
        <v>247.32</v>
      </c>
      <c r="BS140" t="n">
        <v>97.283</v>
      </c>
      <c r="BT140" t="n">
        <v>552.562</v>
      </c>
      <c r="BU140" t="n">
        <v>580.907</v>
      </c>
      <c r="BV140" t="n">
        <v>608.9160000000001</v>
      </c>
    </row>
    <row r="141">
      <c r="A141" t="inlineStr">
        <is>
          <t>Mytilidae</t>
        </is>
      </c>
      <c r="B141" t="inlineStr">
        <is>
          <t>Sea mussels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192.75</v>
      </c>
      <c r="F141" t="n">
        <v>203.547</v>
      </c>
      <c r="G141" t="n">
        <v>214.343</v>
      </c>
      <c r="H141" t="n">
        <v>223.081</v>
      </c>
      <c r="I141" t="n">
        <v>175.875</v>
      </c>
      <c r="J141" t="n">
        <v>174.493</v>
      </c>
      <c r="K141" t="n">
        <v>175.106</v>
      </c>
      <c r="L141" t="n">
        <v>215.744</v>
      </c>
      <c r="M141" t="n">
        <v>218.053</v>
      </c>
      <c r="N141" t="n">
        <v>211.706</v>
      </c>
      <c r="O141" t="n">
        <v>211.721</v>
      </c>
      <c r="P141" t="n">
        <v>213.16</v>
      </c>
      <c r="Q141" t="n">
        <v>211.77</v>
      </c>
      <c r="R141" t="n">
        <v>208.336</v>
      </c>
      <c r="S141" t="n">
        <v>210.589</v>
      </c>
      <c r="T141" t="n">
        <v>208.074</v>
      </c>
      <c r="U141" t="n">
        <v>202.247</v>
      </c>
      <c r="V141" t="n">
        <v>206.859</v>
      </c>
      <c r="W141" t="n">
        <v>255.544</v>
      </c>
      <c r="X141" t="n">
        <v>382.894</v>
      </c>
      <c r="Y141" t="n">
        <v>593.4160000000001</v>
      </c>
      <c r="Z141" t="n">
        <v>751.053</v>
      </c>
      <c r="AA141" t="n">
        <v>707.74</v>
      </c>
      <c r="AB141" t="n">
        <v>739.509</v>
      </c>
      <c r="AC141" t="n">
        <v>985.3099999999999</v>
      </c>
      <c r="AD141" t="n">
        <v>698.201</v>
      </c>
      <c r="AE141" t="n">
        <v>695.056</v>
      </c>
      <c r="AF141" t="n">
        <v>795.496</v>
      </c>
      <c r="AG141" t="n">
        <v>940.211</v>
      </c>
      <c r="AH141" t="n">
        <v>569.784</v>
      </c>
      <c r="AI141" t="n">
        <v>664.816</v>
      </c>
      <c r="AJ141" t="n">
        <v>540.726</v>
      </c>
      <c r="AK141" t="n">
        <v>224.644</v>
      </c>
      <c r="AL141" t="n">
        <v>289.175</v>
      </c>
      <c r="AM141" t="n">
        <v>222.777</v>
      </c>
      <c r="AN141" t="n">
        <v>222.725</v>
      </c>
      <c r="AO141" t="n">
        <v>222.334</v>
      </c>
      <c r="AP141" t="n">
        <v>222.31</v>
      </c>
      <c r="AQ141" t="n">
        <v>331.404</v>
      </c>
      <c r="AR141" t="n">
        <v>832.631</v>
      </c>
      <c r="AS141" t="n">
        <v>1253.068</v>
      </c>
      <c r="AT141" t="n">
        <v>1407.517</v>
      </c>
      <c r="AU141" t="n">
        <v>1388.146</v>
      </c>
      <c r="AV141" t="n">
        <v>1808.698</v>
      </c>
      <c r="AW141" t="n">
        <v>1515.926</v>
      </c>
      <c r="AX141" t="n">
        <v>959.038</v>
      </c>
      <c r="AY141" t="n">
        <v>1078.727</v>
      </c>
      <c r="AZ141" t="n">
        <v>1252.313</v>
      </c>
      <c r="BA141" t="n">
        <v>1368.967</v>
      </c>
      <c r="BB141" t="n">
        <v>1554.155</v>
      </c>
      <c r="BC141" t="n">
        <v>1819.965</v>
      </c>
      <c r="BD141" t="n">
        <v>1351.741</v>
      </c>
      <c r="BE141" t="n">
        <v>1608.786</v>
      </c>
      <c r="BF141" t="n">
        <v>1749.136</v>
      </c>
      <c r="BG141" t="n">
        <v>1973.531</v>
      </c>
      <c r="BH141" t="n">
        <v>2171.931</v>
      </c>
      <c r="BI141" t="n">
        <v>2640.313</v>
      </c>
      <c r="BJ141" t="n">
        <v>2769.841</v>
      </c>
      <c r="BK141" t="n">
        <v>2620.148</v>
      </c>
      <c r="BL141" t="n">
        <v>2384.391</v>
      </c>
      <c r="BM141" t="n">
        <v>2041.615</v>
      </c>
      <c r="BN141" t="n">
        <v>1711.426</v>
      </c>
      <c r="BO141" t="n">
        <v>1330.007</v>
      </c>
      <c r="BP141" t="n">
        <v>930.877</v>
      </c>
      <c r="BQ141" t="n">
        <v>552.407</v>
      </c>
      <c r="BR141" t="n">
        <v>247.279</v>
      </c>
      <c r="BS141" t="n">
        <v>97.425</v>
      </c>
      <c r="BT141" t="n">
        <v>552.472</v>
      </c>
      <c r="BU141" t="n">
        <v>580.812</v>
      </c>
      <c r="BV141" t="n">
        <v>608.816</v>
      </c>
    </row>
    <row r="142">
      <c r="A142" t="inlineStr">
        <is>
          <t>Seriola dumerili</t>
        </is>
      </c>
      <c r="B142" t="inlineStr">
        <is>
          <t>Greater amberjack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192.587</v>
      </c>
      <c r="F142" t="n">
        <v>203.375</v>
      </c>
      <c r="G142" t="n">
        <v>214.162</v>
      </c>
      <c r="H142" t="n">
        <v>222.892</v>
      </c>
      <c r="I142" t="n">
        <v>175.727</v>
      </c>
      <c r="J142" t="n">
        <v>174.346</v>
      </c>
      <c r="K142" t="n">
        <v>174.958</v>
      </c>
      <c r="L142" t="n">
        <v>215.561</v>
      </c>
      <c r="M142" t="n">
        <v>217.869</v>
      </c>
      <c r="N142" t="n">
        <v>211.527</v>
      </c>
      <c r="O142" t="n">
        <v>211.543</v>
      </c>
      <c r="P142" t="n">
        <v>212.98</v>
      </c>
      <c r="Q142" t="n">
        <v>211.591</v>
      </c>
      <c r="R142" t="n">
        <v>208.16</v>
      </c>
      <c r="S142" t="n">
        <v>210.411</v>
      </c>
      <c r="T142" t="n">
        <v>207.898</v>
      </c>
      <c r="U142" t="n">
        <v>202.076</v>
      </c>
      <c r="V142" t="n">
        <v>206.685</v>
      </c>
      <c r="W142" t="n">
        <v>255.328</v>
      </c>
      <c r="X142" t="n">
        <v>382.57</v>
      </c>
      <c r="Y142" t="n">
        <v>592.915</v>
      </c>
      <c r="Z142" t="n">
        <v>750.419</v>
      </c>
      <c r="AA142" t="n">
        <v>707.143</v>
      </c>
      <c r="AB142" t="n">
        <v>738.884</v>
      </c>
      <c r="AC142" t="n">
        <v>984.478</v>
      </c>
      <c r="AD142" t="n">
        <v>697.611</v>
      </c>
      <c r="AE142" t="n">
        <v>694.4690000000001</v>
      </c>
      <c r="AF142" t="n">
        <v>794.824</v>
      </c>
      <c r="AG142" t="n">
        <v>939.417</v>
      </c>
      <c r="AH142" t="n">
        <v>569.303</v>
      </c>
      <c r="AI142" t="n">
        <v>664.254</v>
      </c>
      <c r="AJ142" t="n">
        <v>540.269</v>
      </c>
      <c r="AK142" t="n">
        <v>224.454</v>
      </c>
      <c r="AL142" t="n">
        <v>288.931</v>
      </c>
      <c r="AM142" t="n">
        <v>222.589</v>
      </c>
      <c r="AN142" t="n">
        <v>222.537</v>
      </c>
      <c r="AO142" t="n">
        <v>222.146</v>
      </c>
      <c r="AP142" t="n">
        <v>222.122</v>
      </c>
      <c r="AQ142" t="n">
        <v>331.124</v>
      </c>
      <c r="AR142" t="n">
        <v>831.928</v>
      </c>
      <c r="AS142" t="n">
        <v>1252.009</v>
      </c>
      <c r="AT142" t="n">
        <v>1406.328</v>
      </c>
      <c r="AU142" t="n">
        <v>1386.973</v>
      </c>
      <c r="AV142" t="n">
        <v>1807.17</v>
      </c>
      <c r="AW142" t="n">
        <v>1514.645</v>
      </c>
      <c r="AX142" t="n">
        <v>958.228</v>
      </c>
      <c r="AY142" t="n">
        <v>1077.816</v>
      </c>
      <c r="AZ142" t="n">
        <v>1251.255</v>
      </c>
      <c r="BA142" t="n">
        <v>1367.811</v>
      </c>
      <c r="BB142" t="n">
        <v>1552.842</v>
      </c>
      <c r="BC142" t="n">
        <v>1818.427</v>
      </c>
      <c r="BD142" t="n">
        <v>1350.6</v>
      </c>
      <c r="BE142" t="n">
        <v>1607.427</v>
      </c>
      <c r="BF142" t="n">
        <v>1747.658</v>
      </c>
      <c r="BG142" t="n">
        <v>1971.864</v>
      </c>
      <c r="BH142" t="n">
        <v>2170.096</v>
      </c>
      <c r="BI142" t="n">
        <v>2638.083</v>
      </c>
      <c r="BJ142" t="n">
        <v>2767.501</v>
      </c>
      <c r="BK142" t="n">
        <v>2617.935</v>
      </c>
      <c r="BL142" t="n">
        <v>2382.377</v>
      </c>
      <c r="BM142" t="n">
        <v>2039.89</v>
      </c>
      <c r="BN142" t="n">
        <v>1709.982</v>
      </c>
      <c r="BO142" t="n">
        <v>1328.884</v>
      </c>
      <c r="BP142" t="n">
        <v>930.09</v>
      </c>
      <c r="BQ142" t="n">
        <v>551.9400000000001</v>
      </c>
      <c r="BR142" t="n">
        <v>247.07</v>
      </c>
      <c r="BS142" t="n">
        <v>97.343</v>
      </c>
      <c r="BT142" t="n">
        <v>552.005</v>
      </c>
      <c r="BU142" t="n">
        <v>580.321</v>
      </c>
      <c r="BV142" t="n">
        <v>615.765</v>
      </c>
    </row>
    <row r="143">
      <c r="A143" t="inlineStr">
        <is>
          <t>Merluccius polli</t>
        </is>
      </c>
      <c r="B143" t="inlineStr">
        <is>
          <t>Benguela hake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59.658</v>
      </c>
      <c r="AB143" t="n">
        <v>45.535</v>
      </c>
      <c r="AC143" t="n">
        <v>55.532</v>
      </c>
      <c r="AD143" t="n">
        <v>0.07000000000000001</v>
      </c>
      <c r="AE143" t="n">
        <v>0</v>
      </c>
      <c r="AF143" t="n">
        <v>24.486</v>
      </c>
      <c r="AG143" t="n">
        <v>118.281</v>
      </c>
      <c r="AH143" t="n">
        <v>1.649</v>
      </c>
      <c r="AI143" t="n">
        <v>67.384</v>
      </c>
      <c r="AJ143" t="n">
        <v>13.395</v>
      </c>
      <c r="AK143" t="n">
        <v>3.219</v>
      </c>
      <c r="AL143" t="n">
        <v>4.215</v>
      </c>
      <c r="AM143" t="n">
        <v>6.348</v>
      </c>
      <c r="AN143" t="n">
        <v>2.785</v>
      </c>
      <c r="AO143" t="n">
        <v>0.242</v>
      </c>
      <c r="AP143" t="n">
        <v>1.938</v>
      </c>
      <c r="AQ143" t="n">
        <v>17.879</v>
      </c>
      <c r="AR143" t="n">
        <v>0.969</v>
      </c>
      <c r="AS143" t="n">
        <v>41.779</v>
      </c>
      <c r="AT143" t="n">
        <v>1.961</v>
      </c>
      <c r="AU143" t="n">
        <v>18.703</v>
      </c>
      <c r="AV143" t="n">
        <v>6.023</v>
      </c>
      <c r="AW143" t="n">
        <v>0.242</v>
      </c>
      <c r="AX143" t="n">
        <v>0.242</v>
      </c>
      <c r="AY143" t="n">
        <v>38.76</v>
      </c>
      <c r="AZ143" t="n">
        <v>0.49</v>
      </c>
      <c r="BA143" t="n">
        <v>35.547</v>
      </c>
      <c r="BB143" t="n">
        <v>141.586</v>
      </c>
      <c r="BC143" t="n">
        <v>34.752</v>
      </c>
      <c r="BD143" t="n">
        <v>109.021</v>
      </c>
      <c r="BE143" t="n">
        <v>2256.674</v>
      </c>
      <c r="BF143" t="n">
        <v>2636.936</v>
      </c>
      <c r="BG143" t="n">
        <v>2703.331</v>
      </c>
      <c r="BH143" t="n">
        <v>2674.715</v>
      </c>
      <c r="BI143" t="n">
        <v>3258.617</v>
      </c>
      <c r="BJ143" t="n">
        <v>2879.257</v>
      </c>
      <c r="BK143" t="n">
        <v>2553.795</v>
      </c>
      <c r="BL143" t="n">
        <v>1942.489</v>
      </c>
      <c r="BM143" t="n">
        <v>1462.636</v>
      </c>
      <c r="BN143" t="n">
        <v>2644.215</v>
      </c>
      <c r="BO143" t="n">
        <v>2670.949</v>
      </c>
      <c r="BP143" t="n">
        <v>2656.778</v>
      </c>
      <c r="BQ143" t="n">
        <v>2844.193</v>
      </c>
      <c r="BR143" t="n">
        <v>3068.034</v>
      </c>
      <c r="BS143" t="n">
        <v>2869.076</v>
      </c>
      <c r="BT143" t="n">
        <v>4883.833</v>
      </c>
      <c r="BU143" t="n">
        <v>5622.2</v>
      </c>
      <c r="BV143" t="n">
        <v>6767.871</v>
      </c>
    </row>
    <row r="144">
      <c r="A144" t="inlineStr">
        <is>
          <t>Cymbium</t>
        </is>
      </c>
      <c r="B144" t="inlineStr">
        <is>
          <t>Volutes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0.168</v>
      </c>
      <c r="F144" t="n">
        <v>0.177</v>
      </c>
      <c r="G144" t="n">
        <v>0.186</v>
      </c>
      <c r="H144" t="n">
        <v>0.195</v>
      </c>
      <c r="I144" t="n">
        <v>0.204</v>
      </c>
      <c r="J144" t="n">
        <v>0.212</v>
      </c>
      <c r="K144" t="n">
        <v>0.221</v>
      </c>
      <c r="L144" t="n">
        <v>0.23</v>
      </c>
      <c r="M144" t="n">
        <v>0.239</v>
      </c>
      <c r="N144" t="n">
        <v>0.248</v>
      </c>
      <c r="O144" t="n">
        <v>0.256</v>
      </c>
      <c r="P144" t="n">
        <v>0.265</v>
      </c>
      <c r="Q144" t="n">
        <v>0.274</v>
      </c>
      <c r="R144" t="n">
        <v>0.283</v>
      </c>
      <c r="S144" t="n">
        <v>0.292</v>
      </c>
      <c r="T144" t="n">
        <v>0.3</v>
      </c>
      <c r="U144" t="n">
        <v>0.309</v>
      </c>
      <c r="V144" t="n">
        <v>0.318</v>
      </c>
      <c r="W144" t="n">
        <v>0.327</v>
      </c>
      <c r="X144" t="n">
        <v>0.335</v>
      </c>
      <c r="Y144" t="n">
        <v>0.344</v>
      </c>
      <c r="Z144" t="n">
        <v>93.521</v>
      </c>
      <c r="AA144" t="n">
        <v>126.797</v>
      </c>
      <c r="AB144" t="n">
        <v>126.73</v>
      </c>
      <c r="AC144" t="n">
        <v>138.196</v>
      </c>
      <c r="AD144" t="n">
        <v>85.971</v>
      </c>
      <c r="AE144" t="n">
        <v>119.846</v>
      </c>
      <c r="AF144" t="n">
        <v>222.556</v>
      </c>
      <c r="AG144" t="n">
        <v>272.689</v>
      </c>
      <c r="AH144" t="n">
        <v>75.968</v>
      </c>
      <c r="AI144" t="n">
        <v>105.428</v>
      </c>
      <c r="AJ144" t="n">
        <v>104.842</v>
      </c>
      <c r="AK144" t="n">
        <v>120.506</v>
      </c>
      <c r="AL144" t="n">
        <v>158.353</v>
      </c>
      <c r="AM144" t="n">
        <v>160.46</v>
      </c>
      <c r="AN144" t="n">
        <v>234.399</v>
      </c>
      <c r="AO144" t="n">
        <v>153.84</v>
      </c>
      <c r="AP144" t="n">
        <v>141.274</v>
      </c>
      <c r="AQ144" t="n">
        <v>160.269</v>
      </c>
      <c r="AR144" t="n">
        <v>136.126</v>
      </c>
      <c r="AS144" t="n">
        <v>116.737</v>
      </c>
      <c r="AT144" t="n">
        <v>112.154</v>
      </c>
      <c r="AU144" t="n">
        <v>101.593</v>
      </c>
      <c r="AV144" t="n">
        <v>83.024</v>
      </c>
      <c r="AW144" t="n">
        <v>72.886</v>
      </c>
      <c r="AX144" t="n">
        <v>71.655</v>
      </c>
      <c r="AY144" t="n">
        <v>77.431</v>
      </c>
      <c r="AZ144" t="n">
        <v>74.78700000000001</v>
      </c>
      <c r="BA144" t="n">
        <v>87.22499999999999</v>
      </c>
      <c r="BB144" t="n">
        <v>81.11499999999999</v>
      </c>
      <c r="BC144" t="n">
        <v>72.318</v>
      </c>
      <c r="BD144" t="n">
        <v>84.70399999999999</v>
      </c>
      <c r="BE144" t="n">
        <v>106.447</v>
      </c>
      <c r="BF144" t="n">
        <v>128.596</v>
      </c>
      <c r="BG144" t="n">
        <v>157.268</v>
      </c>
      <c r="BH144" t="n">
        <v>191.955</v>
      </c>
      <c r="BI144" t="n">
        <v>229.091</v>
      </c>
      <c r="BJ144" t="n">
        <v>249.938</v>
      </c>
      <c r="BK144" t="n">
        <v>272.892</v>
      </c>
      <c r="BL144" t="n">
        <v>273.201</v>
      </c>
      <c r="BM144" t="n">
        <v>4157.898</v>
      </c>
      <c r="BN144" t="n">
        <v>4382.559</v>
      </c>
      <c r="BO144" t="n">
        <v>3653.543</v>
      </c>
      <c r="BP144" t="n">
        <v>2802.491</v>
      </c>
      <c r="BQ144" t="n">
        <v>4691.35</v>
      </c>
      <c r="BR144" t="n">
        <v>5525.5</v>
      </c>
      <c r="BS144" t="n">
        <v>5530.789</v>
      </c>
      <c r="BT144" t="n">
        <v>5890.688</v>
      </c>
      <c r="BU144" t="n">
        <v>6399.644</v>
      </c>
      <c r="BV144" t="n">
        <v>7441.035</v>
      </c>
    </row>
    <row r="145">
      <c r="A145" t="inlineStr">
        <is>
          <t>Mugil</t>
        </is>
      </c>
      <c r="B145" t="inlineStr">
        <is>
          <t>Grey mullets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599.657</v>
      </c>
      <c r="F145" t="n">
        <v>599.804</v>
      </c>
      <c r="G145" t="n">
        <v>599.95</v>
      </c>
      <c r="H145" t="n">
        <v>600.429</v>
      </c>
      <c r="I145" t="n">
        <v>600.582</v>
      </c>
      <c r="J145" t="n">
        <v>601.075</v>
      </c>
      <c r="K145" t="n">
        <v>601.574</v>
      </c>
      <c r="L145" t="n">
        <v>602.081</v>
      </c>
      <c r="M145" t="n">
        <v>603.068</v>
      </c>
      <c r="N145" t="n">
        <v>603.377</v>
      </c>
      <c r="O145" t="n">
        <v>603.704</v>
      </c>
      <c r="P145" t="n">
        <v>606.526</v>
      </c>
      <c r="Q145" t="n">
        <v>607.191</v>
      </c>
      <c r="R145" t="n">
        <v>607.629</v>
      </c>
      <c r="S145" t="n">
        <v>608.2569999999999</v>
      </c>
      <c r="T145" t="n">
        <v>607.901</v>
      </c>
      <c r="U145" t="n">
        <v>608.405</v>
      </c>
      <c r="V145" t="n">
        <v>607.278</v>
      </c>
      <c r="W145" t="n">
        <v>607.29</v>
      </c>
      <c r="X145" t="n">
        <v>608.567</v>
      </c>
      <c r="Y145" t="n">
        <v>607.974</v>
      </c>
      <c r="Z145" t="n">
        <v>609.422</v>
      </c>
      <c r="AA145" t="n">
        <v>617.433</v>
      </c>
      <c r="AB145" t="n">
        <v>639.8579999999999</v>
      </c>
      <c r="AC145" t="n">
        <v>648.446</v>
      </c>
      <c r="AD145" t="n">
        <v>679.992</v>
      </c>
      <c r="AE145" t="n">
        <v>726.449</v>
      </c>
      <c r="AF145" t="n">
        <v>770.511</v>
      </c>
      <c r="AG145" t="n">
        <v>844.692</v>
      </c>
      <c r="AH145" t="n">
        <v>868.6079999999999</v>
      </c>
      <c r="AI145" t="n">
        <v>908.123</v>
      </c>
      <c r="AJ145" t="n">
        <v>926.996</v>
      </c>
      <c r="AK145" t="n">
        <v>938.897</v>
      </c>
      <c r="AL145" t="n">
        <v>794.436</v>
      </c>
      <c r="AM145" t="n">
        <v>781.5</v>
      </c>
      <c r="AN145" t="n">
        <v>1024.818</v>
      </c>
      <c r="AO145" t="n">
        <v>921.348</v>
      </c>
      <c r="AP145" t="n">
        <v>835.139</v>
      </c>
      <c r="AQ145" t="n">
        <v>701.321</v>
      </c>
      <c r="AR145" t="n">
        <v>850.811</v>
      </c>
      <c r="AS145" t="n">
        <v>676.768</v>
      </c>
      <c r="AT145" t="n">
        <v>688.336</v>
      </c>
      <c r="AU145" t="n">
        <v>727.114</v>
      </c>
      <c r="AV145" t="n">
        <v>803.181</v>
      </c>
      <c r="AW145" t="n">
        <v>843.5839999999999</v>
      </c>
      <c r="AX145" t="n">
        <v>711.6609999999999</v>
      </c>
      <c r="AY145" t="n">
        <v>927.653</v>
      </c>
      <c r="AZ145" t="n">
        <v>940.242</v>
      </c>
      <c r="BA145" t="n">
        <v>862.611</v>
      </c>
      <c r="BB145" t="n">
        <v>836.628</v>
      </c>
      <c r="BC145" t="n">
        <v>879.148</v>
      </c>
      <c r="BD145" t="n">
        <v>812.578</v>
      </c>
      <c r="BE145" t="n">
        <v>857.399</v>
      </c>
      <c r="BF145" t="n">
        <v>735.1420000000001</v>
      </c>
      <c r="BG145" t="n">
        <v>770.077</v>
      </c>
      <c r="BH145" t="n">
        <v>837.009</v>
      </c>
      <c r="BI145" t="n">
        <v>742.929</v>
      </c>
      <c r="BJ145" t="n">
        <v>836.442</v>
      </c>
      <c r="BK145" t="n">
        <v>759.8150000000001</v>
      </c>
      <c r="BL145" t="n">
        <v>774.016</v>
      </c>
      <c r="BM145" t="n">
        <v>1181.599</v>
      </c>
      <c r="BN145" t="n">
        <v>918.629</v>
      </c>
      <c r="BO145" t="n">
        <v>1165.094</v>
      </c>
      <c r="BP145" t="n">
        <v>907.38</v>
      </c>
      <c r="BQ145" t="n">
        <v>901.576</v>
      </c>
      <c r="BR145" t="n">
        <v>1135.716</v>
      </c>
      <c r="BS145" t="n">
        <v>1184.671</v>
      </c>
      <c r="BT145" t="n">
        <v>1159.83</v>
      </c>
      <c r="BU145" t="n">
        <v>1365.182</v>
      </c>
      <c r="BV145" t="n">
        <v>1363.558</v>
      </c>
    </row>
    <row r="146">
      <c r="A146" t="inlineStr">
        <is>
          <t>Epinephelus aeneus</t>
        </is>
      </c>
      <c r="B146" t="inlineStr">
        <is>
          <t>White grouper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1.28</v>
      </c>
      <c r="F146" t="n">
        <v>1.335</v>
      </c>
      <c r="G146" t="n">
        <v>1.39</v>
      </c>
      <c r="H146" t="n">
        <v>1.445</v>
      </c>
      <c r="I146" t="n">
        <v>0.733</v>
      </c>
      <c r="J146" t="n">
        <v>0.788</v>
      </c>
      <c r="K146" t="n">
        <v>0.322</v>
      </c>
      <c r="L146" t="n">
        <v>0.703</v>
      </c>
      <c r="M146" t="n">
        <v>121.023</v>
      </c>
      <c r="N146" t="n">
        <v>121.126</v>
      </c>
      <c r="O146" t="n">
        <v>182.001</v>
      </c>
      <c r="P146" t="n">
        <v>180.927</v>
      </c>
      <c r="Q146" t="n">
        <v>297.712</v>
      </c>
      <c r="R146" t="n">
        <v>289.382</v>
      </c>
      <c r="S146" t="n">
        <v>348.21</v>
      </c>
      <c r="T146" t="n">
        <v>619.432</v>
      </c>
      <c r="U146" t="n">
        <v>929.412</v>
      </c>
      <c r="V146" t="n">
        <v>1008.644</v>
      </c>
      <c r="W146" t="n">
        <v>1086.042</v>
      </c>
      <c r="X146" t="n">
        <v>1046.197</v>
      </c>
      <c r="Y146" t="n">
        <v>920.05</v>
      </c>
      <c r="Z146" t="n">
        <v>951.027</v>
      </c>
      <c r="AA146" t="n">
        <v>951.485</v>
      </c>
      <c r="AB146" t="n">
        <v>694.082</v>
      </c>
      <c r="AC146" t="n">
        <v>535.683</v>
      </c>
      <c r="AD146" t="n">
        <v>552.933</v>
      </c>
      <c r="AE146" t="n">
        <v>591.699</v>
      </c>
      <c r="AF146" t="n">
        <v>704.77</v>
      </c>
      <c r="AG146" t="n">
        <v>503.65</v>
      </c>
      <c r="AH146" t="n">
        <v>321.291</v>
      </c>
      <c r="AI146" t="n">
        <v>467.391</v>
      </c>
      <c r="AJ146" t="n">
        <v>588.524</v>
      </c>
      <c r="AK146" t="n">
        <v>478.357</v>
      </c>
      <c r="AL146" t="n">
        <v>590.111</v>
      </c>
      <c r="AM146" t="n">
        <v>620.645</v>
      </c>
      <c r="AN146" t="n">
        <v>599.91</v>
      </c>
      <c r="AO146" t="n">
        <v>532.035</v>
      </c>
      <c r="AP146" t="n">
        <v>480.079</v>
      </c>
      <c r="AQ146" t="n">
        <v>494.102</v>
      </c>
      <c r="AR146" t="n">
        <v>438.49</v>
      </c>
      <c r="AS146" t="n">
        <v>457.926</v>
      </c>
      <c r="AT146" t="n">
        <v>351.568</v>
      </c>
      <c r="AU146" t="n">
        <v>463.552</v>
      </c>
      <c r="AV146" t="n">
        <v>504.238</v>
      </c>
      <c r="AW146" t="n">
        <v>491.867</v>
      </c>
      <c r="AX146" t="n">
        <v>465.25</v>
      </c>
      <c r="AY146" t="n">
        <v>509.054</v>
      </c>
      <c r="AZ146" t="n">
        <v>372.817</v>
      </c>
      <c r="BA146" t="n">
        <v>398.426</v>
      </c>
      <c r="BB146" t="n">
        <v>438.3</v>
      </c>
      <c r="BC146" t="n">
        <v>431.882</v>
      </c>
      <c r="BD146" t="n">
        <v>491.364</v>
      </c>
      <c r="BE146" t="n">
        <v>601.213</v>
      </c>
      <c r="BF146" t="n">
        <v>443.493</v>
      </c>
      <c r="BG146" t="n">
        <v>476.787</v>
      </c>
      <c r="BH146" t="n">
        <v>480.138</v>
      </c>
      <c r="BI146" t="n">
        <v>522.652</v>
      </c>
      <c r="BJ146" t="n">
        <v>514.125</v>
      </c>
      <c r="BK146" t="n">
        <v>463.268</v>
      </c>
      <c r="BL146" t="n">
        <v>398.813</v>
      </c>
      <c r="BM146" t="n">
        <v>786.8440000000001</v>
      </c>
      <c r="BN146" t="n">
        <v>647.937</v>
      </c>
      <c r="BO146" t="n">
        <v>739.3339999999999</v>
      </c>
      <c r="BP146" t="n">
        <v>538.441</v>
      </c>
      <c r="BQ146" t="n">
        <v>3617.251</v>
      </c>
      <c r="BR146" t="n">
        <v>3541.979</v>
      </c>
      <c r="BS146" t="n">
        <v>3984.442</v>
      </c>
      <c r="BT146" t="n">
        <v>3644.034</v>
      </c>
      <c r="BU146" t="n">
        <v>3388.598</v>
      </c>
      <c r="BV146" t="n">
        <v>3481.988</v>
      </c>
    </row>
    <row r="147">
      <c r="A147" t="inlineStr">
        <is>
          <t>Pomadasys incisus</t>
        </is>
      </c>
      <c r="B147" t="inlineStr">
        <is>
          <t>Bastard grunt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9.259</v>
      </c>
      <c r="F147" t="n">
        <v>63.456</v>
      </c>
      <c r="G147" t="n">
        <v>122.902</v>
      </c>
      <c r="H147" t="n">
        <v>182.643</v>
      </c>
      <c r="I147" t="n">
        <v>235.781</v>
      </c>
      <c r="J147" t="n">
        <v>294.781</v>
      </c>
      <c r="K147" t="n">
        <v>356.053</v>
      </c>
      <c r="L147" t="n">
        <v>408.687</v>
      </c>
      <c r="M147" t="n">
        <v>469.678</v>
      </c>
      <c r="N147" t="n">
        <v>530.92</v>
      </c>
      <c r="O147" t="n">
        <v>581.518</v>
      </c>
      <c r="P147" t="n">
        <v>642.628</v>
      </c>
      <c r="Q147" t="n">
        <v>703.941</v>
      </c>
      <c r="R147" t="n">
        <v>765.431</v>
      </c>
      <c r="S147" t="n">
        <v>814.404</v>
      </c>
      <c r="T147" t="n">
        <v>875.823</v>
      </c>
      <c r="U147" t="n">
        <v>937.388</v>
      </c>
      <c r="V147" t="n">
        <v>985.436</v>
      </c>
      <c r="W147" t="n">
        <v>1046.968</v>
      </c>
      <c r="X147" t="n">
        <v>1108.621</v>
      </c>
      <c r="Y147" t="n">
        <v>1170.638</v>
      </c>
      <c r="Z147" t="n">
        <v>1191.039</v>
      </c>
      <c r="AA147" t="n">
        <v>1253.049</v>
      </c>
      <c r="AB147" t="n">
        <v>1292.738</v>
      </c>
      <c r="AC147" t="n">
        <v>1305.535</v>
      </c>
      <c r="AD147" t="n">
        <v>1342.981</v>
      </c>
      <c r="AE147" t="n">
        <v>1471.317</v>
      </c>
      <c r="AF147" t="n">
        <v>1549.322</v>
      </c>
      <c r="AG147" t="n">
        <v>1594.717</v>
      </c>
      <c r="AH147" t="n">
        <v>1489.751</v>
      </c>
      <c r="AI147" t="n">
        <v>1516.493</v>
      </c>
      <c r="AJ147" t="n">
        <v>1537.312</v>
      </c>
      <c r="AK147" t="n">
        <v>1556.65</v>
      </c>
      <c r="AL147" t="n">
        <v>1578.156</v>
      </c>
      <c r="AM147" t="n">
        <v>1597.757</v>
      </c>
      <c r="AN147" t="n">
        <v>1626.931</v>
      </c>
      <c r="AO147" t="n">
        <v>1449.191</v>
      </c>
      <c r="AP147" t="n">
        <v>1381.295</v>
      </c>
      <c r="AQ147" t="n">
        <v>1287.427</v>
      </c>
      <c r="AR147" t="n">
        <v>1194.467</v>
      </c>
      <c r="AS147" t="n">
        <v>1122.268</v>
      </c>
      <c r="AT147" t="n">
        <v>1025.176</v>
      </c>
      <c r="AU147" t="n">
        <v>939.607</v>
      </c>
      <c r="AV147" t="n">
        <v>822.954</v>
      </c>
      <c r="AW147" t="n">
        <v>718.164</v>
      </c>
      <c r="AX147" t="n">
        <v>598.41</v>
      </c>
      <c r="AY147" t="n">
        <v>636.091</v>
      </c>
      <c r="AZ147" t="n">
        <v>664.758</v>
      </c>
      <c r="BA147" t="n">
        <v>477.635</v>
      </c>
      <c r="BB147" t="n">
        <v>213.212</v>
      </c>
      <c r="BC147" t="n">
        <v>204.988</v>
      </c>
      <c r="BD147" t="n">
        <v>108.492</v>
      </c>
      <c r="BE147" t="n">
        <v>436.777</v>
      </c>
      <c r="BF147" t="n">
        <v>196.965</v>
      </c>
      <c r="BG147" t="n">
        <v>400.601</v>
      </c>
      <c r="BH147" t="n">
        <v>304.991</v>
      </c>
      <c r="BI147" t="n">
        <v>400.133</v>
      </c>
      <c r="BJ147" t="n">
        <v>584.846</v>
      </c>
      <c r="BK147" t="n">
        <v>474.42</v>
      </c>
      <c r="BL147" t="n">
        <v>119.283</v>
      </c>
      <c r="BM147" t="n">
        <v>327.775</v>
      </c>
      <c r="BN147" t="n">
        <v>259.711</v>
      </c>
      <c r="BO147" t="n">
        <v>233.182</v>
      </c>
      <c r="BP147" t="n">
        <v>225.399</v>
      </c>
      <c r="BQ147" t="n">
        <v>180.296</v>
      </c>
      <c r="BR147" t="n">
        <v>154.498</v>
      </c>
      <c r="BS147" t="n">
        <v>119.438</v>
      </c>
      <c r="BT147" t="n">
        <v>103.969</v>
      </c>
      <c r="BU147" t="n">
        <v>92.33199999999999</v>
      </c>
      <c r="BV147" t="n">
        <v>72.49299999999999</v>
      </c>
    </row>
    <row r="148">
      <c r="A148" t="inlineStr">
        <is>
          <t>Aristaeopsis edwardsiana</t>
        </is>
      </c>
      <c r="B148" t="inlineStr">
        <is>
          <t>Scarlet shrimp</t>
        </is>
      </c>
      <c r="C148" t="inlineStr">
        <is>
          <t>Shrimps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182.902</v>
      </c>
      <c r="O148" t="n">
        <v>362.122</v>
      </c>
      <c r="P148" t="n">
        <v>537.658</v>
      </c>
      <c r="Q148" t="n">
        <v>709.513</v>
      </c>
      <c r="R148" t="n">
        <v>877.684</v>
      </c>
      <c r="S148" t="n">
        <v>1042.174</v>
      </c>
      <c r="T148" t="n">
        <v>1202.98</v>
      </c>
      <c r="U148" t="n">
        <v>1360.104</v>
      </c>
      <c r="V148" t="n">
        <v>1513.545</v>
      </c>
      <c r="W148" t="n">
        <v>1775.933</v>
      </c>
      <c r="X148" t="n">
        <v>1933.801</v>
      </c>
      <c r="Y148" t="n">
        <v>1666.34</v>
      </c>
      <c r="Z148" t="n">
        <v>1788.704</v>
      </c>
      <c r="AA148" t="n">
        <v>1937.493</v>
      </c>
      <c r="AB148" t="n">
        <v>2368.09</v>
      </c>
      <c r="AC148" t="n">
        <v>2757.399</v>
      </c>
      <c r="AD148" t="n">
        <v>2943.703</v>
      </c>
      <c r="AE148" t="n">
        <v>2938.605</v>
      </c>
      <c r="AF148" t="n">
        <v>2969.963</v>
      </c>
      <c r="AG148" t="n">
        <v>2826.171</v>
      </c>
      <c r="AH148" t="n">
        <v>2755.963</v>
      </c>
      <c r="AI148" t="n">
        <v>2795.341</v>
      </c>
      <c r="AJ148" t="n">
        <v>2189.327</v>
      </c>
      <c r="AK148" t="n">
        <v>1717.809</v>
      </c>
      <c r="AL148" t="n">
        <v>1277.093</v>
      </c>
      <c r="AM148" t="n">
        <v>786.212</v>
      </c>
      <c r="AN148" t="n">
        <v>500.425</v>
      </c>
      <c r="AO148" t="n">
        <v>325.307</v>
      </c>
      <c r="AP148" t="n">
        <v>269.421</v>
      </c>
      <c r="AQ148" t="n">
        <v>161.094</v>
      </c>
      <c r="AR148" t="n">
        <v>38.885</v>
      </c>
      <c r="AS148" t="n">
        <v>39.196</v>
      </c>
      <c r="AT148" t="n">
        <v>172.891</v>
      </c>
      <c r="AU148" t="n">
        <v>167.694</v>
      </c>
      <c r="AV148" t="n">
        <v>154.609</v>
      </c>
      <c r="AW148" t="n">
        <v>151.124</v>
      </c>
      <c r="AX148" t="n">
        <v>152.55</v>
      </c>
      <c r="AY148" t="n">
        <v>203.074</v>
      </c>
      <c r="AZ148" t="n">
        <v>200.665</v>
      </c>
      <c r="BA148" t="n">
        <v>160.554</v>
      </c>
      <c r="BB148" t="n">
        <v>262.31</v>
      </c>
      <c r="BC148" t="n">
        <v>48.825</v>
      </c>
      <c r="BD148" t="n">
        <v>68.88800000000001</v>
      </c>
      <c r="BE148" t="n">
        <v>51.49</v>
      </c>
      <c r="BF148" t="n">
        <v>46.451</v>
      </c>
      <c r="BG148" t="n">
        <v>28.451</v>
      </c>
      <c r="BH148" t="n">
        <v>14.744</v>
      </c>
      <c r="BI148" t="n">
        <v>39.843</v>
      </c>
      <c r="BJ148" t="n">
        <v>35.523</v>
      </c>
      <c r="BK148" t="n">
        <v>27.999</v>
      </c>
      <c r="BL148" t="n">
        <v>51.916</v>
      </c>
      <c r="BM148" t="n">
        <v>38.611</v>
      </c>
      <c r="BN148" t="n">
        <v>44.315</v>
      </c>
      <c r="BO148" t="n">
        <v>38.274</v>
      </c>
      <c r="BP148" t="n">
        <v>78.301</v>
      </c>
      <c r="BQ148" t="n">
        <v>65.70699999999999</v>
      </c>
      <c r="BR148" t="n">
        <v>85.523</v>
      </c>
      <c r="BS148" t="n">
        <v>73.643</v>
      </c>
      <c r="BT148" t="n">
        <v>91.146</v>
      </c>
      <c r="BU148" t="n">
        <v>78.20999999999999</v>
      </c>
      <c r="BV148" t="n">
        <v>117.791</v>
      </c>
    </row>
    <row r="149">
      <c r="A149" t="inlineStr">
        <is>
          <t>Plectorhinchus mediterraneus</t>
        </is>
      </c>
      <c r="B149" t="inlineStr">
        <is>
          <t>Rubberlip grunt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163.843</v>
      </c>
      <c r="F149" t="n">
        <v>176.47</v>
      </c>
      <c r="G149" t="n">
        <v>189.152</v>
      </c>
      <c r="H149" t="n">
        <v>201.887</v>
      </c>
      <c r="I149" t="n">
        <v>214.671</v>
      </c>
      <c r="J149" t="n">
        <v>227.503</v>
      </c>
      <c r="K149" t="n">
        <v>240.381</v>
      </c>
      <c r="L149" t="n">
        <v>253.302</v>
      </c>
      <c r="M149" t="n">
        <v>266.265</v>
      </c>
      <c r="N149" t="n">
        <v>279.268</v>
      </c>
      <c r="O149" t="n">
        <v>292.309</v>
      </c>
      <c r="P149" t="n">
        <v>305.386</v>
      </c>
      <c r="Q149" t="n">
        <v>1185.769</v>
      </c>
      <c r="R149" t="n">
        <v>757.111</v>
      </c>
      <c r="S149" t="n">
        <v>610.126</v>
      </c>
      <c r="T149" t="n">
        <v>649.796</v>
      </c>
      <c r="U149" t="n">
        <v>573.2619999999999</v>
      </c>
      <c r="V149" t="n">
        <v>543.093</v>
      </c>
      <c r="W149" t="n">
        <v>489.837</v>
      </c>
      <c r="X149" t="n">
        <v>564.41</v>
      </c>
      <c r="Y149" t="n">
        <v>424.499</v>
      </c>
      <c r="Z149" t="n">
        <v>447.858</v>
      </c>
      <c r="AA149" t="n">
        <v>472.35</v>
      </c>
      <c r="AB149" t="n">
        <v>498.055</v>
      </c>
      <c r="AC149" t="n">
        <v>525.062</v>
      </c>
      <c r="AD149" t="n">
        <v>553.468</v>
      </c>
      <c r="AE149" t="n">
        <v>606.999</v>
      </c>
      <c r="AF149" t="n">
        <v>607.278</v>
      </c>
      <c r="AG149" t="n">
        <v>656.282</v>
      </c>
      <c r="AH149" t="n">
        <v>667.381</v>
      </c>
      <c r="AI149" t="n">
        <v>589.894</v>
      </c>
      <c r="AJ149" t="n">
        <v>585.696</v>
      </c>
      <c r="AK149" t="n">
        <v>546.869</v>
      </c>
      <c r="AL149" t="n">
        <v>554.583</v>
      </c>
      <c r="AM149" t="n">
        <v>2473.911</v>
      </c>
      <c r="AN149" t="n">
        <v>3160.032</v>
      </c>
      <c r="AO149" t="n">
        <v>970.8339999999999</v>
      </c>
      <c r="AP149" t="n">
        <v>543.734</v>
      </c>
      <c r="AQ149" t="n">
        <v>692.934</v>
      </c>
      <c r="AR149" t="n">
        <v>758.872</v>
      </c>
      <c r="AS149" t="n">
        <v>872.308</v>
      </c>
      <c r="AT149" t="n">
        <v>1534.155</v>
      </c>
      <c r="AU149" t="n">
        <v>1470.617</v>
      </c>
      <c r="AV149" t="n">
        <v>1134.031</v>
      </c>
      <c r="AW149" t="n">
        <v>768.71</v>
      </c>
      <c r="AX149" t="n">
        <v>717.522</v>
      </c>
      <c r="AY149" t="n">
        <v>1695.024</v>
      </c>
      <c r="AZ149" t="n">
        <v>1129.013</v>
      </c>
      <c r="BA149" t="n">
        <v>855.975</v>
      </c>
      <c r="BB149" t="n">
        <v>956.908</v>
      </c>
      <c r="BC149" t="n">
        <v>827.6609999999999</v>
      </c>
      <c r="BD149" t="n">
        <v>856.154</v>
      </c>
      <c r="BE149" t="n">
        <v>917.694</v>
      </c>
      <c r="BF149" t="n">
        <v>969.891</v>
      </c>
      <c r="BG149" t="n">
        <v>1049.615</v>
      </c>
      <c r="BH149" t="n">
        <v>1026.637</v>
      </c>
      <c r="BI149" t="n">
        <v>965.066</v>
      </c>
      <c r="BJ149" t="n">
        <v>949.664</v>
      </c>
      <c r="BK149" t="n">
        <v>523.961</v>
      </c>
      <c r="BL149" t="n">
        <v>589.918</v>
      </c>
      <c r="BM149" t="n">
        <v>491.716</v>
      </c>
      <c r="BN149" t="n">
        <v>728.828</v>
      </c>
      <c r="BO149" t="n">
        <v>611.926</v>
      </c>
      <c r="BP149" t="n">
        <v>521.345</v>
      </c>
      <c r="BQ149" t="n">
        <v>534.348</v>
      </c>
      <c r="BR149" t="n">
        <v>378.355</v>
      </c>
      <c r="BS149" t="n">
        <v>356.425</v>
      </c>
      <c r="BT149" t="n">
        <v>357.821</v>
      </c>
      <c r="BU149" t="n">
        <v>377.53</v>
      </c>
      <c r="BV149" t="n">
        <v>393.585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2010.583</v>
      </c>
      <c r="AK150" t="n">
        <v>2012.113</v>
      </c>
      <c r="AL150" t="n">
        <v>2470.76</v>
      </c>
      <c r="AM150" t="n">
        <v>102.34</v>
      </c>
      <c r="AN150" t="n">
        <v>216.178</v>
      </c>
      <c r="AO150" t="n">
        <v>235.191</v>
      </c>
      <c r="AP150" t="n">
        <v>2726.264</v>
      </c>
      <c r="AQ150" t="n">
        <v>3042.715</v>
      </c>
      <c r="AR150" t="n">
        <v>2404.717</v>
      </c>
      <c r="AS150" t="n">
        <v>2876.695</v>
      </c>
      <c r="AT150" t="n">
        <v>5775.394</v>
      </c>
      <c r="AU150" t="n">
        <v>5530.92</v>
      </c>
      <c r="AV150" t="n">
        <v>121.751</v>
      </c>
      <c r="AW150" t="n">
        <v>75.843</v>
      </c>
      <c r="AX150" t="n">
        <v>87.414</v>
      </c>
      <c r="AY150" t="n">
        <v>138.762</v>
      </c>
      <c r="AZ150" t="n">
        <v>74.976</v>
      </c>
      <c r="BA150" t="n">
        <v>57.05</v>
      </c>
      <c r="BB150" t="n">
        <v>108.383</v>
      </c>
      <c r="BC150" t="n">
        <v>127.003</v>
      </c>
      <c r="BD150" t="n">
        <v>197.961</v>
      </c>
      <c r="BE150" t="n">
        <v>200.38</v>
      </c>
      <c r="BF150" t="n">
        <v>871.6130000000001</v>
      </c>
      <c r="BG150" t="n">
        <v>185.875</v>
      </c>
      <c r="BH150" t="n">
        <v>610.587</v>
      </c>
      <c r="BI150" t="n">
        <v>394.129</v>
      </c>
      <c r="BJ150" t="n">
        <v>159.821</v>
      </c>
      <c r="BK150" t="n">
        <v>2843.148</v>
      </c>
      <c r="BL150" t="n">
        <v>713.277</v>
      </c>
      <c r="BM150" t="n">
        <v>669.016</v>
      </c>
      <c r="BN150" t="n">
        <v>1078.278</v>
      </c>
      <c r="BO150" t="n">
        <v>1301.45</v>
      </c>
      <c r="BP150" t="n">
        <v>1347.593</v>
      </c>
      <c r="BQ150" t="n">
        <v>1497.506</v>
      </c>
      <c r="BR150" t="n">
        <v>1155.26</v>
      </c>
      <c r="BS150" t="n">
        <v>1418.865</v>
      </c>
      <c r="BT150" t="n">
        <v>804.5890000000001</v>
      </c>
      <c r="BU150" t="n">
        <v>835.961</v>
      </c>
      <c r="BV150" t="n">
        <v>849.49</v>
      </c>
    </row>
    <row r="151">
      <c r="A151" t="inlineStr">
        <is>
          <t>Brotula barbata</t>
        </is>
      </c>
      <c r="B151" t="inlineStr">
        <is>
          <t>Bearded brotula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n">
        <v>0.89</v>
      </c>
      <c r="F151" t="n">
        <v>0.902</v>
      </c>
      <c r="G151" t="n">
        <v>0.915</v>
      </c>
      <c r="H151" t="n">
        <v>0.956</v>
      </c>
      <c r="I151" t="n">
        <v>0.997</v>
      </c>
      <c r="J151" t="n">
        <v>1.04</v>
      </c>
      <c r="K151" t="n">
        <v>1.082</v>
      </c>
      <c r="L151" t="n">
        <v>1.126</v>
      </c>
      <c r="M151" t="n">
        <v>4.241</v>
      </c>
      <c r="N151" t="n">
        <v>6.463</v>
      </c>
      <c r="O151" t="n">
        <v>9.534000000000001</v>
      </c>
      <c r="P151" t="n">
        <v>12.582</v>
      </c>
      <c r="Q151" t="n">
        <v>15.608</v>
      </c>
      <c r="R151" t="n">
        <v>15.118</v>
      </c>
      <c r="S151" t="n">
        <v>19.172</v>
      </c>
      <c r="T151" t="n">
        <v>22.748</v>
      </c>
      <c r="U151" t="n">
        <v>26.203</v>
      </c>
      <c r="V151" t="n">
        <v>28.75</v>
      </c>
      <c r="W151" t="n">
        <v>32.329</v>
      </c>
      <c r="X151" t="n">
        <v>46.338</v>
      </c>
      <c r="Y151" t="n">
        <v>51.2</v>
      </c>
      <c r="Z151" t="n">
        <v>57.734</v>
      </c>
      <c r="AA151" t="n">
        <v>58.656</v>
      </c>
      <c r="AB151" t="n">
        <v>64.081</v>
      </c>
      <c r="AC151" t="n">
        <v>66.684</v>
      </c>
      <c r="AD151" t="n">
        <v>77.185</v>
      </c>
      <c r="AE151" t="n">
        <v>109.201</v>
      </c>
      <c r="AF151" t="n">
        <v>149.116</v>
      </c>
      <c r="AG151" t="n">
        <v>680.351</v>
      </c>
      <c r="AH151" t="n">
        <v>425.216</v>
      </c>
      <c r="AI151" t="n">
        <v>352.611</v>
      </c>
      <c r="AJ151" t="n">
        <v>171.109</v>
      </c>
      <c r="AK151" t="n">
        <v>157.519</v>
      </c>
      <c r="AL151" t="n">
        <v>186.915</v>
      </c>
      <c r="AM151" t="n">
        <v>182.983</v>
      </c>
      <c r="AN151" t="n">
        <v>190.374</v>
      </c>
      <c r="AO151" t="n">
        <v>228.205</v>
      </c>
      <c r="AP151" t="n">
        <v>239.437</v>
      </c>
      <c r="AQ151" t="n">
        <v>344.896</v>
      </c>
      <c r="AR151" t="n">
        <v>313.174</v>
      </c>
      <c r="AS151" t="n">
        <v>371.742</v>
      </c>
      <c r="AT151" t="n">
        <v>1056.573</v>
      </c>
      <c r="AU151" t="n">
        <v>1018.013</v>
      </c>
      <c r="AV151" t="n">
        <v>763.252</v>
      </c>
      <c r="AW151" t="n">
        <v>608.1319999999999</v>
      </c>
      <c r="AX151" t="n">
        <v>610.729</v>
      </c>
      <c r="AY151" t="n">
        <v>447.429</v>
      </c>
      <c r="AZ151" t="n">
        <v>469.245</v>
      </c>
      <c r="BA151" t="n">
        <v>745.883</v>
      </c>
      <c r="BB151" t="n">
        <v>891.169</v>
      </c>
      <c r="BC151" t="n">
        <v>622.256</v>
      </c>
      <c r="BD151" t="n">
        <v>474.198</v>
      </c>
      <c r="BE151" t="n">
        <v>729.13</v>
      </c>
      <c r="BF151" t="n">
        <v>850.631</v>
      </c>
      <c r="BG151" t="n">
        <v>772.443</v>
      </c>
      <c r="BH151" t="n">
        <v>856.038</v>
      </c>
      <c r="BI151" t="n">
        <v>478.008</v>
      </c>
      <c r="BJ151" t="n">
        <v>746.796</v>
      </c>
      <c r="BK151" t="n">
        <v>706.667</v>
      </c>
      <c r="BL151" t="n">
        <v>1072.519</v>
      </c>
      <c r="BM151" t="n">
        <v>2001.377</v>
      </c>
      <c r="BN151" t="n">
        <v>1475.339</v>
      </c>
      <c r="BO151" t="n">
        <v>2139.353</v>
      </c>
      <c r="BP151" t="n">
        <v>1950.505</v>
      </c>
      <c r="BQ151" t="n">
        <v>2209.899</v>
      </c>
      <c r="BR151" t="n">
        <v>3219.329</v>
      </c>
      <c r="BS151" t="n">
        <v>3621.597</v>
      </c>
      <c r="BT151" t="n">
        <v>3350.677</v>
      </c>
      <c r="BU151" t="n">
        <v>2949.799</v>
      </c>
      <c r="BV151" t="n">
        <v>4192.314</v>
      </c>
    </row>
    <row r="152">
      <c r="A152" t="inlineStr">
        <is>
          <t>Dentex angolensis</t>
        </is>
      </c>
      <c r="B152" t="inlineStr">
        <is>
          <t>Angolan dentex</t>
        </is>
      </c>
      <c r="C152" t="inlineStr">
        <is>
          <t>Small demersals (&lt;30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601.046</v>
      </c>
      <c r="AE152" t="n">
        <v>147.326</v>
      </c>
      <c r="AF152" t="n">
        <v>2738.289</v>
      </c>
      <c r="AG152" t="n">
        <v>2840.896</v>
      </c>
      <c r="AH152" t="n">
        <v>284.18</v>
      </c>
      <c r="AI152" t="n">
        <v>0</v>
      </c>
      <c r="AJ152" t="n">
        <v>119.291</v>
      </c>
      <c r="AK152" t="n">
        <v>0</v>
      </c>
      <c r="AL152" t="n">
        <v>0</v>
      </c>
      <c r="AM152" t="n">
        <v>0</v>
      </c>
      <c r="AN152" t="n">
        <v>0</v>
      </c>
      <c r="AO152" t="n">
        <v>478.569</v>
      </c>
      <c r="AP152" t="n">
        <v>0</v>
      </c>
      <c r="AQ152" t="n">
        <v>408.807</v>
      </c>
      <c r="AR152" t="n">
        <v>57.156</v>
      </c>
      <c r="AS152" t="n">
        <v>392.343</v>
      </c>
      <c r="AT152" t="n">
        <v>252.844</v>
      </c>
      <c r="AU152" t="n">
        <v>275.122</v>
      </c>
      <c r="AV152" t="n">
        <v>414.619</v>
      </c>
      <c r="AW152" t="n">
        <v>177.281</v>
      </c>
      <c r="AX152" t="n">
        <v>572.527</v>
      </c>
      <c r="AY152" t="n">
        <v>473.717</v>
      </c>
      <c r="AZ152" t="n">
        <v>474.683</v>
      </c>
      <c r="BA152" t="n">
        <v>1371.739</v>
      </c>
      <c r="BB152" t="n">
        <v>1711.765</v>
      </c>
      <c r="BC152" t="n">
        <v>488.242</v>
      </c>
      <c r="BD152" t="n">
        <v>811.8049999999999</v>
      </c>
      <c r="BE152" t="n">
        <v>953.818</v>
      </c>
      <c r="BF152" t="n">
        <v>632.059</v>
      </c>
      <c r="BG152" t="n">
        <v>1896.939</v>
      </c>
      <c r="BH152" t="n">
        <v>2790.518</v>
      </c>
      <c r="BI152" t="n">
        <v>3030.425</v>
      </c>
      <c r="BJ152" t="n">
        <v>2390.148</v>
      </c>
      <c r="BK152" t="n">
        <v>2679.345</v>
      </c>
      <c r="BL152" t="n">
        <v>1155.851</v>
      </c>
      <c r="BM152" t="n">
        <v>1449.915</v>
      </c>
      <c r="BN152" t="n">
        <v>2050.722</v>
      </c>
      <c r="BO152" t="n">
        <v>1542.244</v>
      </c>
      <c r="BP152" t="n">
        <v>414.624</v>
      </c>
      <c r="BQ152" t="n">
        <v>330.342</v>
      </c>
      <c r="BR152" t="n">
        <v>587.941</v>
      </c>
      <c r="BS152" t="n">
        <v>411.712</v>
      </c>
      <c r="BT152" t="n">
        <v>520.537</v>
      </c>
      <c r="BU152" t="n">
        <v>578.234</v>
      </c>
      <c r="BV152" t="n">
        <v>1105.18</v>
      </c>
    </row>
    <row r="153">
      <c r="A153" t="inlineStr">
        <is>
          <t>Sphyraena afra</t>
        </is>
      </c>
      <c r="B153" t="inlineStr">
        <is>
          <t>Guinean barracuda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605.971</v>
      </c>
      <c r="F153" t="n">
        <v>628.039</v>
      </c>
      <c r="G153" t="n">
        <v>648.364</v>
      </c>
      <c r="H153" t="n">
        <v>670.508</v>
      </c>
      <c r="I153" t="n">
        <v>690.7809999999999</v>
      </c>
      <c r="J153" t="n">
        <v>709.751</v>
      </c>
      <c r="K153" t="n">
        <v>732.741</v>
      </c>
      <c r="L153" t="n">
        <v>747.072</v>
      </c>
      <c r="M153" t="n">
        <v>786.235</v>
      </c>
      <c r="N153" t="n">
        <v>800.9930000000001</v>
      </c>
      <c r="O153" t="n">
        <v>802.304</v>
      </c>
      <c r="P153" t="n">
        <v>821.198</v>
      </c>
      <c r="Q153" t="n">
        <v>850.974</v>
      </c>
      <c r="R153" t="n">
        <v>904.449</v>
      </c>
      <c r="S153" t="n">
        <v>918.677</v>
      </c>
      <c r="T153" t="n">
        <v>929.058</v>
      </c>
      <c r="U153" t="n">
        <v>892.145</v>
      </c>
      <c r="V153" t="n">
        <v>911.615</v>
      </c>
      <c r="W153" t="n">
        <v>859.886</v>
      </c>
      <c r="X153" t="n">
        <v>871.181</v>
      </c>
      <c r="Y153" t="n">
        <v>821.76</v>
      </c>
      <c r="Z153" t="n">
        <v>840.189</v>
      </c>
      <c r="AA153" t="n">
        <v>838.7859999999999</v>
      </c>
      <c r="AB153" t="n">
        <v>823.532</v>
      </c>
      <c r="AC153" t="n">
        <v>822.24</v>
      </c>
      <c r="AD153" t="n">
        <v>750.686</v>
      </c>
      <c r="AE153" t="n">
        <v>694.3150000000001</v>
      </c>
      <c r="AF153" t="n">
        <v>801.359</v>
      </c>
      <c r="AG153" t="n">
        <v>649.703</v>
      </c>
      <c r="AH153" t="n">
        <v>879.048</v>
      </c>
      <c r="AI153" t="n">
        <v>843.604</v>
      </c>
      <c r="AJ153" t="n">
        <v>796.563</v>
      </c>
      <c r="AK153" t="n">
        <v>708.198</v>
      </c>
      <c r="AL153" t="n">
        <v>702.942</v>
      </c>
      <c r="AM153" t="n">
        <v>682.754</v>
      </c>
      <c r="AN153" t="n">
        <v>637.872</v>
      </c>
      <c r="AO153" t="n">
        <v>644.533</v>
      </c>
      <c r="AP153" t="n">
        <v>621.6369999999999</v>
      </c>
      <c r="AQ153" t="n">
        <v>605.5940000000001</v>
      </c>
      <c r="AR153" t="n">
        <v>592.864</v>
      </c>
      <c r="AS153" t="n">
        <v>607.2859999999999</v>
      </c>
      <c r="AT153" t="n">
        <v>667.42</v>
      </c>
      <c r="AU153" t="n">
        <v>707.068</v>
      </c>
      <c r="AV153" t="n">
        <v>548.73</v>
      </c>
      <c r="AW153" t="n">
        <v>569.621</v>
      </c>
      <c r="AX153" t="n">
        <v>557.153</v>
      </c>
      <c r="AY153" t="n">
        <v>508.637</v>
      </c>
      <c r="AZ153" t="n">
        <v>502.276</v>
      </c>
      <c r="BA153" t="n">
        <v>433.65</v>
      </c>
      <c r="BB153" t="n">
        <v>305.093</v>
      </c>
      <c r="BC153" t="n">
        <v>956.379</v>
      </c>
      <c r="BD153" t="n">
        <v>275.29</v>
      </c>
      <c r="BE153" t="n">
        <v>768.336</v>
      </c>
      <c r="BF153" t="n">
        <v>37.812</v>
      </c>
      <c r="BG153" t="n">
        <v>84.75</v>
      </c>
      <c r="BH153" t="n">
        <v>2.395</v>
      </c>
      <c r="BI153" t="n">
        <v>139.844</v>
      </c>
      <c r="BJ153" t="n">
        <v>509.994</v>
      </c>
      <c r="BK153" t="n">
        <v>58.661</v>
      </c>
      <c r="BL153" t="n">
        <v>133.721</v>
      </c>
      <c r="BM153" t="n">
        <v>78.262</v>
      </c>
      <c r="BN153" t="n">
        <v>109.261</v>
      </c>
      <c r="BO153" t="n">
        <v>38.937</v>
      </c>
      <c r="BP153" t="n">
        <v>24.291</v>
      </c>
      <c r="BQ153" t="n">
        <v>12.349</v>
      </c>
      <c r="BR153" t="n">
        <v>69.974</v>
      </c>
      <c r="BS153" t="n">
        <v>69.05</v>
      </c>
      <c r="BT153" t="n">
        <v>68.29600000000001</v>
      </c>
      <c r="BU153" t="n">
        <v>68.19499999999999</v>
      </c>
      <c r="BV153" t="n">
        <v>74.851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n">
        <v>290.767</v>
      </c>
      <c r="F154" t="n">
        <v>297.278</v>
      </c>
      <c r="G154" t="n">
        <v>303.795</v>
      </c>
      <c r="H154" t="n">
        <v>310.316</v>
      </c>
      <c r="I154" t="n">
        <v>316.842</v>
      </c>
      <c r="J154" t="n">
        <v>323.373</v>
      </c>
      <c r="K154" t="n">
        <v>329.908</v>
      </c>
      <c r="L154" t="n">
        <v>328.172</v>
      </c>
      <c r="M154" t="n">
        <v>335.079</v>
      </c>
      <c r="N154" t="n">
        <v>333.715</v>
      </c>
      <c r="O154" t="n">
        <v>341.605</v>
      </c>
      <c r="P154" t="n">
        <v>355.162</v>
      </c>
      <c r="Q154" t="n">
        <v>365.235</v>
      </c>
      <c r="R154" t="n">
        <v>357.355</v>
      </c>
      <c r="S154" t="n">
        <v>358.57</v>
      </c>
      <c r="T154" t="n">
        <v>382.332</v>
      </c>
      <c r="U154" t="n">
        <v>360.724</v>
      </c>
      <c r="V154" t="n">
        <v>377.678</v>
      </c>
      <c r="W154" t="n">
        <v>309.949</v>
      </c>
      <c r="X154" t="n">
        <v>309.157</v>
      </c>
      <c r="Y154" t="n">
        <v>296.092</v>
      </c>
      <c r="Z154" t="n">
        <v>196.606</v>
      </c>
      <c r="AA154" t="n">
        <v>126.666</v>
      </c>
      <c r="AB154" t="n">
        <v>130.599</v>
      </c>
      <c r="AC154" t="n">
        <v>135.446</v>
      </c>
      <c r="AD154" t="n">
        <v>136.352</v>
      </c>
      <c r="AE154" t="n">
        <v>139.521</v>
      </c>
      <c r="AF154" t="n">
        <v>141.633</v>
      </c>
      <c r="AG154" t="n">
        <v>142.5</v>
      </c>
      <c r="AH154" t="n">
        <v>152.176</v>
      </c>
      <c r="AI154" t="n">
        <v>161.567</v>
      </c>
      <c r="AJ154" t="n">
        <v>151.016</v>
      </c>
      <c r="AK154" t="n">
        <v>169.186</v>
      </c>
      <c r="AL154" t="n">
        <v>180.064</v>
      </c>
      <c r="AM154" t="n">
        <v>148.665</v>
      </c>
      <c r="AN154" t="n">
        <v>143.226</v>
      </c>
      <c r="AO154" t="n">
        <v>141.81</v>
      </c>
      <c r="AP154" t="n">
        <v>162.487</v>
      </c>
      <c r="AQ154" t="n">
        <v>170.573</v>
      </c>
      <c r="AR154" t="n">
        <v>186.557</v>
      </c>
      <c r="AS154" t="n">
        <v>202.52</v>
      </c>
      <c r="AT154" t="n">
        <v>227.917</v>
      </c>
      <c r="AU154" t="n">
        <v>240.514</v>
      </c>
      <c r="AV154" t="n">
        <v>255.095</v>
      </c>
      <c r="AW154" t="n">
        <v>219.085</v>
      </c>
      <c r="AX154" t="n">
        <v>287.944</v>
      </c>
      <c r="AY154" t="n">
        <v>255.207</v>
      </c>
      <c r="AZ154" t="n">
        <v>243.278</v>
      </c>
      <c r="BA154" t="n">
        <v>242.505</v>
      </c>
      <c r="BB154" t="n">
        <v>265.471</v>
      </c>
      <c r="BC154" t="n">
        <v>367.391</v>
      </c>
      <c r="BD154" t="n">
        <v>487.396</v>
      </c>
      <c r="BE154" t="n">
        <v>478.516</v>
      </c>
      <c r="BF154" t="n">
        <v>357.457</v>
      </c>
      <c r="BG154" t="n">
        <v>424.212</v>
      </c>
      <c r="BH154" t="n">
        <v>342.016</v>
      </c>
      <c r="BI154" t="n">
        <v>413.058</v>
      </c>
      <c r="BJ154" t="n">
        <v>349.271</v>
      </c>
      <c r="BK154" t="n">
        <v>343.485</v>
      </c>
      <c r="BL154" t="n">
        <v>267.985</v>
      </c>
      <c r="BM154" t="n">
        <v>318.732</v>
      </c>
      <c r="BN154" t="n">
        <v>294.833</v>
      </c>
      <c r="BO154" t="n">
        <v>281.181</v>
      </c>
      <c r="BP154" t="n">
        <v>4136.938</v>
      </c>
      <c r="BQ154" t="n">
        <v>3653.995</v>
      </c>
      <c r="BR154" t="n">
        <v>4311.342</v>
      </c>
      <c r="BS154" t="n">
        <v>2372.716</v>
      </c>
      <c r="BT154" t="n">
        <v>1978.364</v>
      </c>
      <c r="BU154" t="n">
        <v>4100.943</v>
      </c>
      <c r="BV154" t="n">
        <v>1639.898</v>
      </c>
    </row>
    <row r="155">
      <c r="A155" t="inlineStr">
        <is>
          <t>Centrophorus</t>
        </is>
      </c>
      <c r="B155" t="inlineStr">
        <is>
          <t>Gulper shark dogfishes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9.640000000000001</v>
      </c>
      <c r="F155" t="n">
        <v>9.776</v>
      </c>
      <c r="G155" t="n">
        <v>9.912000000000001</v>
      </c>
      <c r="H155" t="n">
        <v>10.355</v>
      </c>
      <c r="I155" t="n">
        <v>10.805</v>
      </c>
      <c r="J155" t="n">
        <v>11.261</v>
      </c>
      <c r="K155" t="n">
        <v>11.724</v>
      </c>
      <c r="L155" t="n">
        <v>12.193</v>
      </c>
      <c r="M155" t="n">
        <v>45.941</v>
      </c>
      <c r="N155" t="n">
        <v>70.012</v>
      </c>
      <c r="O155" t="n">
        <v>103.277</v>
      </c>
      <c r="P155" t="n">
        <v>136.302</v>
      </c>
      <c r="Q155" t="n">
        <v>169.084</v>
      </c>
      <c r="R155" t="n">
        <v>163.776</v>
      </c>
      <c r="S155" t="n">
        <v>167.946</v>
      </c>
      <c r="T155" t="n">
        <v>163.848</v>
      </c>
      <c r="U155" t="n">
        <v>160.9</v>
      </c>
      <c r="V155" t="n">
        <v>159.085</v>
      </c>
      <c r="W155" t="n">
        <v>162.372</v>
      </c>
      <c r="X155" t="n">
        <v>274.699</v>
      </c>
      <c r="Y155" t="n">
        <v>289.77</v>
      </c>
      <c r="Z155" t="n">
        <v>302.874</v>
      </c>
      <c r="AA155" t="n">
        <v>311.913</v>
      </c>
      <c r="AB155" t="n">
        <v>316.952</v>
      </c>
      <c r="AC155" t="n">
        <v>213.428</v>
      </c>
      <c r="AD155" t="n">
        <v>205.281</v>
      </c>
      <c r="AE155" t="n">
        <v>230.168</v>
      </c>
      <c r="AF155" t="n">
        <v>314.779</v>
      </c>
      <c r="AG155" t="n">
        <v>332.741</v>
      </c>
      <c r="AH155" t="n">
        <v>343.246</v>
      </c>
      <c r="AI155" t="n">
        <v>381.554</v>
      </c>
      <c r="AJ155" t="n">
        <v>410.904</v>
      </c>
      <c r="AK155" t="n">
        <v>386.146</v>
      </c>
      <c r="AL155" t="n">
        <v>383.916</v>
      </c>
      <c r="AM155" t="n">
        <v>470.445</v>
      </c>
      <c r="AN155" t="n">
        <v>509.371</v>
      </c>
      <c r="AO155" t="n">
        <v>584.361</v>
      </c>
      <c r="AP155" t="n">
        <v>649.119</v>
      </c>
      <c r="AQ155" t="n">
        <v>754.086</v>
      </c>
      <c r="AR155" t="n">
        <v>764.3869999999999</v>
      </c>
      <c r="AS155" t="n">
        <v>816.428</v>
      </c>
      <c r="AT155" t="n">
        <v>809.778</v>
      </c>
      <c r="AU155" t="n">
        <v>803.602</v>
      </c>
      <c r="AV155" t="n">
        <v>802.592</v>
      </c>
      <c r="AW155" t="n">
        <v>806.653</v>
      </c>
      <c r="AX155" t="n">
        <v>815.691</v>
      </c>
      <c r="AY155" t="n">
        <v>829.611</v>
      </c>
      <c r="AZ155" t="n">
        <v>843.388</v>
      </c>
      <c r="BA155" t="n">
        <v>852.236</v>
      </c>
      <c r="BB155" t="n">
        <v>856.155</v>
      </c>
      <c r="BC155" t="n">
        <v>855.145</v>
      </c>
      <c r="BD155" t="n">
        <v>849.206</v>
      </c>
      <c r="BE155" t="n">
        <v>850.457</v>
      </c>
      <c r="BF155" t="n">
        <v>858.898</v>
      </c>
      <c r="BG155" t="n">
        <v>881.27</v>
      </c>
      <c r="BH155" t="n">
        <v>904.091</v>
      </c>
      <c r="BI155" t="n">
        <v>887.476</v>
      </c>
      <c r="BJ155" t="n">
        <v>875.0549999999999</v>
      </c>
      <c r="BK155" t="n">
        <v>862.109</v>
      </c>
      <c r="BL155" t="n">
        <v>272.431</v>
      </c>
      <c r="BM155" t="n">
        <v>1002.241</v>
      </c>
      <c r="BN155" t="n">
        <v>1019.889</v>
      </c>
      <c r="BO155" t="n">
        <v>1050.983</v>
      </c>
      <c r="BP155" t="n">
        <v>1074.338</v>
      </c>
      <c r="BQ155" t="n">
        <v>1113.023</v>
      </c>
      <c r="BR155" t="n">
        <v>1151.586</v>
      </c>
      <c r="BS155" t="n">
        <v>1193.984</v>
      </c>
      <c r="BT155" t="n">
        <v>1239.651</v>
      </c>
      <c r="BU155" t="n">
        <v>1280.163</v>
      </c>
      <c r="BV155" t="n">
        <v>1323.796</v>
      </c>
    </row>
    <row r="156">
      <c r="A156" t="inlineStr">
        <is>
          <t>Scorpaenidae</t>
        </is>
      </c>
      <c r="B156" t="inlineStr">
        <is>
          <t>Scorpionfishes, rockfishes</t>
        </is>
      </c>
      <c r="C156" t="inlineStr">
        <is>
          <t>Large reef assoc. fish (&gt;=90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0.013</v>
      </c>
      <c r="T156" t="n">
        <v>0.013</v>
      </c>
      <c r="U156" t="n">
        <v>61.221</v>
      </c>
      <c r="V156" t="n">
        <v>0.012</v>
      </c>
      <c r="W156" t="n">
        <v>60.728</v>
      </c>
      <c r="X156" t="n">
        <v>86.94499999999999</v>
      </c>
      <c r="Y156" t="n">
        <v>114.746</v>
      </c>
      <c r="Z156" t="n">
        <v>113.526</v>
      </c>
      <c r="AA156" t="n">
        <v>47.749</v>
      </c>
      <c r="AB156" t="n">
        <v>35.27</v>
      </c>
      <c r="AC156" t="n">
        <v>52.881</v>
      </c>
      <c r="AD156" t="n">
        <v>72.625</v>
      </c>
      <c r="AE156" t="n">
        <v>60.298</v>
      </c>
      <c r="AF156" t="n">
        <v>36.996</v>
      </c>
      <c r="AG156" t="n">
        <v>38.585</v>
      </c>
      <c r="AH156" t="n">
        <v>32.278</v>
      </c>
      <c r="AI156" t="n">
        <v>197.874</v>
      </c>
      <c r="AJ156" t="n">
        <v>9.147</v>
      </c>
      <c r="AK156" t="n">
        <v>12.111</v>
      </c>
      <c r="AL156" t="n">
        <v>26.36</v>
      </c>
      <c r="AM156" t="n">
        <v>22.93</v>
      </c>
      <c r="AN156" t="n">
        <v>30.755</v>
      </c>
      <c r="AO156" t="n">
        <v>33.711</v>
      </c>
      <c r="AP156" t="n">
        <v>14.042</v>
      </c>
      <c r="AQ156" t="n">
        <v>49.916</v>
      </c>
      <c r="AR156" t="n">
        <v>32.643</v>
      </c>
      <c r="AS156" t="n">
        <v>97.559</v>
      </c>
      <c r="AT156" t="n">
        <v>83.449</v>
      </c>
      <c r="AU156" t="n">
        <v>59.627</v>
      </c>
      <c r="AV156" t="n">
        <v>47.321</v>
      </c>
      <c r="AW156" t="n">
        <v>36.116</v>
      </c>
      <c r="AX156" t="n">
        <v>2.489</v>
      </c>
      <c r="AY156" t="n">
        <v>5.503</v>
      </c>
      <c r="AZ156" t="n">
        <v>3.209</v>
      </c>
      <c r="BA156" t="n">
        <v>3.796</v>
      </c>
      <c r="BB156" t="n">
        <v>4.754</v>
      </c>
      <c r="BC156" t="n">
        <v>9.183999999999999</v>
      </c>
      <c r="BD156" t="n">
        <v>9.811</v>
      </c>
      <c r="BE156" t="n">
        <v>3.711</v>
      </c>
      <c r="BF156" t="n">
        <v>5.57</v>
      </c>
      <c r="BG156" t="n">
        <v>15.385</v>
      </c>
      <c r="BH156" t="n">
        <v>8.391999999999999</v>
      </c>
      <c r="BI156" t="n">
        <v>7.36</v>
      </c>
      <c r="BJ156" t="n">
        <v>9.808999999999999</v>
      </c>
      <c r="BK156" t="n">
        <v>10.847</v>
      </c>
      <c r="BL156" t="n">
        <v>8.346</v>
      </c>
      <c r="BM156" t="n">
        <v>105.542</v>
      </c>
      <c r="BN156" t="n">
        <v>112.864</v>
      </c>
      <c r="BO156" t="n">
        <v>69.999</v>
      </c>
      <c r="BP156" t="n">
        <v>70.261</v>
      </c>
      <c r="BQ156" t="n">
        <v>435.361</v>
      </c>
      <c r="BR156" t="n">
        <v>274.751</v>
      </c>
      <c r="BS156" t="n">
        <v>8953.444</v>
      </c>
      <c r="BT156" t="n">
        <v>8906.245999999999</v>
      </c>
      <c r="BU156" t="n">
        <v>8922.834000000001</v>
      </c>
      <c r="BV156" t="n">
        <v>8117.932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187.968</v>
      </c>
      <c r="AA157" t="n">
        <v>143.597</v>
      </c>
      <c r="AB157" t="n">
        <v>217.694</v>
      </c>
      <c r="AC157" t="n">
        <v>257.618</v>
      </c>
      <c r="AD157" t="n">
        <v>295.151</v>
      </c>
      <c r="AE157" t="n">
        <v>69.36</v>
      </c>
      <c r="AF157" t="n">
        <v>314.499</v>
      </c>
      <c r="AG157" t="n">
        <v>195.533</v>
      </c>
      <c r="AH157" t="n">
        <v>178.763</v>
      </c>
      <c r="AI157" t="n">
        <v>360.635</v>
      </c>
      <c r="AJ157" t="n">
        <v>672.822</v>
      </c>
      <c r="AK157" t="n">
        <v>1002.636</v>
      </c>
      <c r="AL157" t="n">
        <v>359.956</v>
      </c>
      <c r="AM157" t="n">
        <v>116.049</v>
      </c>
      <c r="AN157" t="n">
        <v>30.786</v>
      </c>
      <c r="AO157" t="n">
        <v>46.885</v>
      </c>
      <c r="AP157" t="n">
        <v>59.244</v>
      </c>
      <c r="AQ157" t="n">
        <v>386.628</v>
      </c>
      <c r="AR157" t="n">
        <v>398.864</v>
      </c>
      <c r="AS157" t="n">
        <v>278.434</v>
      </c>
      <c r="AT157" t="n">
        <v>374.294</v>
      </c>
      <c r="AU157" t="n">
        <v>378.696</v>
      </c>
      <c r="AV157" t="n">
        <v>526.381</v>
      </c>
      <c r="AW157" t="n">
        <v>510.224</v>
      </c>
      <c r="AX157" t="n">
        <v>601.539</v>
      </c>
      <c r="AY157" t="n">
        <v>623.03</v>
      </c>
      <c r="AZ157" t="n">
        <v>946.503</v>
      </c>
      <c r="BA157" t="n">
        <v>1017.579</v>
      </c>
      <c r="BB157" t="n">
        <v>794.643</v>
      </c>
      <c r="BC157" t="n">
        <v>885.89</v>
      </c>
      <c r="BD157" t="n">
        <v>777.442</v>
      </c>
      <c r="BE157" t="n">
        <v>1011.054</v>
      </c>
      <c r="BF157" t="n">
        <v>971.717</v>
      </c>
      <c r="BG157" t="n">
        <v>862.317</v>
      </c>
      <c r="BH157" t="n">
        <v>1006.329</v>
      </c>
      <c r="BI157" t="n">
        <v>682.6319999999999</v>
      </c>
      <c r="BJ157" t="n">
        <v>768.626</v>
      </c>
      <c r="BK157" t="n">
        <v>862.378</v>
      </c>
      <c r="BL157" t="n">
        <v>692.326</v>
      </c>
      <c r="BM157" t="n">
        <v>2041.393</v>
      </c>
      <c r="BN157" t="n">
        <v>1236.957</v>
      </c>
      <c r="BO157" t="n">
        <v>2073.659</v>
      </c>
      <c r="BP157" t="n">
        <v>1541.069</v>
      </c>
      <c r="BQ157" t="n">
        <v>1668.167</v>
      </c>
      <c r="BR157" t="n">
        <v>1978.385</v>
      </c>
      <c r="BS157" t="n">
        <v>1997.605</v>
      </c>
      <c r="BT157" t="n">
        <v>2208.69</v>
      </c>
      <c r="BU157" t="n">
        <v>1033.584</v>
      </c>
      <c r="BV157" t="n">
        <v>1741.492</v>
      </c>
    </row>
    <row r="158">
      <c r="A158" t="inlineStr">
        <is>
          <t>Lutjanus endecacanthus</t>
        </is>
      </c>
      <c r="B158" t="inlineStr">
        <is>
          <t>Guinea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21.488</v>
      </c>
      <c r="X158" t="n">
        <v>43.87</v>
      </c>
      <c r="Y158" t="n">
        <v>67.149</v>
      </c>
      <c r="Z158" t="n">
        <v>91.33199999999999</v>
      </c>
      <c r="AA158" t="n">
        <v>116.421</v>
      </c>
      <c r="AB158" t="n">
        <v>134.487</v>
      </c>
      <c r="AC158" t="n">
        <v>160.05</v>
      </c>
      <c r="AD158" t="n">
        <v>189.906</v>
      </c>
      <c r="AE158" t="n">
        <v>244.225</v>
      </c>
      <c r="AF158" t="n">
        <v>312.075</v>
      </c>
      <c r="AG158" t="n">
        <v>347.025</v>
      </c>
      <c r="AH158" t="n">
        <v>388.029</v>
      </c>
      <c r="AI158" t="n">
        <v>480.55</v>
      </c>
      <c r="AJ158" t="n">
        <v>564.675</v>
      </c>
      <c r="AK158" t="n">
        <v>654.519</v>
      </c>
      <c r="AL158" t="n">
        <v>774.2569999999999</v>
      </c>
      <c r="AM158" t="n">
        <v>770.1180000000001</v>
      </c>
      <c r="AN158" t="n">
        <v>777.798</v>
      </c>
      <c r="AO158" t="n">
        <v>772.158</v>
      </c>
      <c r="AP158" t="n">
        <v>744.333</v>
      </c>
      <c r="AQ158" t="n">
        <v>780.1130000000001</v>
      </c>
      <c r="AR158" t="n">
        <v>708.677</v>
      </c>
      <c r="AS158" t="n">
        <v>688.9640000000001</v>
      </c>
      <c r="AT158" t="n">
        <v>722.74</v>
      </c>
      <c r="AU158" t="n">
        <v>812.717</v>
      </c>
      <c r="AV158" t="n">
        <v>894.508</v>
      </c>
      <c r="AW158" t="n">
        <v>1072.847</v>
      </c>
      <c r="AX158" t="n">
        <v>1067.048</v>
      </c>
      <c r="AY158" t="n">
        <v>1026.114</v>
      </c>
      <c r="AZ158" t="n">
        <v>1150.616</v>
      </c>
      <c r="BA158" t="n">
        <v>1054.791</v>
      </c>
      <c r="BB158" t="n">
        <v>1043.473</v>
      </c>
      <c r="BC158" t="n">
        <v>1298.129</v>
      </c>
      <c r="BD158" t="n">
        <v>1304.433</v>
      </c>
      <c r="BE158" t="n">
        <v>1511.828</v>
      </c>
      <c r="BF158" t="n">
        <v>1509.225</v>
      </c>
      <c r="BG158" t="n">
        <v>1532.502</v>
      </c>
      <c r="BH158" t="n">
        <v>1451.629</v>
      </c>
      <c r="BI158" t="n">
        <v>1165.136</v>
      </c>
      <c r="BJ158" t="n">
        <v>821.611</v>
      </c>
      <c r="BK158" t="n">
        <v>727.789</v>
      </c>
      <c r="BL158" t="n">
        <v>702.706</v>
      </c>
      <c r="BM158" t="n">
        <v>666.001</v>
      </c>
      <c r="BN158" t="n">
        <v>865.862</v>
      </c>
      <c r="BO158" t="n">
        <v>803.485</v>
      </c>
      <c r="BP158" t="n">
        <v>749.01</v>
      </c>
      <c r="BQ158" t="n">
        <v>642.319</v>
      </c>
      <c r="BR158" t="n">
        <v>555.176</v>
      </c>
      <c r="BS158" t="n">
        <v>516.586</v>
      </c>
      <c r="BT158" t="n">
        <v>478.334</v>
      </c>
      <c r="BU158" t="n">
        <v>478.222</v>
      </c>
      <c r="BV158" t="n">
        <v>478.072</v>
      </c>
    </row>
    <row r="159">
      <c r="A159" t="inlineStr">
        <is>
          <t>Scorpaeniformes</t>
        </is>
      </c>
      <c r="B159" t="inlineStr">
        <is>
          <t>Scorpionfishes, flatheads</t>
        </is>
      </c>
      <c r="C159" t="inlineStr">
        <is>
          <t>Medium demersals (30 - 89 cm)</t>
        </is>
      </c>
      <c r="D159" t="inlineStr">
        <is>
          <t>Scorpionfishes</t>
        </is>
      </c>
      <c r="E159" t="n">
        <v>310.912</v>
      </c>
      <c r="F159" t="n">
        <v>316.204</v>
      </c>
      <c r="G159" t="n">
        <v>321.412</v>
      </c>
      <c r="H159" t="n">
        <v>327.261</v>
      </c>
      <c r="I159" t="n">
        <v>332.656</v>
      </c>
      <c r="J159" t="n">
        <v>337.6</v>
      </c>
      <c r="K159" t="n">
        <v>343.15</v>
      </c>
      <c r="L159" t="n">
        <v>346.679</v>
      </c>
      <c r="M159" t="n">
        <v>362.537</v>
      </c>
      <c r="N159" t="n">
        <v>373.99</v>
      </c>
      <c r="O159" t="n">
        <v>386.587</v>
      </c>
      <c r="P159" t="n">
        <v>402.029</v>
      </c>
      <c r="Q159" t="n">
        <v>427.005</v>
      </c>
      <c r="R159" t="n">
        <v>394.938</v>
      </c>
      <c r="S159" t="n">
        <v>366.086</v>
      </c>
      <c r="T159" t="n">
        <v>356.487</v>
      </c>
      <c r="U159" t="n">
        <v>324.425</v>
      </c>
      <c r="V159" t="n">
        <v>374.568</v>
      </c>
      <c r="W159" t="n">
        <v>377.603</v>
      </c>
      <c r="X159" t="n">
        <v>422.747</v>
      </c>
      <c r="Y159" t="n">
        <v>377.101</v>
      </c>
      <c r="Z159" t="n">
        <v>501.108</v>
      </c>
      <c r="AA159" t="n">
        <v>524.206</v>
      </c>
      <c r="AB159" t="n">
        <v>537.0940000000001</v>
      </c>
      <c r="AC159" t="n">
        <v>530.296</v>
      </c>
      <c r="AD159" t="n">
        <v>534.715</v>
      </c>
      <c r="AE159" t="n">
        <v>420.999</v>
      </c>
      <c r="AF159" t="n">
        <v>524.246</v>
      </c>
      <c r="AG159" t="n">
        <v>525.217</v>
      </c>
      <c r="AH159" t="n">
        <v>676.954</v>
      </c>
      <c r="AI159" t="n">
        <v>688.404</v>
      </c>
      <c r="AJ159" t="n">
        <v>618.845</v>
      </c>
      <c r="AK159" t="n">
        <v>566.523</v>
      </c>
      <c r="AL159" t="n">
        <v>637.907</v>
      </c>
      <c r="AM159" t="n">
        <v>614.534</v>
      </c>
      <c r="AN159" t="n">
        <v>544.957</v>
      </c>
      <c r="AO159" t="n">
        <v>567.27</v>
      </c>
      <c r="AP159" t="n">
        <v>571.28</v>
      </c>
      <c r="AQ159" t="n">
        <v>557.067</v>
      </c>
      <c r="AR159" t="n">
        <v>549.074</v>
      </c>
      <c r="AS159" t="n">
        <v>556.446</v>
      </c>
      <c r="AT159" t="n">
        <v>595.7619999999999</v>
      </c>
      <c r="AU159" t="n">
        <v>609.952</v>
      </c>
      <c r="AV159" t="n">
        <v>550.3819999999999</v>
      </c>
      <c r="AW159" t="n">
        <v>515.396</v>
      </c>
      <c r="AX159" t="n">
        <v>483.663</v>
      </c>
      <c r="AY159" t="n">
        <v>478.456</v>
      </c>
      <c r="AZ159" t="n">
        <v>449.368</v>
      </c>
      <c r="BA159" t="n">
        <v>432.994</v>
      </c>
      <c r="BB159" t="n">
        <v>401.819</v>
      </c>
      <c r="BC159" t="n">
        <v>1749.937</v>
      </c>
      <c r="BD159" t="n">
        <v>376.513</v>
      </c>
      <c r="BE159" t="n">
        <v>401.654</v>
      </c>
      <c r="BF159" t="n">
        <v>305.942</v>
      </c>
      <c r="BG159" t="n">
        <v>340.779</v>
      </c>
      <c r="BH159" t="n">
        <v>470.088</v>
      </c>
      <c r="BI159" t="n">
        <v>452.797</v>
      </c>
      <c r="BJ159" t="n">
        <v>505.97</v>
      </c>
      <c r="BK159" t="n">
        <v>435.496</v>
      </c>
      <c r="BL159" t="n">
        <v>305.575</v>
      </c>
      <c r="BM159" t="n">
        <v>429.427</v>
      </c>
      <c r="BN159" t="n">
        <v>367.492</v>
      </c>
      <c r="BO159" t="n">
        <v>335.493</v>
      </c>
      <c r="BP159" t="n">
        <v>352.628</v>
      </c>
      <c r="BQ159" t="n">
        <v>371.317</v>
      </c>
      <c r="BR159" t="n">
        <v>426.159</v>
      </c>
      <c r="BS159" t="n">
        <v>462.866</v>
      </c>
      <c r="BT159" t="n">
        <v>442.66</v>
      </c>
      <c r="BU159" t="n">
        <v>474.305</v>
      </c>
      <c r="BV159" t="n">
        <v>471.76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53.591</v>
      </c>
      <c r="F160" t="n">
        <v>60.975</v>
      </c>
      <c r="G160" t="n">
        <v>36.296</v>
      </c>
      <c r="H160" t="n">
        <v>59.023</v>
      </c>
      <c r="I160" t="n">
        <v>37.524</v>
      </c>
      <c r="J160" t="n">
        <v>34.004</v>
      </c>
      <c r="K160" t="n">
        <v>64.789</v>
      </c>
      <c r="L160" t="n">
        <v>85.06699999999999</v>
      </c>
      <c r="M160" t="n">
        <v>63.339</v>
      </c>
      <c r="N160" t="n">
        <v>46.952</v>
      </c>
      <c r="O160" t="n">
        <v>30.243</v>
      </c>
      <c r="P160" t="n">
        <v>32.14</v>
      </c>
      <c r="Q160" t="n">
        <v>36.905</v>
      </c>
      <c r="R160" t="n">
        <v>48.632</v>
      </c>
      <c r="S160" t="n">
        <v>67.242</v>
      </c>
      <c r="T160" t="n">
        <v>91.06399999999999</v>
      </c>
      <c r="U160" t="n">
        <v>95.77500000000001</v>
      </c>
      <c r="V160" t="n">
        <v>101.115</v>
      </c>
      <c r="W160" t="n">
        <v>78.514</v>
      </c>
      <c r="X160" t="n">
        <v>121.103</v>
      </c>
      <c r="Y160" t="n">
        <v>143.709</v>
      </c>
      <c r="Z160" t="n">
        <v>146.386</v>
      </c>
      <c r="AA160" t="n">
        <v>186.555</v>
      </c>
      <c r="AB160" t="n">
        <v>111.449</v>
      </c>
      <c r="AC160" t="n">
        <v>221.042</v>
      </c>
      <c r="AD160" t="n">
        <v>263.941</v>
      </c>
      <c r="AE160" t="n">
        <v>577.418</v>
      </c>
      <c r="AF160" t="n">
        <v>254.173</v>
      </c>
      <c r="AG160" t="n">
        <v>234.523</v>
      </c>
      <c r="AH160" t="n">
        <v>250.434</v>
      </c>
      <c r="AI160" t="n">
        <v>388.084</v>
      </c>
      <c r="AJ160" t="n">
        <v>262.744</v>
      </c>
      <c r="AK160" t="n">
        <v>119.99</v>
      </c>
      <c r="AL160" t="n">
        <v>132.95</v>
      </c>
      <c r="AM160" t="n">
        <v>119.523</v>
      </c>
      <c r="AN160" t="n">
        <v>406.894</v>
      </c>
      <c r="AO160" t="n">
        <v>409.777</v>
      </c>
      <c r="AP160" t="n">
        <v>310.622</v>
      </c>
      <c r="AQ160" t="n">
        <v>249.64</v>
      </c>
      <c r="AR160" t="n">
        <v>283.174</v>
      </c>
      <c r="AS160" t="n">
        <v>162.925</v>
      </c>
      <c r="AT160" t="n">
        <v>438.948</v>
      </c>
      <c r="AU160" t="n">
        <v>81.864</v>
      </c>
      <c r="AV160" t="n">
        <v>21.289</v>
      </c>
      <c r="AW160" t="n">
        <v>27.8</v>
      </c>
      <c r="AX160" t="n">
        <v>12.324</v>
      </c>
      <c r="AY160" t="n">
        <v>81.45</v>
      </c>
      <c r="AZ160" t="n">
        <v>107.086</v>
      </c>
      <c r="BA160" t="n">
        <v>123.156</v>
      </c>
      <c r="BB160" t="n">
        <v>114.495</v>
      </c>
      <c r="BC160" t="n">
        <v>5.044</v>
      </c>
      <c r="BD160" t="n">
        <v>54.374</v>
      </c>
      <c r="BE160" t="n">
        <v>63.14</v>
      </c>
      <c r="BF160" t="n">
        <v>45.085</v>
      </c>
      <c r="BG160" t="n">
        <v>60.129</v>
      </c>
      <c r="BH160" t="n">
        <v>30.139</v>
      </c>
      <c r="BI160" t="n">
        <v>127.45</v>
      </c>
      <c r="BJ160" t="n">
        <v>307.747</v>
      </c>
      <c r="BK160" t="n">
        <v>677.853</v>
      </c>
      <c r="BL160" t="n">
        <v>813.075</v>
      </c>
      <c r="BM160" t="n">
        <v>264.758</v>
      </c>
      <c r="BN160" t="n">
        <v>552.042</v>
      </c>
      <c r="BO160" t="n">
        <v>460.249</v>
      </c>
      <c r="BP160" t="n">
        <v>653.702</v>
      </c>
      <c r="BQ160" t="n">
        <v>704.59</v>
      </c>
      <c r="BR160" t="n">
        <v>606.0309999999999</v>
      </c>
      <c r="BS160" t="n">
        <v>737.246</v>
      </c>
      <c r="BT160" t="n">
        <v>5893.835</v>
      </c>
      <c r="BU160" t="n">
        <v>6228.56</v>
      </c>
      <c r="BV160" t="n">
        <v>6560.884</v>
      </c>
    </row>
    <row r="161">
      <c r="A161" t="inlineStr">
        <is>
          <t>Carcharhinidae</t>
        </is>
      </c>
      <c r="B161" t="inlineStr">
        <is>
          <t>Requiem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19.546</v>
      </c>
      <c r="F161" t="n">
        <v>22.238</v>
      </c>
      <c r="G161" t="n">
        <v>13.238</v>
      </c>
      <c r="H161" t="n">
        <v>21.527</v>
      </c>
      <c r="I161" t="n">
        <v>13.686</v>
      </c>
      <c r="J161" t="n">
        <v>12.402</v>
      </c>
      <c r="K161" t="n">
        <v>23.629</v>
      </c>
      <c r="L161" t="n">
        <v>31.025</v>
      </c>
      <c r="M161" t="n">
        <v>23.102</v>
      </c>
      <c r="N161" t="n">
        <v>17.058</v>
      </c>
      <c r="O161" t="n">
        <v>10.964</v>
      </c>
      <c r="P161" t="n">
        <v>11.657</v>
      </c>
      <c r="Q161" t="n">
        <v>13.381</v>
      </c>
      <c r="R161" t="n">
        <v>17.664</v>
      </c>
      <c r="S161" t="n">
        <v>24.459</v>
      </c>
      <c r="T161" t="n">
        <v>33.16</v>
      </c>
      <c r="U161" t="n">
        <v>34.879</v>
      </c>
      <c r="V161" t="n">
        <v>36.829</v>
      </c>
      <c r="W161" t="n">
        <v>28.577</v>
      </c>
      <c r="X161" t="n">
        <v>44.128</v>
      </c>
      <c r="Y161" t="n">
        <v>52.355</v>
      </c>
      <c r="Z161" t="n">
        <v>53.321</v>
      </c>
      <c r="AA161" t="n">
        <v>67.991</v>
      </c>
      <c r="AB161" t="n">
        <v>210.314</v>
      </c>
      <c r="AC161" t="n">
        <v>561.085</v>
      </c>
      <c r="AD161" t="n">
        <v>3338.177</v>
      </c>
      <c r="AE161" t="n">
        <v>19.801</v>
      </c>
      <c r="AF161" t="n">
        <v>9.44</v>
      </c>
      <c r="AG161" t="n">
        <v>32.013</v>
      </c>
      <c r="AH161" t="n">
        <v>202.805</v>
      </c>
      <c r="AI161" t="n">
        <v>216.586</v>
      </c>
      <c r="AJ161" t="n">
        <v>109.696</v>
      </c>
      <c r="AK161" t="n">
        <v>97.25700000000001</v>
      </c>
      <c r="AL161" t="n">
        <v>40.48</v>
      </c>
      <c r="AM161" t="n">
        <v>0</v>
      </c>
      <c r="AN161" t="n">
        <v>336.38</v>
      </c>
      <c r="AO161" t="n">
        <v>91.021</v>
      </c>
      <c r="AP161" t="n">
        <v>262.952</v>
      </c>
      <c r="AQ161" t="n">
        <v>1.108</v>
      </c>
      <c r="AR161" t="n">
        <v>286.854</v>
      </c>
      <c r="AS161" t="n">
        <v>139.96</v>
      </c>
      <c r="AT161" t="n">
        <v>52.531</v>
      </c>
      <c r="AU161" t="n">
        <v>122.977</v>
      </c>
      <c r="AV161" t="n">
        <v>248.218</v>
      </c>
      <c r="AW161" t="n">
        <v>206.51</v>
      </c>
      <c r="AX161" t="n">
        <v>196.984</v>
      </c>
      <c r="AY161" t="n">
        <v>145.044</v>
      </c>
      <c r="AZ161" t="n">
        <v>131.323</v>
      </c>
      <c r="BA161" t="n">
        <v>418.38</v>
      </c>
      <c r="BB161" t="n">
        <v>1773.7</v>
      </c>
      <c r="BC161" t="n">
        <v>194.422</v>
      </c>
      <c r="BD161" t="n">
        <v>354.802</v>
      </c>
      <c r="BE161" t="n">
        <v>762.272</v>
      </c>
      <c r="BF161" t="n">
        <v>345.422</v>
      </c>
      <c r="BG161" t="n">
        <v>320.641</v>
      </c>
      <c r="BH161" t="n">
        <v>1090.447</v>
      </c>
      <c r="BI161" t="n">
        <v>188.472</v>
      </c>
      <c r="BJ161" t="n">
        <v>350.072</v>
      </c>
      <c r="BK161" t="n">
        <v>1032.26</v>
      </c>
      <c r="BL161" t="n">
        <v>2082.138</v>
      </c>
      <c r="BM161" t="n">
        <v>1273.011</v>
      </c>
      <c r="BN161" t="n">
        <v>1288.009</v>
      </c>
      <c r="BO161" t="n">
        <v>1063.951</v>
      </c>
      <c r="BP161" t="n">
        <v>1524.644</v>
      </c>
      <c r="BQ161" t="n">
        <v>1723.814</v>
      </c>
      <c r="BR161" t="n">
        <v>1505.964</v>
      </c>
      <c r="BS161" t="n">
        <v>2027.323</v>
      </c>
      <c r="BT161" t="n">
        <v>1225.416</v>
      </c>
      <c r="BU161" t="n">
        <v>1953.085</v>
      </c>
      <c r="BV161" t="n">
        <v>1916.23</v>
      </c>
    </row>
    <row r="162">
      <c r="A162" t="inlineStr">
        <is>
          <t>Guentherus altivela</t>
        </is>
      </c>
      <c r="B162" t="inlineStr">
        <is>
          <t>Jellynose</t>
        </is>
      </c>
      <c r="C162" t="inlineStr">
        <is>
          <t>Large bathydemersals (&gt;=90 cm)</t>
        </is>
      </c>
      <c r="D162" t="inlineStr">
        <is>
          <t>Other fishes &amp; inverts</t>
        </is>
      </c>
      <c r="E162" t="n">
        <v>8.1</v>
      </c>
      <c r="F162" t="n">
        <v>8.214</v>
      </c>
      <c r="G162" t="n">
        <v>8.327999999999999</v>
      </c>
      <c r="H162" t="n">
        <v>8.699999999999999</v>
      </c>
      <c r="I162" t="n">
        <v>9.077999999999999</v>
      </c>
      <c r="J162" t="n">
        <v>9.462</v>
      </c>
      <c r="K162" t="n">
        <v>9.85</v>
      </c>
      <c r="L162" t="n">
        <v>10.245</v>
      </c>
      <c r="M162" t="n">
        <v>38.6</v>
      </c>
      <c r="N162" t="n">
        <v>58.825</v>
      </c>
      <c r="O162" t="n">
        <v>86.77500000000001</v>
      </c>
      <c r="P162" t="n">
        <v>114.522</v>
      </c>
      <c r="Q162" t="n">
        <v>142.067</v>
      </c>
      <c r="R162" t="n">
        <v>137.607</v>
      </c>
      <c r="S162" t="n">
        <v>141.11</v>
      </c>
      <c r="T162" t="n">
        <v>137.667</v>
      </c>
      <c r="U162" t="n">
        <v>135.19</v>
      </c>
      <c r="V162" t="n">
        <v>133.665</v>
      </c>
      <c r="W162" t="n">
        <v>136.427</v>
      </c>
      <c r="X162" t="n">
        <v>230.805</v>
      </c>
      <c r="Y162" t="n">
        <v>243.468</v>
      </c>
      <c r="Z162" t="n">
        <v>254.478</v>
      </c>
      <c r="AA162" t="n">
        <v>262.073</v>
      </c>
      <c r="AB162" t="n">
        <v>266.306</v>
      </c>
      <c r="AC162" t="n">
        <v>179.324</v>
      </c>
      <c r="AD162" t="n">
        <v>172.479</v>
      </c>
      <c r="AE162" t="n">
        <v>193.39</v>
      </c>
      <c r="AF162" t="n">
        <v>264.481</v>
      </c>
      <c r="AG162" t="n">
        <v>279.573</v>
      </c>
      <c r="AH162" t="n">
        <v>288.4</v>
      </c>
      <c r="AI162" t="n">
        <v>320.586</v>
      </c>
      <c r="AJ162" t="n">
        <v>345.246</v>
      </c>
      <c r="AK162" t="n">
        <v>324.444</v>
      </c>
      <c r="AL162" t="n">
        <v>322.57</v>
      </c>
      <c r="AM162" t="n">
        <v>395.273</v>
      </c>
      <c r="AN162" t="n">
        <v>427.98</v>
      </c>
      <c r="AO162" t="n">
        <v>490.987</v>
      </c>
      <c r="AP162" t="n">
        <v>545.397</v>
      </c>
      <c r="AQ162" t="n">
        <v>633.592</v>
      </c>
      <c r="AR162" t="n">
        <v>642.246</v>
      </c>
      <c r="AS162" t="n">
        <v>685.972</v>
      </c>
      <c r="AT162" t="n">
        <v>680.385</v>
      </c>
      <c r="AU162" t="n">
        <v>675.1950000000001</v>
      </c>
      <c r="AV162" t="n">
        <v>674.347</v>
      </c>
      <c r="AW162" t="n">
        <v>677.759</v>
      </c>
      <c r="AX162" t="n">
        <v>685.353</v>
      </c>
      <c r="AY162" t="n">
        <v>697.048</v>
      </c>
      <c r="AZ162" t="n">
        <v>708.624</v>
      </c>
      <c r="BA162" t="n">
        <v>716.059</v>
      </c>
      <c r="BB162" t="n">
        <v>719.352</v>
      </c>
      <c r="BC162" t="n">
        <v>718.503</v>
      </c>
      <c r="BD162" t="n">
        <v>713.513</v>
      </c>
      <c r="BE162" t="n">
        <v>714.564</v>
      </c>
      <c r="BF162" t="n">
        <v>721.6559999999999</v>
      </c>
      <c r="BG162" t="n">
        <v>740.453</v>
      </c>
      <c r="BH162" t="n">
        <v>759.628</v>
      </c>
      <c r="BI162" t="n">
        <v>745.667</v>
      </c>
      <c r="BJ162" t="n">
        <v>735.231</v>
      </c>
      <c r="BK162" t="n">
        <v>724.354</v>
      </c>
      <c r="BL162" t="n">
        <v>228.899</v>
      </c>
      <c r="BM162" t="n">
        <v>842.095</v>
      </c>
      <c r="BN162" t="n">
        <v>856.922</v>
      </c>
      <c r="BO162" t="n">
        <v>883.048</v>
      </c>
      <c r="BP162" t="n">
        <v>902.671</v>
      </c>
      <c r="BQ162" t="n">
        <v>935.175</v>
      </c>
      <c r="BR162" t="n">
        <v>967.576</v>
      </c>
      <c r="BS162" t="n">
        <v>1003.199</v>
      </c>
      <c r="BT162" t="n">
        <v>1041.569</v>
      </c>
      <c r="BU162" t="n">
        <v>1075.608</v>
      </c>
      <c r="BV162" t="n">
        <v>1112.163</v>
      </c>
    </row>
    <row r="163">
      <c r="A163" t="inlineStr">
        <is>
          <t>Lobotes surinamensis</t>
        </is>
      </c>
      <c r="B163" t="inlineStr">
        <is>
          <t>Tripletail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80.58</v>
      </c>
      <c r="O163" t="n">
        <v>0</v>
      </c>
      <c r="P163" t="n">
        <v>0</v>
      </c>
      <c r="Q163" t="n">
        <v>0</v>
      </c>
      <c r="R163" t="n">
        <v>0</v>
      </c>
      <c r="S163" t="n">
        <v>241.739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161.16</v>
      </c>
      <c r="AC163" t="n">
        <v>161.16</v>
      </c>
      <c r="AD163" t="n">
        <v>161.16</v>
      </c>
      <c r="AE163" t="n">
        <v>241.739</v>
      </c>
      <c r="AF163" t="n">
        <v>241.739</v>
      </c>
      <c r="AG163" t="n">
        <v>241.739</v>
      </c>
      <c r="AH163" t="n">
        <v>0</v>
      </c>
      <c r="AI163" t="n">
        <v>241.739</v>
      </c>
      <c r="AJ163" t="n">
        <v>483.591</v>
      </c>
      <c r="AK163" t="n">
        <v>564.1900000000001</v>
      </c>
      <c r="AL163" t="n">
        <v>402.993</v>
      </c>
      <c r="AM163" t="n">
        <v>322.394</v>
      </c>
      <c r="AN163" t="n">
        <v>483.591</v>
      </c>
      <c r="AO163" t="n">
        <v>402.993</v>
      </c>
      <c r="AP163" t="n">
        <v>483.591</v>
      </c>
      <c r="AQ163" t="n">
        <v>483.591</v>
      </c>
      <c r="AR163" t="n">
        <v>402.809</v>
      </c>
      <c r="AS163" t="n">
        <v>402.626</v>
      </c>
      <c r="AT163" t="n">
        <v>563.42</v>
      </c>
      <c r="AU163" t="n">
        <v>482.712</v>
      </c>
      <c r="AV163" t="n">
        <v>482.492</v>
      </c>
      <c r="AW163" t="n">
        <v>401.894</v>
      </c>
      <c r="AX163" t="n">
        <v>482.052</v>
      </c>
      <c r="AY163" t="n">
        <v>562.138</v>
      </c>
      <c r="AZ163" t="n">
        <v>401.344</v>
      </c>
      <c r="BA163" t="n">
        <v>481.393</v>
      </c>
      <c r="BB163" t="n">
        <v>641.569</v>
      </c>
      <c r="BC163" t="n">
        <v>801.5940000000001</v>
      </c>
      <c r="BD163" t="n">
        <v>801.228</v>
      </c>
      <c r="BE163" t="n">
        <v>800.862</v>
      </c>
      <c r="BF163" t="n">
        <v>800.495</v>
      </c>
      <c r="BG163" t="n">
        <v>879.831</v>
      </c>
      <c r="BH163" t="n">
        <v>879.428</v>
      </c>
      <c r="BI163" t="n">
        <v>879.025</v>
      </c>
      <c r="BJ163" t="n">
        <v>878.623</v>
      </c>
      <c r="BK163" t="n">
        <v>958.058</v>
      </c>
      <c r="BL163" t="n">
        <v>1147.43</v>
      </c>
      <c r="BM163" t="n">
        <v>1330.691</v>
      </c>
      <c r="BN163" t="n">
        <v>887.127</v>
      </c>
      <c r="BO163" t="n">
        <v>1182.836</v>
      </c>
      <c r="BP163" t="n">
        <v>1182.836</v>
      </c>
      <c r="BQ163" t="n">
        <v>1182.836</v>
      </c>
      <c r="BR163" t="n">
        <v>1182.836</v>
      </c>
      <c r="BS163" t="n">
        <v>1256.764</v>
      </c>
      <c r="BT163" t="n">
        <v>1256.764</v>
      </c>
      <c r="BU163" t="n">
        <v>1208.218</v>
      </c>
      <c r="BV163" t="n">
        <v>1251.901</v>
      </c>
    </row>
    <row r="164">
      <c r="A164" t="inlineStr">
        <is>
          <t>Lethrinus atlanticus</t>
        </is>
      </c>
      <c r="B164" t="inlineStr">
        <is>
          <t>Atlantic emperor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10.114</v>
      </c>
      <c r="F164" t="n">
        <v>10.455</v>
      </c>
      <c r="G164" t="n">
        <v>10.787</v>
      </c>
      <c r="H164" t="n">
        <v>11.167</v>
      </c>
      <c r="I164" t="n">
        <v>11.508</v>
      </c>
      <c r="J164" t="n">
        <v>11.809</v>
      </c>
      <c r="K164" t="n">
        <v>12.159</v>
      </c>
      <c r="L164" t="n">
        <v>12.338</v>
      </c>
      <c r="M164" t="n">
        <v>12.916</v>
      </c>
      <c r="N164" t="n">
        <v>13.273</v>
      </c>
      <c r="O164" t="n">
        <v>13.584</v>
      </c>
      <c r="P164" t="n">
        <v>13.78</v>
      </c>
      <c r="Q164" t="n">
        <v>14.153</v>
      </c>
      <c r="R164" t="n">
        <v>12.583</v>
      </c>
      <c r="S164" t="n">
        <v>10.881</v>
      </c>
      <c r="T164" t="n">
        <v>9.138999999999999</v>
      </c>
      <c r="U164" t="n">
        <v>7.305</v>
      </c>
      <c r="V164" t="n">
        <v>11.383</v>
      </c>
      <c r="W164" t="n">
        <v>10.688</v>
      </c>
      <c r="X164" t="n">
        <v>11.696</v>
      </c>
      <c r="Y164" t="n">
        <v>6.609</v>
      </c>
      <c r="Z164" t="n">
        <v>15.524</v>
      </c>
      <c r="AA164" t="n">
        <v>16.066</v>
      </c>
      <c r="AB164" t="n">
        <v>15.811</v>
      </c>
      <c r="AC164" t="n">
        <v>16.024</v>
      </c>
      <c r="AD164" t="n">
        <v>16.9</v>
      </c>
      <c r="AE164" t="n">
        <v>30.103</v>
      </c>
      <c r="AF164" t="n">
        <v>63.61</v>
      </c>
      <c r="AG164" t="n">
        <v>94.256</v>
      </c>
      <c r="AH164" t="n">
        <v>138.362</v>
      </c>
      <c r="AI164" t="n">
        <v>181.271</v>
      </c>
      <c r="AJ164" t="n">
        <v>231.46</v>
      </c>
      <c r="AK164" t="n">
        <v>278.785</v>
      </c>
      <c r="AL164" t="n">
        <v>333.412</v>
      </c>
      <c r="AM164" t="n">
        <v>278.721</v>
      </c>
      <c r="AN164" t="n">
        <v>290.075</v>
      </c>
      <c r="AO164" t="n">
        <v>319.481</v>
      </c>
      <c r="AP164" t="n">
        <v>340.901</v>
      </c>
      <c r="AQ164" t="n">
        <v>364.993</v>
      </c>
      <c r="AR164" t="n">
        <v>388.034</v>
      </c>
      <c r="AS164" t="n">
        <v>429.459</v>
      </c>
      <c r="AT164" t="n">
        <v>431.051</v>
      </c>
      <c r="AU164" t="n">
        <v>471.411</v>
      </c>
      <c r="AV164" t="n">
        <v>480.937</v>
      </c>
      <c r="AW164" t="n">
        <v>493.233</v>
      </c>
      <c r="AX164" t="n">
        <v>656.515</v>
      </c>
      <c r="AY164" t="n">
        <v>775.208</v>
      </c>
      <c r="AZ164" t="n">
        <v>920.199</v>
      </c>
      <c r="BA164" t="n">
        <v>980.3579999999999</v>
      </c>
      <c r="BB164" t="n">
        <v>731.569</v>
      </c>
      <c r="BC164" t="n">
        <v>803.3869999999999</v>
      </c>
      <c r="BD164" t="n">
        <v>849.845</v>
      </c>
      <c r="BE164" t="n">
        <v>850.5890000000001</v>
      </c>
      <c r="BF164" t="n">
        <v>912.784</v>
      </c>
      <c r="BG164" t="n">
        <v>985.234</v>
      </c>
      <c r="BH164" t="n">
        <v>1033.855</v>
      </c>
      <c r="BI164" t="n">
        <v>995.34</v>
      </c>
      <c r="BJ164" t="n">
        <v>1014.072</v>
      </c>
      <c r="BK164" t="n">
        <v>949.0839999999999</v>
      </c>
      <c r="BL164" t="n">
        <v>831.404</v>
      </c>
      <c r="BM164" t="n">
        <v>1030.593</v>
      </c>
      <c r="BN164" t="n">
        <v>1324.323</v>
      </c>
      <c r="BO164" t="n">
        <v>908.306</v>
      </c>
      <c r="BP164" t="n">
        <v>779.029</v>
      </c>
      <c r="BQ164" t="n">
        <v>892.5410000000001</v>
      </c>
      <c r="BR164" t="n">
        <v>1099.001</v>
      </c>
      <c r="BS164" t="n">
        <v>1473.419</v>
      </c>
      <c r="BT164" t="n">
        <v>1510.908</v>
      </c>
      <c r="BU164" t="n">
        <v>1346.531</v>
      </c>
      <c r="BV164" t="n">
        <v>1536.84</v>
      </c>
    </row>
    <row r="165">
      <c r="A165" t="inlineStr">
        <is>
          <t>Sphyrna</t>
        </is>
      </c>
      <c r="B165" t="inlineStr">
        <is>
          <t>Hammerhead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73.85899999999999</v>
      </c>
      <c r="F165" t="n">
        <v>75.28100000000001</v>
      </c>
      <c r="G165" t="n">
        <v>76.72799999999999</v>
      </c>
      <c r="H165" t="n">
        <v>72.706</v>
      </c>
      <c r="I165" t="n">
        <v>74.205</v>
      </c>
      <c r="J165" t="n">
        <v>75.73099999999999</v>
      </c>
      <c r="K165" t="n">
        <v>71.79000000000001</v>
      </c>
      <c r="L165" t="n">
        <v>71.393</v>
      </c>
      <c r="M165" t="n">
        <v>73.758</v>
      </c>
      <c r="N165" t="n">
        <v>74.66800000000001</v>
      </c>
      <c r="O165" t="n">
        <v>74.937</v>
      </c>
      <c r="P165" t="n">
        <v>92.535</v>
      </c>
      <c r="Q165" t="n">
        <v>92.593</v>
      </c>
      <c r="R165" t="n">
        <v>91.97499999999999</v>
      </c>
      <c r="S165" t="n">
        <v>92.075</v>
      </c>
      <c r="T165" t="n">
        <v>90.919</v>
      </c>
      <c r="U165" t="n">
        <v>93.239</v>
      </c>
      <c r="V165" t="n">
        <v>91.265</v>
      </c>
      <c r="W165" t="n">
        <v>101.805</v>
      </c>
      <c r="X165" t="n">
        <v>86.643</v>
      </c>
      <c r="Y165" t="n">
        <v>84.98699999999999</v>
      </c>
      <c r="Z165" t="n">
        <v>87.02200000000001</v>
      </c>
      <c r="AA165" t="n">
        <v>90.989</v>
      </c>
      <c r="AB165" t="n">
        <v>89.407</v>
      </c>
      <c r="AC165" t="n">
        <v>93.883</v>
      </c>
      <c r="AD165" t="n">
        <v>96.596</v>
      </c>
      <c r="AE165" t="n">
        <v>84.93899999999999</v>
      </c>
      <c r="AF165" t="n">
        <v>87.937</v>
      </c>
      <c r="AG165" t="n">
        <v>94.494</v>
      </c>
      <c r="AH165" t="n">
        <v>95.715</v>
      </c>
      <c r="AI165" t="n">
        <v>108.438</v>
      </c>
      <c r="AJ165" t="n">
        <v>107.373</v>
      </c>
      <c r="AK165" t="n">
        <v>104.427</v>
      </c>
      <c r="AL165" t="n">
        <v>104.51</v>
      </c>
      <c r="AM165" t="n">
        <v>101.949</v>
      </c>
      <c r="AN165" t="n">
        <v>99.752</v>
      </c>
      <c r="AO165" t="n">
        <v>98.066</v>
      </c>
      <c r="AP165" t="n">
        <v>96.813</v>
      </c>
      <c r="AQ165" t="n">
        <v>96.342</v>
      </c>
      <c r="AR165" t="n">
        <v>96.023</v>
      </c>
      <c r="AS165" t="n">
        <v>91.535</v>
      </c>
      <c r="AT165" t="n">
        <v>144.849</v>
      </c>
      <c r="AU165" t="n">
        <v>213.953</v>
      </c>
      <c r="AV165" t="n">
        <v>242.03</v>
      </c>
      <c r="AW165" t="n">
        <v>239.66</v>
      </c>
      <c r="AX165" t="n">
        <v>225.068</v>
      </c>
      <c r="AY165" t="n">
        <v>143.325</v>
      </c>
      <c r="AZ165" t="n">
        <v>666.1079999999999</v>
      </c>
      <c r="BA165" t="n">
        <v>581.812</v>
      </c>
      <c r="BB165" t="n">
        <v>224.395</v>
      </c>
      <c r="BC165" t="n">
        <v>819.155</v>
      </c>
      <c r="BD165" t="n">
        <v>874.15</v>
      </c>
      <c r="BE165" t="n">
        <v>765.934</v>
      </c>
      <c r="BF165" t="n">
        <v>1033.348</v>
      </c>
      <c r="BG165" t="n">
        <v>855.17</v>
      </c>
      <c r="BH165" t="n">
        <v>2176.227</v>
      </c>
      <c r="BI165" t="n">
        <v>970.511</v>
      </c>
      <c r="BJ165" t="n">
        <v>987.234</v>
      </c>
      <c r="BK165" t="n">
        <v>767.543</v>
      </c>
      <c r="BL165" t="n">
        <v>858.384</v>
      </c>
      <c r="BM165" t="n">
        <v>783.603</v>
      </c>
      <c r="BN165" t="n">
        <v>1009.283</v>
      </c>
      <c r="BO165" t="n">
        <v>992.5890000000001</v>
      </c>
      <c r="BP165" t="n">
        <v>899.975</v>
      </c>
      <c r="BQ165" t="n">
        <v>2857.882</v>
      </c>
      <c r="BR165" t="n">
        <v>1673.587</v>
      </c>
      <c r="BS165" t="n">
        <v>1876.937</v>
      </c>
      <c r="BT165" t="n">
        <v>586.188</v>
      </c>
      <c r="BU165" t="n">
        <v>1735.594</v>
      </c>
      <c r="BV165" t="n">
        <v>1242.17</v>
      </c>
    </row>
    <row r="166">
      <c r="A166" t="inlineStr">
        <is>
          <t>Rhinobatos</t>
        </is>
      </c>
      <c r="B166" t="inlineStr">
        <is>
          <t>Guitarfishes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283.917</v>
      </c>
      <c r="F166" t="n">
        <v>283.917</v>
      </c>
      <c r="G166" t="n">
        <v>283.917</v>
      </c>
      <c r="H166" t="n">
        <v>283.917</v>
      </c>
      <c r="I166" t="n">
        <v>283.917</v>
      </c>
      <c r="J166" t="n">
        <v>283.917</v>
      </c>
      <c r="K166" t="n">
        <v>567.8339999999999</v>
      </c>
      <c r="L166" t="n">
        <v>283.917</v>
      </c>
      <c r="M166" t="n">
        <v>283.917</v>
      </c>
      <c r="N166" t="n">
        <v>567.8339999999999</v>
      </c>
      <c r="O166" t="n">
        <v>567.8339999999999</v>
      </c>
      <c r="P166" t="n">
        <v>85.175</v>
      </c>
      <c r="Q166" t="n">
        <v>85.175</v>
      </c>
      <c r="R166" t="n">
        <v>85.175</v>
      </c>
      <c r="S166" t="n">
        <v>56.783</v>
      </c>
      <c r="T166" t="n">
        <v>56.783</v>
      </c>
      <c r="U166" t="n">
        <v>57.53</v>
      </c>
      <c r="V166" t="n">
        <v>57.744</v>
      </c>
      <c r="W166" t="n">
        <v>30.203</v>
      </c>
      <c r="X166" t="n">
        <v>30.647</v>
      </c>
      <c r="Y166" t="n">
        <v>62.529</v>
      </c>
      <c r="Z166" t="n">
        <v>40.658</v>
      </c>
      <c r="AA166" t="n">
        <v>39.713</v>
      </c>
      <c r="AB166" t="n">
        <v>45.537</v>
      </c>
      <c r="AC166" t="n">
        <v>50.992</v>
      </c>
      <c r="AD166" t="n">
        <v>51.051</v>
      </c>
      <c r="AE166" t="n">
        <v>35.332</v>
      </c>
      <c r="AF166" t="n">
        <v>61.164</v>
      </c>
      <c r="AG166" t="n">
        <v>387.749</v>
      </c>
      <c r="AH166" t="n">
        <v>190.721</v>
      </c>
      <c r="AI166" t="n">
        <v>62.731</v>
      </c>
      <c r="AJ166" t="n">
        <v>97.54600000000001</v>
      </c>
      <c r="AK166" t="n">
        <v>133.191</v>
      </c>
      <c r="AL166" t="n">
        <v>128.444</v>
      </c>
      <c r="AM166" t="n">
        <v>132.327</v>
      </c>
      <c r="AN166" t="n">
        <v>135.045</v>
      </c>
      <c r="AO166" t="n">
        <v>137.555</v>
      </c>
      <c r="AP166" t="n">
        <v>136.848</v>
      </c>
      <c r="AQ166" t="n">
        <v>136.848</v>
      </c>
      <c r="AR166" t="n">
        <v>136.473</v>
      </c>
      <c r="AS166" t="n">
        <v>127.581</v>
      </c>
      <c r="AT166" t="n">
        <v>409.988</v>
      </c>
      <c r="AU166" t="n">
        <v>405.07</v>
      </c>
      <c r="AV166" t="n">
        <v>400.721</v>
      </c>
      <c r="AW166" t="n">
        <v>399.494</v>
      </c>
      <c r="AX166" t="n">
        <v>399.915</v>
      </c>
      <c r="AY166" t="n">
        <v>399.824</v>
      </c>
      <c r="AZ166" t="n">
        <v>400.642</v>
      </c>
      <c r="BA166" t="n">
        <v>24.531</v>
      </c>
      <c r="BB166" t="n">
        <v>15.96</v>
      </c>
      <c r="BC166" t="n">
        <v>481.815</v>
      </c>
      <c r="BD166" t="n">
        <v>49.073</v>
      </c>
      <c r="BE166" t="n">
        <v>117.235</v>
      </c>
      <c r="BF166" t="n">
        <v>386.22</v>
      </c>
      <c r="BG166" t="n">
        <v>564.285</v>
      </c>
      <c r="BH166" t="n">
        <v>548.373</v>
      </c>
      <c r="BI166" t="n">
        <v>548.614</v>
      </c>
      <c r="BJ166" t="n">
        <v>618.38</v>
      </c>
      <c r="BK166" t="n">
        <v>1224.407</v>
      </c>
      <c r="BL166" t="n">
        <v>1198.282</v>
      </c>
      <c r="BM166" t="n">
        <v>1281.347</v>
      </c>
      <c r="BN166" t="n">
        <v>1132.038</v>
      </c>
      <c r="BO166" t="n">
        <v>1138.462</v>
      </c>
      <c r="BP166" t="n">
        <v>1336.182</v>
      </c>
      <c r="BQ166" t="n">
        <v>1299.653</v>
      </c>
      <c r="BR166" t="n">
        <v>1563.055</v>
      </c>
      <c r="BS166" t="n">
        <v>1565.665</v>
      </c>
      <c r="BT166" t="n">
        <v>1510.137</v>
      </c>
      <c r="BU166" t="n">
        <v>1812.383</v>
      </c>
      <c r="BV166" t="n">
        <v>1628.187</v>
      </c>
    </row>
    <row r="167">
      <c r="A167" t="inlineStr">
        <is>
          <t>Lithognathus mormyrus</t>
        </is>
      </c>
      <c r="B167" t="inlineStr">
        <is>
          <t>Sand steenbras</t>
        </is>
      </c>
      <c r="C167" t="inlineStr">
        <is>
          <t>Medium benthopelagics (30 - 89 cm)</t>
        </is>
      </c>
      <c r="D167" t="inlineStr">
        <is>
          <t>Perch-likes</t>
        </is>
      </c>
      <c r="E167" t="n">
        <v>49.902</v>
      </c>
      <c r="F167" t="n">
        <v>53.748</v>
      </c>
      <c r="G167" t="n">
        <v>57.61</v>
      </c>
      <c r="H167" t="n">
        <v>61.489</v>
      </c>
      <c r="I167" t="n">
        <v>65.383</v>
      </c>
      <c r="J167" t="n">
        <v>69.291</v>
      </c>
      <c r="K167" t="n">
        <v>73.21299999999999</v>
      </c>
      <c r="L167" t="n">
        <v>77.148</v>
      </c>
      <c r="M167" t="n">
        <v>81.09699999999999</v>
      </c>
      <c r="N167" t="n">
        <v>85.057</v>
      </c>
      <c r="O167" t="n">
        <v>89.029</v>
      </c>
      <c r="P167" t="n">
        <v>93.012</v>
      </c>
      <c r="Q167" t="n">
        <v>97.005</v>
      </c>
      <c r="R167" t="n">
        <v>101.009</v>
      </c>
      <c r="S167" t="n">
        <v>105.023</v>
      </c>
      <c r="T167" t="n">
        <v>109.046</v>
      </c>
      <c r="U167" t="n">
        <v>113.078</v>
      </c>
      <c r="V167" t="n">
        <v>117.119</v>
      </c>
      <c r="W167" t="n">
        <v>121.168</v>
      </c>
      <c r="X167" t="n">
        <v>125.225</v>
      </c>
      <c r="Y167" t="n">
        <v>129.29</v>
      </c>
      <c r="Z167" t="n">
        <v>136.405</v>
      </c>
      <c r="AA167" t="n">
        <v>143.864</v>
      </c>
      <c r="AB167" t="n">
        <v>151.693</v>
      </c>
      <c r="AC167" t="n">
        <v>159.919</v>
      </c>
      <c r="AD167" t="n">
        <v>168.57</v>
      </c>
      <c r="AE167" t="n">
        <v>176.546</v>
      </c>
      <c r="AF167" t="n">
        <v>184.959</v>
      </c>
      <c r="AG167" t="n">
        <v>193.851</v>
      </c>
      <c r="AH167" t="n">
        <v>203.265</v>
      </c>
      <c r="AI167" t="n">
        <v>179.665</v>
      </c>
      <c r="AJ167" t="n">
        <v>163.544</v>
      </c>
      <c r="AK167" t="n">
        <v>151.815</v>
      </c>
      <c r="AL167" t="n">
        <v>142.871</v>
      </c>
      <c r="AM167" t="n">
        <v>141.428</v>
      </c>
      <c r="AN167" t="n">
        <v>141.217</v>
      </c>
      <c r="AO167" t="n">
        <v>141.942</v>
      </c>
      <c r="AP167" t="n">
        <v>143.402</v>
      </c>
      <c r="AQ167" t="n">
        <v>145.456</v>
      </c>
      <c r="AR167" t="n">
        <v>148.005</v>
      </c>
      <c r="AS167" t="n">
        <v>392.128</v>
      </c>
      <c r="AT167" t="n">
        <v>388.695</v>
      </c>
      <c r="AU167" t="n">
        <v>339.352</v>
      </c>
      <c r="AV167" t="n">
        <v>267.901</v>
      </c>
      <c r="AW167" t="n">
        <v>306.346</v>
      </c>
      <c r="AX167" t="n">
        <v>291.213</v>
      </c>
      <c r="AY167" t="n">
        <v>382.164</v>
      </c>
      <c r="AZ167" t="n">
        <v>418.488</v>
      </c>
      <c r="BA167" t="n">
        <v>373.534</v>
      </c>
      <c r="BB167" t="n">
        <v>435.483</v>
      </c>
      <c r="BC167" t="n">
        <v>499.508</v>
      </c>
      <c r="BD167" t="n">
        <v>449.562</v>
      </c>
      <c r="BE167" t="n">
        <v>459.396</v>
      </c>
      <c r="BF167" t="n">
        <v>487.607</v>
      </c>
      <c r="BG167" t="n">
        <v>399.817</v>
      </c>
      <c r="BH167" t="n">
        <v>432.828</v>
      </c>
      <c r="BI167" t="n">
        <v>514.428</v>
      </c>
      <c r="BJ167" t="n">
        <v>460.869</v>
      </c>
      <c r="BK167" t="n">
        <v>464.627</v>
      </c>
      <c r="BL167" t="n">
        <v>702.043</v>
      </c>
      <c r="BM167" t="n">
        <v>1644.455</v>
      </c>
      <c r="BN167" t="n">
        <v>1043.902</v>
      </c>
      <c r="BO167" t="n">
        <v>1833.23</v>
      </c>
      <c r="BP167" t="n">
        <v>1108.22</v>
      </c>
      <c r="BQ167" t="n">
        <v>1125.111</v>
      </c>
      <c r="BR167" t="n">
        <v>1992.228</v>
      </c>
      <c r="BS167" t="n">
        <v>2022.748</v>
      </c>
      <c r="BT167" t="n">
        <v>2094.879</v>
      </c>
      <c r="BU167" t="n">
        <v>1195.61</v>
      </c>
      <c r="BV167" t="n">
        <v>2261.797</v>
      </c>
    </row>
    <row r="168">
      <c r="A168" t="inlineStr">
        <is>
          <t>Palinuridae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n">
        <v>24.445</v>
      </c>
      <c r="F168" t="n">
        <v>23.64</v>
      </c>
      <c r="G168" t="n">
        <v>20.813</v>
      </c>
      <c r="H168" t="n">
        <v>22.481</v>
      </c>
      <c r="I168" t="n">
        <v>13.545</v>
      </c>
      <c r="J168" t="n">
        <v>13.033</v>
      </c>
      <c r="K168" t="n">
        <v>55.056</v>
      </c>
      <c r="L168" t="n">
        <v>130.769</v>
      </c>
      <c r="M168" t="n">
        <v>172.888</v>
      </c>
      <c r="N168" t="n">
        <v>451.031</v>
      </c>
      <c r="O168" t="n">
        <v>799.1180000000001</v>
      </c>
      <c r="P168" t="n">
        <v>1044.589</v>
      </c>
      <c r="Q168" t="n">
        <v>969.398</v>
      </c>
      <c r="R168" t="n">
        <v>640.075</v>
      </c>
      <c r="S168" t="n">
        <v>676.64</v>
      </c>
      <c r="T168" t="n">
        <v>661.825</v>
      </c>
      <c r="U168" t="n">
        <v>518.309</v>
      </c>
      <c r="V168" t="n">
        <v>376.244</v>
      </c>
      <c r="W168" t="n">
        <v>287.925</v>
      </c>
      <c r="X168" t="n">
        <v>652.439</v>
      </c>
      <c r="Y168" t="n">
        <v>578.79</v>
      </c>
      <c r="Z168" t="n">
        <v>419.639</v>
      </c>
      <c r="AA168" t="n">
        <v>1019.433</v>
      </c>
      <c r="AB168" t="n">
        <v>131.515</v>
      </c>
      <c r="AC168" t="n">
        <v>211.252</v>
      </c>
      <c r="AD168" t="n">
        <v>141.748</v>
      </c>
      <c r="AE168" t="n">
        <v>187.346</v>
      </c>
      <c r="AF168" t="n">
        <v>247.639</v>
      </c>
      <c r="AG168" t="n">
        <v>666.548</v>
      </c>
      <c r="AH168" t="n">
        <v>598.034</v>
      </c>
      <c r="AI168" t="n">
        <v>580.809</v>
      </c>
      <c r="AJ168" t="n">
        <v>773.043</v>
      </c>
      <c r="AK168" t="n">
        <v>298.47</v>
      </c>
      <c r="AL168" t="n">
        <v>311.676</v>
      </c>
      <c r="AM168" t="n">
        <v>281.716</v>
      </c>
      <c r="AN168" t="n">
        <v>324.853</v>
      </c>
      <c r="AO168" t="n">
        <v>848.431</v>
      </c>
      <c r="AP168" t="n">
        <v>959.3579999999999</v>
      </c>
      <c r="AQ168" t="n">
        <v>631.609</v>
      </c>
      <c r="AR168" t="n">
        <v>780.748</v>
      </c>
      <c r="AS168" t="n">
        <v>547.996</v>
      </c>
      <c r="AT168" t="n">
        <v>391.199</v>
      </c>
      <c r="AU168" t="n">
        <v>523.451</v>
      </c>
      <c r="AV168" t="n">
        <v>529.6420000000001</v>
      </c>
      <c r="AW168" t="n">
        <v>774.314</v>
      </c>
      <c r="AX168" t="n">
        <v>466.638</v>
      </c>
      <c r="AY168" t="n">
        <v>347.827</v>
      </c>
      <c r="AZ168" t="n">
        <v>378.929</v>
      </c>
      <c r="BA168" t="n">
        <v>252.697</v>
      </c>
      <c r="BB168" t="n">
        <v>195.766</v>
      </c>
      <c r="BC168" t="n">
        <v>330.256</v>
      </c>
      <c r="BD168" t="n">
        <v>531.474</v>
      </c>
      <c r="BE168" t="n">
        <v>357.902</v>
      </c>
      <c r="BF168" t="n">
        <v>243.6</v>
      </c>
      <c r="BG168" t="n">
        <v>406.527</v>
      </c>
      <c r="BH168" t="n">
        <v>263.629</v>
      </c>
      <c r="BI168" t="n">
        <v>325.327</v>
      </c>
      <c r="BJ168" t="n">
        <v>180.316</v>
      </c>
      <c r="BK168" t="n">
        <v>476.099</v>
      </c>
      <c r="BL168" t="n">
        <v>434.982</v>
      </c>
      <c r="BM168" t="n">
        <v>375.003</v>
      </c>
      <c r="BN168" t="n">
        <v>361.707</v>
      </c>
      <c r="BO168" t="n">
        <v>700.27</v>
      </c>
      <c r="BP168" t="n">
        <v>242.979</v>
      </c>
      <c r="BQ168" t="n">
        <v>525.26</v>
      </c>
      <c r="BR168" t="n">
        <v>244.401</v>
      </c>
      <c r="BS168" t="n">
        <v>277.507</v>
      </c>
      <c r="BT168" t="n">
        <v>353.113</v>
      </c>
      <c r="BU168" t="n">
        <v>264.479</v>
      </c>
      <c r="BV168" t="n">
        <v>300.373</v>
      </c>
    </row>
    <row r="169">
      <c r="A169" t="inlineStr">
        <is>
          <t>Raja</t>
        </is>
      </c>
      <c r="B169" t="inlineStr">
        <is>
          <t>Stingrays, skates</t>
        </is>
      </c>
      <c r="C169" t="inlineStr">
        <is>
          <t>Small to medium rays (&lt;90 cm)</t>
        </is>
      </c>
      <c r="D169" t="inlineStr">
        <is>
          <t>Sharks &amp; rays</t>
        </is>
      </c>
      <c r="E169" t="n">
        <v>7.37</v>
      </c>
      <c r="F169" t="n">
        <v>7.618</v>
      </c>
      <c r="G169" t="n">
        <v>7.861</v>
      </c>
      <c r="H169" t="n">
        <v>8.138</v>
      </c>
      <c r="I169" t="n">
        <v>8.385999999999999</v>
      </c>
      <c r="J169" t="n">
        <v>8.605</v>
      </c>
      <c r="K169" t="n">
        <v>8.859999999999999</v>
      </c>
      <c r="L169" t="n">
        <v>8.991</v>
      </c>
      <c r="M169" t="n">
        <v>9.412000000000001</v>
      </c>
      <c r="N169" t="n">
        <v>9.672000000000001</v>
      </c>
      <c r="O169" t="n">
        <v>9.898</v>
      </c>
      <c r="P169" t="n">
        <v>10.041</v>
      </c>
      <c r="Q169" t="n">
        <v>10.313</v>
      </c>
      <c r="R169" t="n">
        <v>9.169</v>
      </c>
      <c r="S169" t="n">
        <v>7.929</v>
      </c>
      <c r="T169" t="n">
        <v>6.66</v>
      </c>
      <c r="U169" t="n">
        <v>5.323</v>
      </c>
      <c r="V169" t="n">
        <v>8.291</v>
      </c>
      <c r="W169" t="n">
        <v>7.784</v>
      </c>
      <c r="X169" t="n">
        <v>50.12</v>
      </c>
      <c r="Y169" t="n">
        <v>157.294</v>
      </c>
      <c r="Z169" t="n">
        <v>298.685</v>
      </c>
      <c r="AA169" t="n">
        <v>404.24</v>
      </c>
      <c r="AB169" t="n">
        <v>414.947</v>
      </c>
      <c r="AC169" t="n">
        <v>364.914</v>
      </c>
      <c r="AD169" t="n">
        <v>341.507</v>
      </c>
      <c r="AE169" t="n">
        <v>395.225</v>
      </c>
      <c r="AF169" t="n">
        <v>538.376</v>
      </c>
      <c r="AG169" t="n">
        <v>354.894</v>
      </c>
      <c r="AH169" t="n">
        <v>317.926</v>
      </c>
      <c r="AI169" t="n">
        <v>247.143</v>
      </c>
      <c r="AJ169" t="n">
        <v>253.666</v>
      </c>
      <c r="AK169" t="n">
        <v>336.757</v>
      </c>
      <c r="AL169" t="n">
        <v>321.039</v>
      </c>
      <c r="AM169" t="n">
        <v>409.641</v>
      </c>
      <c r="AN169" t="n">
        <v>428.771</v>
      </c>
      <c r="AO169" t="n">
        <v>446.155</v>
      </c>
      <c r="AP169" t="n">
        <v>518.375</v>
      </c>
      <c r="AQ169" t="n">
        <v>547.859</v>
      </c>
      <c r="AR169" t="n">
        <v>551.917</v>
      </c>
      <c r="AS169" t="n">
        <v>532.75</v>
      </c>
      <c r="AT169" t="n">
        <v>470.412</v>
      </c>
      <c r="AU169" t="n">
        <v>449.622</v>
      </c>
      <c r="AV169" t="n">
        <v>457.39</v>
      </c>
      <c r="AW169" t="n">
        <v>542.891</v>
      </c>
      <c r="AX169" t="n">
        <v>799.522</v>
      </c>
      <c r="AY169" t="n">
        <v>525.611</v>
      </c>
      <c r="AZ169" t="n">
        <v>487.141</v>
      </c>
      <c r="BA169" t="n">
        <v>543.63</v>
      </c>
      <c r="BB169" t="n">
        <v>572.454</v>
      </c>
      <c r="BC169" t="n">
        <v>527.401</v>
      </c>
      <c r="BD169" t="n">
        <v>572.495</v>
      </c>
      <c r="BE169" t="n">
        <v>565.306</v>
      </c>
      <c r="BF169" t="n">
        <v>493.251</v>
      </c>
      <c r="BG169" t="n">
        <v>577.528</v>
      </c>
      <c r="BH169" t="n">
        <v>493.697</v>
      </c>
      <c r="BI169" t="n">
        <v>627.223</v>
      </c>
      <c r="BJ169" t="n">
        <v>588.688</v>
      </c>
      <c r="BK169" t="n">
        <v>592.61</v>
      </c>
      <c r="BL169" t="n">
        <v>614.409</v>
      </c>
      <c r="BM169" t="n">
        <v>1232.252</v>
      </c>
      <c r="BN169" t="n">
        <v>639.7859999999999</v>
      </c>
      <c r="BO169" t="n">
        <v>1183.017</v>
      </c>
      <c r="BP169" t="n">
        <v>615.938</v>
      </c>
      <c r="BQ169" t="n">
        <v>602.829</v>
      </c>
      <c r="BR169" t="n">
        <v>1102.808</v>
      </c>
      <c r="BS169" t="n">
        <v>1074.635</v>
      </c>
      <c r="BT169" t="n">
        <v>1047.151</v>
      </c>
      <c r="BU169" t="n">
        <v>541.807</v>
      </c>
      <c r="BV169" t="n">
        <v>996.784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0.161</v>
      </c>
      <c r="F170" t="n">
        <v>0.161</v>
      </c>
      <c r="G170" t="n">
        <v>0.142</v>
      </c>
      <c r="H170" t="n">
        <v>0.142</v>
      </c>
      <c r="I170" t="n">
        <v>0.137</v>
      </c>
      <c r="J170" t="n">
        <v>0.213</v>
      </c>
      <c r="K170" t="n">
        <v>0.181</v>
      </c>
      <c r="L170" t="n">
        <v>0.193</v>
      </c>
      <c r="M170" t="n">
        <v>165.879</v>
      </c>
      <c r="N170" t="n">
        <v>164.862</v>
      </c>
      <c r="O170" t="n">
        <v>218.959</v>
      </c>
      <c r="P170" t="n">
        <v>217.112</v>
      </c>
      <c r="Q170" t="n">
        <v>331.533</v>
      </c>
      <c r="R170" t="n">
        <v>269.637</v>
      </c>
      <c r="S170" t="n">
        <v>537.316</v>
      </c>
      <c r="T170" t="n">
        <v>401.422</v>
      </c>
      <c r="U170" t="n">
        <v>1203.994</v>
      </c>
      <c r="V170" t="n">
        <v>476.051</v>
      </c>
      <c r="W170" t="n">
        <v>521.506</v>
      </c>
      <c r="X170" t="n">
        <v>697.848</v>
      </c>
      <c r="Y170" t="n">
        <v>779.638</v>
      </c>
      <c r="Z170" t="n">
        <v>759.601</v>
      </c>
      <c r="AA170" t="n">
        <v>997.4589999999999</v>
      </c>
      <c r="AB170" t="n">
        <v>505.893</v>
      </c>
      <c r="AC170" t="n">
        <v>802.821</v>
      </c>
      <c r="AD170" t="n">
        <v>536.747</v>
      </c>
      <c r="AE170" t="n">
        <v>306.475</v>
      </c>
      <c r="AF170" t="n">
        <v>554.989</v>
      </c>
      <c r="AG170" t="n">
        <v>483.299</v>
      </c>
      <c r="AH170" t="n">
        <v>392.201</v>
      </c>
      <c r="AI170" t="n">
        <v>310.791</v>
      </c>
      <c r="AJ170" t="n">
        <v>107.284</v>
      </c>
      <c r="AK170" t="n">
        <v>581.514</v>
      </c>
      <c r="AL170" t="n">
        <v>4909.237</v>
      </c>
      <c r="AM170" t="n">
        <v>558.4690000000001</v>
      </c>
      <c r="AN170" t="n">
        <v>1201.352</v>
      </c>
      <c r="AO170" t="n">
        <v>1663.457</v>
      </c>
      <c r="AP170" t="n">
        <v>1365.445</v>
      </c>
      <c r="AQ170" t="n">
        <v>990.726</v>
      </c>
      <c r="AR170" t="n">
        <v>1072.794</v>
      </c>
      <c r="AS170" t="n">
        <v>75.194</v>
      </c>
      <c r="AT170" t="n">
        <v>223.235</v>
      </c>
      <c r="AU170" t="n">
        <v>50.487</v>
      </c>
      <c r="AV170" t="n">
        <v>38.617</v>
      </c>
      <c r="AW170" t="n">
        <v>38.772</v>
      </c>
      <c r="AX170" t="n">
        <v>28.678</v>
      </c>
      <c r="AY170" t="n">
        <v>883.389</v>
      </c>
      <c r="AZ170" t="n">
        <v>176.81</v>
      </c>
      <c r="BA170" t="n">
        <v>100.891</v>
      </c>
      <c r="BB170" t="n">
        <v>221.343</v>
      </c>
      <c r="BC170" t="n">
        <v>202.418</v>
      </c>
      <c r="BD170" t="n">
        <v>122.506</v>
      </c>
      <c r="BE170" t="n">
        <v>407.551</v>
      </c>
      <c r="BF170" t="n">
        <v>70.14</v>
      </c>
      <c r="BG170" t="n">
        <v>30.283</v>
      </c>
      <c r="BH170" t="n">
        <v>25.058</v>
      </c>
      <c r="BI170" t="n">
        <v>11.781</v>
      </c>
      <c r="BJ170" t="n">
        <v>16.74</v>
      </c>
      <c r="BK170" t="n">
        <v>8.941000000000001</v>
      </c>
      <c r="BL170" t="n">
        <v>33.144</v>
      </c>
      <c r="BM170" t="n">
        <v>30.921</v>
      </c>
      <c r="BN170" t="n">
        <v>29.195</v>
      </c>
      <c r="BO170" t="n">
        <v>38.536</v>
      </c>
      <c r="BP170" t="n">
        <v>27.241</v>
      </c>
      <c r="BQ170" t="n">
        <v>34.207</v>
      </c>
      <c r="BR170" t="n">
        <v>78.27200000000001</v>
      </c>
      <c r="BS170" t="n">
        <v>97.821</v>
      </c>
      <c r="BT170" t="n">
        <v>149.953</v>
      </c>
      <c r="BU170" t="n">
        <v>189.273</v>
      </c>
      <c r="BV170" t="n">
        <v>38.204</v>
      </c>
    </row>
    <row r="171">
      <c r="A171" t="inlineStr">
        <is>
          <t>Parapenaeopsis atlantica</t>
        </is>
      </c>
      <c r="B171" t="inlineStr">
        <is>
          <t>Guinea shrimp</t>
        </is>
      </c>
      <c r="C171" t="inlineStr">
        <is>
          <t>Shrimps</t>
        </is>
      </c>
      <c r="D171" t="inlineStr">
        <is>
          <t>Crustaceans</t>
        </is>
      </c>
      <c r="E171" t="n">
        <v>284.422</v>
      </c>
      <c r="F171" t="n">
        <v>286.281</v>
      </c>
      <c r="G171" t="n">
        <v>288.14</v>
      </c>
      <c r="H171" t="n">
        <v>289.999</v>
      </c>
      <c r="I171" t="n">
        <v>291.858</v>
      </c>
      <c r="J171" t="n">
        <v>293.717</v>
      </c>
      <c r="K171" t="n">
        <v>295.576</v>
      </c>
      <c r="L171" t="n">
        <v>297.435</v>
      </c>
      <c r="M171" t="n">
        <v>299.293</v>
      </c>
      <c r="N171" t="n">
        <v>301.152</v>
      </c>
      <c r="O171" t="n">
        <v>303.011</v>
      </c>
      <c r="P171" t="n">
        <v>304.87</v>
      </c>
      <c r="Q171" t="n">
        <v>306.729</v>
      </c>
      <c r="R171" t="n">
        <v>308.588</v>
      </c>
      <c r="S171" t="n">
        <v>310.447</v>
      </c>
      <c r="T171" t="n">
        <v>312.306</v>
      </c>
      <c r="U171" t="n">
        <v>314.165</v>
      </c>
      <c r="V171" t="n">
        <v>315.699</v>
      </c>
      <c r="W171" t="n">
        <v>313.904</v>
      </c>
      <c r="X171" t="n">
        <v>320.695</v>
      </c>
      <c r="Y171" t="n">
        <v>280.187</v>
      </c>
      <c r="Z171" t="n">
        <v>295.552</v>
      </c>
      <c r="AA171" t="n">
        <v>298.009</v>
      </c>
      <c r="AB171" t="n">
        <v>300.454</v>
      </c>
      <c r="AC171" t="n">
        <v>302.887</v>
      </c>
      <c r="AD171" t="n">
        <v>305.308</v>
      </c>
      <c r="AE171" t="n">
        <v>320.829</v>
      </c>
      <c r="AF171" t="n">
        <v>293.952</v>
      </c>
      <c r="AG171" t="n">
        <v>313.146</v>
      </c>
      <c r="AH171" t="n">
        <v>318.1</v>
      </c>
      <c r="AI171" t="n">
        <v>323.472</v>
      </c>
      <c r="AJ171" t="n">
        <v>324.963</v>
      </c>
      <c r="AK171" t="n">
        <v>324.937</v>
      </c>
      <c r="AL171" t="n">
        <v>315.657</v>
      </c>
      <c r="AM171" t="n">
        <v>379.466</v>
      </c>
      <c r="AN171" t="n">
        <v>400.338</v>
      </c>
      <c r="AO171" t="n">
        <v>283.879</v>
      </c>
      <c r="AP171" t="n">
        <v>286.159</v>
      </c>
      <c r="AQ171" t="n">
        <v>288.427</v>
      </c>
      <c r="AR171" t="n">
        <v>290.684</v>
      </c>
      <c r="AS171" t="n">
        <v>292.929</v>
      </c>
      <c r="AT171" t="n">
        <v>225.521</v>
      </c>
      <c r="AU171" t="n">
        <v>227.742</v>
      </c>
      <c r="AV171" t="n">
        <v>214.476</v>
      </c>
      <c r="AW171" t="n">
        <v>233.009</v>
      </c>
      <c r="AX171" t="n">
        <v>246.549</v>
      </c>
      <c r="AY171" t="n">
        <v>260.045</v>
      </c>
      <c r="AZ171" t="n">
        <v>285.754</v>
      </c>
      <c r="BA171" t="n">
        <v>302.134</v>
      </c>
      <c r="BB171" t="n">
        <v>323.327</v>
      </c>
      <c r="BC171" t="n">
        <v>373.063</v>
      </c>
      <c r="BD171" t="n">
        <v>380.884</v>
      </c>
      <c r="BE171" t="n">
        <v>405.642</v>
      </c>
      <c r="BF171" t="n">
        <v>879.896</v>
      </c>
      <c r="BG171" t="n">
        <v>755.086</v>
      </c>
      <c r="BH171" t="n">
        <v>860.264</v>
      </c>
      <c r="BI171" t="n">
        <v>1114.412</v>
      </c>
      <c r="BJ171" t="n">
        <v>533.153</v>
      </c>
      <c r="BK171" t="n">
        <v>421.609</v>
      </c>
      <c r="BL171" t="n">
        <v>407.589</v>
      </c>
      <c r="BM171" t="n">
        <v>383.998</v>
      </c>
      <c r="BN171" t="n">
        <v>378.075</v>
      </c>
      <c r="BO171" t="n">
        <v>370.519</v>
      </c>
      <c r="BP171" t="n">
        <v>357.675</v>
      </c>
      <c r="BQ171" t="n">
        <v>437.381</v>
      </c>
      <c r="BR171" t="n">
        <v>468.802</v>
      </c>
      <c r="BS171" t="n">
        <v>310.323</v>
      </c>
      <c r="BT171" t="n">
        <v>310.687</v>
      </c>
      <c r="BU171" t="n">
        <v>293.705</v>
      </c>
      <c r="BV171" t="n">
        <v>306.889</v>
      </c>
    </row>
    <row r="172">
      <c r="A172" t="inlineStr">
        <is>
          <t>Hemiramphus brasiliensis</t>
        </is>
      </c>
      <c r="B172" t="inlineStr">
        <is>
          <t>Ballyhoo halfbeak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n">
        <v>329.779</v>
      </c>
      <c r="F172" t="n">
        <v>337.067</v>
      </c>
      <c r="G172" t="n">
        <v>343.875</v>
      </c>
      <c r="H172" t="n">
        <v>351.219</v>
      </c>
      <c r="I172" t="n">
        <v>358.044</v>
      </c>
      <c r="J172" t="n">
        <v>364.51</v>
      </c>
      <c r="K172" t="n">
        <v>372.138</v>
      </c>
      <c r="L172" t="n">
        <v>377.305</v>
      </c>
      <c r="M172" t="n">
        <v>390.774</v>
      </c>
      <c r="N172" t="n">
        <v>397.309</v>
      </c>
      <c r="O172" t="n">
        <v>400.031</v>
      </c>
      <c r="P172" t="n">
        <v>411.279</v>
      </c>
      <c r="Q172" t="n">
        <v>431.851</v>
      </c>
      <c r="R172" t="n">
        <v>436.621</v>
      </c>
      <c r="S172" t="n">
        <v>432.788</v>
      </c>
      <c r="T172" t="n">
        <v>445.543</v>
      </c>
      <c r="U172" t="n">
        <v>426.904</v>
      </c>
      <c r="V172" t="n">
        <v>434.29</v>
      </c>
      <c r="W172" t="n">
        <v>428.487</v>
      </c>
      <c r="X172" t="n">
        <v>442.194</v>
      </c>
      <c r="Y172" t="n">
        <v>438.028</v>
      </c>
      <c r="Z172" t="n">
        <v>456.62</v>
      </c>
      <c r="AA172" t="n">
        <v>468.74</v>
      </c>
      <c r="AB172" t="n">
        <v>476.898</v>
      </c>
      <c r="AC172" t="n">
        <v>489.116</v>
      </c>
      <c r="AD172" t="n">
        <v>468.716</v>
      </c>
      <c r="AE172" t="n">
        <v>456.267</v>
      </c>
      <c r="AF172" t="n">
        <v>494.288</v>
      </c>
      <c r="AG172" t="n">
        <v>454.039</v>
      </c>
      <c r="AH172" t="n">
        <v>552.375</v>
      </c>
      <c r="AI172" t="n">
        <v>558.7569999999999</v>
      </c>
      <c r="AJ172" t="n">
        <v>489.059</v>
      </c>
      <c r="AK172" t="n">
        <v>454.471</v>
      </c>
      <c r="AL172" t="n">
        <v>502.945</v>
      </c>
      <c r="AM172" t="n">
        <v>485.352</v>
      </c>
      <c r="AN172" t="n">
        <v>418.101</v>
      </c>
      <c r="AO172" t="n">
        <v>423.552</v>
      </c>
      <c r="AP172" t="n">
        <v>416.506</v>
      </c>
      <c r="AQ172" t="n">
        <v>389.477</v>
      </c>
      <c r="AR172" t="n">
        <v>380.816</v>
      </c>
      <c r="AS172" t="n">
        <v>380.687</v>
      </c>
      <c r="AT172" t="n">
        <v>418.713</v>
      </c>
      <c r="AU172" t="n">
        <v>433.424</v>
      </c>
      <c r="AV172" t="n">
        <v>376.037</v>
      </c>
      <c r="AW172" t="n">
        <v>348.292</v>
      </c>
      <c r="AX172" t="n">
        <v>323.259</v>
      </c>
      <c r="AY172" t="n">
        <v>311.959</v>
      </c>
      <c r="AZ172" t="n">
        <v>278.482</v>
      </c>
      <c r="BA172" t="n">
        <v>255.171</v>
      </c>
      <c r="BB172" t="n">
        <v>206.507</v>
      </c>
      <c r="BC172" t="n">
        <v>216.093</v>
      </c>
      <c r="BD172" t="n">
        <v>188.876</v>
      </c>
      <c r="BE172" t="n">
        <v>207.553</v>
      </c>
      <c r="BF172" t="n">
        <v>123.581</v>
      </c>
      <c r="BG172" t="n">
        <v>144.093</v>
      </c>
      <c r="BH172" t="n">
        <v>217.154</v>
      </c>
      <c r="BI172" t="n">
        <v>235.903</v>
      </c>
      <c r="BJ172" t="n">
        <v>227.957</v>
      </c>
      <c r="BK172" t="n">
        <v>226.738</v>
      </c>
      <c r="BL172" t="n">
        <v>214.024</v>
      </c>
      <c r="BM172" t="n">
        <v>267.554</v>
      </c>
      <c r="BN172" t="n">
        <v>175.299</v>
      </c>
      <c r="BO172" t="n">
        <v>177.069</v>
      </c>
      <c r="BP172" t="n">
        <v>157.049</v>
      </c>
      <c r="BQ172" t="n">
        <v>165.478</v>
      </c>
      <c r="BR172" t="n">
        <v>119.838</v>
      </c>
      <c r="BS172" t="n">
        <v>189.9</v>
      </c>
      <c r="BT172" t="n">
        <v>144.382</v>
      </c>
      <c r="BU172" t="n">
        <v>101.014</v>
      </c>
      <c r="BV172" t="n">
        <v>620.265</v>
      </c>
    </row>
    <row r="173">
      <c r="A173" t="inlineStr">
        <is>
          <t>Kajikia albida</t>
        </is>
      </c>
      <c r="B173" t="inlineStr">
        <is>
          <t>Atlantic white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15.674</v>
      </c>
      <c r="L173" t="n">
        <v>132.064</v>
      </c>
      <c r="M173" t="n">
        <v>135.706</v>
      </c>
      <c r="N173" t="n">
        <v>94.86799999999999</v>
      </c>
      <c r="O173" t="n">
        <v>221.635</v>
      </c>
      <c r="P173" t="n">
        <v>616.232</v>
      </c>
      <c r="Q173" t="n">
        <v>1580.637</v>
      </c>
      <c r="R173" t="n">
        <v>2038.404</v>
      </c>
      <c r="S173" t="n">
        <v>2960.474</v>
      </c>
      <c r="T173" t="n">
        <v>3822.589</v>
      </c>
      <c r="U173" t="n">
        <v>2534.046</v>
      </c>
      <c r="V173" t="n">
        <v>560.928</v>
      </c>
      <c r="W173" t="n">
        <v>978.83</v>
      </c>
      <c r="X173" t="n">
        <v>791.16</v>
      </c>
      <c r="Y173" t="n">
        <v>756.4059999999999</v>
      </c>
      <c r="Z173" t="n">
        <v>970.004</v>
      </c>
      <c r="AA173" t="n">
        <v>456.272</v>
      </c>
      <c r="AB173" t="n">
        <v>344.902</v>
      </c>
      <c r="AC173" t="n">
        <v>409.594</v>
      </c>
      <c r="AD173" t="n">
        <v>470.034</v>
      </c>
      <c r="AE173" t="n">
        <v>500.269</v>
      </c>
      <c r="AF173" t="n">
        <v>188.997</v>
      </c>
      <c r="AG173" t="n">
        <v>149.294</v>
      </c>
      <c r="AH173" t="n">
        <v>105.08</v>
      </c>
      <c r="AI173" t="n">
        <v>187.477</v>
      </c>
      <c r="AJ173" t="n">
        <v>254.128</v>
      </c>
      <c r="AK173" t="n">
        <v>152.632</v>
      </c>
      <c r="AL173" t="n">
        <v>310.095</v>
      </c>
      <c r="AM173" t="n">
        <v>82.33</v>
      </c>
      <c r="AN173" t="n">
        <v>39.881</v>
      </c>
      <c r="AO173" t="n">
        <v>45.055</v>
      </c>
      <c r="AP173" t="n">
        <v>31.93</v>
      </c>
      <c r="AQ173" t="n">
        <v>175.47</v>
      </c>
      <c r="AR173" t="n">
        <v>142.439</v>
      </c>
      <c r="AS173" t="n">
        <v>90.33499999999999</v>
      </c>
      <c r="AT173" t="n">
        <v>93.848</v>
      </c>
      <c r="AU173" t="n">
        <v>99.599</v>
      </c>
      <c r="AV173" t="n">
        <v>88.358</v>
      </c>
      <c r="AW173" t="n">
        <v>52.47</v>
      </c>
      <c r="AX173" t="n">
        <v>49.364</v>
      </c>
      <c r="AY173" t="n">
        <v>91.41200000000001</v>
      </c>
      <c r="AZ173" t="n">
        <v>123.562</v>
      </c>
      <c r="BA173" t="n">
        <v>92.22199999999999</v>
      </c>
      <c r="BB173" t="n">
        <v>98.73399999999999</v>
      </c>
      <c r="BC173" t="n">
        <v>88.962</v>
      </c>
      <c r="BD173" t="n">
        <v>100.021</v>
      </c>
      <c r="BE173" t="n">
        <v>68.048</v>
      </c>
      <c r="BF173" t="n">
        <v>57.189</v>
      </c>
      <c r="BG173" t="n">
        <v>38.811</v>
      </c>
      <c r="BH173" t="n">
        <v>50.102</v>
      </c>
      <c r="BI173" t="n">
        <v>40.466</v>
      </c>
      <c r="BJ173" t="n">
        <v>46.35</v>
      </c>
      <c r="BK173" t="n">
        <v>61.786</v>
      </c>
      <c r="BL173" t="n">
        <v>65.711</v>
      </c>
      <c r="BM173" t="n">
        <v>57.058</v>
      </c>
      <c r="BN173" t="n">
        <v>67.188</v>
      </c>
      <c r="BO173" t="n">
        <v>70.047</v>
      </c>
      <c r="BP173" t="n">
        <v>60.403</v>
      </c>
      <c r="BQ173" t="n">
        <v>51.603</v>
      </c>
      <c r="BR173" t="n">
        <v>25.116</v>
      </c>
      <c r="BS173" t="n">
        <v>23.814</v>
      </c>
      <c r="BT173" t="n">
        <v>20.916</v>
      </c>
      <c r="BU173" t="n">
        <v>3.164</v>
      </c>
      <c r="BV173" t="n">
        <v>43.5</v>
      </c>
    </row>
    <row r="174">
      <c r="A174" t="inlineStr">
        <is>
          <t>Trichiurus</t>
        </is>
      </c>
      <c r="B174" t="inlineStr">
        <is>
          <t>Hairtails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847.338</v>
      </c>
      <c r="BJ174" t="n">
        <v>661.826</v>
      </c>
      <c r="BK174" t="n">
        <v>757.467</v>
      </c>
      <c r="BL174" t="n">
        <v>962.787</v>
      </c>
      <c r="BM174" t="n">
        <v>1010.254</v>
      </c>
      <c r="BN174" t="n">
        <v>1338.946</v>
      </c>
      <c r="BO174" t="n">
        <v>1600.715</v>
      </c>
      <c r="BP174" t="n">
        <v>2048.731</v>
      </c>
      <c r="BQ174" t="n">
        <v>2095.335</v>
      </c>
      <c r="BR174" t="n">
        <v>2454.856</v>
      </c>
      <c r="BS174" t="n">
        <v>2069.727</v>
      </c>
      <c r="BT174" t="n">
        <v>2898.425</v>
      </c>
      <c r="BU174" t="n">
        <v>2584.78</v>
      </c>
      <c r="BV174" t="n">
        <v>2519.049</v>
      </c>
    </row>
    <row r="175">
      <c r="A175" t="inlineStr">
        <is>
          <t>Brama brama</t>
        </is>
      </c>
      <c r="B175" t="inlineStr">
        <is>
          <t>Atlantic pomfret</t>
        </is>
      </c>
      <c r="C175" t="inlineStr">
        <is>
          <t>Medium bathypelagics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0.025</v>
      </c>
      <c r="R175" t="n">
        <v>0.03</v>
      </c>
      <c r="S175" t="n">
        <v>0.032</v>
      </c>
      <c r="T175" t="n">
        <v>0.031</v>
      </c>
      <c r="U175" t="n">
        <v>12.928</v>
      </c>
      <c r="V175" t="n">
        <v>11.158</v>
      </c>
      <c r="W175" t="n">
        <v>0.029</v>
      </c>
      <c r="X175" t="n">
        <v>0.03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83.791</v>
      </c>
      <c r="AG175" t="n">
        <v>118.361</v>
      </c>
      <c r="AH175" t="n">
        <v>19.207</v>
      </c>
      <c r="AI175" t="n">
        <v>5.308</v>
      </c>
      <c r="AJ175" t="n">
        <v>14.169</v>
      </c>
      <c r="AK175" t="n">
        <v>22.612</v>
      </c>
      <c r="AL175" t="n">
        <v>18.368</v>
      </c>
      <c r="AM175" t="n">
        <v>57.51</v>
      </c>
      <c r="AN175" t="n">
        <v>134.549</v>
      </c>
      <c r="AO175" t="n">
        <v>719.332</v>
      </c>
      <c r="AP175" t="n">
        <v>1684.796</v>
      </c>
      <c r="AQ175" t="n">
        <v>1322.797</v>
      </c>
      <c r="AR175" t="n">
        <v>754.543</v>
      </c>
      <c r="AS175" t="n">
        <v>806.62</v>
      </c>
      <c r="AT175" t="n">
        <v>64.59999999999999</v>
      </c>
      <c r="AU175" t="n">
        <v>57.335</v>
      </c>
      <c r="AV175" t="n">
        <v>28.324</v>
      </c>
      <c r="AW175" t="n">
        <v>8.061999999999999</v>
      </c>
      <c r="AX175" t="n">
        <v>0.546</v>
      </c>
      <c r="AY175" t="n">
        <v>0</v>
      </c>
      <c r="AZ175" t="n">
        <v>6.818</v>
      </c>
      <c r="BA175" t="n">
        <v>0</v>
      </c>
      <c r="BB175" t="n">
        <v>28.119</v>
      </c>
      <c r="BC175" t="n">
        <v>18.481</v>
      </c>
      <c r="BD175" t="n">
        <v>2.028</v>
      </c>
      <c r="BE175" t="n">
        <v>14.908</v>
      </c>
      <c r="BF175" t="n">
        <v>20.267</v>
      </c>
      <c r="BG175" t="n">
        <v>182.828</v>
      </c>
      <c r="BH175" t="n">
        <v>7.258</v>
      </c>
      <c r="BI175" t="n">
        <v>194.769</v>
      </c>
      <c r="BJ175" t="n">
        <v>504.555</v>
      </c>
      <c r="BK175" t="n">
        <v>725.1559999999999</v>
      </c>
      <c r="BL175" t="n">
        <v>553.346</v>
      </c>
      <c r="BM175" t="n">
        <v>856.319</v>
      </c>
      <c r="BN175" t="n">
        <v>844.71</v>
      </c>
      <c r="BO175" t="n">
        <v>221.33</v>
      </c>
      <c r="BP175" t="n">
        <v>1261.021</v>
      </c>
      <c r="BQ175" t="n">
        <v>883.309</v>
      </c>
      <c r="BR175" t="n">
        <v>970.164</v>
      </c>
      <c r="BS175" t="n">
        <v>2069.772</v>
      </c>
      <c r="BT175" t="n">
        <v>2639.961</v>
      </c>
      <c r="BU175" t="n">
        <v>2391.189</v>
      </c>
      <c r="BV175" t="n">
        <v>2971.607</v>
      </c>
    </row>
    <row r="176">
      <c r="A176" t="inlineStr">
        <is>
          <t>Pagrus caeruleostictus</t>
        </is>
      </c>
      <c r="B176" t="inlineStr">
        <is>
          <t>Bluespotted seabream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75.983</v>
      </c>
      <c r="F176" t="n">
        <v>93.435</v>
      </c>
      <c r="G176" t="n">
        <v>112.487</v>
      </c>
      <c r="H176" t="n">
        <v>131.673</v>
      </c>
      <c r="I176" t="n">
        <v>148.777</v>
      </c>
      <c r="J176" t="n">
        <v>167.679</v>
      </c>
      <c r="K176" t="n">
        <v>187.262</v>
      </c>
      <c r="L176" t="n">
        <v>203.999</v>
      </c>
      <c r="M176" t="n">
        <v>224.325</v>
      </c>
      <c r="N176" t="n">
        <v>244.241</v>
      </c>
      <c r="O176" t="n">
        <v>260.596</v>
      </c>
      <c r="P176" t="n">
        <v>282.003</v>
      </c>
      <c r="Q176" t="n">
        <v>306.221</v>
      </c>
      <c r="R176" t="n">
        <v>321.889</v>
      </c>
      <c r="S176" t="n">
        <v>333.931</v>
      </c>
      <c r="T176" t="n">
        <v>356.937</v>
      </c>
      <c r="U176" t="n">
        <v>371.729</v>
      </c>
      <c r="V176" t="n">
        <v>387.299</v>
      </c>
      <c r="W176" t="n">
        <v>408.664</v>
      </c>
      <c r="X176" t="n">
        <v>431.939</v>
      </c>
      <c r="Y176" t="n">
        <v>454.478</v>
      </c>
      <c r="Z176" t="n">
        <v>465.786</v>
      </c>
      <c r="AA176" t="n">
        <v>489.571</v>
      </c>
      <c r="AB176" t="n">
        <v>506.17</v>
      </c>
      <c r="AC176" t="n">
        <v>514.735</v>
      </c>
      <c r="AD176" t="n">
        <v>524.307</v>
      </c>
      <c r="AE176" t="n">
        <v>564.544</v>
      </c>
      <c r="AF176" t="n">
        <v>593.189</v>
      </c>
      <c r="AG176" t="n">
        <v>604.809</v>
      </c>
      <c r="AH176" t="n">
        <v>589.523</v>
      </c>
      <c r="AI176" t="n">
        <v>605.182</v>
      </c>
      <c r="AJ176" t="n">
        <v>588.708</v>
      </c>
      <c r="AK176" t="n">
        <v>589.842</v>
      </c>
      <c r="AL176" t="n">
        <v>617.183</v>
      </c>
      <c r="AM176" t="n">
        <v>618.2</v>
      </c>
      <c r="AN176" t="n">
        <v>604.213</v>
      </c>
      <c r="AO176" t="n">
        <v>550.5119999999999</v>
      </c>
      <c r="AP176" t="n">
        <v>528.651</v>
      </c>
      <c r="AQ176" t="n">
        <v>489.954</v>
      </c>
      <c r="AR176" t="n">
        <v>458.655</v>
      </c>
      <c r="AS176" t="n">
        <v>434.624</v>
      </c>
      <c r="AT176" t="n">
        <v>414.007</v>
      </c>
      <c r="AU176" t="n">
        <v>390.99</v>
      </c>
      <c r="AV176" t="n">
        <v>348.226</v>
      </c>
      <c r="AW176" t="n">
        <v>303.833</v>
      </c>
      <c r="AX176" t="n">
        <v>258.865</v>
      </c>
      <c r="AY176" t="n">
        <v>267.093</v>
      </c>
      <c r="AZ176" t="n">
        <v>262.15</v>
      </c>
      <c r="BA176" t="n">
        <v>202.75</v>
      </c>
      <c r="BB176" t="n">
        <v>116.703</v>
      </c>
      <c r="BC176" t="n">
        <v>115.54</v>
      </c>
      <c r="BD176" t="n">
        <v>78.148</v>
      </c>
      <c r="BE176" t="n">
        <v>187.239</v>
      </c>
      <c r="BF176" t="n">
        <v>91.422</v>
      </c>
      <c r="BG176" t="n">
        <v>165.95</v>
      </c>
      <c r="BH176" t="n">
        <v>157.587</v>
      </c>
      <c r="BI176" t="n">
        <v>197.014</v>
      </c>
      <c r="BJ176" t="n">
        <v>244.151</v>
      </c>
      <c r="BK176" t="n">
        <v>227.5</v>
      </c>
      <c r="BL176" t="n">
        <v>114.584</v>
      </c>
      <c r="BM176" t="n">
        <v>173.126</v>
      </c>
      <c r="BN176" t="n">
        <v>122.405</v>
      </c>
      <c r="BO176" t="n">
        <v>106.97</v>
      </c>
      <c r="BP176" t="n">
        <v>102.404</v>
      </c>
      <c r="BQ176" t="n">
        <v>98.239</v>
      </c>
      <c r="BR176" t="n">
        <v>206.897</v>
      </c>
      <c r="BS176" t="n">
        <v>195.573</v>
      </c>
      <c r="BT176" t="n">
        <v>178.354</v>
      </c>
      <c r="BU176" t="n">
        <v>171.67</v>
      </c>
      <c r="BV176" t="n">
        <v>249.631</v>
      </c>
    </row>
    <row r="177">
      <c r="A177" t="inlineStr">
        <is>
          <t>Gerres</t>
        </is>
      </c>
      <c r="B177" t="inlineStr">
        <is>
          <t>Silver biddies</t>
        </is>
      </c>
      <c r="C177" t="inlineStr">
        <is>
          <t>Small benthopelagics (&lt;30 cm)</t>
        </is>
      </c>
      <c r="D177" t="inlineStr">
        <is>
          <t>Perch-likes</t>
        </is>
      </c>
      <c r="E177" t="n">
        <v>317.055</v>
      </c>
      <c r="F177" t="n">
        <v>321.455</v>
      </c>
      <c r="G177" t="n">
        <v>325.832</v>
      </c>
      <c r="H177" t="n">
        <v>330.187</v>
      </c>
      <c r="I177" t="n">
        <v>332.985</v>
      </c>
      <c r="J177" t="n">
        <v>337.69</v>
      </c>
      <c r="K177" t="n">
        <v>341.329</v>
      </c>
      <c r="L177" t="n">
        <v>347.219</v>
      </c>
      <c r="M177" t="n">
        <v>350.911</v>
      </c>
      <c r="N177" t="n">
        <v>356.042</v>
      </c>
      <c r="O177" t="n">
        <v>362.245</v>
      </c>
      <c r="P177" t="n">
        <v>375.557</v>
      </c>
      <c r="Q177" t="n">
        <v>388.268</v>
      </c>
      <c r="R177" t="n">
        <v>401.912</v>
      </c>
      <c r="S177" t="n">
        <v>406.787</v>
      </c>
      <c r="T177" t="n">
        <v>413.08</v>
      </c>
      <c r="U177" t="n">
        <v>415.094</v>
      </c>
      <c r="V177" t="n">
        <v>412.091</v>
      </c>
      <c r="W177" t="n">
        <v>416.047</v>
      </c>
      <c r="X177" t="n">
        <v>419.939</v>
      </c>
      <c r="Y177" t="n">
        <v>417.489</v>
      </c>
      <c r="Z177" t="n">
        <v>417.738</v>
      </c>
      <c r="AA177" t="n">
        <v>417.88</v>
      </c>
      <c r="AB177" t="n">
        <v>417.998</v>
      </c>
      <c r="AC177" t="n">
        <v>417.263</v>
      </c>
      <c r="AD177" t="n">
        <v>411.678</v>
      </c>
      <c r="AE177" t="n">
        <v>385.216</v>
      </c>
      <c r="AF177" t="n">
        <v>391.92</v>
      </c>
      <c r="AG177" t="n">
        <v>410.386</v>
      </c>
      <c r="AH177" t="n">
        <v>400.838</v>
      </c>
      <c r="AI177" t="n">
        <v>304.876</v>
      </c>
      <c r="AJ177" t="n">
        <v>237.696</v>
      </c>
      <c r="AK177" t="n">
        <v>234.928</v>
      </c>
      <c r="AL177" t="n">
        <v>300.388</v>
      </c>
      <c r="AM177" t="n">
        <v>276.879</v>
      </c>
      <c r="AN177" t="n">
        <v>305.46</v>
      </c>
      <c r="AO177" t="n">
        <v>303.971</v>
      </c>
      <c r="AP177" t="n">
        <v>309.127</v>
      </c>
      <c r="AQ177" t="n">
        <v>317.356</v>
      </c>
      <c r="AR177" t="n">
        <v>316.479</v>
      </c>
      <c r="AS177" t="n">
        <v>321.745</v>
      </c>
      <c r="AT177" t="n">
        <v>320.541</v>
      </c>
      <c r="AU177" t="n">
        <v>313.747</v>
      </c>
      <c r="AV177" t="n">
        <v>305.809</v>
      </c>
      <c r="AW177" t="n">
        <v>299.89</v>
      </c>
      <c r="AX177" t="n">
        <v>308.07</v>
      </c>
      <c r="AY177" t="n">
        <v>352.211</v>
      </c>
      <c r="AZ177" t="n">
        <v>343.929</v>
      </c>
      <c r="BA177" t="n">
        <v>337.905</v>
      </c>
      <c r="BB177" t="n">
        <v>337.038</v>
      </c>
      <c r="BC177" t="n">
        <v>343.738</v>
      </c>
      <c r="BD177" t="n">
        <v>337.768</v>
      </c>
      <c r="BE177" t="n">
        <v>336.937</v>
      </c>
      <c r="BF177" t="n">
        <v>332.863</v>
      </c>
      <c r="BG177" t="n">
        <v>331.416</v>
      </c>
      <c r="BH177" t="n">
        <v>283.238</v>
      </c>
      <c r="BI177" t="n">
        <v>203.259</v>
      </c>
      <c r="BJ177" t="n">
        <v>219.746</v>
      </c>
      <c r="BK177" t="n">
        <v>199.119</v>
      </c>
      <c r="BL177" t="n">
        <v>208.575</v>
      </c>
      <c r="BM177" t="n">
        <v>235.372</v>
      </c>
      <c r="BN177" t="n">
        <v>237.961</v>
      </c>
      <c r="BO177" t="n">
        <v>234.672</v>
      </c>
      <c r="BP177" t="n">
        <v>190.094</v>
      </c>
      <c r="BQ177" t="n">
        <v>146.299</v>
      </c>
      <c r="BR177" t="n">
        <v>169.612</v>
      </c>
      <c r="BS177" t="n">
        <v>134.036</v>
      </c>
      <c r="BT177" t="n">
        <v>160.26</v>
      </c>
      <c r="BU177" t="n">
        <v>116.442</v>
      </c>
      <c r="BV177" t="n">
        <v>113.162</v>
      </c>
    </row>
    <row r="178">
      <c r="A178" t="inlineStr">
        <is>
          <t>Carcharhinus limbatus</t>
        </is>
      </c>
      <c r="B178" t="inlineStr">
        <is>
          <t>Blacktip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258.401</v>
      </c>
      <c r="F178" t="n">
        <v>258.401</v>
      </c>
      <c r="G178" t="n">
        <v>258.401</v>
      </c>
      <c r="H178" t="n">
        <v>258.401</v>
      </c>
      <c r="I178" t="n">
        <v>258.401</v>
      </c>
      <c r="J178" t="n">
        <v>258.401</v>
      </c>
      <c r="K178" t="n">
        <v>516.803</v>
      </c>
      <c r="L178" t="n">
        <v>258.401</v>
      </c>
      <c r="M178" t="n">
        <v>258.401</v>
      </c>
      <c r="N178" t="n">
        <v>516.803</v>
      </c>
      <c r="O178" t="n">
        <v>516.803</v>
      </c>
      <c r="P178" t="n">
        <v>77.52</v>
      </c>
      <c r="Q178" t="n">
        <v>77.52</v>
      </c>
      <c r="R178" t="n">
        <v>77.52</v>
      </c>
      <c r="S178" t="n">
        <v>51.68</v>
      </c>
      <c r="T178" t="n">
        <v>51.68</v>
      </c>
      <c r="U178" t="n">
        <v>51.68</v>
      </c>
      <c r="V178" t="n">
        <v>51.68</v>
      </c>
      <c r="W178" t="n">
        <v>25.84</v>
      </c>
      <c r="X178" t="n">
        <v>25.84</v>
      </c>
      <c r="Y178" t="n">
        <v>54.781</v>
      </c>
      <c r="Z178" t="n">
        <v>34.109</v>
      </c>
      <c r="AA178" t="n">
        <v>33.334</v>
      </c>
      <c r="AB178" t="n">
        <v>37.985</v>
      </c>
      <c r="AC178" t="n">
        <v>43.153</v>
      </c>
      <c r="AD178" t="n">
        <v>43.153</v>
      </c>
      <c r="AE178" t="n">
        <v>28.941</v>
      </c>
      <c r="AF178" t="n">
        <v>50.905</v>
      </c>
      <c r="AG178" t="n">
        <v>345.224</v>
      </c>
      <c r="AH178" t="n">
        <v>169.77</v>
      </c>
      <c r="AI178" t="n">
        <v>54.781</v>
      </c>
      <c r="AJ178" t="n">
        <v>80.104</v>
      </c>
      <c r="AK178" t="n">
        <v>107.237</v>
      </c>
      <c r="AL178" t="n">
        <v>102.844</v>
      </c>
      <c r="AM178" t="n">
        <v>105.428</v>
      </c>
      <c r="AN178" t="n">
        <v>108.529</v>
      </c>
      <c r="AO178" t="n">
        <v>111.113</v>
      </c>
      <c r="AP178" t="n">
        <v>111.113</v>
      </c>
      <c r="AQ178" t="n">
        <v>111.113</v>
      </c>
      <c r="AR178" t="n">
        <v>110.596</v>
      </c>
      <c r="AS178" t="n">
        <v>103.361</v>
      </c>
      <c r="AT178" t="n">
        <v>372.615</v>
      </c>
      <c r="AU178" t="n">
        <v>367.964</v>
      </c>
      <c r="AV178" t="n">
        <v>363.829</v>
      </c>
      <c r="AW178" t="n">
        <v>362.537</v>
      </c>
      <c r="AX178" t="n">
        <v>362.545</v>
      </c>
      <c r="AY178" t="n">
        <v>362.279</v>
      </c>
      <c r="AZ178" t="n">
        <v>363.054</v>
      </c>
      <c r="BA178" t="n">
        <v>21.447</v>
      </c>
      <c r="BB178" t="n">
        <v>13.178</v>
      </c>
      <c r="BC178" t="n">
        <v>436.698</v>
      </c>
      <c r="BD178" t="n">
        <v>42.378</v>
      </c>
      <c r="BE178" t="n">
        <v>104.561</v>
      </c>
      <c r="BF178" t="n">
        <v>323.002</v>
      </c>
      <c r="BG178" t="n">
        <v>339.539</v>
      </c>
      <c r="BH178" t="n">
        <v>331.012</v>
      </c>
      <c r="BI178" t="n">
        <v>341.53</v>
      </c>
      <c r="BJ178" t="n">
        <v>393.139</v>
      </c>
      <c r="BK178" t="n">
        <v>936.173</v>
      </c>
      <c r="BL178" t="n">
        <v>921.318</v>
      </c>
      <c r="BM178" t="n">
        <v>904.423</v>
      </c>
      <c r="BN178" t="n">
        <v>693.926</v>
      </c>
      <c r="BO178" t="n">
        <v>738.616</v>
      </c>
      <c r="BP178" t="n">
        <v>797.773</v>
      </c>
      <c r="BQ178" t="n">
        <v>790.327</v>
      </c>
      <c r="BR178" t="n">
        <v>966.0069999999999</v>
      </c>
      <c r="BS178" t="n">
        <v>965.633</v>
      </c>
      <c r="BT178" t="n">
        <v>965.552</v>
      </c>
      <c r="BU178" t="n">
        <v>965.463</v>
      </c>
      <c r="BV178" t="n">
        <v>984.266</v>
      </c>
    </row>
    <row r="179">
      <c r="A179" t="inlineStr">
        <is>
          <t>Merluccius</t>
        </is>
      </c>
      <c r="B179" t="inlineStr">
        <is>
          <t>Hakes</t>
        </is>
      </c>
      <c r="C179" t="inlineStr">
        <is>
          <t>Medium bathydemersals (30 - 89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</v>
      </c>
      <c r="T179" t="n">
        <v>0.013</v>
      </c>
      <c r="U179" t="n">
        <v>6.496</v>
      </c>
      <c r="V179" t="n">
        <v>11.352</v>
      </c>
      <c r="W179" t="n">
        <v>19.923</v>
      </c>
      <c r="X179" t="n">
        <v>22.563</v>
      </c>
      <c r="Y179" t="n">
        <v>50.146</v>
      </c>
      <c r="Z179" t="n">
        <v>164.812</v>
      </c>
      <c r="AA179" t="n">
        <v>439.213</v>
      </c>
      <c r="AB179" t="n">
        <v>139.252</v>
      </c>
      <c r="AC179" t="n">
        <v>555.768</v>
      </c>
      <c r="AD179" t="n">
        <v>6385.311</v>
      </c>
      <c r="AE179" t="n">
        <v>203.216</v>
      </c>
      <c r="AF179" t="n">
        <v>1519.413</v>
      </c>
      <c r="AG179" t="n">
        <v>255.085</v>
      </c>
      <c r="AH179" t="n">
        <v>218.898</v>
      </c>
      <c r="AI179" t="n">
        <v>103.166</v>
      </c>
      <c r="AJ179" t="n">
        <v>104.097</v>
      </c>
      <c r="AK179" t="n">
        <v>191.471</v>
      </c>
      <c r="AL179" t="n">
        <v>118.684</v>
      </c>
      <c r="AM179" t="n">
        <v>296.02</v>
      </c>
      <c r="AN179" t="n">
        <v>110.349</v>
      </c>
      <c r="AO179" t="n">
        <v>97.17100000000001</v>
      </c>
      <c r="AP179" t="n">
        <v>96.664</v>
      </c>
      <c r="AQ179" t="n">
        <v>77.166</v>
      </c>
      <c r="AR179" t="n">
        <v>141.983</v>
      </c>
      <c r="AS179" t="n">
        <v>52.07</v>
      </c>
      <c r="AT179" t="n">
        <v>139.748</v>
      </c>
      <c r="AU179" t="n">
        <v>140.546</v>
      </c>
      <c r="AV179" t="n">
        <v>117.858</v>
      </c>
      <c r="AW179" t="n">
        <v>106.145</v>
      </c>
      <c r="AX179" t="n">
        <v>139.021</v>
      </c>
      <c r="AY179" t="n">
        <v>1023.732</v>
      </c>
      <c r="AZ179" t="n">
        <v>797.53</v>
      </c>
      <c r="BA179" t="n">
        <v>782.256</v>
      </c>
      <c r="BB179" t="n">
        <v>454.454</v>
      </c>
      <c r="BC179" t="n">
        <v>203.39</v>
      </c>
      <c r="BD179" t="n">
        <v>222.416</v>
      </c>
      <c r="BE179" t="n">
        <v>313.328</v>
      </c>
      <c r="BF179" t="n">
        <v>545.602</v>
      </c>
      <c r="BG179" t="n">
        <v>393.812</v>
      </c>
      <c r="BH179" t="n">
        <v>181.605</v>
      </c>
      <c r="BI179" t="n">
        <v>183.115</v>
      </c>
      <c r="BJ179" t="n">
        <v>183.321</v>
      </c>
      <c r="BK179" t="n">
        <v>216.59</v>
      </c>
      <c r="BL179" t="n">
        <v>247.637</v>
      </c>
      <c r="BM179" t="n">
        <v>414.541</v>
      </c>
      <c r="BN179" t="n">
        <v>29.152</v>
      </c>
      <c r="BO179" t="n">
        <v>157.953</v>
      </c>
      <c r="BP179" t="n">
        <v>9.852</v>
      </c>
      <c r="BQ179" t="n">
        <v>290.708</v>
      </c>
      <c r="BR179" t="n">
        <v>238.23</v>
      </c>
      <c r="BS179" t="n">
        <v>555.147</v>
      </c>
      <c r="BT179" t="n">
        <v>235.139</v>
      </c>
      <c r="BU179" t="n">
        <v>284.325</v>
      </c>
      <c r="BV179" t="n">
        <v>518.428</v>
      </c>
    </row>
    <row r="180">
      <c r="A180" t="inlineStr">
        <is>
          <t>Torpedinidae</t>
        </is>
      </c>
      <c r="B180" t="inlineStr">
        <is>
          <t>Electric rays</t>
        </is>
      </c>
      <c r="C180" t="inlineStr">
        <is>
          <t>Small to medium rays (&lt;90 cm)</t>
        </is>
      </c>
      <c r="D180" t="inlineStr">
        <is>
          <t>Sharks &amp; rays</t>
        </is>
      </c>
      <c r="E180" t="n">
        <v>0.194</v>
      </c>
      <c r="F180" t="n">
        <v>0.197</v>
      </c>
      <c r="G180" t="n">
        <v>0.2</v>
      </c>
      <c r="H180" t="n">
        <v>0.209</v>
      </c>
      <c r="I180" t="n">
        <v>0.218</v>
      </c>
      <c r="J180" t="n">
        <v>0.227</v>
      </c>
      <c r="K180" t="n">
        <v>0.236</v>
      </c>
      <c r="L180" t="n">
        <v>0.246</v>
      </c>
      <c r="M180" t="n">
        <v>0.926</v>
      </c>
      <c r="N180" t="n">
        <v>1.411</v>
      </c>
      <c r="O180" t="n">
        <v>2.082</v>
      </c>
      <c r="P180" t="n">
        <v>2.747</v>
      </c>
      <c r="Q180" t="n">
        <v>3.408</v>
      </c>
      <c r="R180" t="n">
        <v>3.301</v>
      </c>
      <c r="S180" t="n">
        <v>3.385</v>
      </c>
      <c r="T180" t="n">
        <v>3.302</v>
      </c>
      <c r="U180" t="n">
        <v>17.867</v>
      </c>
      <c r="V180" t="n">
        <v>28.746</v>
      </c>
      <c r="W180" t="n">
        <v>41.461</v>
      </c>
      <c r="X180" t="n">
        <v>56.307</v>
      </c>
      <c r="Y180" t="n">
        <v>99.703</v>
      </c>
      <c r="Z180" t="n">
        <v>109.404</v>
      </c>
      <c r="AA180" t="n">
        <v>120.651</v>
      </c>
      <c r="AB180" t="n">
        <v>159.584</v>
      </c>
      <c r="AC180" t="n">
        <v>203.85</v>
      </c>
      <c r="AD180" t="n">
        <v>260.956</v>
      </c>
      <c r="AE180" t="n">
        <v>336.168</v>
      </c>
      <c r="AF180" t="n">
        <v>405.03</v>
      </c>
      <c r="AG180" t="n">
        <v>454.148</v>
      </c>
      <c r="AH180" t="n">
        <v>490.816</v>
      </c>
      <c r="AI180" t="n">
        <v>239.924</v>
      </c>
      <c r="AJ180" t="n">
        <v>240.558</v>
      </c>
      <c r="AK180" t="n">
        <v>254.462</v>
      </c>
      <c r="AL180" t="n">
        <v>274.903</v>
      </c>
      <c r="AM180" t="n">
        <v>330.376</v>
      </c>
      <c r="AN180" t="n">
        <v>258.669</v>
      </c>
      <c r="AO180" t="n">
        <v>221.028</v>
      </c>
      <c r="AP180" t="n">
        <v>165.128</v>
      </c>
      <c r="AQ180" t="n">
        <v>186</v>
      </c>
      <c r="AR180" t="n">
        <v>166.592</v>
      </c>
      <c r="AS180" t="n">
        <v>133.29</v>
      </c>
      <c r="AT180" t="n">
        <v>328.597</v>
      </c>
      <c r="AU180" t="n">
        <v>306.866</v>
      </c>
      <c r="AV180" t="n">
        <v>281.227</v>
      </c>
      <c r="AW180" t="n">
        <v>254.857</v>
      </c>
      <c r="AX180" t="n">
        <v>367.543</v>
      </c>
      <c r="AY180" t="n">
        <v>166.958</v>
      </c>
      <c r="AZ180" t="n">
        <v>341.037</v>
      </c>
      <c r="BA180" t="n">
        <v>473.768</v>
      </c>
      <c r="BB180" t="n">
        <v>768.559</v>
      </c>
      <c r="BC180" t="n">
        <v>1320.544</v>
      </c>
      <c r="BD180" t="n">
        <v>1274.731</v>
      </c>
      <c r="BE180" t="n">
        <v>1783.195</v>
      </c>
      <c r="BF180" t="n">
        <v>831.8</v>
      </c>
      <c r="BG180" t="n">
        <v>718.425</v>
      </c>
      <c r="BH180" t="n">
        <v>653.159</v>
      </c>
      <c r="BI180" t="n">
        <v>628.116</v>
      </c>
      <c r="BJ180" t="n">
        <v>721.364</v>
      </c>
      <c r="BK180" t="n">
        <v>852.002</v>
      </c>
      <c r="BL180" t="n">
        <v>1062.055</v>
      </c>
      <c r="BM180" t="n">
        <v>1173.974</v>
      </c>
      <c r="BN180" t="n">
        <v>20.556</v>
      </c>
      <c r="BO180" t="n">
        <v>21.182</v>
      </c>
      <c r="BP180" t="n">
        <v>21.653</v>
      </c>
      <c r="BQ180" t="n">
        <v>22.433</v>
      </c>
      <c r="BR180" t="n">
        <v>23.21</v>
      </c>
      <c r="BS180" t="n">
        <v>24.064</v>
      </c>
      <c r="BT180" t="n">
        <v>24.985</v>
      </c>
      <c r="BU180" t="n">
        <v>25.801</v>
      </c>
      <c r="BV180" t="n">
        <v>26.678</v>
      </c>
    </row>
    <row r="181">
      <c r="A181" t="inlineStr">
        <is>
          <t>Peristediidae</t>
        </is>
      </c>
      <c r="B181" t="inlineStr">
        <is>
          <t>Armored searobins, gurnards</t>
        </is>
      </c>
      <c r="C181" t="inlineStr">
        <is>
          <t>Medium bathydemersals (30 - 89 cm)</t>
        </is>
      </c>
      <c r="D181" t="inlineStr">
        <is>
          <t>Scorpionfishes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20.838</v>
      </c>
      <c r="T181" t="n">
        <v>19.38</v>
      </c>
      <c r="U181" t="n">
        <v>27.775</v>
      </c>
      <c r="V181" t="n">
        <v>75.429</v>
      </c>
      <c r="W181" t="n">
        <v>0</v>
      </c>
      <c r="X181" t="n">
        <v>3.536</v>
      </c>
      <c r="Y181" t="n">
        <v>4.894</v>
      </c>
      <c r="Z181" t="n">
        <v>158.432</v>
      </c>
      <c r="AA181" t="n">
        <v>255.109</v>
      </c>
      <c r="AB181" t="n">
        <v>346.576</v>
      </c>
      <c r="AC181" t="n">
        <v>753.321</v>
      </c>
      <c r="AD181" t="n">
        <v>447.826</v>
      </c>
      <c r="AE181" t="n">
        <v>265.182</v>
      </c>
      <c r="AF181" t="n">
        <v>29.642</v>
      </c>
      <c r="AG181" t="n">
        <v>24.914</v>
      </c>
      <c r="AH181" t="n">
        <v>3.919</v>
      </c>
      <c r="AI181" t="n">
        <v>0.106</v>
      </c>
      <c r="AJ181" t="n">
        <v>0.154</v>
      </c>
      <c r="AK181" t="n">
        <v>94.02</v>
      </c>
      <c r="AL181" t="n">
        <v>100.58</v>
      </c>
      <c r="AM181" t="n">
        <v>313.982</v>
      </c>
      <c r="AN181" t="n">
        <v>438.355</v>
      </c>
      <c r="AO181" t="n">
        <v>174.066</v>
      </c>
      <c r="AP181" t="n">
        <v>348.493</v>
      </c>
      <c r="AQ181" t="n">
        <v>289.108</v>
      </c>
      <c r="AR181" t="n">
        <v>231.701</v>
      </c>
      <c r="AS181" t="n">
        <v>202.211</v>
      </c>
      <c r="AT181" t="n">
        <v>350.375</v>
      </c>
      <c r="AU181" t="n">
        <v>406.048</v>
      </c>
      <c r="AV181" t="n">
        <v>465.442</v>
      </c>
      <c r="AW181" t="n">
        <v>343.933</v>
      </c>
      <c r="AX181" t="n">
        <v>16.864</v>
      </c>
      <c r="AY181" t="n">
        <v>28.136</v>
      </c>
      <c r="AZ181" t="n">
        <v>81.76900000000001</v>
      </c>
      <c r="BA181" t="n">
        <v>92.661</v>
      </c>
      <c r="BB181" t="n">
        <v>73.247</v>
      </c>
      <c r="BC181" t="n">
        <v>15.952</v>
      </c>
      <c r="BD181" t="n">
        <v>75.84099999999999</v>
      </c>
      <c r="BE181" t="n">
        <v>25.712</v>
      </c>
      <c r="BF181" t="n">
        <v>331.639</v>
      </c>
      <c r="BG181" t="n">
        <v>602.991</v>
      </c>
      <c r="BH181" t="n">
        <v>789.003</v>
      </c>
      <c r="BI181" t="n">
        <v>293.959</v>
      </c>
      <c r="BJ181" t="n">
        <v>85.414</v>
      </c>
      <c r="BK181" t="n">
        <v>7636.085</v>
      </c>
      <c r="BL181" t="n">
        <v>103.773</v>
      </c>
      <c r="BM181" t="n">
        <v>89.193</v>
      </c>
      <c r="BN181" t="n">
        <v>208.898</v>
      </c>
      <c r="BO181" t="n">
        <v>46.635</v>
      </c>
      <c r="BP181" t="n">
        <v>97.43300000000001</v>
      </c>
      <c r="BQ181" t="n">
        <v>156.955</v>
      </c>
      <c r="BR181" t="n">
        <v>337.189</v>
      </c>
      <c r="BS181" t="n">
        <v>916.284</v>
      </c>
      <c r="BT181" t="n">
        <v>76.649</v>
      </c>
      <c r="BU181" t="n">
        <v>52.164</v>
      </c>
      <c r="BV181" t="n">
        <v>176.647</v>
      </c>
    </row>
    <row r="182">
      <c r="A182" t="inlineStr">
        <is>
          <t>Eucinostomus melanopterus</t>
        </is>
      </c>
      <c r="B182" t="inlineStr">
        <is>
          <t>Flagfin mojarra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122.865</v>
      </c>
      <c r="F182" t="n">
        <v>127.339</v>
      </c>
      <c r="G182" t="n">
        <v>131.46</v>
      </c>
      <c r="H182" t="n">
        <v>135.95</v>
      </c>
      <c r="I182" t="n">
        <v>140.061</v>
      </c>
      <c r="J182" t="n">
        <v>143.907</v>
      </c>
      <c r="K182" t="n">
        <v>148.568</v>
      </c>
      <c r="L182" t="n">
        <v>151.474</v>
      </c>
      <c r="M182" t="n">
        <v>159.405</v>
      </c>
      <c r="N182" t="n">
        <v>162.391</v>
      </c>
      <c r="O182" t="n">
        <v>162.648</v>
      </c>
      <c r="P182" t="n">
        <v>166.47</v>
      </c>
      <c r="Q182" t="n">
        <v>172.498</v>
      </c>
      <c r="R182" t="n">
        <v>183.342</v>
      </c>
      <c r="S182" t="n">
        <v>186.226</v>
      </c>
      <c r="T182" t="n">
        <v>188.332</v>
      </c>
      <c r="U182" t="n">
        <v>180.848</v>
      </c>
      <c r="V182" t="n">
        <v>184.797</v>
      </c>
      <c r="W182" t="n">
        <v>174.307</v>
      </c>
      <c r="X182" t="n">
        <v>176.567</v>
      </c>
      <c r="Y182" t="n">
        <v>166.542</v>
      </c>
      <c r="Z182" t="n">
        <v>189.845</v>
      </c>
      <c r="AA182" t="n">
        <v>196.255</v>
      </c>
      <c r="AB182" t="n">
        <v>192.675</v>
      </c>
      <c r="AC182" t="n">
        <v>194.25</v>
      </c>
      <c r="AD182" t="n">
        <v>167.916</v>
      </c>
      <c r="AE182" t="n">
        <v>162.474</v>
      </c>
      <c r="AF182" t="n">
        <v>204.526</v>
      </c>
      <c r="AG182" t="n">
        <v>182.944</v>
      </c>
      <c r="AH182" t="n">
        <v>187.784</v>
      </c>
      <c r="AI182" t="n">
        <v>185.916</v>
      </c>
      <c r="AJ182" t="n">
        <v>176.415</v>
      </c>
      <c r="AK182" t="n">
        <v>160.935</v>
      </c>
      <c r="AL182" t="n">
        <v>167.602</v>
      </c>
      <c r="AM182" t="n">
        <v>162.486</v>
      </c>
      <c r="AN182" t="n">
        <v>167.859</v>
      </c>
      <c r="AO182" t="n">
        <v>151.204</v>
      </c>
      <c r="AP182" t="n">
        <v>141.947</v>
      </c>
      <c r="AQ182" t="n">
        <v>142.685</v>
      </c>
      <c r="AR182" t="n">
        <v>136.081</v>
      </c>
      <c r="AS182" t="n">
        <v>134.972</v>
      </c>
      <c r="AT182" t="n">
        <v>147.166</v>
      </c>
      <c r="AU182" t="n">
        <v>151.187</v>
      </c>
      <c r="AV182" t="n">
        <v>115.062</v>
      </c>
      <c r="AW182" t="n">
        <v>115.277</v>
      </c>
      <c r="AX182" t="n">
        <v>112.747</v>
      </c>
      <c r="AY182" t="n">
        <v>93.70699999999999</v>
      </c>
      <c r="AZ182" t="n">
        <v>93.184</v>
      </c>
      <c r="BA182" t="n">
        <v>77.06</v>
      </c>
      <c r="BB182" t="n">
        <v>42.812</v>
      </c>
      <c r="BC182" t="n">
        <v>47.142</v>
      </c>
      <c r="BD182" t="n">
        <v>38.648</v>
      </c>
      <c r="BE182" t="n">
        <v>44.791</v>
      </c>
      <c r="BF182" t="n">
        <v>19.466</v>
      </c>
      <c r="BG182" t="n">
        <v>17.949</v>
      </c>
      <c r="BH182" t="n">
        <v>24.12</v>
      </c>
      <c r="BI182" t="n">
        <v>35.974</v>
      </c>
      <c r="BJ182" t="n">
        <v>58.662</v>
      </c>
      <c r="BK182" t="n">
        <v>46.289</v>
      </c>
      <c r="BL182" t="n">
        <v>40.2</v>
      </c>
      <c r="BM182" t="n">
        <v>57.586</v>
      </c>
      <c r="BN182" t="n">
        <v>1938.489</v>
      </c>
      <c r="BO182" t="n">
        <v>766.068</v>
      </c>
      <c r="BP182" t="n">
        <v>818.7859999999999</v>
      </c>
      <c r="BQ182" t="n">
        <v>1156.213</v>
      </c>
      <c r="BR182" t="n">
        <v>1128.72</v>
      </c>
      <c r="BS182" t="n">
        <v>1139.443</v>
      </c>
      <c r="BT182" t="n">
        <v>1156.99</v>
      </c>
      <c r="BU182" t="n">
        <v>1118.971</v>
      </c>
      <c r="BV182" t="n">
        <v>1151.51</v>
      </c>
    </row>
    <row r="183">
      <c r="A183" t="inlineStr">
        <is>
          <t>Hemiramphidae</t>
        </is>
      </c>
      <c r="B183" t="inlineStr">
        <is>
          <t>Halfbeaks, garfishes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0.948</v>
      </c>
      <c r="AO183" t="n">
        <v>1.896</v>
      </c>
      <c r="AP183" t="n">
        <v>2.845</v>
      </c>
      <c r="AQ183" t="n">
        <v>7.585</v>
      </c>
      <c r="AR183" t="n">
        <v>1.896</v>
      </c>
      <c r="AS183" t="n">
        <v>3.793</v>
      </c>
      <c r="AT183" t="n">
        <v>0.237</v>
      </c>
      <c r="AU183" t="n">
        <v>0.237</v>
      </c>
      <c r="AV183" t="n">
        <v>0.237</v>
      </c>
      <c r="AW183" t="n">
        <v>2.845</v>
      </c>
      <c r="AX183" t="n">
        <v>0.948</v>
      </c>
      <c r="AY183" t="n">
        <v>1.896</v>
      </c>
      <c r="AZ183" t="n">
        <v>4.042</v>
      </c>
      <c r="BA183" t="n">
        <v>173.534</v>
      </c>
      <c r="BB183" t="n">
        <v>87.681</v>
      </c>
      <c r="BC183" t="n">
        <v>99.57899999999999</v>
      </c>
      <c r="BD183" t="n">
        <v>113.821</v>
      </c>
      <c r="BE183" t="n">
        <v>116.833</v>
      </c>
      <c r="BF183" t="n">
        <v>119.676</v>
      </c>
      <c r="BG183" t="n">
        <v>98.113</v>
      </c>
      <c r="BH183" t="n">
        <v>101.631</v>
      </c>
      <c r="BI183" t="n">
        <v>66.962</v>
      </c>
      <c r="BJ183" t="n">
        <v>1727.364</v>
      </c>
      <c r="BK183" t="n">
        <v>1506.656</v>
      </c>
      <c r="BL183" t="n">
        <v>1110.256</v>
      </c>
      <c r="BM183" t="n">
        <v>1548.594</v>
      </c>
      <c r="BN183" t="n">
        <v>1879.766</v>
      </c>
      <c r="BO183" t="n">
        <v>1560.031</v>
      </c>
      <c r="BP183" t="n">
        <v>3313.892</v>
      </c>
      <c r="BQ183" t="n">
        <v>2271.246</v>
      </c>
      <c r="BR183" t="n">
        <v>510.675</v>
      </c>
      <c r="BS183" t="n">
        <v>482.922</v>
      </c>
      <c r="BT183" t="n">
        <v>497.682</v>
      </c>
      <c r="BU183" t="n">
        <v>604.414</v>
      </c>
      <c r="BV183" t="n">
        <v>297.303</v>
      </c>
    </row>
    <row r="184">
      <c r="A184" t="inlineStr">
        <is>
          <t>Sphyraena barracuda</t>
        </is>
      </c>
      <c r="B184" t="inlineStr">
        <is>
          <t>Great barracuda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72.58</v>
      </c>
      <c r="F184" t="n">
        <v>73.036</v>
      </c>
      <c r="G184" t="n">
        <v>73.5</v>
      </c>
      <c r="H184" t="n">
        <v>73.971</v>
      </c>
      <c r="I184" t="n">
        <v>74.449</v>
      </c>
      <c r="J184" t="n">
        <v>74.934</v>
      </c>
      <c r="K184" t="n">
        <v>75.426</v>
      </c>
      <c r="L184" t="n">
        <v>75.926</v>
      </c>
      <c r="M184" t="n">
        <v>76.992</v>
      </c>
      <c r="N184" t="n">
        <v>78.06399999999999</v>
      </c>
      <c r="O184" t="n">
        <v>79.14400000000001</v>
      </c>
      <c r="P184" t="n">
        <v>81.866</v>
      </c>
      <c r="Q184" t="n">
        <v>87.468</v>
      </c>
      <c r="R184" t="n">
        <v>82.71899999999999</v>
      </c>
      <c r="S184" t="n">
        <v>79.155</v>
      </c>
      <c r="T184" t="n">
        <v>83.785</v>
      </c>
      <c r="U184" t="n">
        <v>80.096</v>
      </c>
      <c r="V184" t="n">
        <v>80.754</v>
      </c>
      <c r="W184" t="n">
        <v>84.907</v>
      </c>
      <c r="X184" t="n">
        <v>89.742</v>
      </c>
      <c r="Y184" t="n">
        <v>94.569</v>
      </c>
      <c r="Z184" t="n">
        <v>100.321</v>
      </c>
      <c r="AA184" t="n">
        <v>106.097</v>
      </c>
      <c r="AB184" t="n">
        <v>111.897</v>
      </c>
      <c r="AC184" t="n">
        <v>117.723</v>
      </c>
      <c r="AD184" t="n">
        <v>118.226</v>
      </c>
      <c r="AE184" t="n">
        <v>123.603</v>
      </c>
      <c r="AF184" t="n">
        <v>140.707</v>
      </c>
      <c r="AG184" t="n">
        <v>142.567</v>
      </c>
      <c r="AH184" t="n">
        <v>147.103</v>
      </c>
      <c r="AI184" t="n">
        <v>154.649</v>
      </c>
      <c r="AJ184" t="n">
        <v>160.533</v>
      </c>
      <c r="AK184" t="n">
        <v>182.911</v>
      </c>
      <c r="AL184" t="n">
        <v>175.222</v>
      </c>
      <c r="AM184" t="n">
        <v>142.778</v>
      </c>
      <c r="AN184" t="n">
        <v>135.129</v>
      </c>
      <c r="AO184" t="n">
        <v>139.293</v>
      </c>
      <c r="AP184" t="n">
        <v>145.819</v>
      </c>
      <c r="AQ184" t="n">
        <v>117.15</v>
      </c>
      <c r="AR184" t="n">
        <v>139.522</v>
      </c>
      <c r="AS184" t="n">
        <v>138.417</v>
      </c>
      <c r="AT184" t="n">
        <v>162.119</v>
      </c>
      <c r="AU184" t="n">
        <v>142.689</v>
      </c>
      <c r="AV184" t="n">
        <v>134.18</v>
      </c>
      <c r="AW184" t="n">
        <v>168.314</v>
      </c>
      <c r="AX184" t="n">
        <v>162.893</v>
      </c>
      <c r="AY184" t="n">
        <v>181.499</v>
      </c>
      <c r="AZ184" t="n">
        <v>200.732</v>
      </c>
      <c r="BA184" t="n">
        <v>259.733</v>
      </c>
      <c r="BB184" t="n">
        <v>159.512</v>
      </c>
      <c r="BC184" t="n">
        <v>120.66</v>
      </c>
      <c r="BD184" t="n">
        <v>139.78</v>
      </c>
      <c r="BE184" t="n">
        <v>157.317</v>
      </c>
      <c r="BF184" t="n">
        <v>85.601</v>
      </c>
      <c r="BG184" t="n">
        <v>118.964</v>
      </c>
      <c r="BH184" t="n">
        <v>173.825</v>
      </c>
      <c r="BI184" t="n">
        <v>207.092</v>
      </c>
      <c r="BJ184" t="n">
        <v>225.748</v>
      </c>
      <c r="BK184" t="n">
        <v>246.329</v>
      </c>
      <c r="BL184" t="n">
        <v>347.173</v>
      </c>
      <c r="BM184" t="n">
        <v>756.34</v>
      </c>
      <c r="BN184" t="n">
        <v>482.695</v>
      </c>
      <c r="BO184" t="n">
        <v>903.9450000000001</v>
      </c>
      <c r="BP184" t="n">
        <v>590.97</v>
      </c>
      <c r="BQ184" t="n">
        <v>613.509</v>
      </c>
      <c r="BR184" t="n">
        <v>1119.974</v>
      </c>
      <c r="BS184" t="n">
        <v>1203.405</v>
      </c>
      <c r="BT184" t="n">
        <v>1289.947</v>
      </c>
      <c r="BU184" t="n">
        <v>735.316</v>
      </c>
      <c r="BV184" t="n">
        <v>1957.546</v>
      </c>
    </row>
    <row r="185">
      <c r="A185" t="inlineStr">
        <is>
          <t>Decapoda</t>
        </is>
      </c>
      <c r="B185" t="inlineStr">
        <is>
          <t>Crabs, lobsters, shrimps</t>
        </is>
      </c>
      <c r="C185" t="inlineStr">
        <is>
          <t>Lobsters, crabs</t>
        </is>
      </c>
      <c r="D185" t="inlineStr">
        <is>
          <t>Crustaceans</t>
        </is>
      </c>
      <c r="E185" t="n">
        <v>5.431</v>
      </c>
      <c r="F185" t="n">
        <v>5.817</v>
      </c>
      <c r="G185" t="n">
        <v>6.202</v>
      </c>
      <c r="H185" t="n">
        <v>6.596</v>
      </c>
      <c r="I185" t="n">
        <v>6.99</v>
      </c>
      <c r="J185" t="n">
        <v>7.384</v>
      </c>
      <c r="K185" t="n">
        <v>7.778</v>
      </c>
      <c r="L185" t="n">
        <v>8.172000000000001</v>
      </c>
      <c r="M185" t="n">
        <v>9.451000000000001</v>
      </c>
      <c r="N185" t="n">
        <v>10.473</v>
      </c>
      <c r="O185" t="n">
        <v>11.739</v>
      </c>
      <c r="P185" t="n">
        <v>12.999</v>
      </c>
      <c r="Q185" t="n">
        <v>14.252</v>
      </c>
      <c r="R185" t="n">
        <v>14.493</v>
      </c>
      <c r="S185" t="n">
        <v>14.986</v>
      </c>
      <c r="T185" t="n">
        <v>15.259</v>
      </c>
      <c r="U185" t="n">
        <v>15.563</v>
      </c>
      <c r="V185" t="n">
        <v>15.896</v>
      </c>
      <c r="W185" t="n">
        <v>16.366</v>
      </c>
      <c r="X185" t="n">
        <v>19.733</v>
      </c>
      <c r="Y185" t="n">
        <v>20.516</v>
      </c>
      <c r="Z185" t="n">
        <v>21.246</v>
      </c>
      <c r="AA185" t="n">
        <v>21.868</v>
      </c>
      <c r="AB185" t="n">
        <v>22.384</v>
      </c>
      <c r="AC185" t="n">
        <v>20.014</v>
      </c>
      <c r="AD185" t="n">
        <v>20.18</v>
      </c>
      <c r="AE185" t="n">
        <v>20.908</v>
      </c>
      <c r="AF185" t="n">
        <v>23.209</v>
      </c>
      <c r="AG185" t="n">
        <v>23.722</v>
      </c>
      <c r="AH185" t="n">
        <v>24.02</v>
      </c>
      <c r="AI185" t="n">
        <v>25.042</v>
      </c>
      <c r="AJ185" t="n">
        <v>25.81</v>
      </c>
      <c r="AK185" t="n">
        <v>25.124</v>
      </c>
      <c r="AL185" t="n">
        <v>25.02</v>
      </c>
      <c r="AM185" t="n">
        <v>28.38</v>
      </c>
      <c r="AN185" t="n">
        <v>30.505</v>
      </c>
      <c r="AO185" t="n">
        <v>34.161</v>
      </c>
      <c r="AP185" t="n">
        <v>36.496</v>
      </c>
      <c r="AQ185" t="n">
        <v>40.902</v>
      </c>
      <c r="AR185" t="n">
        <v>42.452</v>
      </c>
      <c r="AS185" t="n">
        <v>45.094</v>
      </c>
      <c r="AT185" t="n">
        <v>46.271</v>
      </c>
      <c r="AU185" t="n">
        <v>43.867</v>
      </c>
      <c r="AV185" t="n">
        <v>41.908</v>
      </c>
      <c r="AW185" t="n">
        <v>37.941</v>
      </c>
      <c r="AX185" t="n">
        <v>35.209</v>
      </c>
      <c r="AY185" t="n">
        <v>62.674</v>
      </c>
      <c r="AZ185" t="n">
        <v>71.13</v>
      </c>
      <c r="BA185" t="n">
        <v>69.154</v>
      </c>
      <c r="BB185" t="n">
        <v>251.885</v>
      </c>
      <c r="BC185" t="n">
        <v>3456.408</v>
      </c>
      <c r="BD185" t="n">
        <v>902.3869999999999</v>
      </c>
      <c r="BE185" t="n">
        <v>3227.86</v>
      </c>
      <c r="BF185" t="n">
        <v>2728.438</v>
      </c>
      <c r="BG185" t="n">
        <v>747.5170000000001</v>
      </c>
      <c r="BH185" t="n">
        <v>477.267</v>
      </c>
      <c r="BI185" t="n">
        <v>328.826</v>
      </c>
      <c r="BJ185" t="n">
        <v>297.154</v>
      </c>
      <c r="BK185" t="n">
        <v>164.754</v>
      </c>
      <c r="BL185" t="n">
        <v>417.96</v>
      </c>
      <c r="BM185" t="n">
        <v>189.521</v>
      </c>
      <c r="BN185" t="n">
        <v>925.439</v>
      </c>
      <c r="BO185" t="n">
        <v>130.923</v>
      </c>
      <c r="BP185" t="n">
        <v>98.34699999999999</v>
      </c>
      <c r="BQ185" t="n">
        <v>73.298</v>
      </c>
      <c r="BR185" t="n">
        <v>174.762</v>
      </c>
      <c r="BS185" t="n">
        <v>175.602</v>
      </c>
      <c r="BT185" t="n">
        <v>178.277</v>
      </c>
      <c r="BU185" t="n">
        <v>178.347</v>
      </c>
      <c r="BV185" t="n">
        <v>189.821</v>
      </c>
    </row>
    <row r="186">
      <c r="A186" t="inlineStr">
        <is>
          <t>Tetraodontidae</t>
        </is>
      </c>
      <c r="B186" t="inlineStr">
        <is>
          <t>Puffers, tobies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t="n">
        <v>45.45</v>
      </c>
      <c r="F186" t="n">
        <v>46.579</v>
      </c>
      <c r="G186" t="n">
        <v>47.708</v>
      </c>
      <c r="H186" t="n">
        <v>48.922</v>
      </c>
      <c r="I186" t="n">
        <v>50.138</v>
      </c>
      <c r="J186" t="n">
        <v>51.356</v>
      </c>
      <c r="K186" t="n">
        <v>52.575</v>
      </c>
      <c r="L186" t="n">
        <v>52.343</v>
      </c>
      <c r="M186" t="n">
        <v>62.799</v>
      </c>
      <c r="N186" t="n">
        <v>69.117</v>
      </c>
      <c r="O186" t="n">
        <v>79.60899999999999</v>
      </c>
      <c r="P186" t="n">
        <v>90.843</v>
      </c>
      <c r="Q186" t="n">
        <v>101.069</v>
      </c>
      <c r="R186" t="n">
        <v>98.754</v>
      </c>
      <c r="S186" t="n">
        <v>100.531</v>
      </c>
      <c r="T186" t="n">
        <v>103.038</v>
      </c>
      <c r="U186" t="n">
        <v>98.84699999999999</v>
      </c>
      <c r="V186" t="n">
        <v>101.244</v>
      </c>
      <c r="W186" t="n">
        <v>89.79000000000001</v>
      </c>
      <c r="X186" t="n">
        <v>120.266</v>
      </c>
      <c r="Y186" t="n">
        <v>121.601</v>
      </c>
      <c r="Z186" t="n">
        <v>107.114</v>
      </c>
      <c r="AA186" t="n">
        <v>96.682</v>
      </c>
      <c r="AB186" t="n">
        <v>98.107</v>
      </c>
      <c r="AC186" t="n">
        <v>69.38800000000001</v>
      </c>
      <c r="AD186" t="n">
        <v>67.11499999999999</v>
      </c>
      <c r="AE186" t="n">
        <v>74.15300000000001</v>
      </c>
      <c r="AF186" t="n">
        <v>97.459</v>
      </c>
      <c r="AG186" t="n">
        <v>102.27</v>
      </c>
      <c r="AH186" t="n">
        <v>105.01</v>
      </c>
      <c r="AI186" t="n">
        <v>116.241</v>
      </c>
      <c r="AJ186" t="n">
        <v>125.335</v>
      </c>
      <c r="AK186" t="n">
        <v>121.972</v>
      </c>
      <c r="AL186" t="n">
        <v>120.464</v>
      </c>
      <c r="AM186" t="n">
        <v>139.41</v>
      </c>
      <c r="AN186" t="n">
        <v>151.966</v>
      </c>
      <c r="AO186" t="n">
        <v>172.178</v>
      </c>
      <c r="AP186" t="n">
        <v>193.475</v>
      </c>
      <c r="AQ186" t="n">
        <v>224.878</v>
      </c>
      <c r="AR186" t="n">
        <v>229.985</v>
      </c>
      <c r="AS186" t="n">
        <v>248.254</v>
      </c>
      <c r="AT186" t="n">
        <v>249.324</v>
      </c>
      <c r="AU186" t="n">
        <v>249.327</v>
      </c>
      <c r="AV186" t="n">
        <v>252.092</v>
      </c>
      <c r="AW186" t="n">
        <v>248.696</v>
      </c>
      <c r="AX186" t="n">
        <v>264.339</v>
      </c>
      <c r="AY186" t="n">
        <v>261.071</v>
      </c>
      <c r="AZ186" t="n">
        <v>258.978</v>
      </c>
      <c r="BA186" t="n">
        <v>263.359</v>
      </c>
      <c r="BB186" t="n">
        <v>261.181</v>
      </c>
      <c r="BC186" t="n">
        <v>274.528</v>
      </c>
      <c r="BD186" t="n">
        <v>273.958</v>
      </c>
      <c r="BE186" t="n">
        <v>276.273</v>
      </c>
      <c r="BF186" t="n">
        <v>276.313</v>
      </c>
      <c r="BG186" t="n">
        <v>302.58</v>
      </c>
      <c r="BH186" t="n">
        <v>304.608</v>
      </c>
      <c r="BI186" t="n">
        <v>295.918</v>
      </c>
      <c r="BJ186" t="n">
        <v>305.595</v>
      </c>
      <c r="BK186" t="n">
        <v>467.912</v>
      </c>
      <c r="BL186" t="n">
        <v>109.986</v>
      </c>
      <c r="BM186" t="n">
        <v>329.382</v>
      </c>
      <c r="BN186" t="n">
        <v>322.279</v>
      </c>
      <c r="BO186" t="n">
        <v>3255.709</v>
      </c>
      <c r="BP186" t="n">
        <v>409.005</v>
      </c>
      <c r="BQ186" t="n">
        <v>330.878</v>
      </c>
      <c r="BR186" t="n">
        <v>334.244</v>
      </c>
      <c r="BS186" t="n">
        <v>347.259</v>
      </c>
      <c r="BT186" t="n">
        <v>415.347</v>
      </c>
      <c r="BU186" t="n">
        <v>441.352</v>
      </c>
      <c r="BV186" t="n">
        <v>394.903</v>
      </c>
    </row>
    <row r="187">
      <c r="A187" t="inlineStr">
        <is>
          <t>Dentex congoensis</t>
        </is>
      </c>
      <c r="B187" t="inlineStr">
        <is>
          <t>Congo dentex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78.754</v>
      </c>
      <c r="AP187" t="n">
        <v>0</v>
      </c>
      <c r="AQ187" t="n">
        <v>106.6</v>
      </c>
      <c r="AR187" t="n">
        <v>34.574</v>
      </c>
      <c r="AS187" t="n">
        <v>172.869</v>
      </c>
      <c r="AT187" t="n">
        <v>94.11799999999999</v>
      </c>
      <c r="AU187" t="n">
        <v>145.015</v>
      </c>
      <c r="AV187" t="n">
        <v>349.571</v>
      </c>
      <c r="AW187" t="n">
        <v>107.563</v>
      </c>
      <c r="AX187" t="n">
        <v>41.296</v>
      </c>
      <c r="AY187" t="n">
        <v>97.959</v>
      </c>
      <c r="AZ187" t="n">
        <v>114.284</v>
      </c>
      <c r="BA187" t="n">
        <v>376.466</v>
      </c>
      <c r="BB187" t="n">
        <v>1221.59</v>
      </c>
      <c r="BC187" t="n">
        <v>336.125</v>
      </c>
      <c r="BD187" t="n">
        <v>548.371</v>
      </c>
      <c r="BE187" t="n">
        <v>425.031</v>
      </c>
      <c r="BF187" t="n">
        <v>272.889</v>
      </c>
      <c r="BG187" t="n">
        <v>0</v>
      </c>
      <c r="BH187" t="n">
        <v>1028.468</v>
      </c>
      <c r="BI187" t="n">
        <v>633.071</v>
      </c>
      <c r="BJ187" t="n">
        <v>532.379</v>
      </c>
      <c r="BK187" t="n">
        <v>514.038</v>
      </c>
      <c r="BL187" t="n">
        <v>117.648</v>
      </c>
      <c r="BM187" t="n">
        <v>70</v>
      </c>
      <c r="BN187" t="n">
        <v>171.227</v>
      </c>
      <c r="BO187" t="n">
        <v>104.681</v>
      </c>
      <c r="BP187" t="n">
        <v>90.276</v>
      </c>
      <c r="BQ187" t="n">
        <v>33.613</v>
      </c>
      <c r="BR187" t="n">
        <v>122.929</v>
      </c>
      <c r="BS187" t="n">
        <v>1478.025</v>
      </c>
      <c r="BT187" t="n">
        <v>2589.089</v>
      </c>
      <c r="BU187" t="n">
        <v>1005.518</v>
      </c>
      <c r="BV187" t="n">
        <v>1455.648</v>
      </c>
    </row>
    <row r="188">
      <c r="A188" t="inlineStr">
        <is>
          <t>Triglidae</t>
        </is>
      </c>
      <c r="B188" t="inlineStr">
        <is>
          <t>Searobins, gurnards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2.958</v>
      </c>
      <c r="F188" t="n">
        <v>3</v>
      </c>
      <c r="G188" t="n">
        <v>3.041</v>
      </c>
      <c r="H188" t="n">
        <v>3.177</v>
      </c>
      <c r="I188" t="n">
        <v>3.315</v>
      </c>
      <c r="J188" t="n">
        <v>3.455</v>
      </c>
      <c r="K188" t="n">
        <v>3.597</v>
      </c>
      <c r="L188" t="n">
        <v>3.741</v>
      </c>
      <c r="M188" t="n">
        <v>14.097</v>
      </c>
      <c r="N188" t="n">
        <v>21.482</v>
      </c>
      <c r="O188" t="n">
        <v>31.689</v>
      </c>
      <c r="P188" t="n">
        <v>41.823</v>
      </c>
      <c r="Q188" t="n">
        <v>51.882</v>
      </c>
      <c r="R188" t="n">
        <v>50.253</v>
      </c>
      <c r="S188" t="n">
        <v>51.532</v>
      </c>
      <c r="T188" t="n">
        <v>50.275</v>
      </c>
      <c r="U188" t="n">
        <v>49.37</v>
      </c>
      <c r="V188" t="n">
        <v>48.813</v>
      </c>
      <c r="W188" t="n">
        <v>49.822</v>
      </c>
      <c r="X188" t="n">
        <v>84.288</v>
      </c>
      <c r="Y188" t="n">
        <v>88.91200000000001</v>
      </c>
      <c r="Z188" t="n">
        <v>92.93300000000001</v>
      </c>
      <c r="AA188" t="n">
        <v>95.70699999999999</v>
      </c>
      <c r="AB188" t="n">
        <v>97.253</v>
      </c>
      <c r="AC188" t="n">
        <v>65.488</v>
      </c>
      <c r="AD188" t="n">
        <v>62.988</v>
      </c>
      <c r="AE188" t="n">
        <v>70.624</v>
      </c>
      <c r="AF188" t="n">
        <v>96.586</v>
      </c>
      <c r="AG188" t="n">
        <v>102.098</v>
      </c>
      <c r="AH188" t="n">
        <v>105.321</v>
      </c>
      <c r="AI188" t="n">
        <v>117.075</v>
      </c>
      <c r="AJ188" t="n">
        <v>126.081</v>
      </c>
      <c r="AK188" t="n">
        <v>118.484</v>
      </c>
      <c r="AL188" t="n">
        <v>117.8</v>
      </c>
      <c r="AM188" t="n">
        <v>144.35</v>
      </c>
      <c r="AN188" t="n">
        <v>156.294</v>
      </c>
      <c r="AO188" t="n">
        <v>179.304</v>
      </c>
      <c r="AP188" t="n">
        <v>199.174</v>
      </c>
      <c r="AQ188" t="n">
        <v>231.382</v>
      </c>
      <c r="AR188" t="n">
        <v>234.543</v>
      </c>
      <c r="AS188" t="n">
        <v>250.511</v>
      </c>
      <c r="AT188" t="n">
        <v>248.566</v>
      </c>
      <c r="AU188" t="n">
        <v>246.639</v>
      </c>
      <c r="AV188" t="n">
        <v>246.281</v>
      </c>
      <c r="AW188" t="n">
        <v>247.524</v>
      </c>
      <c r="AX188" t="n">
        <v>250.346</v>
      </c>
      <c r="AY188" t="n">
        <v>254.595</v>
      </c>
      <c r="AZ188" t="n">
        <v>258.831</v>
      </c>
      <c r="BA188" t="n">
        <v>271.996</v>
      </c>
      <c r="BB188" t="n">
        <v>272.626</v>
      </c>
      <c r="BC188" t="n">
        <v>283.194</v>
      </c>
      <c r="BD188" t="n">
        <v>285.285</v>
      </c>
      <c r="BE188" t="n">
        <v>279.835</v>
      </c>
      <c r="BF188" t="n">
        <v>297.528</v>
      </c>
      <c r="BG188" t="n">
        <v>316.064</v>
      </c>
      <c r="BH188" t="n">
        <v>293.846</v>
      </c>
      <c r="BI188" t="n">
        <v>319.302</v>
      </c>
      <c r="BJ188" t="n">
        <v>307.429</v>
      </c>
      <c r="BK188" t="n">
        <v>302.599</v>
      </c>
      <c r="BL188" t="n">
        <v>153.263</v>
      </c>
      <c r="BM188" t="n">
        <v>488.54</v>
      </c>
      <c r="BN188" t="n">
        <v>414.483</v>
      </c>
      <c r="BO188" t="n">
        <v>525.441</v>
      </c>
      <c r="BP188" t="n">
        <v>439.329</v>
      </c>
      <c r="BQ188" t="n">
        <v>456.75</v>
      </c>
      <c r="BR188" t="n">
        <v>585.933</v>
      </c>
      <c r="BS188" t="n">
        <v>609.521</v>
      </c>
      <c r="BT188" t="n">
        <v>632.7329999999999</v>
      </c>
      <c r="BU188" t="n">
        <v>525.3920000000001</v>
      </c>
      <c r="BV188" t="n">
        <v>670.865</v>
      </c>
    </row>
    <row r="189">
      <c r="A189" t="inlineStr">
        <is>
          <t>Muraenidae</t>
        </is>
      </c>
      <c r="B189" t="inlineStr">
        <is>
          <t>Moray eels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n">
        <v>1.697</v>
      </c>
      <c r="F189" t="n">
        <v>1.707</v>
      </c>
      <c r="G189" t="n">
        <v>1.718</v>
      </c>
      <c r="H189" t="n">
        <v>1.729</v>
      </c>
      <c r="I189" t="n">
        <v>1.74</v>
      </c>
      <c r="J189" t="n">
        <v>1.752</v>
      </c>
      <c r="K189" t="n">
        <v>1.763</v>
      </c>
      <c r="L189" t="n">
        <v>1.775</v>
      </c>
      <c r="M189" t="n">
        <v>1.8</v>
      </c>
      <c r="N189" t="n">
        <v>1.825</v>
      </c>
      <c r="O189" t="n">
        <v>1.85</v>
      </c>
      <c r="P189" t="n">
        <v>1.914</v>
      </c>
      <c r="Q189" t="n">
        <v>2.045</v>
      </c>
      <c r="R189" t="n">
        <v>1.934</v>
      </c>
      <c r="S189" t="n">
        <v>1.85</v>
      </c>
      <c r="T189" t="n">
        <v>1.959</v>
      </c>
      <c r="U189" t="n">
        <v>1.872</v>
      </c>
      <c r="V189" t="n">
        <v>1.888</v>
      </c>
      <c r="W189" t="n">
        <v>1.998</v>
      </c>
      <c r="X189" t="n">
        <v>2.124</v>
      </c>
      <c r="Y189" t="n">
        <v>2.25</v>
      </c>
      <c r="Z189" t="n">
        <v>2.398</v>
      </c>
      <c r="AA189" t="n">
        <v>2.546</v>
      </c>
      <c r="AB189" t="n">
        <v>2.695</v>
      </c>
      <c r="AC189" t="n">
        <v>2.845</v>
      </c>
      <c r="AD189" t="n">
        <v>2.856</v>
      </c>
      <c r="AE189" t="n">
        <v>2.92</v>
      </c>
      <c r="AF189" t="n">
        <v>3.009</v>
      </c>
      <c r="AG189" t="n">
        <v>3.053</v>
      </c>
      <c r="AH189" t="n">
        <v>3.416</v>
      </c>
      <c r="AI189" t="n">
        <v>3.609</v>
      </c>
      <c r="AJ189" t="n">
        <v>3.012</v>
      </c>
      <c r="AK189" t="n">
        <v>2.926</v>
      </c>
      <c r="AL189" t="n">
        <v>100.81</v>
      </c>
      <c r="AM189" t="n">
        <v>66.53</v>
      </c>
      <c r="AN189" t="n">
        <v>84.001</v>
      </c>
      <c r="AO189" t="n">
        <v>84.413</v>
      </c>
      <c r="AP189" t="n">
        <v>56.151</v>
      </c>
      <c r="AQ189" t="n">
        <v>58.755</v>
      </c>
      <c r="AR189" t="n">
        <v>75.73699999999999</v>
      </c>
      <c r="AS189" t="n">
        <v>81.19799999999999</v>
      </c>
      <c r="AT189" t="n">
        <v>72.18899999999999</v>
      </c>
      <c r="AU189" t="n">
        <v>42.256</v>
      </c>
      <c r="AV189" t="n">
        <v>73.798</v>
      </c>
      <c r="AW189" t="n">
        <v>62.955</v>
      </c>
      <c r="AX189" t="n">
        <v>63.188</v>
      </c>
      <c r="AY189" t="n">
        <v>27.034</v>
      </c>
      <c r="AZ189" t="n">
        <v>61.705</v>
      </c>
      <c r="BA189" t="n">
        <v>65.68899999999999</v>
      </c>
      <c r="BB189" t="n">
        <v>122.852</v>
      </c>
      <c r="BC189" t="n">
        <v>115.267</v>
      </c>
      <c r="BD189" t="n">
        <v>150.461</v>
      </c>
      <c r="BE189" t="n">
        <v>142.448</v>
      </c>
      <c r="BF189" t="n">
        <v>171.214</v>
      </c>
      <c r="BG189" t="n">
        <v>221.623</v>
      </c>
      <c r="BH189" t="n">
        <v>209.639</v>
      </c>
      <c r="BI189" t="n">
        <v>110.02</v>
      </c>
      <c r="BJ189" t="n">
        <v>128.52</v>
      </c>
      <c r="BK189" t="n">
        <v>132.219</v>
      </c>
      <c r="BL189" t="n">
        <v>151.232</v>
      </c>
      <c r="BM189" t="n">
        <v>1026.544</v>
      </c>
      <c r="BN189" t="n">
        <v>525.9589999999999</v>
      </c>
      <c r="BO189" t="n">
        <v>1944.157</v>
      </c>
      <c r="BP189" t="n">
        <v>526.689</v>
      </c>
      <c r="BQ189" t="n">
        <v>536.884</v>
      </c>
      <c r="BR189" t="n">
        <v>1024.518</v>
      </c>
      <c r="BS189" t="n">
        <v>1026.629</v>
      </c>
      <c r="BT189" t="n">
        <v>1030.162</v>
      </c>
      <c r="BU189" t="n">
        <v>540.251</v>
      </c>
      <c r="BV189" t="n">
        <v>1035.811</v>
      </c>
    </row>
    <row r="190">
      <c r="A190" t="inlineStr">
        <is>
          <t>Penaeus kerathurus</t>
        </is>
      </c>
      <c r="B190" t="inlineStr">
        <is>
          <t>Caramote prawn</t>
        </is>
      </c>
      <c r="C190" t="inlineStr">
        <is>
          <t>Shrimps</t>
        </is>
      </c>
      <c r="D190" t="inlineStr">
        <is>
          <t>Crustaceans</t>
        </is>
      </c>
      <c r="E190" t="n">
        <v>48.566</v>
      </c>
      <c r="F190" t="n">
        <v>48.754</v>
      </c>
      <c r="G190" t="n">
        <v>48.942</v>
      </c>
      <c r="H190" t="n">
        <v>49.13</v>
      </c>
      <c r="I190" t="n">
        <v>49.318</v>
      </c>
      <c r="J190" t="n">
        <v>49.506</v>
      </c>
      <c r="K190" t="n">
        <v>49.694</v>
      </c>
      <c r="L190" t="n">
        <v>49.882</v>
      </c>
      <c r="M190" t="n">
        <v>50.07</v>
      </c>
      <c r="N190" t="n">
        <v>50.259</v>
      </c>
      <c r="O190" t="n">
        <v>50.447</v>
      </c>
      <c r="P190" t="n">
        <v>50.635</v>
      </c>
      <c r="Q190" t="n">
        <v>50.823</v>
      </c>
      <c r="R190" t="n">
        <v>62.338</v>
      </c>
      <c r="S190" t="n">
        <v>62.721</v>
      </c>
      <c r="T190" t="n">
        <v>51.413</v>
      </c>
      <c r="U190" t="n">
        <v>61.948</v>
      </c>
      <c r="V190" t="n">
        <v>60.289</v>
      </c>
      <c r="W190" t="n">
        <v>51.951</v>
      </c>
      <c r="X190" t="n">
        <v>52.139</v>
      </c>
      <c r="Y190" t="n">
        <v>52.327</v>
      </c>
      <c r="Z190" t="n">
        <v>52.515</v>
      </c>
      <c r="AA190" t="n">
        <v>179.919</v>
      </c>
      <c r="AB190" t="n">
        <v>94.381</v>
      </c>
      <c r="AC190" t="n">
        <v>167.153</v>
      </c>
      <c r="AD190" t="n">
        <v>156.281</v>
      </c>
      <c r="AE190" t="n">
        <v>53.456</v>
      </c>
      <c r="AF190" t="n">
        <v>85.89</v>
      </c>
      <c r="AG190" t="n">
        <v>189.89</v>
      </c>
      <c r="AH190" t="n">
        <v>302.053</v>
      </c>
      <c r="AI190" t="n">
        <v>683.478</v>
      </c>
      <c r="AJ190" t="n">
        <v>154.624</v>
      </c>
      <c r="AK190" t="n">
        <v>281.26</v>
      </c>
      <c r="AL190" t="n">
        <v>295.53</v>
      </c>
      <c r="AM190" t="n">
        <v>147.258</v>
      </c>
      <c r="AN190" t="n">
        <v>205.187</v>
      </c>
      <c r="AO190" t="n">
        <v>295.585</v>
      </c>
      <c r="AP190" t="n">
        <v>469.916</v>
      </c>
      <c r="AQ190" t="n">
        <v>438.183</v>
      </c>
      <c r="AR190" t="n">
        <v>301.026</v>
      </c>
      <c r="AS190" t="n">
        <v>430.237</v>
      </c>
      <c r="AT190" t="n">
        <v>332.903</v>
      </c>
      <c r="AU190" t="n">
        <v>229.042</v>
      </c>
      <c r="AV190" t="n">
        <v>483.681</v>
      </c>
      <c r="AW190" t="n">
        <v>209.482</v>
      </c>
      <c r="AX190" t="n">
        <v>218.748</v>
      </c>
      <c r="AY190" t="n">
        <v>180.413</v>
      </c>
      <c r="AZ190" t="n">
        <v>157.335</v>
      </c>
      <c r="BA190" t="n">
        <v>112.001</v>
      </c>
      <c r="BB190" t="n">
        <v>95.069</v>
      </c>
      <c r="BC190" t="n">
        <v>90.407</v>
      </c>
      <c r="BD190" t="n">
        <v>89.521</v>
      </c>
      <c r="BE190" t="n">
        <v>123.314</v>
      </c>
      <c r="BF190" t="n">
        <v>102.889</v>
      </c>
      <c r="BG190" t="n">
        <v>113.778</v>
      </c>
      <c r="BH190" t="n">
        <v>118.725</v>
      </c>
      <c r="BI190" t="n">
        <v>145.39</v>
      </c>
      <c r="BJ190" t="n">
        <v>126.138</v>
      </c>
      <c r="BK190" t="n">
        <v>137.306</v>
      </c>
      <c r="BL190" t="n">
        <v>133.92</v>
      </c>
      <c r="BM190" t="n">
        <v>128.796</v>
      </c>
      <c r="BN190" t="n">
        <v>196.248</v>
      </c>
      <c r="BO190" t="n">
        <v>144.908</v>
      </c>
      <c r="BP190" t="n">
        <v>293.715</v>
      </c>
      <c r="BQ190" t="n">
        <v>248.688</v>
      </c>
      <c r="BR190" t="n">
        <v>195.723</v>
      </c>
      <c r="BS190" t="n">
        <v>322.092</v>
      </c>
      <c r="BT190" t="n">
        <v>352.32</v>
      </c>
      <c r="BU190" t="n">
        <v>323.068</v>
      </c>
      <c r="BV190" t="n">
        <v>222.541</v>
      </c>
    </row>
    <row r="191">
      <c r="A191" t="inlineStr">
        <is>
          <t>Lichia amia</t>
        </is>
      </c>
      <c r="B191" t="inlineStr">
        <is>
          <t>Leerfish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0.016</v>
      </c>
      <c r="F191" t="n">
        <v>0.016</v>
      </c>
      <c r="G191" t="n">
        <v>0.014</v>
      </c>
      <c r="H191" t="n">
        <v>0.014</v>
      </c>
      <c r="I191" t="n">
        <v>0.014</v>
      </c>
      <c r="J191" t="n">
        <v>0.021</v>
      </c>
      <c r="K191" t="n">
        <v>0.018</v>
      </c>
      <c r="L191" t="n">
        <v>0.019</v>
      </c>
      <c r="M191" t="n">
        <v>0.022</v>
      </c>
      <c r="N191" t="n">
        <v>0.037</v>
      </c>
      <c r="O191" t="n">
        <v>0.042</v>
      </c>
      <c r="P191" t="n">
        <v>0.038</v>
      </c>
      <c r="Q191" t="n">
        <v>0.04</v>
      </c>
      <c r="R191" t="n">
        <v>0.04</v>
      </c>
      <c r="S191" t="n">
        <v>0.04</v>
      </c>
      <c r="T191" t="n">
        <v>0.042</v>
      </c>
      <c r="U191" t="n">
        <v>0.042</v>
      </c>
      <c r="V191" t="n">
        <v>0.049</v>
      </c>
      <c r="W191" t="n">
        <v>0.056</v>
      </c>
      <c r="X191" t="n">
        <v>0.063</v>
      </c>
      <c r="Y191" t="n">
        <v>6.681</v>
      </c>
      <c r="Z191" t="n">
        <v>139.004</v>
      </c>
      <c r="AA191" t="n">
        <v>7.697</v>
      </c>
      <c r="AB191" t="n">
        <v>0.589</v>
      </c>
      <c r="AC191" t="n">
        <v>0.195</v>
      </c>
      <c r="AD191" t="n">
        <v>4.032</v>
      </c>
      <c r="AE191" t="n">
        <v>13.254</v>
      </c>
      <c r="AF191" t="n">
        <v>56.831</v>
      </c>
      <c r="AG191" t="n">
        <v>15.691</v>
      </c>
      <c r="AH191" t="n">
        <v>305.838</v>
      </c>
      <c r="AI191" t="n">
        <v>29.258</v>
      </c>
      <c r="AJ191" t="n">
        <v>111.766</v>
      </c>
      <c r="AK191" t="n">
        <v>325.569</v>
      </c>
      <c r="AL191" t="n">
        <v>748.936</v>
      </c>
      <c r="AM191" t="n">
        <v>406.189</v>
      </c>
      <c r="AN191" t="n">
        <v>584.7380000000001</v>
      </c>
      <c r="AO191" t="n">
        <v>222.592</v>
      </c>
      <c r="AP191" t="n">
        <v>537.061</v>
      </c>
      <c r="AQ191" t="n">
        <v>233.219</v>
      </c>
      <c r="AR191" t="n">
        <v>368.433</v>
      </c>
      <c r="AS191" t="n">
        <v>277.902</v>
      </c>
      <c r="AT191" t="n">
        <v>362.024</v>
      </c>
      <c r="AU191" t="n">
        <v>310.672</v>
      </c>
      <c r="AV191" t="n">
        <v>217.809</v>
      </c>
      <c r="AW191" t="n">
        <v>245.883</v>
      </c>
      <c r="AX191" t="n">
        <v>46.832</v>
      </c>
      <c r="AY191" t="n">
        <v>50.727</v>
      </c>
      <c r="AZ191" t="n">
        <v>275.814</v>
      </c>
      <c r="BA191" t="n">
        <v>198.253</v>
      </c>
      <c r="BB191" t="n">
        <v>325.273</v>
      </c>
      <c r="BC191" t="n">
        <v>286.369</v>
      </c>
      <c r="BD191" t="n">
        <v>194.472</v>
      </c>
      <c r="BE191" t="n">
        <v>382.104</v>
      </c>
      <c r="BF191" t="n">
        <v>135.002</v>
      </c>
      <c r="BG191" t="n">
        <v>160.319</v>
      </c>
      <c r="BH191" t="n">
        <v>164.96</v>
      </c>
      <c r="BI191" t="n">
        <v>127.093</v>
      </c>
      <c r="BJ191" t="n">
        <v>153.158</v>
      </c>
      <c r="BK191" t="n">
        <v>135.324</v>
      </c>
      <c r="BL191" t="n">
        <v>160.323</v>
      </c>
      <c r="BM191" t="n">
        <v>263.778</v>
      </c>
      <c r="BN191" t="n">
        <v>252.745</v>
      </c>
      <c r="BO191" t="n">
        <v>305.714</v>
      </c>
      <c r="BP191" t="n">
        <v>216.203</v>
      </c>
      <c r="BQ191" t="n">
        <v>319.55</v>
      </c>
      <c r="BR191" t="n">
        <v>365.193</v>
      </c>
      <c r="BS191" t="n">
        <v>740.8869999999999</v>
      </c>
      <c r="BT191" t="n">
        <v>285.154</v>
      </c>
      <c r="BU191" t="n">
        <v>171.728</v>
      </c>
      <c r="BV191" t="n">
        <v>322.066</v>
      </c>
    </row>
    <row r="192">
      <c r="A192" t="inlineStr">
        <is>
          <t>Pomadasys rogerii</t>
        </is>
      </c>
      <c r="B192" t="inlineStr">
        <is>
          <t>Pigsnout grunt</t>
        </is>
      </c>
      <c r="C192" t="inlineStr">
        <is>
          <t>Medium benthopelagics (30 - 89 cm)</t>
        </is>
      </c>
      <c r="D192" t="inlineStr">
        <is>
          <t>Perch-likes</t>
        </is>
      </c>
      <c r="E192" t="n">
        <v>39.537</v>
      </c>
      <c r="F192" t="n">
        <v>39.786</v>
      </c>
      <c r="G192" t="n">
        <v>40.039</v>
      </c>
      <c r="H192" t="n">
        <v>40.295</v>
      </c>
      <c r="I192" t="n">
        <v>40.556</v>
      </c>
      <c r="J192" t="n">
        <v>40.82</v>
      </c>
      <c r="K192" t="n">
        <v>41.088</v>
      </c>
      <c r="L192" t="n">
        <v>41.36</v>
      </c>
      <c r="M192" t="n">
        <v>41.941</v>
      </c>
      <c r="N192" t="n">
        <v>42.525</v>
      </c>
      <c r="O192" t="n">
        <v>43.113</v>
      </c>
      <c r="P192" t="n">
        <v>44.596</v>
      </c>
      <c r="Q192" t="n">
        <v>47.648</v>
      </c>
      <c r="R192" t="n">
        <v>45.061</v>
      </c>
      <c r="S192" t="n">
        <v>43.119</v>
      </c>
      <c r="T192" t="n">
        <v>45.642</v>
      </c>
      <c r="U192" t="n">
        <v>43.632</v>
      </c>
      <c r="V192" t="n">
        <v>43.991</v>
      </c>
      <c r="W192" t="n">
        <v>46.253</v>
      </c>
      <c r="X192" t="n">
        <v>48.887</v>
      </c>
      <c r="Y192" t="n">
        <v>51.516</v>
      </c>
      <c r="Z192" t="n">
        <v>55.932</v>
      </c>
      <c r="AA192" t="n">
        <v>62.896</v>
      </c>
      <c r="AB192" t="n">
        <v>71.49299999999999</v>
      </c>
      <c r="AC192" t="n">
        <v>81.729</v>
      </c>
      <c r="AD192" t="n">
        <v>90.883</v>
      </c>
      <c r="AE192" t="n">
        <v>105.461</v>
      </c>
      <c r="AF192" t="n">
        <v>122.24</v>
      </c>
      <c r="AG192" t="n">
        <v>139.274</v>
      </c>
      <c r="AH192" t="n">
        <v>148.875</v>
      </c>
      <c r="AI192" t="n">
        <v>163.346</v>
      </c>
      <c r="AJ192" t="n">
        <v>147.172</v>
      </c>
      <c r="AK192" t="n">
        <v>154.975</v>
      </c>
      <c r="AL192" t="n">
        <v>170.521</v>
      </c>
      <c r="AM192" t="n">
        <v>184.279</v>
      </c>
      <c r="AN192" t="n">
        <v>183.557</v>
      </c>
      <c r="AO192" t="n">
        <v>195.75</v>
      </c>
      <c r="AP192" t="n">
        <v>218.106</v>
      </c>
      <c r="AQ192" t="n">
        <v>212.588</v>
      </c>
      <c r="AR192" t="n">
        <v>198.83</v>
      </c>
      <c r="AS192" t="n">
        <v>196.882</v>
      </c>
      <c r="AT192" t="n">
        <v>190.908</v>
      </c>
      <c r="AU192" t="n">
        <v>212.437</v>
      </c>
      <c r="AV192" t="n">
        <v>210.594</v>
      </c>
      <c r="AW192" t="n">
        <v>224.374</v>
      </c>
      <c r="AX192" t="n">
        <v>216.184</v>
      </c>
      <c r="AY192" t="n">
        <v>234.616</v>
      </c>
      <c r="AZ192" t="n">
        <v>218.882</v>
      </c>
      <c r="BA192" t="n">
        <v>249.191</v>
      </c>
      <c r="BB192" t="n">
        <v>234.335</v>
      </c>
      <c r="BC192" t="n">
        <v>213.627</v>
      </c>
      <c r="BD192" t="n">
        <v>240.059</v>
      </c>
      <c r="BE192" t="n">
        <v>250.77</v>
      </c>
      <c r="BF192" t="n">
        <v>198.907</v>
      </c>
      <c r="BG192" t="n">
        <v>232.649</v>
      </c>
      <c r="BH192" t="n">
        <v>238.472</v>
      </c>
      <c r="BI192" t="n">
        <v>289.25</v>
      </c>
      <c r="BJ192" t="n">
        <v>240.166</v>
      </c>
      <c r="BK192" t="n">
        <v>255.304</v>
      </c>
      <c r="BL192" t="n">
        <v>255.466</v>
      </c>
      <c r="BM192" t="n">
        <v>506.988</v>
      </c>
      <c r="BN192" t="n">
        <v>255.411</v>
      </c>
      <c r="BO192" t="n">
        <v>442.255</v>
      </c>
      <c r="BP192" t="n">
        <v>233.108</v>
      </c>
      <c r="BQ192" t="n">
        <v>224.556</v>
      </c>
      <c r="BR192" t="n">
        <v>363.93</v>
      </c>
      <c r="BS192" t="n">
        <v>360.603</v>
      </c>
      <c r="BT192" t="n">
        <v>328.565</v>
      </c>
      <c r="BU192" t="n">
        <v>164.635</v>
      </c>
      <c r="BV192" t="n">
        <v>276.271</v>
      </c>
    </row>
    <row r="193">
      <c r="A193" t="inlineStr">
        <is>
          <t>Sphyrna mokarran</t>
        </is>
      </c>
      <c r="B193" t="inlineStr">
        <is>
          <t>Great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134.884</v>
      </c>
      <c r="F193" t="n">
        <v>134.884</v>
      </c>
      <c r="G193" t="n">
        <v>134.884</v>
      </c>
      <c r="H193" t="n">
        <v>134.884</v>
      </c>
      <c r="I193" t="n">
        <v>134.884</v>
      </c>
      <c r="J193" t="n">
        <v>134.884</v>
      </c>
      <c r="K193" t="n">
        <v>269.767</v>
      </c>
      <c r="L193" t="n">
        <v>134.884</v>
      </c>
      <c r="M193" t="n">
        <v>134.884</v>
      </c>
      <c r="N193" t="n">
        <v>269.767</v>
      </c>
      <c r="O193" t="n">
        <v>269.767</v>
      </c>
      <c r="P193" t="n">
        <v>40.465</v>
      </c>
      <c r="Q193" t="n">
        <v>40.465</v>
      </c>
      <c r="R193" t="n">
        <v>40.465</v>
      </c>
      <c r="S193" t="n">
        <v>26.977</v>
      </c>
      <c r="T193" t="n">
        <v>26.977</v>
      </c>
      <c r="U193" t="n">
        <v>26.977</v>
      </c>
      <c r="V193" t="n">
        <v>26.977</v>
      </c>
      <c r="W193" t="n">
        <v>13.488</v>
      </c>
      <c r="X193" t="n">
        <v>13.488</v>
      </c>
      <c r="Y193" t="n">
        <v>28.595</v>
      </c>
      <c r="Z193" t="n">
        <v>17.805</v>
      </c>
      <c r="AA193" t="n">
        <v>17.4</v>
      </c>
      <c r="AB193" t="n">
        <v>19.828</v>
      </c>
      <c r="AC193" t="n">
        <v>22.526</v>
      </c>
      <c r="AD193" t="n">
        <v>22.526</v>
      </c>
      <c r="AE193" t="n">
        <v>15.107</v>
      </c>
      <c r="AF193" t="n">
        <v>26.572</v>
      </c>
      <c r="AG193" t="n">
        <v>180.205</v>
      </c>
      <c r="AH193" t="n">
        <v>88.619</v>
      </c>
      <c r="AI193" t="n">
        <v>28.595</v>
      </c>
      <c r="AJ193" t="n">
        <v>41.814</v>
      </c>
      <c r="AK193" t="n">
        <v>55.977</v>
      </c>
      <c r="AL193" t="n">
        <v>53.684</v>
      </c>
      <c r="AM193" t="n">
        <v>55.033</v>
      </c>
      <c r="AN193" t="n">
        <v>56.651</v>
      </c>
      <c r="AO193" t="n">
        <v>58</v>
      </c>
      <c r="AP193" t="n">
        <v>58</v>
      </c>
      <c r="AQ193" t="n">
        <v>58</v>
      </c>
      <c r="AR193" t="n">
        <v>57.73</v>
      </c>
      <c r="AS193" t="n">
        <v>53.953</v>
      </c>
      <c r="AT193" t="n">
        <v>194.502</v>
      </c>
      <c r="AU193" t="n">
        <v>192.074</v>
      </c>
      <c r="AV193" t="n">
        <v>189.916</v>
      </c>
      <c r="AW193" t="n">
        <v>189.242</v>
      </c>
      <c r="AX193" t="n">
        <v>189.291</v>
      </c>
      <c r="AY193" t="n">
        <v>189.107</v>
      </c>
      <c r="AZ193" t="n">
        <v>189.512</v>
      </c>
      <c r="BA193" t="n">
        <v>11.342</v>
      </c>
      <c r="BB193" t="n">
        <v>6.879</v>
      </c>
      <c r="BC193" t="n">
        <v>227.954</v>
      </c>
      <c r="BD193" t="n">
        <v>22.121</v>
      </c>
      <c r="BE193" t="n">
        <v>54.493</v>
      </c>
      <c r="BF193" t="n">
        <v>168.605</v>
      </c>
      <c r="BG193" t="n">
        <v>177.246</v>
      </c>
      <c r="BH193" t="n">
        <v>172.786</v>
      </c>
      <c r="BI193" t="n">
        <v>174.135</v>
      </c>
      <c r="BJ193" t="n">
        <v>200.033</v>
      </c>
      <c r="BK193" t="n">
        <v>481.94</v>
      </c>
      <c r="BL193" t="n">
        <v>472.093</v>
      </c>
      <c r="BM193" t="n">
        <v>472.177</v>
      </c>
      <c r="BN193" t="n">
        <v>362.234</v>
      </c>
      <c r="BO193" t="n">
        <v>393.008</v>
      </c>
      <c r="BP193" t="n">
        <v>416.432</v>
      </c>
      <c r="BQ193" t="n">
        <v>412.545</v>
      </c>
      <c r="BR193" t="n">
        <v>504.249</v>
      </c>
      <c r="BS193" t="n">
        <v>504.054</v>
      </c>
      <c r="BT193" t="n">
        <v>504.17</v>
      </c>
      <c r="BU193" t="n">
        <v>503.965</v>
      </c>
      <c r="BV193" t="n">
        <v>503.918</v>
      </c>
    </row>
    <row r="194">
      <c r="A194" t="inlineStr">
        <is>
          <t>Holocentridae</t>
        </is>
      </c>
      <c r="B194" t="inlineStr">
        <is>
          <t>Squirrel-, soldierfishes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n">
        <v>128.342</v>
      </c>
      <c r="F194" t="n">
        <v>129.149</v>
      </c>
      <c r="G194" t="n">
        <v>129.969</v>
      </c>
      <c r="H194" t="n">
        <v>130.801</v>
      </c>
      <c r="I194" t="n">
        <v>131.647</v>
      </c>
      <c r="J194" t="n">
        <v>132.505</v>
      </c>
      <c r="K194" t="n">
        <v>133.376</v>
      </c>
      <c r="L194" t="n">
        <v>134.259</v>
      </c>
      <c r="M194" t="n">
        <v>136.143</v>
      </c>
      <c r="N194" t="n">
        <v>138.04</v>
      </c>
      <c r="O194" t="n">
        <v>139.949</v>
      </c>
      <c r="P194" t="n">
        <v>144.762</v>
      </c>
      <c r="Q194" t="n">
        <v>154.668</v>
      </c>
      <c r="R194" t="n">
        <v>146.27</v>
      </c>
      <c r="S194" t="n">
        <v>139.969</v>
      </c>
      <c r="T194" t="n">
        <v>148.156</v>
      </c>
      <c r="U194" t="n">
        <v>141.633</v>
      </c>
      <c r="V194" t="n">
        <v>142.797</v>
      </c>
      <c r="W194" t="n">
        <v>150.14</v>
      </c>
      <c r="X194" t="n">
        <v>158.69</v>
      </c>
      <c r="Y194" t="n">
        <v>167.226</v>
      </c>
      <c r="Z194" t="n">
        <v>177.396</v>
      </c>
      <c r="AA194" t="n">
        <v>187.609</v>
      </c>
      <c r="AB194" t="n">
        <v>197.867</v>
      </c>
      <c r="AC194" t="n">
        <v>208.168</v>
      </c>
      <c r="AD194" t="n">
        <v>208.054</v>
      </c>
      <c r="AE194" t="n">
        <v>211.884</v>
      </c>
      <c r="AF194" t="n">
        <v>217.577</v>
      </c>
      <c r="AG194" t="n">
        <v>219.932</v>
      </c>
      <c r="AH194" t="n">
        <v>246.335</v>
      </c>
      <c r="AI194" t="n">
        <v>259.936</v>
      </c>
      <c r="AJ194" t="n">
        <v>213.835</v>
      </c>
      <c r="AK194" t="n">
        <v>206.315</v>
      </c>
      <c r="AL194" t="n">
        <v>247.17</v>
      </c>
      <c r="AM194" t="n">
        <v>237.664</v>
      </c>
      <c r="AN194" t="n">
        <v>193.096</v>
      </c>
      <c r="AO194" t="n">
        <v>196.005</v>
      </c>
      <c r="AP194" t="n">
        <v>195.632</v>
      </c>
      <c r="AQ194" t="n">
        <v>177.298</v>
      </c>
      <c r="AR194" t="n">
        <v>173.195</v>
      </c>
      <c r="AS194" t="n">
        <v>169.729</v>
      </c>
      <c r="AT194" t="n">
        <v>186.78</v>
      </c>
      <c r="AU194" t="n">
        <v>189.524</v>
      </c>
      <c r="AV194" t="n">
        <v>179.671</v>
      </c>
      <c r="AW194" t="n">
        <v>152.042</v>
      </c>
      <c r="AX194" t="n">
        <v>134.491</v>
      </c>
      <c r="AY194" t="n">
        <v>147.275</v>
      </c>
      <c r="AZ194" t="n">
        <v>120.387</v>
      </c>
      <c r="BA194" t="n">
        <v>119.916</v>
      </c>
      <c r="BB194" t="n">
        <v>119.571</v>
      </c>
      <c r="BC194" t="n">
        <v>122.452</v>
      </c>
      <c r="BD194" t="n">
        <v>109.981</v>
      </c>
      <c r="BE194" t="n">
        <v>122.797</v>
      </c>
      <c r="BF194" t="n">
        <v>90.953</v>
      </c>
      <c r="BG194" t="n">
        <v>113.513</v>
      </c>
      <c r="BH194" t="n">
        <v>159.108</v>
      </c>
      <c r="BI194" t="n">
        <v>179.983</v>
      </c>
      <c r="BJ194" t="n">
        <v>157.62</v>
      </c>
      <c r="BK194" t="n">
        <v>175.671</v>
      </c>
      <c r="BL194" t="n">
        <v>173.515</v>
      </c>
      <c r="BM194" t="n">
        <v>166.185</v>
      </c>
      <c r="BN194" t="n">
        <v>105.658</v>
      </c>
      <c r="BO194" t="n">
        <v>95.55</v>
      </c>
      <c r="BP194" t="n">
        <v>103.454</v>
      </c>
      <c r="BQ194" t="n">
        <v>110.602</v>
      </c>
      <c r="BR194" t="n">
        <v>50.331</v>
      </c>
      <c r="BS194" t="n">
        <v>108.364</v>
      </c>
      <c r="BT194" t="n">
        <v>71.661</v>
      </c>
      <c r="BU194" t="n">
        <v>59.251</v>
      </c>
      <c r="BV194" t="n">
        <v>36.47</v>
      </c>
    </row>
    <row r="195">
      <c r="A195" t="inlineStr">
        <is>
          <t>Pellonula leonensis</t>
        </is>
      </c>
      <c r="B195" t="inlineStr">
        <is>
          <t>Smalltoothed pellonula</t>
        </is>
      </c>
      <c r="C195" t="inlineStr">
        <is>
          <t>Small pelagics (&lt;30 cm)</t>
        </is>
      </c>
      <c r="D195" t="inlineStr">
        <is>
          <t>Herring-likes</t>
        </is>
      </c>
      <c r="E195" t="n">
        <v>31.512</v>
      </c>
      <c r="F195" t="n">
        <v>31.161</v>
      </c>
      <c r="G195" t="n">
        <v>30.811</v>
      </c>
      <c r="H195" t="n">
        <v>30.461</v>
      </c>
      <c r="I195" t="n">
        <v>30.111</v>
      </c>
      <c r="J195" t="n">
        <v>29.868</v>
      </c>
      <c r="K195" t="n">
        <v>29.624</v>
      </c>
      <c r="L195" t="n">
        <v>29.381</v>
      </c>
      <c r="M195" t="n">
        <v>29.138</v>
      </c>
      <c r="N195" t="n">
        <v>28.894</v>
      </c>
      <c r="O195" t="n">
        <v>28.651</v>
      </c>
      <c r="P195" t="n">
        <v>30.489</v>
      </c>
      <c r="Q195" t="n">
        <v>32.274</v>
      </c>
      <c r="R195" t="n">
        <v>34.006</v>
      </c>
      <c r="S195" t="n">
        <v>33.561</v>
      </c>
      <c r="T195" t="n">
        <v>33.119</v>
      </c>
      <c r="U195" t="n">
        <v>31.961</v>
      </c>
      <c r="V195" t="n">
        <v>30.799</v>
      </c>
      <c r="W195" t="n">
        <v>29.646</v>
      </c>
      <c r="X195" t="n">
        <v>28.502</v>
      </c>
      <c r="Y195" t="n">
        <v>27.26</v>
      </c>
      <c r="Z195" t="n">
        <v>26.027</v>
      </c>
      <c r="AA195" t="n">
        <v>24.803</v>
      </c>
      <c r="AB195" t="n">
        <v>23.587</v>
      </c>
      <c r="AC195" t="n">
        <v>22.381</v>
      </c>
      <c r="AD195" t="n">
        <v>21.758</v>
      </c>
      <c r="AE195" t="n">
        <v>20.272</v>
      </c>
      <c r="AF195" t="n">
        <v>19.494</v>
      </c>
      <c r="AG195" t="n">
        <v>18.731</v>
      </c>
      <c r="AH195" t="n">
        <v>16.665</v>
      </c>
      <c r="AI195" t="n">
        <v>14.381</v>
      </c>
      <c r="AJ195" t="n">
        <v>12.699</v>
      </c>
      <c r="AK195" t="n">
        <v>11.248</v>
      </c>
      <c r="AL195" t="n">
        <v>10.515</v>
      </c>
      <c r="AM195" t="n">
        <v>9.334</v>
      </c>
      <c r="AN195" t="n">
        <v>10.2</v>
      </c>
      <c r="AO195" t="n">
        <v>10.68</v>
      </c>
      <c r="AP195" t="n">
        <v>12.207</v>
      </c>
      <c r="AQ195" t="n">
        <v>14.035</v>
      </c>
      <c r="AR195" t="n">
        <v>14.477</v>
      </c>
      <c r="AS195" t="n">
        <v>15.556</v>
      </c>
      <c r="AT195" t="n">
        <v>15.734</v>
      </c>
      <c r="AU195" t="n">
        <v>15.224</v>
      </c>
      <c r="AV195" t="n">
        <v>14.613</v>
      </c>
      <c r="AW195" t="n">
        <v>14.259</v>
      </c>
      <c r="AX195" t="n">
        <v>16.532</v>
      </c>
      <c r="AY195" t="n">
        <v>19.93</v>
      </c>
      <c r="AZ195" t="n">
        <v>25.233</v>
      </c>
      <c r="BA195" t="n">
        <v>24.165</v>
      </c>
      <c r="BB195" t="n">
        <v>24.585</v>
      </c>
      <c r="BC195" t="n">
        <v>27.251</v>
      </c>
      <c r="BD195" t="n">
        <v>26.446</v>
      </c>
      <c r="BE195" t="n">
        <v>26.988</v>
      </c>
      <c r="BF195" t="n">
        <v>26.697</v>
      </c>
      <c r="BG195" t="n">
        <v>4.592</v>
      </c>
      <c r="BH195" t="n">
        <v>456.848</v>
      </c>
      <c r="BI195" t="n">
        <v>762.439</v>
      </c>
      <c r="BJ195" t="n">
        <v>739.246</v>
      </c>
      <c r="BK195" t="n">
        <v>735.301</v>
      </c>
      <c r="BL195" t="n">
        <v>716.611</v>
      </c>
      <c r="BM195" t="n">
        <v>703.417</v>
      </c>
      <c r="BN195" t="n">
        <v>733.848</v>
      </c>
      <c r="BO195" t="n">
        <v>675.468</v>
      </c>
      <c r="BP195" t="n">
        <v>633.525</v>
      </c>
      <c r="BQ195" t="n">
        <v>676.582</v>
      </c>
      <c r="BR195" t="n">
        <v>655.438</v>
      </c>
      <c r="BS195" t="n">
        <v>575.995</v>
      </c>
      <c r="BT195" t="n">
        <v>701.41</v>
      </c>
      <c r="BU195" t="n">
        <v>521.681</v>
      </c>
      <c r="BV195" t="n">
        <v>189.533</v>
      </c>
    </row>
    <row r="196">
      <c r="A196" t="inlineStr">
        <is>
          <t>Plectorhinchus macrolepis</t>
        </is>
      </c>
      <c r="B196" t="inlineStr">
        <is>
          <t>Biglip grunt</t>
        </is>
      </c>
      <c r="C196" t="inlineStr">
        <is>
          <t>Medium benthopelagics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40.685</v>
      </c>
      <c r="AU196" t="n">
        <v>66.407</v>
      </c>
      <c r="AV196" t="n">
        <v>67.06699999999999</v>
      </c>
      <c r="AW196" t="n">
        <v>37.139</v>
      </c>
      <c r="AX196" t="n">
        <v>6.736</v>
      </c>
      <c r="AY196" t="n">
        <v>23.637</v>
      </c>
      <c r="AZ196" t="n">
        <v>67.214</v>
      </c>
      <c r="BA196" t="n">
        <v>75.26300000000001</v>
      </c>
      <c r="BB196" t="n">
        <v>161.354</v>
      </c>
      <c r="BC196" t="n">
        <v>76.06399999999999</v>
      </c>
      <c r="BD196" t="n">
        <v>90.721</v>
      </c>
      <c r="BE196" t="n">
        <v>67.944</v>
      </c>
      <c r="BF196" t="n">
        <v>42.951</v>
      </c>
      <c r="BG196" t="n">
        <v>6.065</v>
      </c>
      <c r="BH196" t="n">
        <v>21.351</v>
      </c>
      <c r="BI196" t="n">
        <v>81.381</v>
      </c>
      <c r="BJ196" t="n">
        <v>49.464</v>
      </c>
      <c r="BK196" t="n">
        <v>120.112</v>
      </c>
      <c r="BL196" t="n">
        <v>179.718</v>
      </c>
      <c r="BM196" t="n">
        <v>1381.298</v>
      </c>
      <c r="BN196" t="n">
        <v>312.907</v>
      </c>
      <c r="BO196" t="n">
        <v>684.403</v>
      </c>
      <c r="BP196" t="n">
        <v>393.076</v>
      </c>
      <c r="BQ196" t="n">
        <v>1323.593</v>
      </c>
      <c r="BR196" t="n">
        <v>1556.577</v>
      </c>
      <c r="BS196" t="n">
        <v>996.187</v>
      </c>
      <c r="BT196" t="n">
        <v>1030.368</v>
      </c>
      <c r="BU196" t="n">
        <v>558.8579999999999</v>
      </c>
      <c r="BV196" t="n">
        <v>1147.131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94.197</v>
      </c>
      <c r="AJ197" t="n">
        <v>104.655</v>
      </c>
      <c r="AK197" t="n">
        <v>42.399</v>
      </c>
      <c r="AL197" t="n">
        <v>168.042</v>
      </c>
      <c r="AM197" t="n">
        <v>98.98399999999999</v>
      </c>
      <c r="AN197" t="n">
        <v>67.952</v>
      </c>
      <c r="AO197" t="n">
        <v>12.789</v>
      </c>
      <c r="AP197" t="n">
        <v>4.343</v>
      </c>
      <c r="AQ197" t="n">
        <v>6.292</v>
      </c>
      <c r="AR197" t="n">
        <v>364.645</v>
      </c>
      <c r="AS197" t="n">
        <v>278.031</v>
      </c>
      <c r="AT197" t="n">
        <v>106.708</v>
      </c>
      <c r="AU197" t="n">
        <v>109.868</v>
      </c>
      <c r="AV197" t="n">
        <v>213.002</v>
      </c>
      <c r="AW197" t="n">
        <v>378.319</v>
      </c>
      <c r="AX197" t="n">
        <v>413.238</v>
      </c>
      <c r="AY197" t="n">
        <v>362.673</v>
      </c>
      <c r="AZ197" t="n">
        <v>433.687</v>
      </c>
      <c r="BA197" t="n">
        <v>392.733</v>
      </c>
      <c r="BB197" t="n">
        <v>550.937</v>
      </c>
      <c r="BC197" t="n">
        <v>578.9299999999999</v>
      </c>
      <c r="BD197" t="n">
        <v>702.26</v>
      </c>
      <c r="BE197" t="n">
        <v>883.419</v>
      </c>
      <c r="BF197" t="n">
        <v>361.956</v>
      </c>
      <c r="BG197" t="n">
        <v>426.694</v>
      </c>
      <c r="BH197" t="n">
        <v>679.149</v>
      </c>
      <c r="BI197" t="n">
        <v>361.237</v>
      </c>
      <c r="BJ197" t="n">
        <v>575.3200000000001</v>
      </c>
      <c r="BK197" t="n">
        <v>170.792</v>
      </c>
      <c r="BL197" t="n">
        <v>119.969</v>
      </c>
      <c r="BM197" t="n">
        <v>99.67700000000001</v>
      </c>
      <c r="BN197" t="n">
        <v>288.802</v>
      </c>
      <c r="BO197" t="n">
        <v>201.923</v>
      </c>
      <c r="BP197" t="n">
        <v>140.255</v>
      </c>
      <c r="BQ197" t="n">
        <v>203.734</v>
      </c>
      <c r="BR197" t="n">
        <v>75.96899999999999</v>
      </c>
      <c r="BS197" t="n">
        <v>37.984</v>
      </c>
      <c r="BT197" t="n">
        <v>140.715</v>
      </c>
      <c r="BU197" t="n">
        <v>59.111</v>
      </c>
      <c r="BV197" t="n">
        <v>316.699</v>
      </c>
    </row>
    <row r="198">
      <c r="A198" t="inlineStr">
        <is>
          <t>Albulidae</t>
        </is>
      </c>
      <c r="B198" t="inlineStr">
        <is>
          <t>Bonefishes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90.46899999999999</v>
      </c>
      <c r="BA198" t="n">
        <v>0</v>
      </c>
      <c r="BB198" t="n">
        <v>105.381</v>
      </c>
      <c r="BC198" t="n">
        <v>179.943</v>
      </c>
      <c r="BD198" t="n">
        <v>493.103</v>
      </c>
      <c r="BE198" t="n">
        <v>152.106</v>
      </c>
      <c r="BF198" t="n">
        <v>271.901</v>
      </c>
      <c r="BG198" t="n">
        <v>458.803</v>
      </c>
      <c r="BH198" t="n">
        <v>860.0549999999999</v>
      </c>
      <c r="BI198" t="n">
        <v>334.644</v>
      </c>
      <c r="BJ198" t="n">
        <v>476.864</v>
      </c>
      <c r="BK198" t="n">
        <v>936.498</v>
      </c>
      <c r="BL198" t="n">
        <v>914.627</v>
      </c>
      <c r="BM198" t="n">
        <v>914.627</v>
      </c>
      <c r="BN198" t="n">
        <v>680.999</v>
      </c>
      <c r="BO198" t="n">
        <v>596.496</v>
      </c>
      <c r="BP198" t="n">
        <v>511.992</v>
      </c>
      <c r="BQ198" t="n">
        <v>424.506</v>
      </c>
      <c r="BR198" t="n">
        <v>417.547</v>
      </c>
      <c r="BS198" t="n">
        <v>417.547</v>
      </c>
      <c r="BT198" t="n">
        <v>417.547</v>
      </c>
      <c r="BU198" t="n">
        <v>417.547</v>
      </c>
      <c r="BV198" t="n">
        <v>417.547</v>
      </c>
    </row>
    <row r="199">
      <c r="A199" t="inlineStr">
        <is>
          <t>Epinephelus marginatus</t>
        </is>
      </c>
      <c r="B199" t="inlineStr">
        <is>
          <t>Dusky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46.34</v>
      </c>
      <c r="P199" t="n">
        <v>19.347</v>
      </c>
      <c r="Q199" t="n">
        <v>21.684</v>
      </c>
      <c r="R199" t="n">
        <v>12.357</v>
      </c>
      <c r="S199" t="n">
        <v>12.639</v>
      </c>
      <c r="T199" t="n">
        <v>11.609</v>
      </c>
      <c r="U199" t="n">
        <v>11.505</v>
      </c>
      <c r="V199" t="n">
        <v>9.494999999999999</v>
      </c>
      <c r="W199" t="n">
        <v>9.193</v>
      </c>
      <c r="X199" t="n">
        <v>9.173999999999999</v>
      </c>
      <c r="Y199" t="n">
        <v>0</v>
      </c>
      <c r="Z199" t="n">
        <v>0</v>
      </c>
      <c r="AA199" t="n">
        <v>133.406</v>
      </c>
      <c r="AB199" t="n">
        <v>323.7</v>
      </c>
      <c r="AC199" t="n">
        <v>70.02</v>
      </c>
      <c r="AD199" t="n">
        <v>0.924</v>
      </c>
      <c r="AE199" t="n">
        <v>1.386</v>
      </c>
      <c r="AF199" t="n">
        <v>57.709</v>
      </c>
      <c r="AG199" t="n">
        <v>26.016</v>
      </c>
      <c r="AH199" t="n">
        <v>29.646</v>
      </c>
      <c r="AI199" t="n">
        <v>228.042</v>
      </c>
      <c r="AJ199" t="n">
        <v>12.337</v>
      </c>
      <c r="AK199" t="n">
        <v>37.951</v>
      </c>
      <c r="AL199" t="n">
        <v>27.958</v>
      </c>
      <c r="AM199" t="n">
        <v>212.293</v>
      </c>
      <c r="AN199" t="n">
        <v>188.588</v>
      </c>
      <c r="AO199" t="n">
        <v>204.894</v>
      </c>
      <c r="AP199" t="n">
        <v>233.852</v>
      </c>
      <c r="AQ199" t="n">
        <v>295.529</v>
      </c>
      <c r="AR199" t="n">
        <v>267.615</v>
      </c>
      <c r="AS199" t="n">
        <v>342.698</v>
      </c>
      <c r="AT199" t="n">
        <v>468.97</v>
      </c>
      <c r="AU199" t="n">
        <v>527.525</v>
      </c>
      <c r="AV199" t="n">
        <v>451.571</v>
      </c>
      <c r="AW199" t="n">
        <v>517.808</v>
      </c>
      <c r="AX199" t="n">
        <v>201.728</v>
      </c>
      <c r="AY199" t="n">
        <v>153.616</v>
      </c>
      <c r="AZ199" t="n">
        <v>233.62</v>
      </c>
      <c r="BA199" t="n">
        <v>217.187</v>
      </c>
      <c r="BB199" t="n">
        <v>211.703</v>
      </c>
      <c r="BC199" t="n">
        <v>117.62</v>
      </c>
      <c r="BD199" t="n">
        <v>119.548</v>
      </c>
      <c r="BE199" t="n">
        <v>75.143</v>
      </c>
      <c r="BF199" t="n">
        <v>119.047</v>
      </c>
      <c r="BG199" t="n">
        <v>123.556</v>
      </c>
      <c r="BH199" t="n">
        <v>135.411</v>
      </c>
      <c r="BI199" t="n">
        <v>207.629</v>
      </c>
      <c r="BJ199" t="n">
        <v>247.487</v>
      </c>
      <c r="BK199" t="n">
        <v>112.286</v>
      </c>
      <c r="BL199" t="n">
        <v>157.445</v>
      </c>
      <c r="BM199" t="n">
        <v>563.67</v>
      </c>
      <c r="BN199" t="n">
        <v>248.956</v>
      </c>
      <c r="BO199" t="n">
        <v>392.551</v>
      </c>
      <c r="BP199" t="n">
        <v>181.558</v>
      </c>
      <c r="BQ199" t="n">
        <v>182.682</v>
      </c>
      <c r="BR199" t="n">
        <v>338.922</v>
      </c>
      <c r="BS199" t="n">
        <v>338.627</v>
      </c>
      <c r="BT199" t="n">
        <v>335.071</v>
      </c>
      <c r="BU199" t="n">
        <v>176.627</v>
      </c>
      <c r="BV199" t="n">
        <v>325.047</v>
      </c>
    </row>
    <row r="200">
      <c r="A200" t="inlineStr">
        <is>
          <t>Epinephelus goreensis</t>
        </is>
      </c>
      <c r="B200" t="inlineStr">
        <is>
          <t>Dungat grouper</t>
        </is>
      </c>
      <c r="C200" t="inlineStr">
        <is>
          <t>Large demersals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54.604</v>
      </c>
      <c r="V200" t="n">
        <v>106.436</v>
      </c>
      <c r="W200" t="n">
        <v>148.487</v>
      </c>
      <c r="X200" t="n">
        <v>184.576</v>
      </c>
      <c r="Y200" t="n">
        <v>233.707</v>
      </c>
      <c r="Z200" t="n">
        <v>217.19</v>
      </c>
      <c r="AA200" t="n">
        <v>201.964</v>
      </c>
      <c r="AB200" t="n">
        <v>190.433</v>
      </c>
      <c r="AC200" t="n">
        <v>175.708</v>
      </c>
      <c r="AD200" t="n">
        <v>151.683</v>
      </c>
      <c r="AE200" t="n">
        <v>145.189</v>
      </c>
      <c r="AF200" t="n">
        <v>155.451</v>
      </c>
      <c r="AG200" t="n">
        <v>174.762</v>
      </c>
      <c r="AH200" t="n">
        <v>111.62</v>
      </c>
      <c r="AI200" t="n">
        <v>35.908</v>
      </c>
      <c r="AJ200" t="n">
        <v>37.145</v>
      </c>
      <c r="AK200" t="n">
        <v>33.65</v>
      </c>
      <c r="AL200" t="n">
        <v>46.683</v>
      </c>
      <c r="AM200" t="n">
        <v>62.685</v>
      </c>
      <c r="AN200" t="n">
        <v>52.546</v>
      </c>
      <c r="AO200" t="n">
        <v>37.572</v>
      </c>
      <c r="AP200" t="n">
        <v>27.083</v>
      </c>
      <c r="AQ200" t="n">
        <v>28.972</v>
      </c>
      <c r="AR200" t="n">
        <v>25.548</v>
      </c>
      <c r="AS200" t="n">
        <v>23.567</v>
      </c>
      <c r="AT200" t="n">
        <v>22.173</v>
      </c>
      <c r="AU200" t="n">
        <v>22.868</v>
      </c>
      <c r="AV200" t="n">
        <v>21.144</v>
      </c>
      <c r="AW200" t="n">
        <v>140.96</v>
      </c>
      <c r="AX200" t="n">
        <v>122.737</v>
      </c>
      <c r="AY200" t="n">
        <v>217.694</v>
      </c>
      <c r="AZ200" t="n">
        <v>84.85899999999999</v>
      </c>
      <c r="BA200" t="n">
        <v>101.448</v>
      </c>
      <c r="BB200" t="n">
        <v>312.314</v>
      </c>
      <c r="BC200" t="n">
        <v>296.758</v>
      </c>
      <c r="BD200" t="n">
        <v>87.435</v>
      </c>
      <c r="BE200" t="n">
        <v>92.199</v>
      </c>
      <c r="BF200" t="n">
        <v>83.744</v>
      </c>
      <c r="BG200" t="n">
        <v>86.086</v>
      </c>
      <c r="BH200" t="n">
        <v>69.014</v>
      </c>
      <c r="BI200" t="n">
        <v>127.158</v>
      </c>
      <c r="BJ200" t="n">
        <v>241.599</v>
      </c>
      <c r="BK200" t="n">
        <v>131.721</v>
      </c>
      <c r="BL200" t="n">
        <v>133.874</v>
      </c>
      <c r="BM200" t="n">
        <v>164.543</v>
      </c>
      <c r="BN200" t="n">
        <v>315.089</v>
      </c>
      <c r="BO200" t="n">
        <v>429.877</v>
      </c>
      <c r="BP200" t="n">
        <v>248.647</v>
      </c>
      <c r="BQ200" t="n">
        <v>547.966</v>
      </c>
      <c r="BR200" t="n">
        <v>658.151</v>
      </c>
      <c r="BS200" t="n">
        <v>622.145</v>
      </c>
      <c r="BT200" t="n">
        <v>681.068</v>
      </c>
      <c r="BU200" t="n">
        <v>767.735</v>
      </c>
      <c r="BV200" t="n">
        <v>770.284</v>
      </c>
    </row>
    <row r="201">
      <c r="A201" t="inlineStr">
        <is>
          <t>Abudefduf</t>
        </is>
      </c>
      <c r="B201" t="inlineStr">
        <is>
          <t>Sergeants</t>
        </is>
      </c>
      <c r="C201" t="inlineStr">
        <is>
          <t>Small reef assoc. fish (&lt;30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39.054</v>
      </c>
      <c r="O201" t="n">
        <v>0</v>
      </c>
      <c r="P201" t="n">
        <v>0</v>
      </c>
      <c r="Q201" t="n">
        <v>0</v>
      </c>
      <c r="R201" t="n">
        <v>0</v>
      </c>
      <c r="S201" t="n">
        <v>117.162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78.108</v>
      </c>
      <c r="AC201" t="n">
        <v>78.108</v>
      </c>
      <c r="AD201" t="n">
        <v>78.108</v>
      </c>
      <c r="AE201" t="n">
        <v>117.162</v>
      </c>
      <c r="AF201" t="n">
        <v>117.162</v>
      </c>
      <c r="AG201" t="n">
        <v>117.162</v>
      </c>
      <c r="AH201" t="n">
        <v>0</v>
      </c>
      <c r="AI201" t="n">
        <v>117.162</v>
      </c>
      <c r="AJ201" t="n">
        <v>234.325</v>
      </c>
      <c r="AK201" t="n">
        <v>273.379</v>
      </c>
      <c r="AL201" t="n">
        <v>195.271</v>
      </c>
      <c r="AM201" t="n">
        <v>156.217</v>
      </c>
      <c r="AN201" t="n">
        <v>234.325</v>
      </c>
      <c r="AO201" t="n">
        <v>195.271</v>
      </c>
      <c r="AP201" t="n">
        <v>234.325</v>
      </c>
      <c r="AQ201" t="n">
        <v>234.325</v>
      </c>
      <c r="AR201" t="n">
        <v>195.182</v>
      </c>
      <c r="AS201" t="n">
        <v>195.093</v>
      </c>
      <c r="AT201" t="n">
        <v>273.006</v>
      </c>
      <c r="AU201" t="n">
        <v>233.899</v>
      </c>
      <c r="AV201" t="n">
        <v>233.792</v>
      </c>
      <c r="AW201" t="n">
        <v>194.738</v>
      </c>
      <c r="AX201" t="n">
        <v>233.579</v>
      </c>
      <c r="AY201" t="n">
        <v>272.385</v>
      </c>
      <c r="AZ201" t="n">
        <v>194.472</v>
      </c>
      <c r="BA201" t="n">
        <v>233.26</v>
      </c>
      <c r="BB201" t="n">
        <v>310.871</v>
      </c>
      <c r="BC201" t="n">
        <v>388.411</v>
      </c>
      <c r="BD201" t="n">
        <v>388.234</v>
      </c>
      <c r="BE201" t="n">
        <v>388.056</v>
      </c>
      <c r="BF201" t="n">
        <v>387.879</v>
      </c>
      <c r="BG201" t="n">
        <v>426.471</v>
      </c>
      <c r="BH201" t="n">
        <v>426.276</v>
      </c>
      <c r="BI201" t="n">
        <v>426.081</v>
      </c>
      <c r="BJ201" t="n">
        <v>425.885</v>
      </c>
      <c r="BK201" t="n">
        <v>464.389</v>
      </c>
      <c r="BL201" t="n">
        <v>580.22</v>
      </c>
      <c r="BM201" t="n">
        <v>695.9450000000001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Priacanthus</t>
        </is>
      </c>
      <c r="B202" t="inlineStr">
        <is>
          <t>Bigeyes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18.093</v>
      </c>
      <c r="F202" t="n">
        <v>20.586</v>
      </c>
      <c r="G202" t="n">
        <v>12.254</v>
      </c>
      <c r="H202" t="n">
        <v>19.927</v>
      </c>
      <c r="I202" t="n">
        <v>12.669</v>
      </c>
      <c r="J202" t="n">
        <v>11.48</v>
      </c>
      <c r="K202" t="n">
        <v>21.874</v>
      </c>
      <c r="L202" t="n">
        <v>28.72</v>
      </c>
      <c r="M202" t="n">
        <v>21.384</v>
      </c>
      <c r="N202" t="n">
        <v>15.851</v>
      </c>
      <c r="O202" t="n">
        <v>10.21</v>
      </c>
      <c r="P202" t="n">
        <v>10.851</v>
      </c>
      <c r="Q202" t="n">
        <v>12.459</v>
      </c>
      <c r="R202" t="n">
        <v>16.418</v>
      </c>
      <c r="S202" t="n">
        <v>22.7</v>
      </c>
      <c r="T202" t="n">
        <v>30.74</v>
      </c>
      <c r="U202" t="n">
        <v>32.331</v>
      </c>
      <c r="V202" t="n">
        <v>34.133</v>
      </c>
      <c r="W202" t="n">
        <v>26.504</v>
      </c>
      <c r="X202" t="n">
        <v>40.881</v>
      </c>
      <c r="Y202" t="n">
        <v>48.512</v>
      </c>
      <c r="Z202" t="n">
        <v>49.416</v>
      </c>
      <c r="AA202" t="n">
        <v>62.975</v>
      </c>
      <c r="AB202" t="n">
        <v>0</v>
      </c>
      <c r="AC202" t="n">
        <v>9.746</v>
      </c>
      <c r="AD202" t="n">
        <v>403.397</v>
      </c>
      <c r="AE202" t="n">
        <v>898.962</v>
      </c>
      <c r="AF202" t="n">
        <v>23.36</v>
      </c>
      <c r="AG202" t="n">
        <v>21.552</v>
      </c>
      <c r="AH202" t="n">
        <v>142.179</v>
      </c>
      <c r="AI202" t="n">
        <v>29.822</v>
      </c>
      <c r="AJ202" t="n">
        <v>31.956</v>
      </c>
      <c r="AK202" t="n">
        <v>60.982</v>
      </c>
      <c r="AL202" t="n">
        <v>0</v>
      </c>
      <c r="AM202" t="n">
        <v>0</v>
      </c>
      <c r="AN202" t="n">
        <v>49.725</v>
      </c>
      <c r="AO202" t="n">
        <v>79.869</v>
      </c>
      <c r="AP202" t="n">
        <v>109.091</v>
      </c>
      <c r="AQ202" t="n">
        <v>53.233</v>
      </c>
      <c r="AR202" t="n">
        <v>62.54</v>
      </c>
      <c r="AS202" t="n">
        <v>9.981</v>
      </c>
      <c r="AT202" t="n">
        <v>19.101</v>
      </c>
      <c r="AU202" t="n">
        <v>39.628</v>
      </c>
      <c r="AV202" t="n">
        <v>74.47499999999999</v>
      </c>
      <c r="AW202" t="n">
        <v>21.762</v>
      </c>
      <c r="AX202" t="n">
        <v>35.264</v>
      </c>
      <c r="AY202" t="n">
        <v>51.155</v>
      </c>
      <c r="AZ202" t="n">
        <v>82.741</v>
      </c>
      <c r="BA202" t="n">
        <v>58.507</v>
      </c>
      <c r="BB202" t="n">
        <v>413.209</v>
      </c>
      <c r="BC202" t="n">
        <v>65.669</v>
      </c>
      <c r="BD202" t="n">
        <v>43.373</v>
      </c>
      <c r="BE202" t="n">
        <v>46.428</v>
      </c>
      <c r="BF202" t="n">
        <v>87.95999999999999</v>
      </c>
      <c r="BG202" t="n">
        <v>175.873</v>
      </c>
      <c r="BH202" t="n">
        <v>49.166</v>
      </c>
      <c r="BI202" t="n">
        <v>74.637</v>
      </c>
      <c r="BJ202" t="n">
        <v>19.82</v>
      </c>
      <c r="BK202" t="n">
        <v>82.879</v>
      </c>
      <c r="BL202" t="n">
        <v>93.437</v>
      </c>
      <c r="BM202" t="n">
        <v>939.944</v>
      </c>
      <c r="BN202" t="n">
        <v>535.923</v>
      </c>
      <c r="BO202" t="n">
        <v>233.56</v>
      </c>
      <c r="BP202" t="n">
        <v>175.326</v>
      </c>
      <c r="BQ202" t="n">
        <v>565.098</v>
      </c>
      <c r="BR202" t="n">
        <v>623.975</v>
      </c>
      <c r="BS202" t="n">
        <v>1884.348</v>
      </c>
      <c r="BT202" t="n">
        <v>756.8920000000001</v>
      </c>
      <c r="BU202" t="n">
        <v>59.121</v>
      </c>
      <c r="BV202" t="n">
        <v>58.065</v>
      </c>
    </row>
    <row r="203">
      <c r="A203" t="inlineStr">
        <is>
          <t>Octopodidae</t>
        </is>
      </c>
      <c r="B203" t="inlineStr">
        <is>
          <t>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974.312</v>
      </c>
      <c r="AT203" t="n">
        <v>1595.685</v>
      </c>
      <c r="AU203" t="n">
        <v>2728.075</v>
      </c>
      <c r="AV203" t="n">
        <v>772.491</v>
      </c>
      <c r="AW203" t="n">
        <v>142.17</v>
      </c>
      <c r="AX203" t="n">
        <v>378.789</v>
      </c>
      <c r="AY203" t="n">
        <v>906.707</v>
      </c>
      <c r="AZ203" t="n">
        <v>772.491</v>
      </c>
      <c r="BA203" t="n">
        <v>326.096</v>
      </c>
      <c r="BB203" t="n">
        <v>186.909</v>
      </c>
      <c r="BC203" t="n">
        <v>7.954</v>
      </c>
      <c r="BD203" t="n">
        <v>10.936</v>
      </c>
      <c r="BE203" t="n">
        <v>0.994</v>
      </c>
      <c r="BF203" t="n">
        <v>18.89</v>
      </c>
      <c r="BG203" t="n">
        <v>2.983</v>
      </c>
      <c r="BH203" t="n">
        <v>0.994</v>
      </c>
      <c r="BI203" t="n">
        <v>0.497</v>
      </c>
      <c r="BJ203" t="n">
        <v>5.965</v>
      </c>
      <c r="BK203" t="n">
        <v>0.994</v>
      </c>
      <c r="BL203" t="n">
        <v>1.988</v>
      </c>
      <c r="BM203" t="n">
        <v>1.988</v>
      </c>
      <c r="BN203" t="n">
        <v>36.236</v>
      </c>
      <c r="BO203" t="n">
        <v>40.879</v>
      </c>
      <c r="BP203" t="n">
        <v>43.977</v>
      </c>
      <c r="BQ203" t="n">
        <v>41.265</v>
      </c>
      <c r="BR203" t="n">
        <v>30.392</v>
      </c>
      <c r="BS203" t="n">
        <v>33.024</v>
      </c>
      <c r="BT203" t="n">
        <v>58.644</v>
      </c>
      <c r="BU203" t="n">
        <v>92.467</v>
      </c>
      <c r="BV203" t="n">
        <v>33.632</v>
      </c>
    </row>
    <row r="204">
      <c r="A204" t="inlineStr">
        <is>
          <t>Boops boops</t>
        </is>
      </c>
      <c r="B204" t="inlineStr">
        <is>
          <t>Bogue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48.196</v>
      </c>
      <c r="F204" t="n">
        <v>49.217</v>
      </c>
      <c r="G204" t="n">
        <v>50.219</v>
      </c>
      <c r="H204" t="n">
        <v>51.345</v>
      </c>
      <c r="I204" t="n">
        <v>52.37</v>
      </c>
      <c r="J204" t="n">
        <v>53.297</v>
      </c>
      <c r="K204" t="n">
        <v>54.352</v>
      </c>
      <c r="L204" t="n">
        <v>54.968</v>
      </c>
      <c r="M204" t="n">
        <v>56.788</v>
      </c>
      <c r="N204" t="n">
        <v>58.037</v>
      </c>
      <c r="O204" t="n">
        <v>59.168</v>
      </c>
      <c r="P204" t="n">
        <v>60.501</v>
      </c>
      <c r="Q204" t="n">
        <v>92.011</v>
      </c>
      <c r="R204" t="n">
        <v>90.425</v>
      </c>
      <c r="S204" t="n">
        <v>74.48999999999999</v>
      </c>
      <c r="T204" t="n">
        <v>79.75</v>
      </c>
      <c r="U204" t="n">
        <v>63.441</v>
      </c>
      <c r="V204" t="n">
        <v>70.63800000000001</v>
      </c>
      <c r="W204" t="n">
        <v>69.54600000000001</v>
      </c>
      <c r="X204" t="n">
        <v>73.604</v>
      </c>
      <c r="Y204" t="n">
        <v>60.22</v>
      </c>
      <c r="Z204" t="n">
        <v>83.79300000000001</v>
      </c>
      <c r="AA204" t="n">
        <v>88.003</v>
      </c>
      <c r="AB204" t="n">
        <v>76.89400000000001</v>
      </c>
      <c r="AC204" t="n">
        <v>80.639</v>
      </c>
      <c r="AD204" t="n">
        <v>81.045</v>
      </c>
      <c r="AE204" t="n">
        <v>51.238</v>
      </c>
      <c r="AF204" t="n">
        <v>90.417</v>
      </c>
      <c r="AG204" t="n">
        <v>89.188</v>
      </c>
      <c r="AH204" t="n">
        <v>158.833</v>
      </c>
      <c r="AI204" t="n">
        <v>133.866</v>
      </c>
      <c r="AJ204" t="n">
        <v>627.587</v>
      </c>
      <c r="AK204" t="n">
        <v>647.123</v>
      </c>
      <c r="AL204" t="n">
        <v>579.229</v>
      </c>
      <c r="AM204" t="n">
        <v>588.5309999999999</v>
      </c>
      <c r="AN204" t="n">
        <v>698.011</v>
      </c>
      <c r="AO204" t="n">
        <v>160.419</v>
      </c>
      <c r="AP204" t="n">
        <v>129.129</v>
      </c>
      <c r="AQ204" t="n">
        <v>147.896</v>
      </c>
      <c r="AR204" t="n">
        <v>73.646</v>
      </c>
      <c r="AS204" t="n">
        <v>79.491</v>
      </c>
      <c r="AT204" t="n">
        <v>103.558</v>
      </c>
      <c r="AU204" t="n">
        <v>103.675</v>
      </c>
      <c r="AV204" t="n">
        <v>86.65300000000001</v>
      </c>
      <c r="AW204" t="n">
        <v>67.935</v>
      </c>
      <c r="AX204" t="n">
        <v>70.741</v>
      </c>
      <c r="AY204" t="n">
        <v>110.798</v>
      </c>
      <c r="AZ204" t="n">
        <v>110.251</v>
      </c>
      <c r="BA204" t="n">
        <v>195.331</v>
      </c>
      <c r="BB204" t="n">
        <v>332.124</v>
      </c>
      <c r="BC204" t="n">
        <v>192.12</v>
      </c>
      <c r="BD204" t="n">
        <v>195.563</v>
      </c>
      <c r="BE204" t="n">
        <v>135.866</v>
      </c>
      <c r="BF204" t="n">
        <v>74.31999999999999</v>
      </c>
      <c r="BG204" t="n">
        <v>77.00700000000001</v>
      </c>
      <c r="BH204" t="n">
        <v>96.81</v>
      </c>
      <c r="BI204" t="n">
        <v>124.089</v>
      </c>
      <c r="BJ204" t="n">
        <v>133.301</v>
      </c>
      <c r="BK204" t="n">
        <v>111.108</v>
      </c>
      <c r="BL204" t="n">
        <v>95.212</v>
      </c>
      <c r="BM204" t="n">
        <v>99.89700000000001</v>
      </c>
      <c r="BN204" t="n">
        <v>79.764</v>
      </c>
      <c r="BO204" t="n">
        <v>70.001</v>
      </c>
      <c r="BP204" t="n">
        <v>66.809</v>
      </c>
      <c r="BQ204" t="n">
        <v>76.182</v>
      </c>
      <c r="BR204" t="n">
        <v>53.845</v>
      </c>
      <c r="BS204" t="n">
        <v>62.625</v>
      </c>
      <c r="BT204" t="n">
        <v>59.021</v>
      </c>
      <c r="BU204" t="n">
        <v>66.801</v>
      </c>
      <c r="BV204" t="n">
        <v>99.482</v>
      </c>
    </row>
    <row r="205">
      <c r="A205" t="inlineStr">
        <is>
          <t>Ginglymostoma cirratum</t>
        </is>
      </c>
      <c r="B205" t="inlineStr">
        <is>
          <t>Nurse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104.426</v>
      </c>
      <c r="F205" t="n">
        <v>104.426</v>
      </c>
      <c r="G205" t="n">
        <v>104.426</v>
      </c>
      <c r="H205" t="n">
        <v>104.426</v>
      </c>
      <c r="I205" t="n">
        <v>104.426</v>
      </c>
      <c r="J205" t="n">
        <v>104.426</v>
      </c>
      <c r="K205" t="n">
        <v>208.852</v>
      </c>
      <c r="L205" t="n">
        <v>104.426</v>
      </c>
      <c r="M205" t="n">
        <v>104.426</v>
      </c>
      <c r="N205" t="n">
        <v>208.852</v>
      </c>
      <c r="O205" t="n">
        <v>208.852</v>
      </c>
      <c r="P205" t="n">
        <v>31.328</v>
      </c>
      <c r="Q205" t="n">
        <v>31.328</v>
      </c>
      <c r="R205" t="n">
        <v>31.328</v>
      </c>
      <c r="S205" t="n">
        <v>20.885</v>
      </c>
      <c r="T205" t="n">
        <v>20.885</v>
      </c>
      <c r="U205" t="n">
        <v>20.885</v>
      </c>
      <c r="V205" t="n">
        <v>20.885</v>
      </c>
      <c r="W205" t="n">
        <v>10.443</v>
      </c>
      <c r="X205" t="n">
        <v>10.443</v>
      </c>
      <c r="Y205" t="n">
        <v>22.138</v>
      </c>
      <c r="Z205" t="n">
        <v>13.784</v>
      </c>
      <c r="AA205" t="n">
        <v>13.471</v>
      </c>
      <c r="AB205" t="n">
        <v>15.351</v>
      </c>
      <c r="AC205" t="n">
        <v>17.439</v>
      </c>
      <c r="AD205" t="n">
        <v>17.439</v>
      </c>
      <c r="AE205" t="n">
        <v>11.696</v>
      </c>
      <c r="AF205" t="n">
        <v>20.572</v>
      </c>
      <c r="AG205" t="n">
        <v>139.513</v>
      </c>
      <c r="AH205" t="n">
        <v>68.608</v>
      </c>
      <c r="AI205" t="n">
        <v>22.138</v>
      </c>
      <c r="AJ205" t="n">
        <v>32.372</v>
      </c>
      <c r="AK205" t="n">
        <v>43.337</v>
      </c>
      <c r="AL205" t="n">
        <v>41.562</v>
      </c>
      <c r="AM205" t="n">
        <v>42.606</v>
      </c>
      <c r="AN205" t="n">
        <v>43.859</v>
      </c>
      <c r="AO205" t="n">
        <v>44.903</v>
      </c>
      <c r="AP205" t="n">
        <v>44.903</v>
      </c>
      <c r="AQ205" t="n">
        <v>44.903</v>
      </c>
      <c r="AR205" t="n">
        <v>44.882</v>
      </c>
      <c r="AS205" t="n">
        <v>42.146</v>
      </c>
      <c r="AT205" t="n">
        <v>151.146</v>
      </c>
      <c r="AU205" t="n">
        <v>149.454</v>
      </c>
      <c r="AV205" t="n">
        <v>147.971</v>
      </c>
      <c r="AW205" t="n">
        <v>147.637</v>
      </c>
      <c r="AX205" t="n">
        <v>147.885</v>
      </c>
      <c r="AY205" t="n">
        <v>147.908</v>
      </c>
      <c r="AZ205" t="n">
        <v>148.439</v>
      </c>
      <c r="BA205" t="n">
        <v>9.606999999999999</v>
      </c>
      <c r="BB205" t="n">
        <v>6.766</v>
      </c>
      <c r="BC205" t="n">
        <v>178.422</v>
      </c>
      <c r="BD205" t="n">
        <v>19.568</v>
      </c>
      <c r="BE205" t="n">
        <v>44.682</v>
      </c>
      <c r="BF205" t="n">
        <v>131.775</v>
      </c>
      <c r="BG205" t="n">
        <v>166.902</v>
      </c>
      <c r="BH205" t="n">
        <v>136.277</v>
      </c>
      <c r="BI205" t="n">
        <v>137.342</v>
      </c>
      <c r="BJ205" t="n">
        <v>157.413</v>
      </c>
      <c r="BK205" t="n">
        <v>375.685</v>
      </c>
      <c r="BL205" t="n">
        <v>366.788</v>
      </c>
      <c r="BM205" t="n">
        <v>368.127</v>
      </c>
      <c r="BN205" t="n">
        <v>282.662</v>
      </c>
      <c r="BO205" t="n">
        <v>300.723</v>
      </c>
      <c r="BP205" t="n">
        <v>324.647</v>
      </c>
      <c r="BQ205" t="n">
        <v>321.656</v>
      </c>
      <c r="BR205" t="n">
        <v>392.671</v>
      </c>
      <c r="BS205" t="n">
        <v>392.519</v>
      </c>
      <c r="BT205" t="n">
        <v>393.218</v>
      </c>
      <c r="BU205" t="n">
        <v>393.915</v>
      </c>
      <c r="BV205" t="n">
        <v>394.611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104.354</v>
      </c>
      <c r="F206" t="n">
        <v>104.354</v>
      </c>
      <c r="G206" t="n">
        <v>104.354</v>
      </c>
      <c r="H206" t="n">
        <v>104.354</v>
      </c>
      <c r="I206" t="n">
        <v>104.354</v>
      </c>
      <c r="J206" t="n">
        <v>104.354</v>
      </c>
      <c r="K206" t="n">
        <v>208.709</v>
      </c>
      <c r="L206" t="n">
        <v>104.354</v>
      </c>
      <c r="M206" t="n">
        <v>104.354</v>
      </c>
      <c r="N206" t="n">
        <v>208.709</v>
      </c>
      <c r="O206" t="n">
        <v>208.709</v>
      </c>
      <c r="P206" t="n">
        <v>31.306</v>
      </c>
      <c r="Q206" t="n">
        <v>31.306</v>
      </c>
      <c r="R206" t="n">
        <v>31.306</v>
      </c>
      <c r="S206" t="n">
        <v>20.871</v>
      </c>
      <c r="T206" t="n">
        <v>20.871</v>
      </c>
      <c r="U206" t="n">
        <v>20.871</v>
      </c>
      <c r="V206" t="n">
        <v>20.871</v>
      </c>
      <c r="W206" t="n">
        <v>10.435</v>
      </c>
      <c r="X206" t="n">
        <v>10.435</v>
      </c>
      <c r="Y206" t="n">
        <v>22.123</v>
      </c>
      <c r="Z206" t="n">
        <v>13.775</v>
      </c>
      <c r="AA206" t="n">
        <v>13.462</v>
      </c>
      <c r="AB206" t="n">
        <v>15.34</v>
      </c>
      <c r="AC206" t="n">
        <v>17.427</v>
      </c>
      <c r="AD206" t="n">
        <v>17.427</v>
      </c>
      <c r="AE206" t="n">
        <v>11.688</v>
      </c>
      <c r="AF206" t="n">
        <v>20.558</v>
      </c>
      <c r="AG206" t="n">
        <v>139.417</v>
      </c>
      <c r="AH206" t="n">
        <v>68.56100000000001</v>
      </c>
      <c r="AI206" t="n">
        <v>22.123</v>
      </c>
      <c r="AJ206" t="n">
        <v>32.35</v>
      </c>
      <c r="AK206" t="n">
        <v>43.307</v>
      </c>
      <c r="AL206" t="n">
        <v>41.533</v>
      </c>
      <c r="AM206" t="n">
        <v>42.577</v>
      </c>
      <c r="AN206" t="n">
        <v>43.829</v>
      </c>
      <c r="AO206" t="n">
        <v>44.872</v>
      </c>
      <c r="AP206" t="n">
        <v>44.872</v>
      </c>
      <c r="AQ206" t="n">
        <v>44.872</v>
      </c>
      <c r="AR206" t="n">
        <v>44.664</v>
      </c>
      <c r="AS206" t="n">
        <v>41.742</v>
      </c>
      <c r="AT206" t="n">
        <v>150.479</v>
      </c>
      <c r="AU206" t="n">
        <v>148.601</v>
      </c>
      <c r="AV206" t="n">
        <v>146.931</v>
      </c>
      <c r="AW206" t="n">
        <v>146.409</v>
      </c>
      <c r="AX206" t="n">
        <v>146.446</v>
      </c>
      <c r="AY206" t="n">
        <v>146.364</v>
      </c>
      <c r="AZ206" t="n">
        <v>146.846</v>
      </c>
      <c r="BA206" t="n">
        <v>9.093999999999999</v>
      </c>
      <c r="BB206" t="n">
        <v>5.322</v>
      </c>
      <c r="BC206" t="n">
        <v>176.884</v>
      </c>
      <c r="BD206" t="n">
        <v>17.144</v>
      </c>
      <c r="BE206" t="n">
        <v>42.248</v>
      </c>
      <c r="BF206" t="n">
        <v>130.486</v>
      </c>
      <c r="BG206" t="n">
        <v>137.147</v>
      </c>
      <c r="BH206" t="n">
        <v>133.678</v>
      </c>
      <c r="BI206" t="n">
        <v>134.722</v>
      </c>
      <c r="BJ206" t="n">
        <v>154.785</v>
      </c>
      <c r="BK206" t="n">
        <v>372.858</v>
      </c>
      <c r="BL206" t="n">
        <v>365.271</v>
      </c>
      <c r="BM206" t="n">
        <v>365.246</v>
      </c>
      <c r="BN206" t="n">
        <v>280.312</v>
      </c>
      <c r="BO206" t="n">
        <v>298.287</v>
      </c>
      <c r="BP206" t="n">
        <v>322.178</v>
      </c>
      <c r="BQ206" t="n">
        <v>320.537</v>
      </c>
      <c r="BR206" t="n">
        <v>390.245</v>
      </c>
      <c r="BS206" t="n">
        <v>389.969</v>
      </c>
      <c r="BT206" t="n">
        <v>405.844</v>
      </c>
      <c r="BU206" t="n">
        <v>412.769</v>
      </c>
      <c r="BV206" t="n">
        <v>390.384</v>
      </c>
    </row>
    <row r="207">
      <c r="A207" t="inlineStr">
        <is>
          <t>Gempylidae</t>
        </is>
      </c>
      <c r="B207" t="inlineStr">
        <is>
          <t>Snake mackerels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184.036</v>
      </c>
      <c r="U207" t="n">
        <v>276.053</v>
      </c>
      <c r="V207" t="n">
        <v>276.053</v>
      </c>
      <c r="W207" t="n">
        <v>460.089</v>
      </c>
      <c r="X207" t="n">
        <v>460.089</v>
      </c>
      <c r="Y207" t="n">
        <v>368.071</v>
      </c>
      <c r="Z207" t="n">
        <v>460.089</v>
      </c>
      <c r="AA207" t="n">
        <v>460.089</v>
      </c>
      <c r="AB207" t="n">
        <v>552.107</v>
      </c>
      <c r="AC207" t="n">
        <v>518.981</v>
      </c>
      <c r="AD207" t="n">
        <v>728.7809999999999</v>
      </c>
      <c r="AE207" t="n">
        <v>607.318</v>
      </c>
      <c r="AF207" t="n">
        <v>490.455</v>
      </c>
      <c r="AG207" t="n">
        <v>490.455</v>
      </c>
      <c r="AH207" t="n">
        <v>39.568</v>
      </c>
      <c r="AI207" t="n">
        <v>398.437</v>
      </c>
      <c r="AJ207" t="n">
        <v>305.499</v>
      </c>
      <c r="AK207" t="n">
        <v>384.635</v>
      </c>
      <c r="AL207" t="n">
        <v>296.297</v>
      </c>
      <c r="AM207" t="n">
        <v>117.783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32.894</v>
      </c>
      <c r="BH207" t="n">
        <v>47.4</v>
      </c>
      <c r="BI207" t="n">
        <v>37.866</v>
      </c>
      <c r="BJ207" t="n">
        <v>24.071</v>
      </c>
      <c r="BK207" t="n">
        <v>27.98</v>
      </c>
      <c r="BL207" t="n">
        <v>29.911</v>
      </c>
      <c r="BM207" t="n">
        <v>35.955</v>
      </c>
      <c r="BN207" t="n">
        <v>27.942</v>
      </c>
      <c r="BO207" t="n">
        <v>26.188</v>
      </c>
      <c r="BP207" t="n">
        <v>38.212</v>
      </c>
      <c r="BQ207" t="n">
        <v>18.503</v>
      </c>
      <c r="BR207" t="n">
        <v>17.912</v>
      </c>
      <c r="BS207" t="n">
        <v>28.818</v>
      </c>
      <c r="BT207" t="n">
        <v>31.488</v>
      </c>
      <c r="BU207" t="n">
        <v>22.839</v>
      </c>
      <c r="BV207" t="n">
        <v>6.239</v>
      </c>
    </row>
    <row r="208">
      <c r="A208" t="inlineStr">
        <is>
          <t>Xiphiidae</t>
        </is>
      </c>
      <c r="B208" t="inlineStr">
        <is>
          <t>Swordfishes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74.018</v>
      </c>
      <c r="AM208" t="n">
        <v>64.414</v>
      </c>
      <c r="AN208" t="n">
        <v>4.929</v>
      </c>
      <c r="AO208" t="n">
        <v>4.589</v>
      </c>
      <c r="AP208" t="n">
        <v>4.661</v>
      </c>
      <c r="AQ208" t="n">
        <v>220.699</v>
      </c>
      <c r="AR208" t="n">
        <v>208.509</v>
      </c>
      <c r="AS208" t="n">
        <v>182.973</v>
      </c>
      <c r="AT208" t="n">
        <v>187.415</v>
      </c>
      <c r="AU208" t="n">
        <v>183.605</v>
      </c>
      <c r="AV208" t="n">
        <v>208.825</v>
      </c>
      <c r="AW208" t="n">
        <v>200.066</v>
      </c>
      <c r="AX208" t="n">
        <v>187.504</v>
      </c>
      <c r="AY208" t="n">
        <v>185.318</v>
      </c>
      <c r="AZ208" t="n">
        <v>158.525</v>
      </c>
      <c r="BA208" t="n">
        <v>149.709</v>
      </c>
      <c r="BB208" t="n">
        <v>143.236</v>
      </c>
      <c r="BC208" t="n">
        <v>130.121</v>
      </c>
      <c r="BD208" t="n">
        <v>157.731</v>
      </c>
      <c r="BE208" t="n">
        <v>295.068</v>
      </c>
      <c r="BF208" t="n">
        <v>262.634</v>
      </c>
      <c r="BG208" t="n">
        <v>201.824</v>
      </c>
      <c r="BH208" t="n">
        <v>259.134</v>
      </c>
      <c r="BI208" t="n">
        <v>263.71</v>
      </c>
      <c r="BJ208" t="n">
        <v>265.63</v>
      </c>
      <c r="BK208" t="n">
        <v>384.911</v>
      </c>
      <c r="BL208" t="n">
        <v>350.26</v>
      </c>
      <c r="BM208" t="n">
        <v>472.839</v>
      </c>
      <c r="BN208" t="n">
        <v>325.78</v>
      </c>
      <c r="BO208" t="n">
        <v>219.908</v>
      </c>
      <c r="BP208" t="n">
        <v>181.312</v>
      </c>
      <c r="BQ208" t="n">
        <v>225.889</v>
      </c>
      <c r="BR208" t="n">
        <v>450.581</v>
      </c>
      <c r="BS208" t="n">
        <v>290.76</v>
      </c>
      <c r="BT208" t="n">
        <v>456.517</v>
      </c>
      <c r="BU208" t="n">
        <v>317.455</v>
      </c>
      <c r="BV208" t="n">
        <v>301.35</v>
      </c>
    </row>
    <row r="209">
      <c r="A209" t="inlineStr">
        <is>
          <t>Spondyliosoma cantharus</t>
        </is>
      </c>
      <c r="B209" t="inlineStr">
        <is>
          <t>Black seabream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272.263</v>
      </c>
      <c r="V209" t="n">
        <v>158.999</v>
      </c>
      <c r="W209" t="n">
        <v>258.14</v>
      </c>
      <c r="X209" t="n">
        <v>156.626</v>
      </c>
      <c r="Y209" t="n">
        <v>265.617</v>
      </c>
      <c r="Z209" t="n">
        <v>239.056</v>
      </c>
      <c r="AA209" t="n">
        <v>242.847</v>
      </c>
      <c r="AB209" t="n">
        <v>127.39</v>
      </c>
      <c r="AC209" t="n">
        <v>363.311</v>
      </c>
      <c r="AD209" t="n">
        <v>68.687</v>
      </c>
      <c r="AE209" t="n">
        <v>79.67100000000001</v>
      </c>
      <c r="AF209" t="n">
        <v>124.723</v>
      </c>
      <c r="AG209" t="n">
        <v>126.144</v>
      </c>
      <c r="AH209" t="n">
        <v>123.017</v>
      </c>
      <c r="AI209" t="n">
        <v>180.455</v>
      </c>
      <c r="AJ209" t="n">
        <v>216.284</v>
      </c>
      <c r="AK209" t="n">
        <v>103.818</v>
      </c>
      <c r="AL209" t="n">
        <v>44.722</v>
      </c>
      <c r="AM209" t="n">
        <v>106.504</v>
      </c>
      <c r="AN209" t="n">
        <v>110.676</v>
      </c>
      <c r="AO209" t="n">
        <v>96.459</v>
      </c>
      <c r="AP209" t="n">
        <v>96.54000000000001</v>
      </c>
      <c r="AQ209" t="n">
        <v>72.43300000000001</v>
      </c>
      <c r="AR209" t="n">
        <v>104.2</v>
      </c>
      <c r="AS209" t="n">
        <v>103.57</v>
      </c>
      <c r="AT209" t="n">
        <v>87.988</v>
      </c>
      <c r="AU209" t="n">
        <v>89.497</v>
      </c>
      <c r="AV209" t="n">
        <v>112.733</v>
      </c>
      <c r="AW209" t="n">
        <v>130.458</v>
      </c>
      <c r="AX209" t="n">
        <v>151.879</v>
      </c>
      <c r="AY209" t="n">
        <v>225.677</v>
      </c>
      <c r="AZ209" t="n">
        <v>175.073</v>
      </c>
      <c r="BA209" t="n">
        <v>169.02</v>
      </c>
      <c r="BB209" t="n">
        <v>62.501</v>
      </c>
      <c r="BC209" t="n">
        <v>74.744</v>
      </c>
      <c r="BD209" t="n">
        <v>113.383</v>
      </c>
      <c r="BE209" t="n">
        <v>219.995</v>
      </c>
      <c r="BF209" t="n">
        <v>205.45</v>
      </c>
      <c r="BG209" t="n">
        <v>244.729</v>
      </c>
      <c r="BH209" t="n">
        <v>84.20099999999999</v>
      </c>
      <c r="BI209" t="n">
        <v>62.032</v>
      </c>
      <c r="BJ209" t="n">
        <v>63.495</v>
      </c>
      <c r="BK209" t="n">
        <v>97.377</v>
      </c>
      <c r="BL209" t="n">
        <v>119.066</v>
      </c>
      <c r="BM209" t="n">
        <v>144.376</v>
      </c>
      <c r="BN209" t="n">
        <v>100.097</v>
      </c>
      <c r="BO209" t="n">
        <v>151.408</v>
      </c>
      <c r="BP209" t="n">
        <v>103.52</v>
      </c>
      <c r="BQ209" t="n">
        <v>117.081</v>
      </c>
      <c r="BR209" t="n">
        <v>229.119</v>
      </c>
      <c r="BS209" t="n">
        <v>280.989</v>
      </c>
      <c r="BT209" t="n">
        <v>247.395</v>
      </c>
      <c r="BU209" t="n">
        <v>147.608</v>
      </c>
      <c r="BV209" t="n">
        <v>305.452</v>
      </c>
    </row>
    <row r="210">
      <c r="A210" t="inlineStr">
        <is>
          <t>Batoidea</t>
        </is>
      </c>
      <c r="B210" t="inlineStr">
        <is>
          <t>Batoids, skates, rays, sawfishes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334.87</v>
      </c>
      <c r="BD210" t="n">
        <v>400.368</v>
      </c>
      <c r="BE210" t="n">
        <v>368.08</v>
      </c>
      <c r="BF210" t="n">
        <v>329.335</v>
      </c>
      <c r="BG210" t="n">
        <v>367.158</v>
      </c>
      <c r="BH210" t="n">
        <v>440.036</v>
      </c>
      <c r="BI210" t="n">
        <v>403.136</v>
      </c>
      <c r="BJ210" t="n">
        <v>353.32</v>
      </c>
      <c r="BK210" t="n">
        <v>461.254</v>
      </c>
      <c r="BL210" t="n">
        <v>452.029</v>
      </c>
      <c r="BM210" t="n">
        <v>497.231</v>
      </c>
      <c r="BN210" t="n">
        <v>553.504</v>
      </c>
      <c r="BO210" t="n">
        <v>599.63</v>
      </c>
      <c r="BP210" t="n">
        <v>645.755</v>
      </c>
      <c r="BQ210" t="n">
        <v>651.29</v>
      </c>
      <c r="BR210" t="n">
        <v>668.818</v>
      </c>
      <c r="BS210" t="n">
        <v>107.011</v>
      </c>
      <c r="BT210" t="n">
        <v>110.701</v>
      </c>
      <c r="BU210" t="n">
        <v>110.701</v>
      </c>
      <c r="BV210" t="n">
        <v>110.701</v>
      </c>
    </row>
    <row r="211">
      <c r="A211" t="inlineStr">
        <is>
          <t>Caranx senegallus</t>
        </is>
      </c>
      <c r="B211" t="inlineStr">
        <is>
          <t>Senegal jack</t>
        </is>
      </c>
      <c r="C211" t="inlineStr">
        <is>
          <t>Medium benthopelagics (30 - 89 cm)</t>
        </is>
      </c>
      <c r="D211" t="inlineStr">
        <is>
          <t>Perch-likes</t>
        </is>
      </c>
      <c r="E211" t="n">
        <v>122.032</v>
      </c>
      <c r="F211" t="n">
        <v>125.436</v>
      </c>
      <c r="G211" t="n">
        <v>128.762</v>
      </c>
      <c r="H211" t="n">
        <v>132.169</v>
      </c>
      <c r="I211" t="n">
        <v>135.494</v>
      </c>
      <c r="J211" t="n">
        <v>138.761</v>
      </c>
      <c r="K211" t="n">
        <v>142.205</v>
      </c>
      <c r="L211" t="n">
        <v>142.027</v>
      </c>
      <c r="M211" t="n">
        <v>146.18</v>
      </c>
      <c r="N211" t="n">
        <v>146.02</v>
      </c>
      <c r="O211" t="n">
        <v>148.891</v>
      </c>
      <c r="P211" t="n">
        <v>154.336</v>
      </c>
      <c r="Q211" t="n">
        <v>158.162</v>
      </c>
      <c r="R211" t="n">
        <v>158.629</v>
      </c>
      <c r="S211" t="n">
        <v>160.64</v>
      </c>
      <c r="T211" t="n">
        <v>169.224</v>
      </c>
      <c r="U211" t="n">
        <v>160.079</v>
      </c>
      <c r="V211" t="n">
        <v>167.406</v>
      </c>
      <c r="W211" t="n">
        <v>137.549</v>
      </c>
      <c r="X211" t="n">
        <v>136.493</v>
      </c>
      <c r="Y211" t="n">
        <v>127.972</v>
      </c>
      <c r="Z211" t="n">
        <v>88.35299999999999</v>
      </c>
      <c r="AA211" t="n">
        <v>59.428</v>
      </c>
      <c r="AB211" t="n">
        <v>58.817</v>
      </c>
      <c r="AC211" t="n">
        <v>58.781</v>
      </c>
      <c r="AD211" t="n">
        <v>55.611</v>
      </c>
      <c r="AE211" t="n">
        <v>53.429</v>
      </c>
      <c r="AF211" t="n">
        <v>57.743</v>
      </c>
      <c r="AG211" t="n">
        <v>50.693</v>
      </c>
      <c r="AH211" t="n">
        <v>60.376</v>
      </c>
      <c r="AI211" t="n">
        <v>60.158</v>
      </c>
      <c r="AJ211" t="n">
        <v>60.209</v>
      </c>
      <c r="AK211" t="n">
        <v>64.152</v>
      </c>
      <c r="AL211" t="n">
        <v>61.938</v>
      </c>
      <c r="AM211" t="n">
        <v>49.75</v>
      </c>
      <c r="AN211" t="n">
        <v>51.691</v>
      </c>
      <c r="AO211" t="n">
        <v>50.647</v>
      </c>
      <c r="AP211" t="n">
        <v>57.062</v>
      </c>
      <c r="AQ211" t="n">
        <v>61.43</v>
      </c>
      <c r="AR211" t="n">
        <v>65.886</v>
      </c>
      <c r="AS211" t="n">
        <v>75.056</v>
      </c>
      <c r="AT211" t="n">
        <v>84.20099999999999</v>
      </c>
      <c r="AU211" t="n">
        <v>89.77200000000001</v>
      </c>
      <c r="AV211" t="n">
        <v>89.61</v>
      </c>
      <c r="AW211" t="n">
        <v>80.438</v>
      </c>
      <c r="AX211" t="n">
        <v>109.194</v>
      </c>
      <c r="AY211" t="n">
        <v>89.164</v>
      </c>
      <c r="AZ211" t="n">
        <v>75.855</v>
      </c>
      <c r="BA211" t="n">
        <v>76.658</v>
      </c>
      <c r="BB211" t="n">
        <v>61.973</v>
      </c>
      <c r="BC211" t="n">
        <v>93.753</v>
      </c>
      <c r="BD211" t="n">
        <v>89.667</v>
      </c>
      <c r="BE211" t="n">
        <v>106.375</v>
      </c>
      <c r="BF211" t="n">
        <v>906.333</v>
      </c>
      <c r="BG211" t="n">
        <v>80.994</v>
      </c>
      <c r="BH211" t="n">
        <v>82.235</v>
      </c>
      <c r="BI211" t="n">
        <v>86.095</v>
      </c>
      <c r="BJ211" t="n">
        <v>80.471</v>
      </c>
      <c r="BK211" t="n">
        <v>69.173</v>
      </c>
      <c r="BL211" t="n">
        <v>31.934</v>
      </c>
      <c r="BM211" t="n">
        <v>41.718</v>
      </c>
      <c r="BN211" t="n">
        <v>52.321</v>
      </c>
      <c r="BO211" t="n">
        <v>32</v>
      </c>
      <c r="BP211" t="n">
        <v>38.933</v>
      </c>
      <c r="BQ211" t="n">
        <v>76.247</v>
      </c>
      <c r="BR211" t="n">
        <v>100.357</v>
      </c>
      <c r="BS211" t="n">
        <v>114.399</v>
      </c>
      <c r="BT211" t="n">
        <v>74.976</v>
      </c>
      <c r="BU211" t="n">
        <v>112.733</v>
      </c>
      <c r="BV211" t="n">
        <v>633.0599999999999</v>
      </c>
    </row>
    <row r="212">
      <c r="A212" t="inlineStr">
        <is>
          <t>Rhinobatidae</t>
        </is>
      </c>
      <c r="B212" t="inlineStr">
        <is>
          <t>Guitarfishes, fanrays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56.454</v>
      </c>
      <c r="F212" t="n">
        <v>57.894</v>
      </c>
      <c r="G212" t="n">
        <v>59.334</v>
      </c>
      <c r="H212" t="n">
        <v>60.774</v>
      </c>
      <c r="I212" t="n">
        <v>62.214</v>
      </c>
      <c r="J212" t="n">
        <v>63.654</v>
      </c>
      <c r="K212" t="n">
        <v>65.095</v>
      </c>
      <c r="L212" t="n">
        <v>64.617</v>
      </c>
      <c r="M212" t="n">
        <v>66.057</v>
      </c>
      <c r="N212" t="n">
        <v>65.58</v>
      </c>
      <c r="O212" t="n">
        <v>67.246</v>
      </c>
      <c r="P212" t="n">
        <v>69.97799999999999</v>
      </c>
      <c r="Q212" t="n">
        <v>71.46899999999999</v>
      </c>
      <c r="R212" t="n">
        <v>70.357</v>
      </c>
      <c r="S212" t="n">
        <v>71.175</v>
      </c>
      <c r="T212" t="n">
        <v>75.98399999999999</v>
      </c>
      <c r="U212" t="n">
        <v>71.532</v>
      </c>
      <c r="V212" t="n">
        <v>75.36199999999999</v>
      </c>
      <c r="W212" t="n">
        <v>59.041</v>
      </c>
      <c r="X212" t="n">
        <v>58.126</v>
      </c>
      <c r="Y212" t="n">
        <v>54.37</v>
      </c>
      <c r="Z212" t="n">
        <v>30.45</v>
      </c>
      <c r="AA212" t="n">
        <v>13.373</v>
      </c>
      <c r="AB212" t="n">
        <v>13.408</v>
      </c>
      <c r="AC212" t="n">
        <v>13.417</v>
      </c>
      <c r="AD212" t="n">
        <v>13.4</v>
      </c>
      <c r="AE212" t="n">
        <v>13.575</v>
      </c>
      <c r="AF212" t="n">
        <v>13.349</v>
      </c>
      <c r="AG212" t="n">
        <v>13.12</v>
      </c>
      <c r="AH212" t="n">
        <v>12.888</v>
      </c>
      <c r="AI212" t="n">
        <v>13.682</v>
      </c>
      <c r="AJ212" t="n">
        <v>14.936</v>
      </c>
      <c r="AK212" t="n">
        <v>19.564</v>
      </c>
      <c r="AL212" t="n">
        <v>18.391</v>
      </c>
      <c r="AM212" t="n">
        <v>11.707</v>
      </c>
      <c r="AN212" t="n">
        <v>14.023</v>
      </c>
      <c r="AO212" t="n">
        <v>13.236</v>
      </c>
      <c r="AP212" t="n">
        <v>17.628</v>
      </c>
      <c r="AQ212" t="n">
        <v>20.633</v>
      </c>
      <c r="AR212" t="n">
        <v>23.601</v>
      </c>
      <c r="AS212" t="n">
        <v>28.653</v>
      </c>
      <c r="AT212" t="n">
        <v>32.501</v>
      </c>
      <c r="AU212" t="n">
        <v>34.767</v>
      </c>
      <c r="AV212" t="n">
        <v>38.786</v>
      </c>
      <c r="AW212" t="n">
        <v>32.817</v>
      </c>
      <c r="AX212" t="n">
        <v>50.153</v>
      </c>
      <c r="AY212" t="n">
        <v>40.741</v>
      </c>
      <c r="AZ212" t="n">
        <v>33.183</v>
      </c>
      <c r="BA212" t="n">
        <v>89.33199999999999</v>
      </c>
      <c r="BB212" t="n">
        <v>205.879</v>
      </c>
      <c r="BC212" t="n">
        <v>65.119</v>
      </c>
      <c r="BD212" t="n">
        <v>48.344</v>
      </c>
      <c r="BE212" t="n">
        <v>47.224</v>
      </c>
      <c r="BF212" t="n">
        <v>59.531</v>
      </c>
      <c r="BG212" t="n">
        <v>227.477</v>
      </c>
      <c r="BH212" t="n">
        <v>106.321</v>
      </c>
      <c r="BI212" t="n">
        <v>119.557</v>
      </c>
      <c r="BJ212" t="n">
        <v>50.787</v>
      </c>
      <c r="BK212" t="n">
        <v>46.76</v>
      </c>
      <c r="BL212" t="n">
        <v>26.367</v>
      </c>
      <c r="BM212" t="n">
        <v>443.05</v>
      </c>
      <c r="BN212" t="n">
        <v>502.483</v>
      </c>
      <c r="BO212" t="n">
        <v>353.2</v>
      </c>
      <c r="BP212" t="n">
        <v>546.793</v>
      </c>
      <c r="BQ212" t="n">
        <v>701.0650000000001</v>
      </c>
      <c r="BR212" t="n">
        <v>736.481</v>
      </c>
      <c r="BS212" t="n">
        <v>469.281</v>
      </c>
      <c r="BT212" t="n">
        <v>117.448</v>
      </c>
      <c r="BU212" t="n">
        <v>581.242</v>
      </c>
      <c r="BV212" t="n">
        <v>362.509</v>
      </c>
    </row>
    <row r="213">
      <c r="A213" t="inlineStr">
        <is>
          <t>Lophiidae</t>
        </is>
      </c>
      <c r="B213" t="inlineStr">
        <is>
          <t>Goosefishes</t>
        </is>
      </c>
      <c r="C213" t="inlineStr">
        <is>
          <t>Medium bathydemersals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9.773999999999999</v>
      </c>
      <c r="P213" t="n">
        <v>10.244</v>
      </c>
      <c r="Q213" t="n">
        <v>69.26000000000001</v>
      </c>
      <c r="R213" t="n">
        <v>0.033</v>
      </c>
      <c r="S213" t="n">
        <v>0</v>
      </c>
      <c r="T213" t="n">
        <v>0.032</v>
      </c>
      <c r="U213" t="n">
        <v>0.032</v>
      </c>
      <c r="V213" t="n">
        <v>0.027</v>
      </c>
      <c r="W213" t="n">
        <v>0.026</v>
      </c>
      <c r="X213" t="n">
        <v>0.026</v>
      </c>
      <c r="Y213" t="n">
        <v>0.024</v>
      </c>
      <c r="Z213" t="n">
        <v>0.022</v>
      </c>
      <c r="AA213" t="n">
        <v>0.403</v>
      </c>
      <c r="AB213" t="n">
        <v>36.603</v>
      </c>
      <c r="AC213" t="n">
        <v>28.577</v>
      </c>
      <c r="AD213" t="n">
        <v>27.127</v>
      </c>
      <c r="AE213" t="n">
        <v>5.654</v>
      </c>
      <c r="AF213" t="n">
        <v>3.21</v>
      </c>
      <c r="AG213" t="n">
        <v>59.509</v>
      </c>
      <c r="AH213" t="n">
        <v>35.979</v>
      </c>
      <c r="AI213" t="n">
        <v>373.399</v>
      </c>
      <c r="AJ213" t="n">
        <v>207.244</v>
      </c>
      <c r="AK213" t="n">
        <v>197.905</v>
      </c>
      <c r="AL213" t="n">
        <v>205.304</v>
      </c>
      <c r="AM213" t="n">
        <v>136.846</v>
      </c>
      <c r="AN213" t="n">
        <v>214.392</v>
      </c>
      <c r="AO213" t="n">
        <v>41.934</v>
      </c>
      <c r="AP213" t="n">
        <v>6.668</v>
      </c>
      <c r="AQ213" t="n">
        <v>71.003</v>
      </c>
      <c r="AR213" t="n">
        <v>107.634</v>
      </c>
      <c r="AS213" t="n">
        <v>195.303</v>
      </c>
      <c r="AT213" t="n">
        <v>150.197</v>
      </c>
      <c r="AU213" t="n">
        <v>106.748</v>
      </c>
      <c r="AV213" t="n">
        <v>89.145</v>
      </c>
      <c r="AW213" t="n">
        <v>131.818</v>
      </c>
      <c r="AX213" t="n">
        <v>189.067</v>
      </c>
      <c r="AY213" t="n">
        <v>339.403</v>
      </c>
      <c r="AZ213" t="n">
        <v>157.387</v>
      </c>
      <c r="BA213" t="n">
        <v>218.074</v>
      </c>
      <c r="BB213" t="n">
        <v>70.753</v>
      </c>
      <c r="BC213" t="n">
        <v>123.286</v>
      </c>
      <c r="BD213" t="n">
        <v>190.704</v>
      </c>
      <c r="BE213" t="n">
        <v>237.694</v>
      </c>
      <c r="BF213" t="n">
        <v>282.48</v>
      </c>
      <c r="BG213" t="n">
        <v>187.507</v>
      </c>
      <c r="BH213" t="n">
        <v>197.049</v>
      </c>
      <c r="BI213" t="n">
        <v>273.524</v>
      </c>
      <c r="BJ213" t="n">
        <v>114.401</v>
      </c>
      <c r="BK213" t="n">
        <v>146.66</v>
      </c>
      <c r="BL213" t="n">
        <v>131.68</v>
      </c>
      <c r="BM213" t="n">
        <v>94.456</v>
      </c>
      <c r="BN213" t="n">
        <v>89.173</v>
      </c>
      <c r="BO213" t="n">
        <v>57.443</v>
      </c>
      <c r="BP213" t="n">
        <v>102.912</v>
      </c>
      <c r="BQ213" t="n">
        <v>212.556</v>
      </c>
      <c r="BR213" t="n">
        <v>203.678</v>
      </c>
      <c r="BS213" t="n">
        <v>255.739</v>
      </c>
      <c r="BT213" t="n">
        <v>369.618</v>
      </c>
      <c r="BU213" t="n">
        <v>391.281</v>
      </c>
      <c r="BV213" t="n">
        <v>281.081</v>
      </c>
    </row>
    <row r="214">
      <c r="A214" t="inlineStr">
        <is>
          <t>Tetrapturus pfluegeri</t>
        </is>
      </c>
      <c r="B214" t="inlineStr">
        <is>
          <t>Longbill spearfish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0.284</v>
      </c>
      <c r="L214" t="n">
        <v>18.785</v>
      </c>
      <c r="M214" t="n">
        <v>17.179</v>
      </c>
      <c r="N214" t="n">
        <v>15.663</v>
      </c>
      <c r="O214" t="n">
        <v>87.301</v>
      </c>
      <c r="P214" t="n">
        <v>148.315</v>
      </c>
      <c r="Q214" t="n">
        <v>264.127</v>
      </c>
      <c r="R214" t="n">
        <v>348.811</v>
      </c>
      <c r="S214" t="n">
        <v>581.461</v>
      </c>
      <c r="T214" t="n">
        <v>937.489</v>
      </c>
      <c r="U214" t="n">
        <v>971.1369999999999</v>
      </c>
      <c r="V214" t="n">
        <v>324.781</v>
      </c>
      <c r="W214" t="n">
        <v>497.747</v>
      </c>
      <c r="X214" t="n">
        <v>200.039</v>
      </c>
      <c r="Y214" t="n">
        <v>341.942</v>
      </c>
      <c r="Z214" t="n">
        <v>170.283</v>
      </c>
      <c r="AA214" t="n">
        <v>139.929</v>
      </c>
      <c r="AB214" t="n">
        <v>69.251</v>
      </c>
      <c r="AC214" t="n">
        <v>70.3</v>
      </c>
      <c r="AD214" t="n">
        <v>98.364</v>
      </c>
      <c r="AE214" t="n">
        <v>92.395</v>
      </c>
      <c r="AF214" t="n">
        <v>104.157</v>
      </c>
      <c r="AG214" t="n">
        <v>144.647</v>
      </c>
      <c r="AH214" t="n">
        <v>127.492</v>
      </c>
      <c r="AI214" t="n">
        <v>175.051</v>
      </c>
      <c r="AJ214" t="n">
        <v>167.598</v>
      </c>
      <c r="AK214" t="n">
        <v>114.045</v>
      </c>
      <c r="AL214" t="n">
        <v>90.176</v>
      </c>
      <c r="AM214" t="n">
        <v>43.278</v>
      </c>
      <c r="AN214" t="n">
        <v>40.477</v>
      </c>
      <c r="AO214" t="n">
        <v>39.146</v>
      </c>
      <c r="AP214" t="n">
        <v>56.485</v>
      </c>
      <c r="AQ214" t="n">
        <v>74.89700000000001</v>
      </c>
      <c r="AR214" t="n">
        <v>64.089</v>
      </c>
      <c r="AS214" t="n">
        <v>59.745</v>
      </c>
      <c r="AT214" t="n">
        <v>46.785</v>
      </c>
      <c r="AU214" t="n">
        <v>35.359</v>
      </c>
      <c r="AV214" t="n">
        <v>45.802</v>
      </c>
      <c r="AW214" t="n">
        <v>30.073</v>
      </c>
      <c r="AX214" t="n">
        <v>25.972</v>
      </c>
      <c r="AY214" t="n">
        <v>29.702</v>
      </c>
      <c r="AZ214" t="n">
        <v>23.758</v>
      </c>
      <c r="BA214" t="n">
        <v>28.73</v>
      </c>
      <c r="BB214" t="n">
        <v>44.495</v>
      </c>
      <c r="BC214" t="n">
        <v>35.493</v>
      </c>
      <c r="BD214" t="n">
        <v>7.828</v>
      </c>
      <c r="BE214" t="n">
        <v>10.761</v>
      </c>
      <c r="BF214" t="n">
        <v>15.333</v>
      </c>
      <c r="BG214" t="n">
        <v>10.155</v>
      </c>
      <c r="BH214" t="n">
        <v>12.535</v>
      </c>
      <c r="BI214" t="n">
        <v>12.936</v>
      </c>
      <c r="BJ214" t="n">
        <v>10.827</v>
      </c>
      <c r="BK214" t="n">
        <v>17.53</v>
      </c>
      <c r="BL214" t="n">
        <v>17.9</v>
      </c>
      <c r="BM214" t="n">
        <v>28.788</v>
      </c>
      <c r="BN214" t="n">
        <v>18.592</v>
      </c>
      <c r="BO214" t="n">
        <v>86.837</v>
      </c>
      <c r="BP214" t="n">
        <v>50.299</v>
      </c>
      <c r="BQ214" t="n">
        <v>2.065</v>
      </c>
      <c r="BR214" t="n">
        <v>0.379</v>
      </c>
      <c r="BS214" t="n">
        <v>2.277</v>
      </c>
      <c r="BT214" t="n">
        <v>7.314</v>
      </c>
      <c r="BU214" t="n">
        <v>1.163</v>
      </c>
      <c r="BV214" t="n">
        <v>1.288</v>
      </c>
    </row>
    <row r="215">
      <c r="A215" t="inlineStr">
        <is>
          <t>Gadiformes</t>
        </is>
      </c>
      <c r="B215" t="inlineStr">
        <is>
          <t>Cods</t>
        </is>
      </c>
      <c r="C215" t="inlineStr">
        <is>
          <t>Medium benthopelagics (30 - 89 cm)</t>
        </is>
      </c>
      <c r="D215" t="inlineStr">
        <is>
          <t>Cod-likes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69.654</v>
      </c>
      <c r="R215" t="n">
        <v>108.38</v>
      </c>
      <c r="S215" t="n">
        <v>91.143</v>
      </c>
      <c r="T215" t="n">
        <v>113.377</v>
      </c>
      <c r="U215" t="n">
        <v>262.23</v>
      </c>
      <c r="V215" t="n">
        <v>169.97</v>
      </c>
      <c r="W215" t="n">
        <v>128.802</v>
      </c>
      <c r="X215" t="n">
        <v>123.959</v>
      </c>
      <c r="Y215" t="n">
        <v>105.107</v>
      </c>
      <c r="Z215" t="n">
        <v>101.616</v>
      </c>
      <c r="AA215" t="n">
        <v>3.243</v>
      </c>
      <c r="AB215" t="n">
        <v>0</v>
      </c>
      <c r="AC215" t="n">
        <v>13.811</v>
      </c>
      <c r="AD215" t="n">
        <v>298.448</v>
      </c>
      <c r="AE215" t="n">
        <v>0.102</v>
      </c>
      <c r="AF215" t="n">
        <v>8.644</v>
      </c>
      <c r="AG215" t="n">
        <v>0</v>
      </c>
      <c r="AH215" t="n">
        <v>18.472</v>
      </c>
      <c r="AI215" t="n">
        <v>7.209</v>
      </c>
      <c r="AJ215" t="n">
        <v>196.93</v>
      </c>
      <c r="AK215" t="n">
        <v>205.441</v>
      </c>
      <c r="AL215" t="n">
        <v>211.519</v>
      </c>
      <c r="AM215" t="n">
        <v>183.438</v>
      </c>
      <c r="AN215" t="n">
        <v>221.584</v>
      </c>
      <c r="AO215" t="n">
        <v>8.404</v>
      </c>
      <c r="AP215" t="n">
        <v>13.118</v>
      </c>
      <c r="AQ215" t="n">
        <v>23.452</v>
      </c>
      <c r="AR215" t="n">
        <v>15.826</v>
      </c>
      <c r="AS215" t="n">
        <v>64.926</v>
      </c>
      <c r="AT215" t="n">
        <v>60.097</v>
      </c>
      <c r="AU215" t="n">
        <v>61.599</v>
      </c>
      <c r="AV215" t="n">
        <v>237.87</v>
      </c>
      <c r="AW215" t="n">
        <v>104.301</v>
      </c>
      <c r="AX215" t="n">
        <v>38.8</v>
      </c>
      <c r="AY215" t="n">
        <v>120.583</v>
      </c>
      <c r="AZ215" t="n">
        <v>103.818</v>
      </c>
      <c r="BA215" t="n">
        <v>228.639</v>
      </c>
      <c r="BB215" t="n">
        <v>148.77</v>
      </c>
      <c r="BC215" t="n">
        <v>26.463</v>
      </c>
      <c r="BD215" t="n">
        <v>17.579</v>
      </c>
      <c r="BE215" t="n">
        <v>43.162</v>
      </c>
      <c r="BF215" t="n">
        <v>133.835</v>
      </c>
      <c r="BG215" t="n">
        <v>61.698</v>
      </c>
      <c r="BH215" t="n">
        <v>27.842</v>
      </c>
      <c r="BI215" t="n">
        <v>150.571</v>
      </c>
      <c r="BJ215" t="n">
        <v>61.37</v>
      </c>
      <c r="BK215" t="n">
        <v>79.148</v>
      </c>
      <c r="BL215" t="n">
        <v>130.143</v>
      </c>
      <c r="BM215" t="n">
        <v>215.528</v>
      </c>
      <c r="BN215" t="n">
        <v>264.64</v>
      </c>
      <c r="BO215" t="n">
        <v>133.628</v>
      </c>
      <c r="BP215" t="n">
        <v>52.794</v>
      </c>
      <c r="BQ215" t="n">
        <v>19.001</v>
      </c>
      <c r="BR215" t="n">
        <v>190.762</v>
      </c>
      <c r="BS215" t="n">
        <v>409.521</v>
      </c>
      <c r="BT215" t="n">
        <v>328.564</v>
      </c>
      <c r="BU215" t="n">
        <v>529.059</v>
      </c>
      <c r="BV215" t="n">
        <v>539.513</v>
      </c>
    </row>
    <row r="216">
      <c r="A216" t="inlineStr">
        <is>
          <t>Pagrus africanus</t>
        </is>
      </c>
      <c r="B216" t="inlineStr">
        <is>
          <t>Southern common seabream</t>
        </is>
      </c>
      <c r="C216" t="inlineStr">
        <is>
          <t>Medium benthopelagics (30 - 89 cm)</t>
        </is>
      </c>
      <c r="D216" t="inlineStr">
        <is>
          <t>Perch-likes</t>
        </is>
      </c>
      <c r="E216" t="n">
        <v>136.737</v>
      </c>
      <c r="F216" t="n">
        <v>140.224</v>
      </c>
      <c r="G216" t="n">
        <v>143.711</v>
      </c>
      <c r="H216" t="n">
        <v>147.202</v>
      </c>
      <c r="I216" t="n">
        <v>150.692</v>
      </c>
      <c r="J216" t="n">
        <v>154.182</v>
      </c>
      <c r="K216" t="n">
        <v>157.673</v>
      </c>
      <c r="L216" t="n">
        <v>156.522</v>
      </c>
      <c r="M216" t="n">
        <v>160.369</v>
      </c>
      <c r="N216" t="n">
        <v>159.471</v>
      </c>
      <c r="O216" t="n">
        <v>163.859</v>
      </c>
      <c r="P216" t="n">
        <v>170.824</v>
      </c>
      <c r="Q216" t="n">
        <v>174.784</v>
      </c>
      <c r="R216" t="n">
        <v>172.031</v>
      </c>
      <c r="S216" t="n">
        <v>174.06</v>
      </c>
      <c r="T216" t="n">
        <v>185.656</v>
      </c>
      <c r="U216" t="n">
        <v>174.85</v>
      </c>
      <c r="V216" t="n">
        <v>184.099</v>
      </c>
      <c r="W216" t="n">
        <v>144.632</v>
      </c>
      <c r="X216" t="n">
        <v>143.621</v>
      </c>
      <c r="Y216" t="n">
        <v>134.69</v>
      </c>
      <c r="Z216" t="n">
        <v>76.938</v>
      </c>
      <c r="AA216" t="n">
        <v>35.703</v>
      </c>
      <c r="AB216" t="n">
        <v>35.842</v>
      </c>
      <c r="AC216" t="n">
        <v>34.756</v>
      </c>
      <c r="AD216" t="n">
        <v>34.629</v>
      </c>
      <c r="AE216" t="n">
        <v>35.319</v>
      </c>
      <c r="AF216" t="n">
        <v>35.675</v>
      </c>
      <c r="AG216" t="n">
        <v>35.313</v>
      </c>
      <c r="AH216" t="n">
        <v>34.866</v>
      </c>
      <c r="AI216" t="n">
        <v>37.196</v>
      </c>
      <c r="AJ216" t="n">
        <v>40.545</v>
      </c>
      <c r="AK216" t="n">
        <v>51.483</v>
      </c>
      <c r="AL216" t="n">
        <v>48.618</v>
      </c>
      <c r="AM216" t="n">
        <v>33.368</v>
      </c>
      <c r="AN216" t="n">
        <v>39.391</v>
      </c>
      <c r="AO216" t="n">
        <v>38.286</v>
      </c>
      <c r="AP216" t="n">
        <v>49.61</v>
      </c>
      <c r="AQ216" t="n">
        <v>58.006</v>
      </c>
      <c r="AR216" t="n">
        <v>65.29900000000001</v>
      </c>
      <c r="AS216" t="n">
        <v>78.084</v>
      </c>
      <c r="AT216" t="n">
        <v>87.32599999999999</v>
      </c>
      <c r="AU216" t="n">
        <v>92.74299999999999</v>
      </c>
      <c r="AV216" t="n">
        <v>102.46</v>
      </c>
      <c r="AW216" t="n">
        <v>88.056</v>
      </c>
      <c r="AX216" t="n">
        <v>130.111</v>
      </c>
      <c r="AY216" t="n">
        <v>107.481</v>
      </c>
      <c r="AZ216" t="n">
        <v>88.733</v>
      </c>
      <c r="BA216" t="n">
        <v>94.98</v>
      </c>
      <c r="BB216" t="n">
        <v>84.59</v>
      </c>
      <c r="BC216" t="n">
        <v>128.108</v>
      </c>
      <c r="BD216" t="n">
        <v>125.489</v>
      </c>
      <c r="BE216" t="n">
        <v>122.791</v>
      </c>
      <c r="BF216" t="n">
        <v>119.495</v>
      </c>
      <c r="BG216" t="n">
        <v>123.758</v>
      </c>
      <c r="BH216" t="n">
        <v>121.794</v>
      </c>
      <c r="BI216" t="n">
        <v>118.517</v>
      </c>
      <c r="BJ216" t="n">
        <v>116.232</v>
      </c>
      <c r="BK216" t="n">
        <v>106.388</v>
      </c>
      <c r="BL216" t="n">
        <v>48.639</v>
      </c>
      <c r="BM216" t="n">
        <v>70.461</v>
      </c>
      <c r="BN216" t="n">
        <v>82.63200000000001</v>
      </c>
      <c r="BO216" t="n">
        <v>57.066</v>
      </c>
      <c r="BP216" t="n">
        <v>67.244</v>
      </c>
      <c r="BQ216" t="n">
        <v>59.312</v>
      </c>
      <c r="BR216" t="n">
        <v>60.006</v>
      </c>
      <c r="BS216" t="n">
        <v>65.233</v>
      </c>
      <c r="BT216" t="n">
        <v>67.242</v>
      </c>
      <c r="BU216" t="n">
        <v>68.92</v>
      </c>
      <c r="BV216" t="n">
        <v>70.544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10.781</v>
      </c>
      <c r="AH217" t="n">
        <v>0</v>
      </c>
      <c r="AI217" t="n">
        <v>71.084</v>
      </c>
      <c r="AJ217" t="n">
        <v>229.465</v>
      </c>
      <c r="AK217" t="n">
        <v>217.691</v>
      </c>
      <c r="AL217" t="n">
        <v>157.201</v>
      </c>
      <c r="AM217" t="n">
        <v>224.904</v>
      </c>
      <c r="AN217" t="n">
        <v>25.841</v>
      </c>
      <c r="AO217" t="n">
        <v>164.361</v>
      </c>
      <c r="AP217" t="n">
        <v>527.9450000000001</v>
      </c>
      <c r="AQ217" t="n">
        <v>430.961</v>
      </c>
      <c r="AR217" t="n">
        <v>805.654</v>
      </c>
      <c r="AS217" t="n">
        <v>446.387</v>
      </c>
      <c r="AT217" t="n">
        <v>937.556</v>
      </c>
      <c r="AU217" t="n">
        <v>652.899</v>
      </c>
      <c r="AV217" t="n">
        <v>546.0599999999999</v>
      </c>
      <c r="AW217" t="n">
        <v>506.066</v>
      </c>
      <c r="AX217" t="n">
        <v>38.61</v>
      </c>
      <c r="AY217" t="n">
        <v>3.621</v>
      </c>
      <c r="AZ217" t="n">
        <v>5.991</v>
      </c>
      <c r="BA217" t="n">
        <v>0.161</v>
      </c>
      <c r="BB217" t="n">
        <v>1.842</v>
      </c>
      <c r="BC217" t="n">
        <v>2.17</v>
      </c>
      <c r="BD217" t="n">
        <v>49.71</v>
      </c>
      <c r="BE217" t="n">
        <v>4.421</v>
      </c>
      <c r="BF217" t="n">
        <v>3.492</v>
      </c>
      <c r="BG217" t="n">
        <v>14.044</v>
      </c>
      <c r="BH217" t="n">
        <v>27.959</v>
      </c>
      <c r="BI217" t="n">
        <v>33.569</v>
      </c>
      <c r="BJ217" t="n">
        <v>38.742</v>
      </c>
      <c r="BK217" t="n">
        <v>65.015</v>
      </c>
      <c r="BL217" t="n">
        <v>57.176</v>
      </c>
      <c r="BM217" t="n">
        <v>33.416</v>
      </c>
      <c r="BN217" t="n">
        <v>57.702</v>
      </c>
      <c r="BO217" t="n">
        <v>48.86</v>
      </c>
      <c r="BP217" t="n">
        <v>84.184</v>
      </c>
      <c r="BQ217" t="n">
        <v>36.637</v>
      </c>
      <c r="BR217" t="n">
        <v>40.445</v>
      </c>
      <c r="BS217" t="n">
        <v>15.183</v>
      </c>
      <c r="BT217" t="n">
        <v>11.895</v>
      </c>
      <c r="BU217" t="n">
        <v>0</v>
      </c>
      <c r="BV217" t="n">
        <v>10.575</v>
      </c>
    </row>
    <row r="218">
      <c r="A218" t="inlineStr">
        <is>
          <t>Actinopterygii</t>
        </is>
      </c>
      <c r="B218" t="inlineStr">
        <is>
          <t>Ray-finned fishes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761.288</v>
      </c>
      <c r="BO218" t="n">
        <v>734.013</v>
      </c>
      <c r="BP218" t="n">
        <v>714.054</v>
      </c>
      <c r="BQ218" t="n">
        <v>696.463</v>
      </c>
      <c r="BR218" t="n">
        <v>768.154</v>
      </c>
      <c r="BS218" t="n">
        <v>751.063</v>
      </c>
      <c r="BT218" t="n">
        <v>727.636</v>
      </c>
      <c r="BU218" t="n">
        <v>700.361</v>
      </c>
      <c r="BV218" t="n">
        <v>711.8099999999999</v>
      </c>
    </row>
    <row r="219">
      <c r="A219" t="inlineStr">
        <is>
          <t>Trachurus capensis</t>
        </is>
      </c>
      <c r="B219" t="inlineStr">
        <is>
          <t>Cape horse mackerel</t>
        </is>
      </c>
      <c r="C219" t="inlineStr">
        <is>
          <t>Medium pelagics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1922.487</v>
      </c>
      <c r="BR219" t="n">
        <v>954.7619999999999</v>
      </c>
      <c r="BS219" t="n">
        <v>1244.658</v>
      </c>
      <c r="BT219" t="n">
        <v>730.29</v>
      </c>
      <c r="BU219" t="n">
        <v>872.107</v>
      </c>
      <c r="BV219" t="n">
        <v>321.419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0.665</v>
      </c>
      <c r="V220" t="n">
        <v>0.88</v>
      </c>
      <c r="W220" t="n">
        <v>2.189</v>
      </c>
      <c r="X220" t="n">
        <v>5.013</v>
      </c>
      <c r="Y220" t="n">
        <v>9.366</v>
      </c>
      <c r="Z220" t="n">
        <v>12.194</v>
      </c>
      <c r="AA220" t="n">
        <v>14.558</v>
      </c>
      <c r="AB220" t="n">
        <v>17.346</v>
      </c>
      <c r="AC220" t="n">
        <v>19.515</v>
      </c>
      <c r="AD220" t="n">
        <v>20.842</v>
      </c>
      <c r="AE220" t="n">
        <v>23.436</v>
      </c>
      <c r="AF220" t="n">
        <v>26.081</v>
      </c>
      <c r="AG220" t="n">
        <v>29.568</v>
      </c>
      <c r="AH220" t="n">
        <v>30.405</v>
      </c>
      <c r="AI220" t="n">
        <v>6.839</v>
      </c>
      <c r="AJ220" t="n">
        <v>4.665</v>
      </c>
      <c r="AK220" t="n">
        <v>2.052</v>
      </c>
      <c r="AL220" t="n">
        <v>3.243</v>
      </c>
      <c r="AM220" t="n">
        <v>5.958</v>
      </c>
      <c r="AN220" t="n">
        <v>1.25</v>
      </c>
      <c r="AO220" t="n">
        <v>1.149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354.311</v>
      </c>
      <c r="BO220" t="n">
        <v>322.585</v>
      </c>
      <c r="BP220" t="n">
        <v>192.392</v>
      </c>
      <c r="BQ220" t="n">
        <v>637.452</v>
      </c>
      <c r="BR220" t="n">
        <v>725.664</v>
      </c>
      <c r="BS220" t="n">
        <v>704.2190000000001</v>
      </c>
      <c r="BT220" t="n">
        <v>832.002</v>
      </c>
      <c r="BU220" t="n">
        <v>961.599</v>
      </c>
      <c r="BV220" t="n">
        <v>1069.999</v>
      </c>
    </row>
    <row r="221">
      <c r="A221" t="inlineStr">
        <is>
          <t>Sphyraena guachancho</t>
        </is>
      </c>
      <c r="B221" t="inlineStr">
        <is>
          <t>Guachanche barracuda</t>
        </is>
      </c>
      <c r="C221" t="inlineStr">
        <is>
          <t>Large pelagics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6016.86</v>
      </c>
    </row>
    <row r="222">
      <c r="A222" t="inlineStr">
        <is>
          <t>Calappa rubroguttata</t>
        </is>
      </c>
      <c r="B222" t="inlineStr">
        <is>
          <t>Spotted box crab</t>
        </is>
      </c>
      <c r="C222" t="inlineStr">
        <is>
          <t>Lobsters, crabs</t>
        </is>
      </c>
      <c r="D222" t="inlineStr">
        <is>
          <t>Crustaceans</t>
        </is>
      </c>
      <c r="E222" t="n">
        <v>1.457</v>
      </c>
      <c r="F222" t="n">
        <v>1.477</v>
      </c>
      <c r="G222" t="n">
        <v>1.498</v>
      </c>
      <c r="H222" t="n">
        <v>1.565</v>
      </c>
      <c r="I222" t="n">
        <v>1.633</v>
      </c>
      <c r="J222" t="n">
        <v>1.701</v>
      </c>
      <c r="K222" t="n">
        <v>1.771</v>
      </c>
      <c r="L222" t="n">
        <v>1.842</v>
      </c>
      <c r="M222" t="n">
        <v>6.941</v>
      </c>
      <c r="N222" t="n">
        <v>10.578</v>
      </c>
      <c r="O222" t="n">
        <v>15.604</v>
      </c>
      <c r="P222" t="n">
        <v>20.594</v>
      </c>
      <c r="Q222" t="n">
        <v>25.547</v>
      </c>
      <c r="R222" t="n">
        <v>24.745</v>
      </c>
      <c r="S222" t="n">
        <v>25.375</v>
      </c>
      <c r="T222" t="n">
        <v>24.756</v>
      </c>
      <c r="U222" t="n">
        <v>24.31</v>
      </c>
      <c r="V222" t="n">
        <v>24.036</v>
      </c>
      <c r="W222" t="n">
        <v>24.533</v>
      </c>
      <c r="X222" t="n">
        <v>41.504</v>
      </c>
      <c r="Y222" t="n">
        <v>43.781</v>
      </c>
      <c r="Z222" t="n">
        <v>45.761</v>
      </c>
      <c r="AA222" t="n">
        <v>47.127</v>
      </c>
      <c r="AB222" t="n">
        <v>47.888</v>
      </c>
      <c r="AC222" t="n">
        <v>32.247</v>
      </c>
      <c r="AD222" t="n">
        <v>31.016</v>
      </c>
      <c r="AE222" t="n">
        <v>34.776</v>
      </c>
      <c r="AF222" t="n">
        <v>47.56</v>
      </c>
      <c r="AG222" t="n">
        <v>50.274</v>
      </c>
      <c r="AH222" t="n">
        <v>51.861</v>
      </c>
      <c r="AI222" t="n">
        <v>57.649</v>
      </c>
      <c r="AJ222" t="n">
        <v>62.083</v>
      </c>
      <c r="AK222" t="n">
        <v>58.343</v>
      </c>
      <c r="AL222" t="n">
        <v>58.006</v>
      </c>
      <c r="AM222" t="n">
        <v>71.07899999999999</v>
      </c>
      <c r="AN222" t="n">
        <v>76.961</v>
      </c>
      <c r="AO222" t="n">
        <v>88.291</v>
      </c>
      <c r="AP222" t="n">
        <v>98.075</v>
      </c>
      <c r="AQ222" t="n">
        <v>113.935</v>
      </c>
      <c r="AR222" t="n">
        <v>115.491</v>
      </c>
      <c r="AS222" t="n">
        <v>123.354</v>
      </c>
      <c r="AT222" t="n">
        <v>122.349</v>
      </c>
      <c r="AU222" t="n">
        <v>121.416</v>
      </c>
      <c r="AV222" t="n">
        <v>121.263</v>
      </c>
      <c r="AW222" t="n">
        <v>121.877</v>
      </c>
      <c r="AX222" t="n">
        <v>123.242</v>
      </c>
      <c r="AY222" t="n">
        <v>125.346</v>
      </c>
      <c r="AZ222" t="n">
        <v>127.427</v>
      </c>
      <c r="BA222" t="n">
        <v>128.764</v>
      </c>
      <c r="BB222" t="n">
        <v>129.356</v>
      </c>
      <c r="BC222" t="n">
        <v>129.204</v>
      </c>
      <c r="BD222" t="n">
        <v>128.306</v>
      </c>
      <c r="BE222" t="n">
        <v>128.495</v>
      </c>
      <c r="BF222" t="n">
        <v>129.771</v>
      </c>
      <c r="BG222" t="n">
        <v>133.151</v>
      </c>
      <c r="BH222" t="n">
        <v>136.599</v>
      </c>
      <c r="BI222" t="n">
        <v>134.088</v>
      </c>
      <c r="BJ222" t="n">
        <v>132.212</v>
      </c>
      <c r="BK222" t="n">
        <v>130.256</v>
      </c>
      <c r="BL222" t="n">
        <v>41.161</v>
      </c>
      <c r="BM222" t="n">
        <v>151.428</v>
      </c>
      <c r="BN222" t="n">
        <v>154.095</v>
      </c>
      <c r="BO222" t="n">
        <v>158.793</v>
      </c>
      <c r="BP222" t="n">
        <v>162.321</v>
      </c>
      <c r="BQ222" t="n">
        <v>168.166</v>
      </c>
      <c r="BR222" t="n">
        <v>173.993</v>
      </c>
      <c r="BS222" t="n">
        <v>180.398</v>
      </c>
      <c r="BT222" t="n">
        <v>187.298</v>
      </c>
      <c r="BU222" t="n">
        <v>193.419</v>
      </c>
      <c r="BV222" t="n">
        <v>199.993</v>
      </c>
    </row>
    <row r="223">
      <c r="A223" t="inlineStr">
        <is>
          <t>Abudefduf saxatilis</t>
        </is>
      </c>
      <c r="B223" t="inlineStr">
        <is>
          <t>Sergeant-major</t>
        </is>
      </c>
      <c r="C223" t="inlineStr">
        <is>
          <t>Small reef assoc. fish (&lt;30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475.257</v>
      </c>
      <c r="BO223" t="n">
        <v>634.056</v>
      </c>
      <c r="BP223" t="n">
        <v>634.056</v>
      </c>
      <c r="BQ223" t="n">
        <v>634.056</v>
      </c>
      <c r="BR223" t="n">
        <v>634.056</v>
      </c>
      <c r="BS223" t="n">
        <v>673.73</v>
      </c>
      <c r="BT223" t="n">
        <v>673.73</v>
      </c>
      <c r="BU223" t="n">
        <v>647.705</v>
      </c>
      <c r="BV223" t="n">
        <v>671.123</v>
      </c>
    </row>
    <row r="224">
      <c r="A224" t="inlineStr">
        <is>
          <t>Callinectes pallidus</t>
        </is>
      </c>
      <c r="B224" t="inlineStr">
        <is>
          <t>Gladiator swimcrab</t>
        </is>
      </c>
      <c r="C224" t="inlineStr">
        <is>
          <t>Lobsters, crabs</t>
        </is>
      </c>
      <c r="D224" t="inlineStr">
        <is>
          <t>Crustaceans</t>
        </is>
      </c>
      <c r="E224" t="n">
        <v>1.405</v>
      </c>
      <c r="F224" t="n">
        <v>1.425</v>
      </c>
      <c r="G224" t="n">
        <v>1.445</v>
      </c>
      <c r="H224" t="n">
        <v>1.509</v>
      </c>
      <c r="I224" t="n">
        <v>1.575</v>
      </c>
      <c r="J224" t="n">
        <v>1.641</v>
      </c>
      <c r="K224" t="n">
        <v>1.709</v>
      </c>
      <c r="L224" t="n">
        <v>1.777</v>
      </c>
      <c r="M224" t="n">
        <v>6.696</v>
      </c>
      <c r="N224" t="n">
        <v>10.204</v>
      </c>
      <c r="O224" t="n">
        <v>15.053</v>
      </c>
      <c r="P224" t="n">
        <v>19.866</v>
      </c>
      <c r="Q224" t="n">
        <v>24.644</v>
      </c>
      <c r="R224" t="n">
        <v>23.871</v>
      </c>
      <c r="S224" t="n">
        <v>24.478</v>
      </c>
      <c r="T224" t="n">
        <v>23.881</v>
      </c>
      <c r="U224" t="n">
        <v>23.452</v>
      </c>
      <c r="V224" t="n">
        <v>23.187</v>
      </c>
      <c r="W224" t="n">
        <v>23.666</v>
      </c>
      <c r="X224" t="n">
        <v>40.038</v>
      </c>
      <c r="Y224" t="n">
        <v>42.235</v>
      </c>
      <c r="Z224" t="n">
        <v>44.145</v>
      </c>
      <c r="AA224" t="n">
        <v>45.462</v>
      </c>
      <c r="AB224" t="n">
        <v>46.196</v>
      </c>
      <c r="AC224" t="n">
        <v>31.108</v>
      </c>
      <c r="AD224" t="n">
        <v>29.92</v>
      </c>
      <c r="AE224" t="n">
        <v>33.548</v>
      </c>
      <c r="AF224" t="n">
        <v>45.88</v>
      </c>
      <c r="AG224" t="n">
        <v>48.498</v>
      </c>
      <c r="AH224" t="n">
        <v>50.029</v>
      </c>
      <c r="AI224" t="n">
        <v>55.612</v>
      </c>
      <c r="AJ224" t="n">
        <v>59.89</v>
      </c>
      <c r="AK224" t="n">
        <v>56.282</v>
      </c>
      <c r="AL224" t="n">
        <v>55.957</v>
      </c>
      <c r="AM224" t="n">
        <v>68.568</v>
      </c>
      <c r="AN224" t="n">
        <v>74.242</v>
      </c>
      <c r="AO224" t="n">
        <v>85.172</v>
      </c>
      <c r="AP224" t="n">
        <v>94.61</v>
      </c>
      <c r="AQ224" t="n">
        <v>109.91</v>
      </c>
      <c r="AR224" t="n">
        <v>111.411</v>
      </c>
      <c r="AS224" t="n">
        <v>118.996</v>
      </c>
      <c r="AT224" t="n">
        <v>118.027</v>
      </c>
      <c r="AU224" t="n">
        <v>117.127</v>
      </c>
      <c r="AV224" t="n">
        <v>116.98</v>
      </c>
      <c r="AW224" t="n">
        <v>117.571</v>
      </c>
      <c r="AX224" t="n">
        <v>118.889</v>
      </c>
      <c r="AY224" t="n">
        <v>120.918</v>
      </c>
      <c r="AZ224" t="n">
        <v>122.926</v>
      </c>
      <c r="BA224" t="n">
        <v>124.215</v>
      </c>
      <c r="BB224" t="n">
        <v>124.787</v>
      </c>
      <c r="BC224" t="n">
        <v>124.639</v>
      </c>
      <c r="BD224" t="n">
        <v>123.774</v>
      </c>
      <c r="BE224" t="n">
        <v>123.956</v>
      </c>
      <c r="BF224" t="n">
        <v>125.186</v>
      </c>
      <c r="BG224" t="n">
        <v>128.447</v>
      </c>
      <c r="BH224" t="n">
        <v>131.773</v>
      </c>
      <c r="BI224" t="n">
        <v>129.352</v>
      </c>
      <c r="BJ224" t="n">
        <v>127.541</v>
      </c>
      <c r="BK224" t="n">
        <v>125.654</v>
      </c>
      <c r="BL224" t="n">
        <v>39.707</v>
      </c>
      <c r="BM224" t="n">
        <v>146.079</v>
      </c>
      <c r="BN224" t="n">
        <v>148.651</v>
      </c>
      <c r="BO224" t="n">
        <v>153.183</v>
      </c>
      <c r="BP224" t="n">
        <v>156.587</v>
      </c>
      <c r="BQ224" t="n">
        <v>162.226</v>
      </c>
      <c r="BR224" t="n">
        <v>167.846</v>
      </c>
      <c r="BS224" t="n">
        <v>174.026</v>
      </c>
      <c r="BT224" t="n">
        <v>180.682</v>
      </c>
      <c r="BU224" t="n">
        <v>186.587</v>
      </c>
      <c r="BV224" t="n">
        <v>192.928</v>
      </c>
    </row>
    <row r="225">
      <c r="A225" t="inlineStr">
        <is>
          <t>Stromateidae</t>
        </is>
      </c>
      <c r="B225" t="inlineStr">
        <is>
          <t>Butterfishes</t>
        </is>
      </c>
      <c r="C225" t="inlineStr">
        <is>
          <t>Small benthopelagics (&lt;30 cm)</t>
        </is>
      </c>
      <c r="D225" t="inlineStr">
        <is>
          <t>Perch-likes</t>
        </is>
      </c>
      <c r="E225" t="n">
        <v>38.629</v>
      </c>
      <c r="F225" t="n">
        <v>39.803</v>
      </c>
      <c r="G225" t="n">
        <v>40.954</v>
      </c>
      <c r="H225" t="n">
        <v>42.082</v>
      </c>
      <c r="I225" t="n">
        <v>33.947</v>
      </c>
      <c r="J225" t="n">
        <v>35.084</v>
      </c>
      <c r="K225" t="n">
        <v>36.199</v>
      </c>
      <c r="L225" t="n">
        <v>37.292</v>
      </c>
      <c r="M225" t="n">
        <v>38.363</v>
      </c>
      <c r="N225" t="n">
        <v>39.413</v>
      </c>
      <c r="O225" t="n">
        <v>15.118</v>
      </c>
      <c r="P225" t="n">
        <v>26.633</v>
      </c>
      <c r="Q225" t="n">
        <v>12.368</v>
      </c>
      <c r="R225" t="n">
        <v>10.558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51.054</v>
      </c>
      <c r="AK225" t="n">
        <v>67.23699999999999</v>
      </c>
      <c r="AL225" t="n">
        <v>88.926</v>
      </c>
      <c r="AM225" t="n">
        <v>104.659</v>
      </c>
      <c r="AN225" t="n">
        <v>122.007</v>
      </c>
      <c r="AO225" t="n">
        <v>135.6</v>
      </c>
      <c r="AP225" t="n">
        <v>164.896</v>
      </c>
      <c r="AQ225" t="n">
        <v>169.9</v>
      </c>
      <c r="AR225" t="n">
        <v>169.899</v>
      </c>
      <c r="AS225" t="n">
        <v>152.122</v>
      </c>
      <c r="AT225" t="n">
        <v>222.111</v>
      </c>
      <c r="AU225" t="n">
        <v>205.01</v>
      </c>
      <c r="AV225" t="n">
        <v>296.423</v>
      </c>
      <c r="AW225" t="n">
        <v>291.986</v>
      </c>
      <c r="AX225" t="n">
        <v>232.752</v>
      </c>
      <c r="AY225" t="n">
        <v>228.982</v>
      </c>
      <c r="AZ225" t="n">
        <v>192.725</v>
      </c>
      <c r="BA225" t="n">
        <v>174.115</v>
      </c>
      <c r="BB225" t="n">
        <v>197.514</v>
      </c>
      <c r="BC225" t="n">
        <v>53.929</v>
      </c>
      <c r="BD225" t="n">
        <v>97.254</v>
      </c>
      <c r="BE225" t="n">
        <v>119.985</v>
      </c>
      <c r="BF225" t="n">
        <v>62.68</v>
      </c>
      <c r="BG225" t="n">
        <v>174.094</v>
      </c>
      <c r="BH225" t="n">
        <v>183.814</v>
      </c>
      <c r="BI225" t="n">
        <v>111</v>
      </c>
      <c r="BJ225" t="n">
        <v>140.425</v>
      </c>
      <c r="BK225" t="n">
        <v>155.218</v>
      </c>
      <c r="BL225" t="n">
        <v>120.234</v>
      </c>
      <c r="BM225" t="n">
        <v>100.312</v>
      </c>
      <c r="BN225" t="n">
        <v>82.928</v>
      </c>
      <c r="BO225" t="n">
        <v>59.24</v>
      </c>
      <c r="BP225" t="n">
        <v>24.115</v>
      </c>
      <c r="BQ225" t="n">
        <v>24.115</v>
      </c>
      <c r="BR225" t="n">
        <v>24.115</v>
      </c>
      <c r="BS225" t="n">
        <v>24.115</v>
      </c>
      <c r="BT225" t="n">
        <v>24.115</v>
      </c>
      <c r="BU225" t="n">
        <v>24.115</v>
      </c>
      <c r="BV225" t="n">
        <v>24.115</v>
      </c>
    </row>
    <row r="226">
      <c r="A226" t="inlineStr">
        <is>
          <t>Myliobatidae</t>
        </is>
      </c>
      <c r="B226" t="inlineStr">
        <is>
          <t>Eagle/manta rays</t>
        </is>
      </c>
      <c r="C226" t="inlineStr">
        <is>
          <t>Large rays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0.248</v>
      </c>
      <c r="BA226" t="n">
        <v>340.062</v>
      </c>
      <c r="BB226" t="n">
        <v>797.396</v>
      </c>
      <c r="BC226" t="n">
        <v>925.686</v>
      </c>
      <c r="BD226" t="n">
        <v>105.379</v>
      </c>
      <c r="BE226" t="n">
        <v>109.364</v>
      </c>
      <c r="BF226" t="n">
        <v>99.422</v>
      </c>
      <c r="BG226" t="n">
        <v>797.394</v>
      </c>
      <c r="BH226" t="n">
        <v>432.563</v>
      </c>
      <c r="BI226" t="n">
        <v>22.87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219.285</v>
      </c>
      <c r="BR226" t="n">
        <v>309.635</v>
      </c>
      <c r="BS226" t="n">
        <v>0</v>
      </c>
      <c r="BT226" t="n">
        <v>401.034</v>
      </c>
      <c r="BU226" t="n">
        <v>86.547</v>
      </c>
      <c r="BV226" t="n">
        <v>154.171</v>
      </c>
    </row>
    <row r="227">
      <c r="A227" t="inlineStr">
        <is>
          <t>Lagocephalus laevigatus</t>
        </is>
      </c>
      <c r="B227" t="inlineStr">
        <is>
          <t>Smooth puffer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n">
        <v>17.51</v>
      </c>
      <c r="F227" t="n">
        <v>18.017</v>
      </c>
      <c r="G227" t="n">
        <v>18.489</v>
      </c>
      <c r="H227" t="n">
        <v>19.001</v>
      </c>
      <c r="I227" t="n">
        <v>19.473</v>
      </c>
      <c r="J227" t="n">
        <v>19.915</v>
      </c>
      <c r="K227" t="n">
        <v>20.444</v>
      </c>
      <c r="L227" t="n">
        <v>20.783</v>
      </c>
      <c r="M227" t="n">
        <v>21.697</v>
      </c>
      <c r="N227" t="n">
        <v>22.089</v>
      </c>
      <c r="O227" t="n">
        <v>22.198</v>
      </c>
      <c r="P227" t="n">
        <v>22.762</v>
      </c>
      <c r="Q227" t="n">
        <v>23.733</v>
      </c>
      <c r="R227" t="n">
        <v>24.471</v>
      </c>
      <c r="S227" t="n">
        <v>24.452</v>
      </c>
      <c r="T227" t="n">
        <v>24.831</v>
      </c>
      <c r="U227" t="n">
        <v>23.732</v>
      </c>
      <c r="V227" t="n">
        <v>24.43</v>
      </c>
      <c r="W227" t="n">
        <v>23.553</v>
      </c>
      <c r="X227" t="n">
        <v>24.131</v>
      </c>
      <c r="Y227" t="n">
        <v>23.068</v>
      </c>
      <c r="Z227" t="n">
        <v>24.344</v>
      </c>
      <c r="AA227" t="n">
        <v>25.722</v>
      </c>
      <c r="AB227" t="n">
        <v>26.831</v>
      </c>
      <c r="AC227" t="n">
        <v>28.566</v>
      </c>
      <c r="AD227" t="n">
        <v>28.967</v>
      </c>
      <c r="AE227" t="n">
        <v>29.992</v>
      </c>
      <c r="AF227" t="n">
        <v>35.868</v>
      </c>
      <c r="AG227" t="n">
        <v>36.064</v>
      </c>
      <c r="AH227" t="n">
        <v>42.592</v>
      </c>
      <c r="AI227" t="n">
        <v>44.309</v>
      </c>
      <c r="AJ227" t="n">
        <v>41.36</v>
      </c>
      <c r="AK227" t="n">
        <v>41.132</v>
      </c>
      <c r="AL227" t="n">
        <v>43.04</v>
      </c>
      <c r="AM227" t="n">
        <v>45.554</v>
      </c>
      <c r="AN227" t="n">
        <v>45.718</v>
      </c>
      <c r="AO227" t="n">
        <v>48.265</v>
      </c>
      <c r="AP227" t="n">
        <v>52.292</v>
      </c>
      <c r="AQ227" t="n">
        <v>51.339</v>
      </c>
      <c r="AR227" t="n">
        <v>48.384</v>
      </c>
      <c r="AS227" t="n">
        <v>48.405</v>
      </c>
      <c r="AT227" t="n">
        <v>48.027</v>
      </c>
      <c r="AU227" t="n">
        <v>53.197</v>
      </c>
      <c r="AV227" t="n">
        <v>49.581</v>
      </c>
      <c r="AW227" t="n">
        <v>53.542</v>
      </c>
      <c r="AX227" t="n">
        <v>52.046</v>
      </c>
      <c r="AY227" t="n">
        <v>55.128</v>
      </c>
      <c r="AZ227" t="n">
        <v>52.505</v>
      </c>
      <c r="BA227" t="n">
        <v>57.227</v>
      </c>
      <c r="BB227" t="n">
        <v>52.179</v>
      </c>
      <c r="BC227" t="n">
        <v>44.693</v>
      </c>
      <c r="BD227" t="n">
        <v>49.491</v>
      </c>
      <c r="BE227" t="n">
        <v>54.602</v>
      </c>
      <c r="BF227" t="n">
        <v>39.426</v>
      </c>
      <c r="BG227" t="n">
        <v>49.873</v>
      </c>
      <c r="BH227" t="n">
        <v>42.666</v>
      </c>
      <c r="BI227" t="n">
        <v>58.584</v>
      </c>
      <c r="BJ227" t="n">
        <v>148.995</v>
      </c>
      <c r="BK227" t="n">
        <v>45.902</v>
      </c>
      <c r="BL227" t="n">
        <v>45.146</v>
      </c>
      <c r="BM227" t="n">
        <v>214.345</v>
      </c>
      <c r="BN227" t="n">
        <v>143.516</v>
      </c>
      <c r="BO227" t="n">
        <v>152.229</v>
      </c>
      <c r="BP227" t="n">
        <v>85.83499999999999</v>
      </c>
      <c r="BQ227" t="n">
        <v>62.768</v>
      </c>
      <c r="BR227" t="n">
        <v>381.149</v>
      </c>
      <c r="BS227" t="n">
        <v>207.554</v>
      </c>
      <c r="BT227" t="n">
        <v>305.601</v>
      </c>
      <c r="BU227" t="n">
        <v>344.167</v>
      </c>
      <c r="BV227" t="n">
        <v>341.526</v>
      </c>
    </row>
    <row r="228">
      <c r="A228" t="inlineStr">
        <is>
          <t>Bathygobius soporator</t>
        </is>
      </c>
      <c r="B228" t="inlineStr">
        <is>
          <t>Frillfin goby</t>
        </is>
      </c>
      <c r="C228" t="inlineStr">
        <is>
          <t>Large reef assoc. fish (&gt;=90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2.26</v>
      </c>
      <c r="AL228" t="n">
        <v>3.187</v>
      </c>
      <c r="AM228" t="n">
        <v>3.479</v>
      </c>
      <c r="AN228" t="n">
        <v>4.104</v>
      </c>
      <c r="AO228" t="n">
        <v>4.468</v>
      </c>
      <c r="AP228" t="n">
        <v>5.878</v>
      </c>
      <c r="AQ228" t="n">
        <v>7.587</v>
      </c>
      <c r="AR228" t="n">
        <v>7.909</v>
      </c>
      <c r="AS228" t="n">
        <v>9.114000000000001</v>
      </c>
      <c r="AT228" t="n">
        <v>9.417</v>
      </c>
      <c r="AU228" t="n">
        <v>9.034000000000001</v>
      </c>
      <c r="AV228" t="n">
        <v>8.551</v>
      </c>
      <c r="AW228" t="n">
        <v>8.326000000000001</v>
      </c>
      <c r="AX228" t="n">
        <v>7.152</v>
      </c>
      <c r="AY228" t="n">
        <v>7.129</v>
      </c>
      <c r="AZ228" t="n">
        <v>6.564</v>
      </c>
      <c r="BA228" t="n">
        <v>6.252</v>
      </c>
      <c r="BB228" t="n">
        <v>6.437</v>
      </c>
      <c r="BC228" t="n">
        <v>7.37</v>
      </c>
      <c r="BD228" t="n">
        <v>7.147</v>
      </c>
      <c r="BE228" t="n">
        <v>7.374</v>
      </c>
      <c r="BF228" t="n">
        <v>7.323</v>
      </c>
      <c r="BG228" t="n">
        <v>0</v>
      </c>
      <c r="BH228" t="n">
        <v>205.643</v>
      </c>
      <c r="BI228" t="n">
        <v>344.617</v>
      </c>
      <c r="BJ228" t="n">
        <v>334.139</v>
      </c>
      <c r="BK228" t="n">
        <v>332.35</v>
      </c>
      <c r="BL228" t="n">
        <v>323.858</v>
      </c>
      <c r="BM228" t="n">
        <v>317.865</v>
      </c>
      <c r="BN228" t="n">
        <v>331.249</v>
      </c>
      <c r="BO228" t="n">
        <v>304.262</v>
      </c>
      <c r="BP228" t="n">
        <v>285.063</v>
      </c>
      <c r="BQ228" t="n">
        <v>304.664</v>
      </c>
      <c r="BR228" t="n">
        <v>294.727</v>
      </c>
      <c r="BS228" t="n">
        <v>258.616</v>
      </c>
      <c r="BT228" t="n">
        <v>315.625</v>
      </c>
      <c r="BU228" t="n">
        <v>233.926</v>
      </c>
      <c r="BV228" t="n">
        <v>82.944</v>
      </c>
    </row>
    <row r="229">
      <c r="A229" t="inlineStr">
        <is>
          <t>Dicologlossa cuneata</t>
        </is>
      </c>
      <c r="B229" t="inlineStr">
        <is>
          <t>Wedge sole</t>
        </is>
      </c>
      <c r="C229" t="inlineStr">
        <is>
          <t>Small to medium flatfishes (&lt;90 cm)</t>
        </is>
      </c>
      <c r="D229" t="inlineStr">
        <is>
          <t>Flatfishes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25.376</v>
      </c>
      <c r="AX229" t="n">
        <v>38.179</v>
      </c>
      <c r="AY229" t="n">
        <v>59.302</v>
      </c>
      <c r="AZ229" t="n">
        <v>5.556</v>
      </c>
      <c r="BA229" t="n">
        <v>0.172</v>
      </c>
      <c r="BB229" t="n">
        <v>5.918</v>
      </c>
      <c r="BC229" t="n">
        <v>119.626</v>
      </c>
      <c r="BD229" t="n">
        <v>470.106</v>
      </c>
      <c r="BE229" t="n">
        <v>369.23</v>
      </c>
      <c r="BF229" t="n">
        <v>768.247</v>
      </c>
      <c r="BG229" t="n">
        <v>581.718</v>
      </c>
      <c r="BH229" t="n">
        <v>376.955</v>
      </c>
      <c r="BI229" t="n">
        <v>388.417</v>
      </c>
      <c r="BJ229" t="n">
        <v>213.573</v>
      </c>
      <c r="BK229" t="n">
        <v>252.999</v>
      </c>
      <c r="BL229" t="n">
        <v>190.167</v>
      </c>
      <c r="BM229" t="n">
        <v>84.47799999999999</v>
      </c>
      <c r="BN229" t="n">
        <v>32.397</v>
      </c>
      <c r="BO229" t="n">
        <v>2.469</v>
      </c>
      <c r="BP229" t="n">
        <v>58.674</v>
      </c>
      <c r="BQ229" t="n">
        <v>40.188</v>
      </c>
      <c r="BR229" t="n">
        <v>12.294</v>
      </c>
      <c r="BS229" t="n">
        <v>4.322</v>
      </c>
      <c r="BT229" t="n">
        <v>1.014</v>
      </c>
      <c r="BU229" t="n">
        <v>8.365</v>
      </c>
      <c r="BV229" t="n">
        <v>16.702</v>
      </c>
    </row>
    <row r="230">
      <c r="A230" t="inlineStr">
        <is>
          <t>Lutjanus agennes</t>
        </is>
      </c>
      <c r="B230" t="inlineStr">
        <is>
          <t>African red snapper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0.309</v>
      </c>
      <c r="F230" t="n">
        <v>0.314</v>
      </c>
      <c r="G230" t="n">
        <v>0.318</v>
      </c>
      <c r="H230" t="n">
        <v>0.332</v>
      </c>
      <c r="I230" t="n">
        <v>0.347</v>
      </c>
      <c r="J230" t="n">
        <v>0.361</v>
      </c>
      <c r="K230" t="n">
        <v>0.376</v>
      </c>
      <c r="L230" t="n">
        <v>0.391</v>
      </c>
      <c r="M230" t="n">
        <v>1.474</v>
      </c>
      <c r="N230" t="n">
        <v>2.246</v>
      </c>
      <c r="O230" t="n">
        <v>3.314</v>
      </c>
      <c r="P230" t="n">
        <v>4.373</v>
      </c>
      <c r="Q230" t="n">
        <v>5.425</v>
      </c>
      <c r="R230" t="n">
        <v>5.255</v>
      </c>
      <c r="S230" t="n">
        <v>5.389</v>
      </c>
      <c r="T230" t="n">
        <v>5.257</v>
      </c>
      <c r="U230" t="n">
        <v>5.163</v>
      </c>
      <c r="V230" t="n">
        <v>5.104</v>
      </c>
      <c r="W230" t="n">
        <v>5.21</v>
      </c>
      <c r="X230" t="n">
        <v>8.814</v>
      </c>
      <c r="Y230" t="n">
        <v>9.298</v>
      </c>
      <c r="Z230" t="n">
        <v>9.718</v>
      </c>
      <c r="AA230" t="n">
        <v>11.047</v>
      </c>
      <c r="AB230" t="n">
        <v>12.317</v>
      </c>
      <c r="AC230" t="n">
        <v>10.434</v>
      </c>
      <c r="AD230" t="n">
        <v>12.045</v>
      </c>
      <c r="AE230" t="n">
        <v>15.573</v>
      </c>
      <c r="AF230" t="n">
        <v>21.349</v>
      </c>
      <c r="AG230" t="n">
        <v>25.248</v>
      </c>
      <c r="AH230" t="n">
        <v>25.884</v>
      </c>
      <c r="AI230" t="n">
        <v>29.208</v>
      </c>
      <c r="AJ230" t="n">
        <v>29.748</v>
      </c>
      <c r="AK230" t="n">
        <v>31.016</v>
      </c>
      <c r="AL230" t="n">
        <v>31.547</v>
      </c>
      <c r="AM230" t="n">
        <v>37.723</v>
      </c>
      <c r="AN230" t="n">
        <v>41.623</v>
      </c>
      <c r="AO230" t="n">
        <v>46.33</v>
      </c>
      <c r="AP230" t="n">
        <v>52.987</v>
      </c>
      <c r="AQ230" t="n">
        <v>56.381</v>
      </c>
      <c r="AR230" t="n">
        <v>54.166</v>
      </c>
      <c r="AS230" t="n">
        <v>55.657</v>
      </c>
      <c r="AT230" t="n">
        <v>53.156</v>
      </c>
      <c r="AU230" t="n">
        <v>57.172</v>
      </c>
      <c r="AV230" t="n">
        <v>57.382</v>
      </c>
      <c r="AW230" t="n">
        <v>61.951</v>
      </c>
      <c r="AX230" t="n">
        <v>61.625</v>
      </c>
      <c r="AY230" t="n">
        <v>64.949</v>
      </c>
      <c r="AZ230" t="n">
        <v>63.814</v>
      </c>
      <c r="BA230" t="n">
        <v>70.803</v>
      </c>
      <c r="BB230" t="n">
        <v>67.952</v>
      </c>
      <c r="BC230" t="n">
        <v>63.535</v>
      </c>
      <c r="BD230" t="n">
        <v>69.607</v>
      </c>
      <c r="BE230" t="n">
        <v>71.092</v>
      </c>
      <c r="BF230" t="n">
        <v>62.758</v>
      </c>
      <c r="BG230" t="n">
        <v>69.04900000000001</v>
      </c>
      <c r="BH230" t="n">
        <v>68.13800000000001</v>
      </c>
      <c r="BI230" t="n">
        <v>76.83199999999999</v>
      </c>
      <c r="BJ230" t="n">
        <v>67.76300000000001</v>
      </c>
      <c r="BK230" t="n">
        <v>69.392</v>
      </c>
      <c r="BL230" t="n">
        <v>50.705</v>
      </c>
      <c r="BM230" t="n">
        <v>125.024</v>
      </c>
      <c r="BN230" t="n">
        <v>78.131</v>
      </c>
      <c r="BO230" t="n">
        <v>117.832</v>
      </c>
      <c r="BP230" t="n">
        <v>75.473</v>
      </c>
      <c r="BQ230" t="n">
        <v>74.523</v>
      </c>
      <c r="BR230" t="n">
        <v>107.94</v>
      </c>
      <c r="BS230" t="n">
        <v>104.98</v>
      </c>
      <c r="BT230" t="n">
        <v>102.221</v>
      </c>
      <c r="BU230" t="n">
        <v>70.90000000000001</v>
      </c>
      <c r="BV230" t="n">
        <v>1360.056</v>
      </c>
    </row>
    <row r="231">
      <c r="A231" t="inlineStr">
        <is>
          <t>Loligo</t>
        </is>
      </c>
      <c r="B231" t="inlineStr">
        <is>
          <t>Common squids</t>
        </is>
      </c>
      <c r="C231" t="inlineStr">
        <is>
          <t>Cephalopods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7.342</v>
      </c>
      <c r="BB231" t="n">
        <v>2.943</v>
      </c>
      <c r="BC231" t="n">
        <v>112.895</v>
      </c>
      <c r="BD231" t="n">
        <v>98.142</v>
      </c>
      <c r="BE231" t="n">
        <v>65.408</v>
      </c>
      <c r="BF231" t="n">
        <v>62.317</v>
      </c>
      <c r="BG231" t="n">
        <v>67.05500000000001</v>
      </c>
      <c r="BH231" t="n">
        <v>70.81</v>
      </c>
      <c r="BI231" t="n">
        <v>105.661</v>
      </c>
      <c r="BJ231" t="n">
        <v>101.979</v>
      </c>
      <c r="BK231" t="n">
        <v>79.651</v>
      </c>
      <c r="BL231" t="n">
        <v>111.94</v>
      </c>
      <c r="BM231" t="n">
        <v>418.491</v>
      </c>
      <c r="BN231" t="n">
        <v>209.167</v>
      </c>
      <c r="BO231" t="n">
        <v>396.578</v>
      </c>
      <c r="BP231" t="n">
        <v>198.16</v>
      </c>
      <c r="BQ231" t="n">
        <v>192.572</v>
      </c>
      <c r="BR231" t="n">
        <v>362.278</v>
      </c>
      <c r="BS231" t="n">
        <v>350.702</v>
      </c>
      <c r="BT231" t="n">
        <v>339.146</v>
      </c>
      <c r="BU231" t="n">
        <v>167.694</v>
      </c>
      <c r="BV231" t="n">
        <v>317.071</v>
      </c>
    </row>
    <row r="232">
      <c r="A232" t="inlineStr">
        <is>
          <t>Istiophorus</t>
        </is>
      </c>
      <c r="B232" t="inlineStr">
        <is>
          <t>Sailfishes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128.656</v>
      </c>
      <c r="AN232" t="n">
        <v>77.794</v>
      </c>
      <c r="AO232" t="n">
        <v>67.81999999999999</v>
      </c>
      <c r="AP232" t="n">
        <v>93.752</v>
      </c>
      <c r="AQ232" t="n">
        <v>73.93300000000001</v>
      </c>
      <c r="AR232" t="n">
        <v>102.728</v>
      </c>
      <c r="AS232" t="n">
        <v>17.952</v>
      </c>
      <c r="AT232" t="n">
        <v>12.16</v>
      </c>
      <c r="AU232" t="n">
        <v>26.614</v>
      </c>
      <c r="AV232" t="n">
        <v>24.486</v>
      </c>
      <c r="AW232" t="n">
        <v>103.071</v>
      </c>
      <c r="AX232" t="n">
        <v>84.935</v>
      </c>
      <c r="AY232" t="n">
        <v>114.673</v>
      </c>
      <c r="AZ232" t="n">
        <v>53.591</v>
      </c>
      <c r="BA232" t="n">
        <v>393.184</v>
      </c>
      <c r="BB232" t="n">
        <v>160.731</v>
      </c>
      <c r="BC232" t="n">
        <v>301.422</v>
      </c>
      <c r="BD232" t="n">
        <v>0</v>
      </c>
      <c r="BE232" t="n">
        <v>0</v>
      </c>
      <c r="BF232" t="n">
        <v>0</v>
      </c>
      <c r="BG232" t="n">
        <v>122.058</v>
      </c>
      <c r="BH232" t="n">
        <v>0</v>
      </c>
      <c r="BI232" t="n">
        <v>0</v>
      </c>
      <c r="BJ232" t="n">
        <v>457.787</v>
      </c>
      <c r="BK232" t="n">
        <v>179.512</v>
      </c>
      <c r="BL232" t="n">
        <v>174.537</v>
      </c>
      <c r="BM232" t="n">
        <v>164.564</v>
      </c>
      <c r="BN232" t="n">
        <v>159.577</v>
      </c>
      <c r="BO232" t="n">
        <v>149.604</v>
      </c>
      <c r="BP232" t="n">
        <v>144.617</v>
      </c>
      <c r="BQ232" t="n">
        <v>134.643</v>
      </c>
      <c r="BR232" t="n">
        <v>129.656</v>
      </c>
      <c r="BS232" t="n">
        <v>0</v>
      </c>
      <c r="BT232" t="n">
        <v>1.995</v>
      </c>
      <c r="BU232" t="n">
        <v>25.931</v>
      </c>
      <c r="BV232" t="n">
        <v>0</v>
      </c>
    </row>
    <row r="233">
      <c r="A233" t="inlineStr">
        <is>
          <t>Carcharhinus brevipinna</t>
        </is>
      </c>
      <c r="B233" t="inlineStr">
        <is>
          <t>Spinner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74.22199999999999</v>
      </c>
      <c r="F233" t="n">
        <v>74.22199999999999</v>
      </c>
      <c r="G233" t="n">
        <v>74.22199999999999</v>
      </c>
      <c r="H233" t="n">
        <v>74.22199999999999</v>
      </c>
      <c r="I233" t="n">
        <v>74.22199999999999</v>
      </c>
      <c r="J233" t="n">
        <v>74.22199999999999</v>
      </c>
      <c r="K233" t="n">
        <v>148.445</v>
      </c>
      <c r="L233" t="n">
        <v>74.22199999999999</v>
      </c>
      <c r="M233" t="n">
        <v>74.22199999999999</v>
      </c>
      <c r="N233" t="n">
        <v>148.445</v>
      </c>
      <c r="O233" t="n">
        <v>148.445</v>
      </c>
      <c r="P233" t="n">
        <v>22.267</v>
      </c>
      <c r="Q233" t="n">
        <v>22.267</v>
      </c>
      <c r="R233" t="n">
        <v>22.267</v>
      </c>
      <c r="S233" t="n">
        <v>14.844</v>
      </c>
      <c r="T233" t="n">
        <v>14.844</v>
      </c>
      <c r="U233" t="n">
        <v>14.844</v>
      </c>
      <c r="V233" t="n">
        <v>14.844</v>
      </c>
      <c r="W233" t="n">
        <v>7.422</v>
      </c>
      <c r="X233" t="n">
        <v>7.422</v>
      </c>
      <c r="Y233" t="n">
        <v>15.735</v>
      </c>
      <c r="Z233" t="n">
        <v>9.797000000000001</v>
      </c>
      <c r="AA233" t="n">
        <v>9.574999999999999</v>
      </c>
      <c r="AB233" t="n">
        <v>10.911</v>
      </c>
      <c r="AC233" t="n">
        <v>12.395</v>
      </c>
      <c r="AD233" t="n">
        <v>12.395</v>
      </c>
      <c r="AE233" t="n">
        <v>8.313000000000001</v>
      </c>
      <c r="AF233" t="n">
        <v>14.622</v>
      </c>
      <c r="AG233" t="n">
        <v>99.161</v>
      </c>
      <c r="AH233" t="n">
        <v>48.764</v>
      </c>
      <c r="AI233" t="n">
        <v>15.735</v>
      </c>
      <c r="AJ233" t="n">
        <v>23.009</v>
      </c>
      <c r="AK233" t="n">
        <v>30.802</v>
      </c>
      <c r="AL233" t="n">
        <v>29.541</v>
      </c>
      <c r="AM233" t="n">
        <v>21.005</v>
      </c>
      <c r="AN233" t="n">
        <v>21.524</v>
      </c>
      <c r="AO233" t="n">
        <v>22.267</v>
      </c>
      <c r="AP233" t="n">
        <v>22.267</v>
      </c>
      <c r="AQ233" t="n">
        <v>22.267</v>
      </c>
      <c r="AR233" t="n">
        <v>22.118</v>
      </c>
      <c r="AS233" t="n">
        <v>20.782</v>
      </c>
      <c r="AT233" t="n">
        <v>107.029</v>
      </c>
      <c r="AU233" t="n">
        <v>105.693</v>
      </c>
      <c r="AV233" t="n">
        <v>104.505</v>
      </c>
      <c r="AW233" t="n">
        <v>104.134</v>
      </c>
      <c r="AX233" t="n">
        <v>103.986</v>
      </c>
      <c r="AY233" t="n">
        <v>103.911</v>
      </c>
      <c r="AZ233" t="n">
        <v>104.208</v>
      </c>
      <c r="BA233" t="n">
        <v>1.113</v>
      </c>
      <c r="BB233" t="n">
        <v>0.742</v>
      </c>
      <c r="BC233" t="n">
        <v>1.336</v>
      </c>
      <c r="BD233" t="n">
        <v>0</v>
      </c>
      <c r="BE233" t="n">
        <v>0.074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133.378</v>
      </c>
      <c r="BL233" t="n">
        <v>130.631</v>
      </c>
      <c r="BM233" t="n">
        <v>130.631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373.945</v>
      </c>
    </row>
    <row r="234">
      <c r="A234" t="inlineStr">
        <is>
          <t>Congridae</t>
        </is>
      </c>
      <c r="B234" t="inlineStr">
        <is>
          <t>Conger, garden eels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10.827</v>
      </c>
      <c r="AC234" t="n">
        <v>0</v>
      </c>
      <c r="AD234" t="n">
        <v>0</v>
      </c>
      <c r="AE234" t="n">
        <v>0</v>
      </c>
      <c r="AF234" t="n">
        <v>9.526</v>
      </c>
      <c r="AG234" t="n">
        <v>10.887</v>
      </c>
      <c r="AH234" t="n">
        <v>7.485</v>
      </c>
      <c r="AI234" t="n">
        <v>6.804</v>
      </c>
      <c r="AJ234" t="n">
        <v>8.164999999999999</v>
      </c>
      <c r="AK234" t="n">
        <v>8.846</v>
      </c>
      <c r="AL234" t="n">
        <v>12.248</v>
      </c>
      <c r="AM234" t="n">
        <v>25.857</v>
      </c>
      <c r="AN234" t="n">
        <v>25.857</v>
      </c>
      <c r="AO234" t="n">
        <v>27.218</v>
      </c>
      <c r="AP234" t="n">
        <v>27.218</v>
      </c>
      <c r="AQ234" t="n">
        <v>27.218</v>
      </c>
      <c r="AR234" t="n">
        <v>27.218</v>
      </c>
      <c r="AS234" t="n">
        <v>27.218</v>
      </c>
      <c r="AT234" t="n">
        <v>47.631</v>
      </c>
      <c r="AU234" t="n">
        <v>47.631</v>
      </c>
      <c r="AV234" t="n">
        <v>54.436</v>
      </c>
      <c r="AW234" t="n">
        <v>47.631</v>
      </c>
      <c r="AX234" t="n">
        <v>48.312</v>
      </c>
      <c r="AY234" t="n">
        <v>49.673</v>
      </c>
      <c r="AZ234" t="n">
        <v>48.312</v>
      </c>
      <c r="BA234" t="n">
        <v>49.673</v>
      </c>
      <c r="BB234" t="n">
        <v>47.631</v>
      </c>
      <c r="BC234" t="n">
        <v>219.785</v>
      </c>
      <c r="BD234" t="n">
        <v>134.048</v>
      </c>
      <c r="BE234" t="n">
        <v>121.8</v>
      </c>
      <c r="BF234" t="n">
        <v>108.191</v>
      </c>
      <c r="BG234" t="n">
        <v>108.191</v>
      </c>
      <c r="BH234" t="n">
        <v>80.973</v>
      </c>
      <c r="BI234" t="n">
        <v>108.191</v>
      </c>
      <c r="BJ234" t="n">
        <v>173.515</v>
      </c>
      <c r="BK234" t="n">
        <v>155.142</v>
      </c>
      <c r="BL234" t="n">
        <v>121.12</v>
      </c>
      <c r="BM234" t="n">
        <v>91.861</v>
      </c>
      <c r="BN234" t="n">
        <v>78.252</v>
      </c>
      <c r="BO234" t="n">
        <v>64.643</v>
      </c>
      <c r="BP234" t="n">
        <v>51.714</v>
      </c>
      <c r="BQ234" t="n">
        <v>52.395</v>
      </c>
      <c r="BR234" t="n">
        <v>53.075</v>
      </c>
      <c r="BS234" t="n">
        <v>161.947</v>
      </c>
      <c r="BT234" t="n">
        <v>163.308</v>
      </c>
      <c r="BU234" t="n">
        <v>163.308</v>
      </c>
      <c r="BV234" t="n">
        <v>163.308</v>
      </c>
    </row>
    <row r="235">
      <c r="A235" t="inlineStr">
        <is>
          <t>Scorpaena</t>
        </is>
      </c>
      <c r="B235" t="inlineStr">
        <is>
          <t>Scorpionfishes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0.724</v>
      </c>
      <c r="AD235" t="n">
        <v>2.846</v>
      </c>
      <c r="AE235" t="n">
        <v>2.666</v>
      </c>
      <c r="AF235" t="n">
        <v>7.873</v>
      </c>
      <c r="AG235" t="n">
        <v>9.632</v>
      </c>
      <c r="AH235" t="n">
        <v>14.358</v>
      </c>
      <c r="AI235" t="n">
        <v>23.795</v>
      </c>
      <c r="AJ235" t="n">
        <v>26.251</v>
      </c>
      <c r="AK235" t="n">
        <v>40.263</v>
      </c>
      <c r="AL235" t="n">
        <v>68.81699999999999</v>
      </c>
      <c r="AM235" t="n">
        <v>63.914</v>
      </c>
      <c r="AN235" t="n">
        <v>64.499</v>
      </c>
      <c r="AO235" t="n">
        <v>61.52</v>
      </c>
      <c r="AP235" t="n">
        <v>64.258</v>
      </c>
      <c r="AQ235" t="n">
        <v>45.38</v>
      </c>
      <c r="AR235" t="n">
        <v>45.953</v>
      </c>
      <c r="AS235" t="n">
        <v>27.632</v>
      </c>
      <c r="AT235" t="n">
        <v>27.29</v>
      </c>
      <c r="AU235" t="n">
        <v>26.893</v>
      </c>
      <c r="AV235" t="n">
        <v>22.869</v>
      </c>
      <c r="AW235" t="n">
        <v>26.18</v>
      </c>
      <c r="AX235" t="n">
        <v>19.994</v>
      </c>
      <c r="AY235" t="n">
        <v>15.663</v>
      </c>
      <c r="AZ235" t="n">
        <v>24.92</v>
      </c>
      <c r="BA235" t="n">
        <v>24.783</v>
      </c>
      <c r="BB235" t="n">
        <v>28.825</v>
      </c>
      <c r="BC235" t="n">
        <v>36.247</v>
      </c>
      <c r="BD235" t="n">
        <v>36.42</v>
      </c>
      <c r="BE235" t="n">
        <v>39.294</v>
      </c>
      <c r="BF235" t="n">
        <v>31.633</v>
      </c>
      <c r="BG235" t="n">
        <v>79.624</v>
      </c>
      <c r="BH235" t="n">
        <v>72.123</v>
      </c>
      <c r="BI235" t="n">
        <v>102.623</v>
      </c>
      <c r="BJ235" t="n">
        <v>110.328</v>
      </c>
      <c r="BK235" t="n">
        <v>82.464</v>
      </c>
      <c r="BL235" t="n">
        <v>46.626</v>
      </c>
      <c r="BM235" t="n">
        <v>277.471</v>
      </c>
      <c r="BN235" t="n">
        <v>112.823</v>
      </c>
      <c r="BO235" t="n">
        <v>195.257</v>
      </c>
      <c r="BP235" t="n">
        <v>99.36499999999999</v>
      </c>
      <c r="BQ235" t="n">
        <v>98.378</v>
      </c>
      <c r="BR235" t="n">
        <v>188.621</v>
      </c>
      <c r="BS235" t="n">
        <v>186.108</v>
      </c>
      <c r="BT235" t="n">
        <v>183.612</v>
      </c>
      <c r="BU235" t="n">
        <v>92.634</v>
      </c>
      <c r="BV235" t="n">
        <v>178.493</v>
      </c>
    </row>
    <row r="236">
      <c r="A236" t="inlineStr">
        <is>
          <t>Dasyatis pastinaca</t>
        </is>
      </c>
      <c r="B236" t="inlineStr">
        <is>
          <t>Common stingray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0.748</v>
      </c>
      <c r="F236" t="n">
        <v>0.758</v>
      </c>
      <c r="G236" t="n">
        <v>0.769</v>
      </c>
      <c r="H236" t="n">
        <v>0.803</v>
      </c>
      <c r="I236" t="n">
        <v>0.838</v>
      </c>
      <c r="J236" t="n">
        <v>0.874</v>
      </c>
      <c r="K236" t="n">
        <v>0.909</v>
      </c>
      <c r="L236" t="n">
        <v>0.946</v>
      </c>
      <c r="M236" t="n">
        <v>3.564</v>
      </c>
      <c r="N236" t="n">
        <v>5.431</v>
      </c>
      <c r="O236" t="n">
        <v>8.010999999999999</v>
      </c>
      <c r="P236" t="n">
        <v>10.573</v>
      </c>
      <c r="Q236" t="n">
        <v>13.116</v>
      </c>
      <c r="R236" t="n">
        <v>12.704</v>
      </c>
      <c r="S236" t="n">
        <v>13.027</v>
      </c>
      <c r="T236" t="n">
        <v>12.709</v>
      </c>
      <c r="U236" t="n">
        <v>12.481</v>
      </c>
      <c r="V236" t="n">
        <v>12.34</v>
      </c>
      <c r="W236" t="n">
        <v>12.595</v>
      </c>
      <c r="X236" t="n">
        <v>21.308</v>
      </c>
      <c r="Y236" t="n">
        <v>22.477</v>
      </c>
      <c r="Z236" t="n">
        <v>23.493</v>
      </c>
      <c r="AA236" t="n">
        <v>24.195</v>
      </c>
      <c r="AB236" t="n">
        <v>24.585</v>
      </c>
      <c r="AC236" t="n">
        <v>16.555</v>
      </c>
      <c r="AD236" t="n">
        <v>15.923</v>
      </c>
      <c r="AE236" t="n">
        <v>17.854</v>
      </c>
      <c r="AF236" t="n">
        <v>24.417</v>
      </c>
      <c r="AG236" t="n">
        <v>25.81</v>
      </c>
      <c r="AH236" t="n">
        <v>26.625</v>
      </c>
      <c r="AI236" t="n">
        <v>29.597</v>
      </c>
      <c r="AJ236" t="n">
        <v>31.873</v>
      </c>
      <c r="AK236" t="n">
        <v>29.953</v>
      </c>
      <c r="AL236" t="n">
        <v>29.78</v>
      </c>
      <c r="AM236" t="n">
        <v>36.492</v>
      </c>
      <c r="AN236" t="n">
        <v>39.511</v>
      </c>
      <c r="AO236" t="n">
        <v>45.328</v>
      </c>
      <c r="AP236" t="n">
        <v>50.351</v>
      </c>
      <c r="AQ236" t="n">
        <v>58.493</v>
      </c>
      <c r="AR236" t="n">
        <v>59.292</v>
      </c>
      <c r="AS236" t="n">
        <v>63.329</v>
      </c>
      <c r="AT236" t="n">
        <v>62.813</v>
      </c>
      <c r="AU236" t="n">
        <v>62.334</v>
      </c>
      <c r="AV236" t="n">
        <v>62.256</v>
      </c>
      <c r="AW236" t="n">
        <v>62.571</v>
      </c>
      <c r="AX236" t="n">
        <v>63.272</v>
      </c>
      <c r="AY236" t="n">
        <v>64.352</v>
      </c>
      <c r="AZ236" t="n">
        <v>65.42</v>
      </c>
      <c r="BA236" t="n">
        <v>66.107</v>
      </c>
      <c r="BB236" t="n">
        <v>66.411</v>
      </c>
      <c r="BC236" t="n">
        <v>66.33199999999999</v>
      </c>
      <c r="BD236" t="n">
        <v>65.872</v>
      </c>
      <c r="BE236" t="n">
        <v>65.96899999999999</v>
      </c>
      <c r="BF236" t="n">
        <v>66.623</v>
      </c>
      <c r="BG236" t="n">
        <v>68.35899999999999</v>
      </c>
      <c r="BH236" t="n">
        <v>70.129</v>
      </c>
      <c r="BI236" t="n">
        <v>68.84</v>
      </c>
      <c r="BJ236" t="n">
        <v>67.877</v>
      </c>
      <c r="BK236" t="n">
        <v>66.872</v>
      </c>
      <c r="BL236" t="n">
        <v>21.132</v>
      </c>
      <c r="BM236" t="n">
        <v>77.742</v>
      </c>
      <c r="BN236" t="n">
        <v>79.111</v>
      </c>
      <c r="BO236" t="n">
        <v>81.523</v>
      </c>
      <c r="BP236" t="n">
        <v>83.33499999999999</v>
      </c>
      <c r="BQ236" t="n">
        <v>86.33499999999999</v>
      </c>
      <c r="BR236" t="n">
        <v>89.327</v>
      </c>
      <c r="BS236" t="n">
        <v>92.61499999999999</v>
      </c>
      <c r="BT236" t="n">
        <v>96.158</v>
      </c>
      <c r="BU236" t="n">
        <v>99.3</v>
      </c>
      <c r="BV236" t="n">
        <v>158.149</v>
      </c>
    </row>
    <row r="237">
      <c r="A237" t="inlineStr">
        <is>
          <t>Berycidae</t>
        </is>
      </c>
      <c r="B237" t="inlineStr">
        <is>
          <t>Alfonsinos, redfishes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0.161</v>
      </c>
      <c r="AI237" t="n">
        <v>18.299</v>
      </c>
      <c r="AJ237" t="n">
        <v>21.7</v>
      </c>
      <c r="AK237" t="n">
        <v>22.669</v>
      </c>
      <c r="AL237" t="n">
        <v>20.523</v>
      </c>
      <c r="AM237" t="n">
        <v>21.808</v>
      </c>
      <c r="AN237" t="n">
        <v>27.166</v>
      </c>
      <c r="AO237" t="n">
        <v>8.993</v>
      </c>
      <c r="AP237" t="n">
        <v>0.699</v>
      </c>
      <c r="AQ237" t="n">
        <v>15.983</v>
      </c>
      <c r="AR237" t="n">
        <v>19.621</v>
      </c>
      <c r="AS237" t="n">
        <v>33.408</v>
      </c>
      <c r="AT237" t="n">
        <v>30.827</v>
      </c>
      <c r="AU237" t="n">
        <v>30.961</v>
      </c>
      <c r="AV237" t="n">
        <v>37.456</v>
      </c>
      <c r="AW237" t="n">
        <v>43.6</v>
      </c>
      <c r="AX237" t="n">
        <v>19.334</v>
      </c>
      <c r="AY237" t="n">
        <v>90.149</v>
      </c>
      <c r="AZ237" t="n">
        <v>53.137</v>
      </c>
      <c r="BA237" t="n">
        <v>40.043</v>
      </c>
      <c r="BB237" t="n">
        <v>28.005</v>
      </c>
      <c r="BC237" t="n">
        <v>3.902</v>
      </c>
      <c r="BD237" t="n">
        <v>112.506</v>
      </c>
      <c r="BE237" t="n">
        <v>143.371</v>
      </c>
      <c r="BF237" t="n">
        <v>31.282</v>
      </c>
      <c r="BG237" t="n">
        <v>79.83499999999999</v>
      </c>
      <c r="BH237" t="n">
        <v>43.278</v>
      </c>
      <c r="BI237" t="n">
        <v>34.698</v>
      </c>
      <c r="BJ237" t="n">
        <v>48.191</v>
      </c>
      <c r="BK237" t="n">
        <v>81</v>
      </c>
      <c r="BL237" t="n">
        <v>47.028</v>
      </c>
      <c r="BM237" t="n">
        <v>62.317</v>
      </c>
      <c r="BN237" t="n">
        <v>57.972</v>
      </c>
      <c r="BO237" t="n">
        <v>138.478</v>
      </c>
      <c r="BP237" t="n">
        <v>126.694</v>
      </c>
      <c r="BQ237" t="n">
        <v>61.838</v>
      </c>
      <c r="BR237" t="n">
        <v>53.182</v>
      </c>
      <c r="BS237" t="n">
        <v>74.148</v>
      </c>
      <c r="BT237" t="n">
        <v>151.48</v>
      </c>
      <c r="BU237" t="n">
        <v>140.947</v>
      </c>
      <c r="BV237" t="n">
        <v>855.915</v>
      </c>
    </row>
    <row r="238">
      <c r="A238" t="inlineStr">
        <is>
          <t>Elagatis bipinnulata</t>
        </is>
      </c>
      <c r="B238" t="inlineStr">
        <is>
          <t>Rainbow runner</t>
        </is>
      </c>
      <c r="C238" t="inlineStr">
        <is>
          <t>Large pelagics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0.915</v>
      </c>
      <c r="BA238" t="n">
        <v>0</v>
      </c>
      <c r="BB238" t="n">
        <v>24.716</v>
      </c>
      <c r="BC238" t="n">
        <v>3.662</v>
      </c>
      <c r="BD238" t="n">
        <v>37.497</v>
      </c>
      <c r="BE238" t="n">
        <v>38.486</v>
      </c>
      <c r="BF238" t="n">
        <v>40.463</v>
      </c>
      <c r="BG238" t="n">
        <v>59.76</v>
      </c>
      <c r="BH238" t="n">
        <v>47.933</v>
      </c>
      <c r="BI238" t="n">
        <v>67.23</v>
      </c>
      <c r="BJ238" t="n">
        <v>43.503</v>
      </c>
      <c r="BK238" t="n">
        <v>44.492</v>
      </c>
      <c r="BL238" t="n">
        <v>46.469</v>
      </c>
      <c r="BM238" t="n">
        <v>103.538</v>
      </c>
      <c r="BN238" t="n">
        <v>163.833</v>
      </c>
      <c r="BO238" t="n">
        <v>121.39</v>
      </c>
      <c r="BP238" t="n">
        <v>156.215</v>
      </c>
      <c r="BQ238" t="n">
        <v>272.703</v>
      </c>
      <c r="BR238" t="n">
        <v>282.261</v>
      </c>
      <c r="BS238" t="n">
        <v>631.606</v>
      </c>
      <c r="BT238" t="n">
        <v>306.248</v>
      </c>
      <c r="BU238" t="n">
        <v>186.205</v>
      </c>
      <c r="BV238" t="n">
        <v>241.095</v>
      </c>
    </row>
    <row r="239">
      <c r="A239" t="inlineStr">
        <is>
          <t>Gerres nigri</t>
        </is>
      </c>
      <c r="B239" t="inlineStr">
        <is>
          <t>Guinean striped mojarra</t>
        </is>
      </c>
      <c r="C239" t="inlineStr">
        <is>
          <t>Small benthopelagics (&lt;30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0.608</v>
      </c>
      <c r="AA239" t="n">
        <v>1.253</v>
      </c>
      <c r="AB239" t="n">
        <v>3.989</v>
      </c>
      <c r="AC239" t="n">
        <v>2.797</v>
      </c>
      <c r="AD239" t="n">
        <v>5.904</v>
      </c>
      <c r="AE239" t="n">
        <v>5.613</v>
      </c>
      <c r="AF239" t="n">
        <v>10.588</v>
      </c>
      <c r="AG239" t="n">
        <v>14.434</v>
      </c>
      <c r="AH239" t="n">
        <v>0</v>
      </c>
      <c r="AI239" t="n">
        <v>25.405</v>
      </c>
      <c r="AJ239" t="n">
        <v>43.044</v>
      </c>
      <c r="AK239" t="n">
        <v>59.935</v>
      </c>
      <c r="AL239" t="n">
        <v>33.191</v>
      </c>
      <c r="AM239" t="n">
        <v>76.383</v>
      </c>
      <c r="AN239" t="n">
        <v>58.632</v>
      </c>
      <c r="AO239" t="n">
        <v>111.143</v>
      </c>
      <c r="AP239" t="n">
        <v>129.982</v>
      </c>
      <c r="AQ239" t="n">
        <v>148.227</v>
      </c>
      <c r="AR239" t="n">
        <v>169.312</v>
      </c>
      <c r="AS239" t="n">
        <v>30.846</v>
      </c>
      <c r="AT239" t="n">
        <v>65.69</v>
      </c>
      <c r="AU239" t="n">
        <v>120.521</v>
      </c>
      <c r="AV239" t="n">
        <v>110.859</v>
      </c>
      <c r="AW239" t="n">
        <v>81.389</v>
      </c>
      <c r="AX239" t="n">
        <v>203.178</v>
      </c>
      <c r="AY239" t="n">
        <v>62.737</v>
      </c>
      <c r="AZ239" t="n">
        <v>92.30800000000001</v>
      </c>
      <c r="BA239" t="n">
        <v>46.445</v>
      </c>
      <c r="BB239" t="n">
        <v>37.556</v>
      </c>
      <c r="BC239" t="n">
        <v>57.771</v>
      </c>
      <c r="BD239" t="n">
        <v>44.114</v>
      </c>
      <c r="BE239" t="n">
        <v>52.064</v>
      </c>
      <c r="BF239" t="n">
        <v>64.81399999999999</v>
      </c>
      <c r="BG239" t="n">
        <v>11.934</v>
      </c>
      <c r="BH239" t="n">
        <v>9.597</v>
      </c>
      <c r="BI239" t="n">
        <v>11.185</v>
      </c>
      <c r="BJ239" t="n">
        <v>11.99</v>
      </c>
      <c r="BK239" t="n">
        <v>22.82</v>
      </c>
      <c r="BL239" t="n">
        <v>16.659</v>
      </c>
      <c r="BM239" t="n">
        <v>78.364</v>
      </c>
      <c r="BN239" t="n">
        <v>42.608</v>
      </c>
      <c r="BO239" t="n">
        <v>87.545</v>
      </c>
      <c r="BP239" t="n">
        <v>47.247</v>
      </c>
      <c r="BQ239" t="n">
        <v>49.446</v>
      </c>
      <c r="BR239" t="n">
        <v>99.92</v>
      </c>
      <c r="BS239" t="n">
        <v>103.637</v>
      </c>
      <c r="BT239" t="n">
        <v>107.228</v>
      </c>
      <c r="BU239" t="n">
        <v>56.611</v>
      </c>
      <c r="BV239" t="n">
        <v>113.437</v>
      </c>
    </row>
    <row r="240">
      <c r="A240" t="inlineStr">
        <is>
          <t>Rhinobatos rhinobatos</t>
        </is>
      </c>
      <c r="B240" t="inlineStr">
        <is>
          <t>Common guitarfish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56.826</v>
      </c>
      <c r="F240" t="n">
        <v>56.826</v>
      </c>
      <c r="G240" t="n">
        <v>56.826</v>
      </c>
      <c r="H240" t="n">
        <v>56.826</v>
      </c>
      <c r="I240" t="n">
        <v>56.826</v>
      </c>
      <c r="J240" t="n">
        <v>56.826</v>
      </c>
      <c r="K240" t="n">
        <v>113.652</v>
      </c>
      <c r="L240" t="n">
        <v>56.826</v>
      </c>
      <c r="M240" t="n">
        <v>56.826</v>
      </c>
      <c r="N240" t="n">
        <v>113.652</v>
      </c>
      <c r="O240" t="n">
        <v>113.652</v>
      </c>
      <c r="P240" t="n">
        <v>17.048</v>
      </c>
      <c r="Q240" t="n">
        <v>17.048</v>
      </c>
      <c r="R240" t="n">
        <v>17.048</v>
      </c>
      <c r="S240" t="n">
        <v>11.365</v>
      </c>
      <c r="T240" t="n">
        <v>11.365</v>
      </c>
      <c r="U240" t="n">
        <v>11.365</v>
      </c>
      <c r="V240" t="n">
        <v>11.365</v>
      </c>
      <c r="W240" t="n">
        <v>5.683</v>
      </c>
      <c r="X240" t="n">
        <v>5.683</v>
      </c>
      <c r="Y240" t="n">
        <v>12.047</v>
      </c>
      <c r="Z240" t="n">
        <v>7.501</v>
      </c>
      <c r="AA240" t="n">
        <v>7.331</v>
      </c>
      <c r="AB240" t="n">
        <v>8.353</v>
      </c>
      <c r="AC240" t="n">
        <v>9.49</v>
      </c>
      <c r="AD240" t="n">
        <v>9.49</v>
      </c>
      <c r="AE240" t="n">
        <v>6.365</v>
      </c>
      <c r="AF240" t="n">
        <v>11.195</v>
      </c>
      <c r="AG240" t="n">
        <v>75.92</v>
      </c>
      <c r="AH240" t="n">
        <v>37.335</v>
      </c>
      <c r="AI240" t="n">
        <v>11.252</v>
      </c>
      <c r="AJ240" t="n">
        <v>13.638</v>
      </c>
      <c r="AK240" t="n">
        <v>16.366</v>
      </c>
      <c r="AL240" t="n">
        <v>15.684</v>
      </c>
      <c r="AM240" t="n">
        <v>16.082</v>
      </c>
      <c r="AN240" t="n">
        <v>16.48</v>
      </c>
      <c r="AO240" t="n">
        <v>17.048</v>
      </c>
      <c r="AP240" t="n">
        <v>17.048</v>
      </c>
      <c r="AQ240" t="n">
        <v>17.048</v>
      </c>
      <c r="AR240" t="n">
        <v>16.934</v>
      </c>
      <c r="AS240" t="n">
        <v>15.911</v>
      </c>
      <c r="AT240" t="n">
        <v>81.943</v>
      </c>
      <c r="AU240" t="n">
        <v>80.92</v>
      </c>
      <c r="AV240" t="n">
        <v>80.011</v>
      </c>
      <c r="AW240" t="n">
        <v>79.727</v>
      </c>
      <c r="AX240" t="n">
        <v>79.613</v>
      </c>
      <c r="AY240" t="n">
        <v>79.557</v>
      </c>
      <c r="AZ240" t="n">
        <v>79.84099999999999</v>
      </c>
      <c r="BA240" t="n">
        <v>4.717</v>
      </c>
      <c r="BB240" t="n">
        <v>2.898</v>
      </c>
      <c r="BC240" t="n">
        <v>96.036</v>
      </c>
      <c r="BD240" t="n">
        <v>9.319000000000001</v>
      </c>
      <c r="BE240" t="n">
        <v>22.958</v>
      </c>
      <c r="BF240" t="n">
        <v>71.033</v>
      </c>
      <c r="BG240" t="n">
        <v>0</v>
      </c>
      <c r="BH240" t="n">
        <v>0</v>
      </c>
      <c r="BI240" t="n">
        <v>0</v>
      </c>
      <c r="BJ240" t="n">
        <v>0</v>
      </c>
      <c r="BK240" t="n">
        <v>102.117</v>
      </c>
      <c r="BL240" t="n">
        <v>100.014</v>
      </c>
      <c r="BM240" t="n">
        <v>100.014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0.493</v>
      </c>
      <c r="BT240" t="n">
        <v>6.66</v>
      </c>
      <c r="BU240" t="n">
        <v>3.848</v>
      </c>
      <c r="BV240" t="n">
        <v>187.752</v>
      </c>
    </row>
    <row r="241">
      <c r="A241" t="inlineStr">
        <is>
          <t>Carcharhinus signatus</t>
        </is>
      </c>
      <c r="B241" t="inlineStr">
        <is>
          <t>Night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450.198</v>
      </c>
      <c r="BR241" t="n">
        <v>433.092</v>
      </c>
      <c r="BS241" t="n">
        <v>331.552</v>
      </c>
      <c r="BT241" t="n">
        <v>424.004</v>
      </c>
      <c r="BU241" t="n">
        <v>385.122</v>
      </c>
      <c r="BV241" t="n">
        <v>486.432</v>
      </c>
    </row>
    <row r="242">
      <c r="A242" t="inlineStr">
        <is>
          <t>Alectis ciliaris</t>
        </is>
      </c>
      <c r="B242" t="inlineStr">
        <is>
          <t>African pompano</t>
        </is>
      </c>
      <c r="C242" t="inlineStr">
        <is>
          <t>Large 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61.995</v>
      </c>
      <c r="BF242" t="n">
        <v>0</v>
      </c>
      <c r="BG242" t="n">
        <v>0</v>
      </c>
      <c r="BH242" t="n">
        <v>76.398</v>
      </c>
      <c r="BI242" t="n">
        <v>526.071</v>
      </c>
      <c r="BJ242" t="n">
        <v>0</v>
      </c>
      <c r="BK242" t="n">
        <v>567.978</v>
      </c>
      <c r="BL242" t="n">
        <v>276.161</v>
      </c>
      <c r="BM242" t="n">
        <v>130.253</v>
      </c>
      <c r="BN242" t="n">
        <v>35.068</v>
      </c>
      <c r="BO242" t="n">
        <v>616.114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164.197</v>
      </c>
    </row>
    <row r="243">
      <c r="A243" t="inlineStr">
        <is>
          <t>Glaucostegus cemiculus</t>
        </is>
      </c>
      <c r="B243" t="inlineStr">
        <is>
          <t>Blackchin guitarfish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56.815</v>
      </c>
      <c r="F243" t="n">
        <v>56.815</v>
      </c>
      <c r="G243" t="n">
        <v>56.815</v>
      </c>
      <c r="H243" t="n">
        <v>56.815</v>
      </c>
      <c r="I243" t="n">
        <v>56.815</v>
      </c>
      <c r="J243" t="n">
        <v>56.815</v>
      </c>
      <c r="K243" t="n">
        <v>113.63</v>
      </c>
      <c r="L243" t="n">
        <v>56.815</v>
      </c>
      <c r="M243" t="n">
        <v>56.815</v>
      </c>
      <c r="N243" t="n">
        <v>113.63</v>
      </c>
      <c r="O243" t="n">
        <v>113.63</v>
      </c>
      <c r="P243" t="n">
        <v>17.044</v>
      </c>
      <c r="Q243" t="n">
        <v>17.044</v>
      </c>
      <c r="R243" t="n">
        <v>17.044</v>
      </c>
      <c r="S243" t="n">
        <v>11.363</v>
      </c>
      <c r="T243" t="n">
        <v>11.363</v>
      </c>
      <c r="U243" t="n">
        <v>11.363</v>
      </c>
      <c r="V243" t="n">
        <v>11.363</v>
      </c>
      <c r="W243" t="n">
        <v>5.681</v>
      </c>
      <c r="X243" t="n">
        <v>5.681</v>
      </c>
      <c r="Y243" t="n">
        <v>12.045</v>
      </c>
      <c r="Z243" t="n">
        <v>7.5</v>
      </c>
      <c r="AA243" t="n">
        <v>7.329</v>
      </c>
      <c r="AB243" t="n">
        <v>8.352</v>
      </c>
      <c r="AC243" t="n">
        <v>10.179</v>
      </c>
      <c r="AD243" t="n">
        <v>11.965</v>
      </c>
      <c r="AE243" t="n">
        <v>6.363</v>
      </c>
      <c r="AF243" t="n">
        <v>11.193</v>
      </c>
      <c r="AG243" t="n">
        <v>76.801</v>
      </c>
      <c r="AH243" t="n">
        <v>38.466</v>
      </c>
      <c r="AI243" t="n">
        <v>12.429</v>
      </c>
      <c r="AJ243" t="n">
        <v>15.182</v>
      </c>
      <c r="AK243" t="n">
        <v>17.964</v>
      </c>
      <c r="AL243" t="n">
        <v>17.223</v>
      </c>
      <c r="AM243" t="n">
        <v>17.687</v>
      </c>
      <c r="AN243" t="n">
        <v>18.117</v>
      </c>
      <c r="AO243" t="n">
        <v>18.671</v>
      </c>
      <c r="AP243" t="n">
        <v>18.534</v>
      </c>
      <c r="AQ243" t="n">
        <v>18.744</v>
      </c>
      <c r="AR243" t="n">
        <v>18.872</v>
      </c>
      <c r="AS243" t="n">
        <v>17.897</v>
      </c>
      <c r="AT243" t="n">
        <v>84.173</v>
      </c>
      <c r="AU243" t="n">
        <v>82.819</v>
      </c>
      <c r="AV243" t="n">
        <v>82.01300000000001</v>
      </c>
      <c r="AW243" t="n">
        <v>81.834</v>
      </c>
      <c r="AX243" t="n">
        <v>81.92700000000001</v>
      </c>
      <c r="AY243" t="n">
        <v>81.48</v>
      </c>
      <c r="AZ243" t="n">
        <v>81.804</v>
      </c>
      <c r="BA243" t="n">
        <v>8.794</v>
      </c>
      <c r="BB243" t="n">
        <v>10.004</v>
      </c>
      <c r="BC243" t="n">
        <v>106.983</v>
      </c>
      <c r="BD243" t="n">
        <v>20.868</v>
      </c>
      <c r="BE243" t="n">
        <v>36.284</v>
      </c>
      <c r="BF243" t="n">
        <v>71.01900000000001</v>
      </c>
      <c r="BG243" t="n">
        <v>0</v>
      </c>
      <c r="BH243" t="n">
        <v>0</v>
      </c>
      <c r="BI243" t="n">
        <v>0</v>
      </c>
      <c r="BJ243" t="n">
        <v>0</v>
      </c>
      <c r="BK243" t="n">
        <v>102.096</v>
      </c>
      <c r="BL243" t="n">
        <v>99.994</v>
      </c>
      <c r="BM243" t="n">
        <v>99.994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Bothidae</t>
        </is>
      </c>
      <c r="B244" t="inlineStr">
        <is>
          <t>Lefteye flounders</t>
        </is>
      </c>
      <c r="C244" t="inlineStr">
        <is>
          <t>Small to medium flatfishes (&lt;90 cm)</t>
        </is>
      </c>
      <c r="D244" t="inlineStr">
        <is>
          <t>Flatfishes</t>
        </is>
      </c>
      <c r="E244" t="n">
        <v>0.271</v>
      </c>
      <c r="F244" t="n">
        <v>0.275</v>
      </c>
      <c r="G244" t="n">
        <v>0.279</v>
      </c>
      <c r="H244" t="n">
        <v>0.292</v>
      </c>
      <c r="I244" t="n">
        <v>0.304</v>
      </c>
      <c r="J244" t="n">
        <v>0.317</v>
      </c>
      <c r="K244" t="n">
        <v>0.33</v>
      </c>
      <c r="L244" t="n">
        <v>0.343</v>
      </c>
      <c r="M244" t="n">
        <v>1.293</v>
      </c>
      <c r="N244" t="n">
        <v>1.971</v>
      </c>
      <c r="O244" t="n">
        <v>2.908</v>
      </c>
      <c r="P244" t="n">
        <v>3.837</v>
      </c>
      <c r="Q244" t="n">
        <v>4.76</v>
      </c>
      <c r="R244" t="n">
        <v>4.611</v>
      </c>
      <c r="S244" t="n">
        <v>4.728</v>
      </c>
      <c r="T244" t="n">
        <v>4.613</v>
      </c>
      <c r="U244" t="n">
        <v>4.53</v>
      </c>
      <c r="V244" t="n">
        <v>4.479</v>
      </c>
      <c r="W244" t="n">
        <v>4.571</v>
      </c>
      <c r="X244" t="n">
        <v>7.734</v>
      </c>
      <c r="Y244" t="n">
        <v>8.157999999999999</v>
      </c>
      <c r="Z244" t="n">
        <v>8.526999999999999</v>
      </c>
      <c r="AA244" t="n">
        <v>8.781000000000001</v>
      </c>
      <c r="AB244" t="n">
        <v>8.923</v>
      </c>
      <c r="AC244" t="n">
        <v>6.009</v>
      </c>
      <c r="AD244" t="n">
        <v>5.779</v>
      </c>
      <c r="AE244" t="n">
        <v>6.48</v>
      </c>
      <c r="AF244" t="n">
        <v>8.862</v>
      </c>
      <c r="AG244" t="n">
        <v>9.368</v>
      </c>
      <c r="AH244" t="n">
        <v>9.664</v>
      </c>
      <c r="AI244" t="n">
        <v>10.742</v>
      </c>
      <c r="AJ244" t="n">
        <v>11.568</v>
      </c>
      <c r="AK244" t="n">
        <v>23.033</v>
      </c>
      <c r="AL244" t="n">
        <v>14.284</v>
      </c>
      <c r="AM244" t="n">
        <v>21.373</v>
      </c>
      <c r="AN244" t="n">
        <v>46.916</v>
      </c>
      <c r="AO244" t="n">
        <v>76.794</v>
      </c>
      <c r="AP244" t="n">
        <v>108.915</v>
      </c>
      <c r="AQ244" t="n">
        <v>84.726</v>
      </c>
      <c r="AR244" t="n">
        <v>124.677</v>
      </c>
      <c r="AS244" t="n">
        <v>114.089</v>
      </c>
      <c r="AT244" t="n">
        <v>48.313</v>
      </c>
      <c r="AU244" t="n">
        <v>40.361</v>
      </c>
      <c r="AV244" t="n">
        <v>23.584</v>
      </c>
      <c r="AW244" t="n">
        <v>26.817</v>
      </c>
      <c r="AX244" t="n">
        <v>72.703</v>
      </c>
      <c r="AY244" t="n">
        <v>39.689</v>
      </c>
      <c r="AZ244" t="n">
        <v>25.37</v>
      </c>
      <c r="BA244" t="n">
        <v>24.24</v>
      </c>
      <c r="BB244" t="n">
        <v>24.351</v>
      </c>
      <c r="BC244" t="n">
        <v>36.76</v>
      </c>
      <c r="BD244" t="n">
        <v>33.171</v>
      </c>
      <c r="BE244" t="n">
        <v>32.151</v>
      </c>
      <c r="BF244" t="n">
        <v>37.069</v>
      </c>
      <c r="BG244" t="n">
        <v>30.146</v>
      </c>
      <c r="BH244" t="n">
        <v>29.16</v>
      </c>
      <c r="BI244" t="n">
        <v>24.986</v>
      </c>
      <c r="BJ244" t="n">
        <v>24.636</v>
      </c>
      <c r="BK244" t="n">
        <v>33.883</v>
      </c>
      <c r="BL244" t="n">
        <v>15.731</v>
      </c>
      <c r="BM244" t="n">
        <v>55.095</v>
      </c>
      <c r="BN244" t="n">
        <v>28.714</v>
      </c>
      <c r="BO244" t="n">
        <v>29.676</v>
      </c>
      <c r="BP244" t="n">
        <v>108.016</v>
      </c>
      <c r="BQ244" t="n">
        <v>90.248</v>
      </c>
      <c r="BR244" t="n">
        <v>101.608</v>
      </c>
      <c r="BS244" t="n">
        <v>116.694</v>
      </c>
      <c r="BT244" t="n">
        <v>102.217</v>
      </c>
      <c r="BU244" t="n">
        <v>36.041</v>
      </c>
      <c r="BV244" t="n">
        <v>47.215</v>
      </c>
    </row>
    <row r="245">
      <c r="A245" t="inlineStr">
        <is>
          <t>Triakidae</t>
        </is>
      </c>
      <c r="B245" t="inlineStr">
        <is>
          <t>Houndsharks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76.134</v>
      </c>
      <c r="AL245" t="n">
        <v>62.25</v>
      </c>
      <c r="AM245" t="n">
        <v>63.462</v>
      </c>
      <c r="AN245" t="n">
        <v>71.498</v>
      </c>
      <c r="AO245" t="n">
        <v>118.113</v>
      </c>
      <c r="AP245" t="n">
        <v>106.904</v>
      </c>
      <c r="AQ245" t="n">
        <v>141.756</v>
      </c>
      <c r="AR245" t="n">
        <v>76.752</v>
      </c>
      <c r="AS245" t="n">
        <v>108.861</v>
      </c>
      <c r="AT245" t="n">
        <v>114.365</v>
      </c>
      <c r="AU245" t="n">
        <v>161.402</v>
      </c>
      <c r="AV245" t="n">
        <v>101.968</v>
      </c>
      <c r="AW245" t="n">
        <v>83.83</v>
      </c>
      <c r="AX245" t="n">
        <v>129.014</v>
      </c>
      <c r="AY245" t="n">
        <v>240.493</v>
      </c>
      <c r="AZ245" t="n">
        <v>36.222</v>
      </c>
      <c r="BA245" t="n">
        <v>42.154</v>
      </c>
      <c r="BB245" t="n">
        <v>20.034</v>
      </c>
      <c r="BC245" t="n">
        <v>29.794</v>
      </c>
      <c r="BD245" t="n">
        <v>16.897</v>
      </c>
      <c r="BE245" t="n">
        <v>25.918</v>
      </c>
      <c r="BF245" t="n">
        <v>20.185</v>
      </c>
      <c r="BG245" t="n">
        <v>17.417</v>
      </c>
      <c r="BH245" t="n">
        <v>10.249</v>
      </c>
      <c r="BI245" t="n">
        <v>13.278</v>
      </c>
      <c r="BJ245" t="n">
        <v>35.707</v>
      </c>
      <c r="BK245" t="n">
        <v>19.67</v>
      </c>
      <c r="BL245" t="n">
        <v>16.39</v>
      </c>
      <c r="BM245" t="n">
        <v>8.334</v>
      </c>
      <c r="BN245" t="n">
        <v>4.262</v>
      </c>
      <c r="BO245" t="n">
        <v>0.385</v>
      </c>
      <c r="BP245" t="n">
        <v>0.185</v>
      </c>
      <c r="BQ245" t="n">
        <v>0.484</v>
      </c>
      <c r="BR245" t="n">
        <v>3.603</v>
      </c>
      <c r="BS245" t="n">
        <v>35.464</v>
      </c>
      <c r="BT245" t="n">
        <v>3.496</v>
      </c>
      <c r="BU245" t="n">
        <v>1.997</v>
      </c>
      <c r="BV245" t="n">
        <v>3.136</v>
      </c>
    </row>
    <row r="246">
      <c r="A246" t="inlineStr">
        <is>
          <t>Rostroraja alba</t>
        </is>
      </c>
      <c r="B246" t="inlineStr">
        <is>
          <t>White skate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0.51</v>
      </c>
      <c r="F246" t="n">
        <v>0.517</v>
      </c>
      <c r="G246" t="n">
        <v>0.524</v>
      </c>
      <c r="H246" t="n">
        <v>0.547</v>
      </c>
      <c r="I246" t="n">
        <v>0.571</v>
      </c>
      <c r="J246" t="n">
        <v>0.595</v>
      </c>
      <c r="K246" t="n">
        <v>0.62</v>
      </c>
      <c r="L246" t="n">
        <v>0.644</v>
      </c>
      <c r="M246" t="n">
        <v>2.428</v>
      </c>
      <c r="N246" t="n">
        <v>3.701</v>
      </c>
      <c r="O246" t="n">
        <v>5.459</v>
      </c>
      <c r="P246" t="n">
        <v>7.205</v>
      </c>
      <c r="Q246" t="n">
        <v>8.938000000000001</v>
      </c>
      <c r="R246" t="n">
        <v>8.657</v>
      </c>
      <c r="S246" t="n">
        <v>8.877000000000001</v>
      </c>
      <c r="T246" t="n">
        <v>8.661</v>
      </c>
      <c r="U246" t="n">
        <v>8.505000000000001</v>
      </c>
      <c r="V246" t="n">
        <v>8.409000000000001</v>
      </c>
      <c r="W246" t="n">
        <v>8.583</v>
      </c>
      <c r="X246" t="n">
        <v>14.52</v>
      </c>
      <c r="Y246" t="n">
        <v>15.317</v>
      </c>
      <c r="Z246" t="n">
        <v>16.01</v>
      </c>
      <c r="AA246" t="n">
        <v>16.487</v>
      </c>
      <c r="AB246" t="n">
        <v>16.754</v>
      </c>
      <c r="AC246" t="n">
        <v>11.282</v>
      </c>
      <c r="AD246" t="n">
        <v>10.851</v>
      </c>
      <c r="AE246" t="n">
        <v>12.166</v>
      </c>
      <c r="AF246" t="n">
        <v>16.639</v>
      </c>
      <c r="AG246" t="n">
        <v>17.588</v>
      </c>
      <c r="AH246" t="n">
        <v>18.144</v>
      </c>
      <c r="AI246" t="n">
        <v>20.168</v>
      </c>
      <c r="AJ246" t="n">
        <v>21.72</v>
      </c>
      <c r="AK246" t="n">
        <v>20.411</v>
      </c>
      <c r="AL246" t="n">
        <v>20.293</v>
      </c>
      <c r="AM246" t="n">
        <v>24.867</v>
      </c>
      <c r="AN246" t="n">
        <v>26.925</v>
      </c>
      <c r="AO246" t="n">
        <v>30.889</v>
      </c>
      <c r="AP246" t="n">
        <v>34.312</v>
      </c>
      <c r="AQ246" t="n">
        <v>39.86</v>
      </c>
      <c r="AR246" t="n">
        <v>40.405</v>
      </c>
      <c r="AS246" t="n">
        <v>43.155</v>
      </c>
      <c r="AT246" t="n">
        <v>42.804</v>
      </c>
      <c r="AU246" t="n">
        <v>42.477</v>
      </c>
      <c r="AV246" t="n">
        <v>42.424</v>
      </c>
      <c r="AW246" t="n">
        <v>42.639</v>
      </c>
      <c r="AX246" t="n">
        <v>43.116</v>
      </c>
      <c r="AY246" t="n">
        <v>43.852</v>
      </c>
      <c r="AZ246" t="n">
        <v>44.58</v>
      </c>
      <c r="BA246" t="n">
        <v>45.048</v>
      </c>
      <c r="BB246" t="n">
        <v>45.255</v>
      </c>
      <c r="BC246" t="n">
        <v>45.202</v>
      </c>
      <c r="BD246" t="n">
        <v>44.888</v>
      </c>
      <c r="BE246" t="n">
        <v>44.954</v>
      </c>
      <c r="BF246" t="n">
        <v>45.4</v>
      </c>
      <c r="BG246" t="n">
        <v>46.583</v>
      </c>
      <c r="BH246" t="n">
        <v>47.789</v>
      </c>
      <c r="BI246" t="n">
        <v>46.911</v>
      </c>
      <c r="BJ246" t="n">
        <v>46.254</v>
      </c>
      <c r="BK246" t="n">
        <v>45.57</v>
      </c>
      <c r="BL246" t="n">
        <v>14.4</v>
      </c>
      <c r="BM246" t="n">
        <v>52.977</v>
      </c>
      <c r="BN246" t="n">
        <v>53.91</v>
      </c>
      <c r="BO246" t="n">
        <v>55.554</v>
      </c>
      <c r="BP246" t="n">
        <v>56.788</v>
      </c>
      <c r="BQ246" t="n">
        <v>58.833</v>
      </c>
      <c r="BR246" t="n">
        <v>60.871</v>
      </c>
      <c r="BS246" t="n">
        <v>63.113</v>
      </c>
      <c r="BT246" t="n">
        <v>65.527</v>
      </c>
      <c r="BU246" t="n">
        <v>67.66800000000001</v>
      </c>
      <c r="BV246" t="n">
        <v>69.968</v>
      </c>
    </row>
    <row r="247">
      <c r="A247" t="inlineStr">
        <is>
          <t>Tylosurus crocodilus</t>
        </is>
      </c>
      <c r="B247" t="inlineStr">
        <is>
          <t>Hound needlefish</t>
        </is>
      </c>
      <c r="C247" t="inlineStr">
        <is>
          <t>Large pelagics (&gt;=90 cm)</t>
        </is>
      </c>
      <c r="D247" t="inlineStr">
        <is>
          <t>Other fishes &amp; inverts</t>
        </is>
      </c>
      <c r="E247" t="n">
        <v>24.681</v>
      </c>
      <c r="F247" t="n">
        <v>25.514</v>
      </c>
      <c r="G247" t="n">
        <v>26.325</v>
      </c>
      <c r="H247" t="n">
        <v>27.252</v>
      </c>
      <c r="I247" t="n">
        <v>28.083</v>
      </c>
      <c r="J247" t="n">
        <v>28.817</v>
      </c>
      <c r="K247" t="n">
        <v>29.671</v>
      </c>
      <c r="L247" t="n">
        <v>30.109</v>
      </c>
      <c r="M247" t="n">
        <v>31.521</v>
      </c>
      <c r="N247" t="n">
        <v>32.391</v>
      </c>
      <c r="O247" t="n">
        <v>33.149</v>
      </c>
      <c r="P247" t="n">
        <v>33.627</v>
      </c>
      <c r="Q247" t="n">
        <v>34.537</v>
      </c>
      <c r="R247" t="n">
        <v>30.707</v>
      </c>
      <c r="S247" t="n">
        <v>26.552</v>
      </c>
      <c r="T247" t="n">
        <v>22.303</v>
      </c>
      <c r="U247" t="n">
        <v>17.826</v>
      </c>
      <c r="V247" t="n">
        <v>27.767</v>
      </c>
      <c r="W247" t="n">
        <v>26.069</v>
      </c>
      <c r="X247" t="n">
        <v>28.53</v>
      </c>
      <c r="Y247" t="n">
        <v>16.113</v>
      </c>
      <c r="Z247" t="n">
        <v>37.866</v>
      </c>
      <c r="AA247" t="n">
        <v>39.186</v>
      </c>
      <c r="AB247" t="n">
        <v>38.561</v>
      </c>
      <c r="AC247" t="n">
        <v>37.958</v>
      </c>
      <c r="AD247" t="n">
        <v>39.197</v>
      </c>
      <c r="AE247" t="n">
        <v>13.944</v>
      </c>
      <c r="AF247" t="n">
        <v>30.135</v>
      </c>
      <c r="AG247" t="n">
        <v>28.96</v>
      </c>
      <c r="AH247" t="n">
        <v>51.612</v>
      </c>
      <c r="AI247" t="n">
        <v>48.455</v>
      </c>
      <c r="AJ247" t="n">
        <v>46.953</v>
      </c>
      <c r="AK247" t="n">
        <v>39.457</v>
      </c>
      <c r="AL247" t="n">
        <v>41.887</v>
      </c>
      <c r="AM247" t="n">
        <v>36.736</v>
      </c>
      <c r="AN247" t="n">
        <v>34.415</v>
      </c>
      <c r="AO247" t="n">
        <v>35.298</v>
      </c>
      <c r="AP247" t="n">
        <v>33.813</v>
      </c>
      <c r="AQ247" t="n">
        <v>32.479</v>
      </c>
      <c r="AR247" t="n">
        <v>31.691</v>
      </c>
      <c r="AS247" t="n">
        <v>32.289</v>
      </c>
      <c r="AT247" t="n">
        <v>35.435</v>
      </c>
      <c r="AU247" t="n">
        <v>37.746</v>
      </c>
      <c r="AV247" t="n">
        <v>28.595</v>
      </c>
      <c r="AW247" t="n">
        <v>29.566</v>
      </c>
      <c r="AX247" t="n">
        <v>27.986</v>
      </c>
      <c r="AY247" t="n">
        <v>22.589</v>
      </c>
      <c r="AZ247" t="n">
        <v>24.176</v>
      </c>
      <c r="BA247" t="n">
        <v>20.625</v>
      </c>
      <c r="BB247" t="n">
        <v>14.257</v>
      </c>
      <c r="BC247" t="n">
        <v>14.373</v>
      </c>
      <c r="BD247" t="n">
        <v>12.067</v>
      </c>
      <c r="BE247" t="n">
        <v>13.485</v>
      </c>
      <c r="BF247" t="n">
        <v>3</v>
      </c>
      <c r="BG247" t="n">
        <v>1.809</v>
      </c>
      <c r="BH247" t="n">
        <v>0.325</v>
      </c>
      <c r="BI247" t="n">
        <v>3.818</v>
      </c>
      <c r="BJ247" t="n">
        <v>12.049</v>
      </c>
      <c r="BK247" t="n">
        <v>4.155</v>
      </c>
      <c r="BL247" t="n">
        <v>0.301</v>
      </c>
      <c r="BM247" t="n">
        <v>0.489</v>
      </c>
      <c r="BN247" t="n">
        <v>5.325</v>
      </c>
      <c r="BO247" t="n">
        <v>0.662</v>
      </c>
      <c r="BP247" t="n">
        <v>0.923</v>
      </c>
      <c r="BQ247" t="n">
        <v>1.155</v>
      </c>
      <c r="BR247" t="n">
        <v>0.865</v>
      </c>
      <c r="BS247" t="n">
        <v>1.214</v>
      </c>
      <c r="BT247" t="n">
        <v>2.293</v>
      </c>
      <c r="BU247" t="n">
        <v>0.782</v>
      </c>
      <c r="BV247" t="n">
        <v>0.78</v>
      </c>
    </row>
    <row r="248">
      <c r="A248" t="inlineStr">
        <is>
          <t>Uraspis secunda</t>
        </is>
      </c>
      <c r="B248" t="inlineStr">
        <is>
          <t>Cottonmouth jack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19.249</v>
      </c>
      <c r="F248" t="n">
        <v>19.37</v>
      </c>
      <c r="G248" t="n">
        <v>19.493</v>
      </c>
      <c r="H248" t="n">
        <v>19.617</v>
      </c>
      <c r="I248" t="n">
        <v>19.744</v>
      </c>
      <c r="J248" t="n">
        <v>19.873</v>
      </c>
      <c r="K248" t="n">
        <v>20.004</v>
      </c>
      <c r="L248" t="n">
        <v>20.136</v>
      </c>
      <c r="M248" t="n">
        <v>20.419</v>
      </c>
      <c r="N248" t="n">
        <v>20.703</v>
      </c>
      <c r="O248" t="n">
        <v>20.989</v>
      </c>
      <c r="P248" t="n">
        <v>21.711</v>
      </c>
      <c r="Q248" t="n">
        <v>23.197</v>
      </c>
      <c r="R248" t="n">
        <v>21.937</v>
      </c>
      <c r="S248" t="n">
        <v>20.992</v>
      </c>
      <c r="T248" t="n">
        <v>22.22</v>
      </c>
      <c r="U248" t="n">
        <v>21.242</v>
      </c>
      <c r="V248" t="n">
        <v>21.417</v>
      </c>
      <c r="W248" t="n">
        <v>22.518</v>
      </c>
      <c r="X248" t="n">
        <v>23.8</v>
      </c>
      <c r="Y248" t="n">
        <v>25.08</v>
      </c>
      <c r="Z248" t="n">
        <v>26.606</v>
      </c>
      <c r="AA248" t="n">
        <v>28.137</v>
      </c>
      <c r="AB248" t="n">
        <v>29.676</v>
      </c>
      <c r="AC248" t="n">
        <v>31.221</v>
      </c>
      <c r="AD248" t="n">
        <v>31.204</v>
      </c>
      <c r="AE248" t="n">
        <v>31.778</v>
      </c>
      <c r="AF248" t="n">
        <v>32.632</v>
      </c>
      <c r="AG248" t="n">
        <v>32.985</v>
      </c>
      <c r="AH248" t="n">
        <v>36.945</v>
      </c>
      <c r="AI248" t="n">
        <v>38.985</v>
      </c>
      <c r="AJ248" t="n">
        <v>32.071</v>
      </c>
      <c r="AK248" t="n">
        <v>30.943</v>
      </c>
      <c r="AL248" t="n">
        <v>37.07</v>
      </c>
      <c r="AM248" t="n">
        <v>35.645</v>
      </c>
      <c r="AN248" t="n">
        <v>28.96</v>
      </c>
      <c r="AO248" t="n">
        <v>29.397</v>
      </c>
      <c r="AP248" t="n">
        <v>29.341</v>
      </c>
      <c r="AQ248" t="n">
        <v>26.591</v>
      </c>
      <c r="AR248" t="n">
        <v>25.976</v>
      </c>
      <c r="AS248" t="n">
        <v>25.456</v>
      </c>
      <c r="AT248" t="n">
        <v>28.013</v>
      </c>
      <c r="AU248" t="n">
        <v>28.425</v>
      </c>
      <c r="AV248" t="n">
        <v>26.947</v>
      </c>
      <c r="AW248" t="n">
        <v>22.803</v>
      </c>
      <c r="AX248" t="n">
        <v>20.171</v>
      </c>
      <c r="AY248" t="n">
        <v>22.088</v>
      </c>
      <c r="AZ248" t="n">
        <v>18.055</v>
      </c>
      <c r="BA248" t="n">
        <v>17.985</v>
      </c>
      <c r="BB248" t="n">
        <v>17.933</v>
      </c>
      <c r="BC248" t="n">
        <v>18.365</v>
      </c>
      <c r="BD248" t="n">
        <v>16.495</v>
      </c>
      <c r="BE248" t="n">
        <v>18.417</v>
      </c>
      <c r="BF248" t="n">
        <v>13.641</v>
      </c>
      <c r="BG248" t="n">
        <v>17.025</v>
      </c>
      <c r="BH248" t="n">
        <v>23.863</v>
      </c>
      <c r="BI248" t="n">
        <v>26.994</v>
      </c>
      <c r="BJ248" t="n">
        <v>23.64</v>
      </c>
      <c r="BK248" t="n">
        <v>26.347</v>
      </c>
      <c r="BL248" t="n">
        <v>26.024</v>
      </c>
      <c r="BM248" t="n">
        <v>24.924</v>
      </c>
      <c r="BN248" t="n">
        <v>15.846</v>
      </c>
      <c r="BO248" t="n">
        <v>14.33</v>
      </c>
      <c r="BP248" t="n">
        <v>15.516</v>
      </c>
      <c r="BQ248" t="n">
        <v>16.588</v>
      </c>
      <c r="BR248" t="n">
        <v>7.549</v>
      </c>
      <c r="BS248" t="n">
        <v>16.252</v>
      </c>
      <c r="BT248" t="n">
        <v>10.748</v>
      </c>
      <c r="BU248" t="n">
        <v>8.885999999999999</v>
      </c>
      <c r="BV248" t="n">
        <v>5.47</v>
      </c>
    </row>
    <row r="249">
      <c r="A249" t="inlineStr">
        <is>
          <t>Polyprion americanus</t>
        </is>
      </c>
      <c r="B249" t="inlineStr">
        <is>
          <t>Wreckfish</t>
        </is>
      </c>
      <c r="C249" t="inlineStr">
        <is>
          <t>Large bathydemersals (&gt;=90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13.972</v>
      </c>
      <c r="P249" t="n">
        <v>15.752</v>
      </c>
      <c r="Q249" t="n">
        <v>23.487</v>
      </c>
      <c r="R249" t="n">
        <v>0.015</v>
      </c>
      <c r="S249" t="n">
        <v>12.702</v>
      </c>
      <c r="T249" t="n">
        <v>0.015</v>
      </c>
      <c r="U249" t="n">
        <v>0.016</v>
      </c>
      <c r="V249" t="n">
        <v>0</v>
      </c>
      <c r="W249" t="n">
        <v>0.014</v>
      </c>
      <c r="X249" t="n">
        <v>6.083</v>
      </c>
      <c r="Y249" t="n">
        <v>11.394</v>
      </c>
      <c r="Z249" t="n">
        <v>10.952</v>
      </c>
      <c r="AA249" t="n">
        <v>0.013</v>
      </c>
      <c r="AB249" t="n">
        <v>9.438000000000001</v>
      </c>
      <c r="AC249" t="n">
        <v>6.597</v>
      </c>
      <c r="AD249" t="n">
        <v>6.898</v>
      </c>
      <c r="AE249" t="n">
        <v>8.510999999999999</v>
      </c>
      <c r="AF249" t="n">
        <v>4.808</v>
      </c>
      <c r="AG249" t="n">
        <v>5.842</v>
      </c>
      <c r="AH249" t="n">
        <v>14.352</v>
      </c>
      <c r="AI249" t="n">
        <v>30.635</v>
      </c>
      <c r="AJ249" t="n">
        <v>83.553</v>
      </c>
      <c r="AK249" t="n">
        <v>97.10599999999999</v>
      </c>
      <c r="AL249" t="n">
        <v>93.77</v>
      </c>
      <c r="AM249" t="n">
        <v>27.861</v>
      </c>
      <c r="AN249" t="n">
        <v>37.022</v>
      </c>
      <c r="AO249" t="n">
        <v>62.593</v>
      </c>
      <c r="AP249" t="n">
        <v>17.579</v>
      </c>
      <c r="AQ249" t="n">
        <v>25.215</v>
      </c>
      <c r="AR249" t="n">
        <v>16.361</v>
      </c>
      <c r="AS249" t="n">
        <v>31.322</v>
      </c>
      <c r="AT249" t="n">
        <v>49.745</v>
      </c>
      <c r="AU249" t="n">
        <v>42.329</v>
      </c>
      <c r="AV249" t="n">
        <v>81.48</v>
      </c>
      <c r="AW249" t="n">
        <v>100.227</v>
      </c>
      <c r="AX249" t="n">
        <v>37.48</v>
      </c>
      <c r="AY249" t="n">
        <v>114.89</v>
      </c>
      <c r="AZ249" t="n">
        <v>38.214</v>
      </c>
      <c r="BA249" t="n">
        <v>31.127</v>
      </c>
      <c r="BB249" t="n">
        <v>21.206</v>
      </c>
      <c r="BC249" t="n">
        <v>1.939</v>
      </c>
      <c r="BD249" t="n">
        <v>5.594</v>
      </c>
      <c r="BE249" t="n">
        <v>4.828</v>
      </c>
      <c r="BF249" t="n">
        <v>15.128</v>
      </c>
      <c r="BG249" t="n">
        <v>19.059</v>
      </c>
      <c r="BH249" t="n">
        <v>19.016</v>
      </c>
      <c r="BI249" t="n">
        <v>25.692</v>
      </c>
      <c r="BJ249" t="n">
        <v>94.56</v>
      </c>
      <c r="BK249" t="n">
        <v>44.022</v>
      </c>
      <c r="BL249" t="n">
        <v>36.036</v>
      </c>
      <c r="BM249" t="n">
        <v>16.596</v>
      </c>
      <c r="BN249" t="n">
        <v>10.465</v>
      </c>
      <c r="BO249" t="n">
        <v>7.484</v>
      </c>
      <c r="BP249" t="n">
        <v>8.403</v>
      </c>
      <c r="BQ249" t="n">
        <v>6.305</v>
      </c>
      <c r="BR249" t="n">
        <v>5.4</v>
      </c>
      <c r="BS249" t="n">
        <v>6.416</v>
      </c>
      <c r="BT249" t="n">
        <v>4.086</v>
      </c>
      <c r="BU249" t="n">
        <v>5.386</v>
      </c>
      <c r="BV249" t="n">
        <v>3.283</v>
      </c>
    </row>
    <row r="250">
      <c r="A250" t="inlineStr">
        <is>
          <t>Bathysaurus ferox</t>
        </is>
      </c>
      <c r="B250" t="inlineStr">
        <is>
          <t>Deep-sea lizardfish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n">
        <v>0.388</v>
      </c>
      <c r="F250" t="n">
        <v>0.394</v>
      </c>
      <c r="G250" t="n">
        <v>0.399</v>
      </c>
      <c r="H250" t="n">
        <v>0.417</v>
      </c>
      <c r="I250" t="n">
        <v>0.435</v>
      </c>
      <c r="J250" t="n">
        <v>0.454</v>
      </c>
      <c r="K250" t="n">
        <v>0.472</v>
      </c>
      <c r="L250" t="n">
        <v>0.491</v>
      </c>
      <c r="M250" t="n">
        <v>1.851</v>
      </c>
      <c r="N250" t="n">
        <v>2.821</v>
      </c>
      <c r="O250" t="n">
        <v>4.162</v>
      </c>
      <c r="P250" t="n">
        <v>5.492</v>
      </c>
      <c r="Q250" t="n">
        <v>6.813</v>
      </c>
      <c r="R250" t="n">
        <v>6.6</v>
      </c>
      <c r="S250" t="n">
        <v>6.768</v>
      </c>
      <c r="T250" t="n">
        <v>6.602</v>
      </c>
      <c r="U250" t="n">
        <v>6.484</v>
      </c>
      <c r="V250" t="n">
        <v>6.411</v>
      </c>
      <c r="W250" t="n">
        <v>6.543</v>
      </c>
      <c r="X250" t="n">
        <v>11.069</v>
      </c>
      <c r="Y250" t="n">
        <v>11.677</v>
      </c>
      <c r="Z250" t="n">
        <v>12.205</v>
      </c>
      <c r="AA250" t="n">
        <v>12.569</v>
      </c>
      <c r="AB250" t="n">
        <v>12.772</v>
      </c>
      <c r="AC250" t="n">
        <v>8.6</v>
      </c>
      <c r="AD250" t="n">
        <v>8.272</v>
      </c>
      <c r="AE250" t="n">
        <v>9.275</v>
      </c>
      <c r="AF250" t="n">
        <v>12.684</v>
      </c>
      <c r="AG250" t="n">
        <v>13.408</v>
      </c>
      <c r="AH250" t="n">
        <v>13.832</v>
      </c>
      <c r="AI250" t="n">
        <v>15.375</v>
      </c>
      <c r="AJ250" t="n">
        <v>16.558</v>
      </c>
      <c r="AK250" t="n">
        <v>15.56</v>
      </c>
      <c r="AL250" t="n">
        <v>15.47</v>
      </c>
      <c r="AM250" t="n">
        <v>18.957</v>
      </c>
      <c r="AN250" t="n">
        <v>20.526</v>
      </c>
      <c r="AO250" t="n">
        <v>23.548</v>
      </c>
      <c r="AP250" t="n">
        <v>26.157</v>
      </c>
      <c r="AQ250" t="n">
        <v>30.387</v>
      </c>
      <c r="AR250" t="n">
        <v>30.802</v>
      </c>
      <c r="AS250" t="n">
        <v>32.899</v>
      </c>
      <c r="AT250" t="n">
        <v>32.631</v>
      </c>
      <c r="AU250" t="n">
        <v>32.382</v>
      </c>
      <c r="AV250" t="n">
        <v>32.342</v>
      </c>
      <c r="AW250" t="n">
        <v>32.505</v>
      </c>
      <c r="AX250" t="n">
        <v>32.869</v>
      </c>
      <c r="AY250" t="n">
        <v>33.43</v>
      </c>
      <c r="AZ250" t="n">
        <v>33.985</v>
      </c>
      <c r="BA250" t="n">
        <v>34.342</v>
      </c>
      <c r="BB250" t="n">
        <v>34.5</v>
      </c>
      <c r="BC250" t="n">
        <v>34.459</v>
      </c>
      <c r="BD250" t="n">
        <v>34.22</v>
      </c>
      <c r="BE250" t="n">
        <v>34.27</v>
      </c>
      <c r="BF250" t="n">
        <v>34.61</v>
      </c>
      <c r="BG250" t="n">
        <v>35.512</v>
      </c>
      <c r="BH250" t="n">
        <v>36.432</v>
      </c>
      <c r="BI250" t="n">
        <v>35.762</v>
      </c>
      <c r="BJ250" t="n">
        <v>35.262</v>
      </c>
      <c r="BK250" t="n">
        <v>34.74</v>
      </c>
      <c r="BL250" t="n">
        <v>10.978</v>
      </c>
      <c r="BM250" t="n">
        <v>40.387</v>
      </c>
      <c r="BN250" t="n">
        <v>41.098</v>
      </c>
      <c r="BO250" t="n">
        <v>42.351</v>
      </c>
      <c r="BP250" t="n">
        <v>43.292</v>
      </c>
      <c r="BQ250" t="n">
        <v>44.851</v>
      </c>
      <c r="BR250" t="n">
        <v>46.405</v>
      </c>
      <c r="BS250" t="n">
        <v>48.113</v>
      </c>
      <c r="BT250" t="n">
        <v>49.953</v>
      </c>
      <c r="BU250" t="n">
        <v>51.586</v>
      </c>
      <c r="BV250" t="n">
        <v>53.339</v>
      </c>
    </row>
    <row r="251">
      <c r="A251" t="inlineStr">
        <is>
          <t>Coryphaena</t>
        </is>
      </c>
      <c r="B251" t="inlineStr">
        <is>
          <t>Dolphinfishes</t>
        </is>
      </c>
      <c r="C251" t="inlineStr">
        <is>
          <t>Large pelagics (&gt;=90 cm)</t>
        </is>
      </c>
      <c r="D251" t="inlineStr">
        <is>
          <t>Perch-likes</t>
        </is>
      </c>
      <c r="E251" t="n">
        <v>7.781</v>
      </c>
      <c r="F251" t="n">
        <v>8.263999999999999</v>
      </c>
      <c r="G251" t="n">
        <v>8.747</v>
      </c>
      <c r="H251" t="n">
        <v>9.244</v>
      </c>
      <c r="I251" t="n">
        <v>9.731999999999999</v>
      </c>
      <c r="J251" t="n">
        <v>10.211</v>
      </c>
      <c r="K251" t="n">
        <v>10.705</v>
      </c>
      <c r="L251" t="n">
        <v>11.155</v>
      </c>
      <c r="M251" t="n">
        <v>11.711</v>
      </c>
      <c r="N251" t="n">
        <v>12.211</v>
      </c>
      <c r="O251" t="n">
        <v>12.699</v>
      </c>
      <c r="P251" t="n">
        <v>13.158</v>
      </c>
      <c r="Q251" t="n">
        <v>13.665</v>
      </c>
      <c r="R251" t="n">
        <v>13.657</v>
      </c>
      <c r="S251" t="n">
        <v>13.616</v>
      </c>
      <c r="T251" t="n">
        <v>13.565</v>
      </c>
      <c r="U251" t="n">
        <v>13.491</v>
      </c>
      <c r="V251" t="n">
        <v>14.984</v>
      </c>
      <c r="W251" t="n">
        <v>15.213</v>
      </c>
      <c r="X251" t="n">
        <v>15.895</v>
      </c>
      <c r="Y251" t="n">
        <v>14.961</v>
      </c>
      <c r="Z251" t="n">
        <v>18.052</v>
      </c>
      <c r="AA251" t="n">
        <v>18.958</v>
      </c>
      <c r="AB251" t="n">
        <v>19.69</v>
      </c>
      <c r="AC251" t="n">
        <v>20.464</v>
      </c>
      <c r="AD251" t="n">
        <v>21.483</v>
      </c>
      <c r="AE251" t="n">
        <v>19.554</v>
      </c>
      <c r="AF251" t="n">
        <v>22.173</v>
      </c>
      <c r="AG251" t="n">
        <v>22.954</v>
      </c>
      <c r="AH251" t="n">
        <v>26.377</v>
      </c>
      <c r="AI251" t="n">
        <v>23.623</v>
      </c>
      <c r="AJ251" t="n">
        <v>21.812</v>
      </c>
      <c r="AK251" t="n">
        <v>19.799</v>
      </c>
      <c r="AL251" t="n">
        <v>19.15</v>
      </c>
      <c r="AM251" t="n">
        <v>18.442</v>
      </c>
      <c r="AN251" t="n">
        <v>18.169</v>
      </c>
      <c r="AO251" t="n">
        <v>18.339</v>
      </c>
      <c r="AP251" t="n">
        <v>18.326</v>
      </c>
      <c r="AQ251" t="n">
        <v>18.391</v>
      </c>
      <c r="AR251" t="n">
        <v>18.566</v>
      </c>
      <c r="AS251" t="n">
        <v>18.934</v>
      </c>
      <c r="AT251" t="n">
        <v>19.616</v>
      </c>
      <c r="AU251" t="n">
        <v>17.547</v>
      </c>
      <c r="AV251" t="n">
        <v>14.429</v>
      </c>
      <c r="AW251" t="n">
        <v>12.529</v>
      </c>
      <c r="AX251" t="n">
        <v>10.416</v>
      </c>
      <c r="AY251" t="n">
        <v>24.031</v>
      </c>
      <c r="AZ251" t="n">
        <v>24.645</v>
      </c>
      <c r="BA251" t="n">
        <v>24.748</v>
      </c>
      <c r="BB251" t="n">
        <v>24.875</v>
      </c>
      <c r="BC251" t="n">
        <v>25.719</v>
      </c>
      <c r="BD251" t="n">
        <v>28.033</v>
      </c>
      <c r="BE251" t="n">
        <v>25.58</v>
      </c>
      <c r="BF251" t="n">
        <v>25.069</v>
      </c>
      <c r="BG251" t="n">
        <v>25.653</v>
      </c>
      <c r="BH251" t="n">
        <v>26.198</v>
      </c>
      <c r="BI251" t="n">
        <v>29.232</v>
      </c>
      <c r="BJ251" t="n">
        <v>28.857</v>
      </c>
      <c r="BK251" t="n">
        <v>14.083</v>
      </c>
      <c r="BL251" t="n">
        <v>14.224</v>
      </c>
      <c r="BM251" t="n">
        <v>12.065</v>
      </c>
      <c r="BN251" t="n">
        <v>19.818</v>
      </c>
      <c r="BO251" t="n">
        <v>19.115</v>
      </c>
      <c r="BP251" t="n">
        <v>15.46</v>
      </c>
      <c r="BQ251" t="n">
        <v>15.151</v>
      </c>
      <c r="BR251" t="n">
        <v>10.198</v>
      </c>
      <c r="BS251" t="n">
        <v>10.553</v>
      </c>
      <c r="BT251" t="n">
        <v>10.988</v>
      </c>
      <c r="BU251" t="n">
        <v>11.605</v>
      </c>
      <c r="BV251" t="n">
        <v>282.653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20.098</v>
      </c>
      <c r="BF252" t="n">
        <v>0</v>
      </c>
      <c r="BG252" t="n">
        <v>0</v>
      </c>
      <c r="BH252" t="n">
        <v>0</v>
      </c>
      <c r="BI252" t="n">
        <v>2.281</v>
      </c>
      <c r="BJ252" t="n">
        <v>0</v>
      </c>
      <c r="BK252" t="n">
        <v>0</v>
      </c>
      <c r="BL252" t="n">
        <v>0</v>
      </c>
      <c r="BM252" t="n">
        <v>1420.109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Acanthurus monroviae</t>
        </is>
      </c>
      <c r="B253" t="inlineStr">
        <is>
          <t>Monrovia doctorfish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20.052</v>
      </c>
      <c r="BG253" t="n">
        <v>8.65</v>
      </c>
      <c r="BH253" t="n">
        <v>16.453</v>
      </c>
      <c r="BI253" t="n">
        <v>22.388</v>
      </c>
      <c r="BJ253" t="n">
        <v>20.932</v>
      </c>
      <c r="BK253" t="n">
        <v>23.905</v>
      </c>
      <c r="BL253" t="n">
        <v>34.354</v>
      </c>
      <c r="BM253" t="n">
        <v>127.712</v>
      </c>
      <c r="BN253" t="n">
        <v>69.056</v>
      </c>
      <c r="BO253" t="n">
        <v>141.191</v>
      </c>
      <c r="BP253" t="n">
        <v>75.866</v>
      </c>
      <c r="BQ253" t="n">
        <v>79.08799999999999</v>
      </c>
      <c r="BR253" t="n">
        <v>159.258</v>
      </c>
      <c r="BS253" t="n">
        <v>164.657</v>
      </c>
      <c r="BT253" t="n">
        <v>169.868</v>
      </c>
      <c r="BU253" t="n">
        <v>89.444</v>
      </c>
      <c r="BV253" t="n">
        <v>178.793</v>
      </c>
    </row>
    <row r="254">
      <c r="A254" t="inlineStr">
        <is>
          <t>Scaridae</t>
        </is>
      </c>
      <c r="B254" t="inlineStr">
        <is>
          <t>Parrotfishes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147.553</v>
      </c>
      <c r="BQ254" t="n">
        <v>240.058</v>
      </c>
      <c r="BR254" t="n">
        <v>285.534</v>
      </c>
      <c r="BS254" t="n">
        <v>249.099</v>
      </c>
      <c r="BT254" t="n">
        <v>119.063</v>
      </c>
      <c r="BU254" t="n">
        <v>125.663</v>
      </c>
      <c r="BV254" t="n">
        <v>137.348</v>
      </c>
    </row>
    <row r="255">
      <c r="A255" t="inlineStr">
        <is>
          <t>Pontinus kuhlii</t>
        </is>
      </c>
      <c r="B255" t="inlineStr">
        <is>
          <t>Offshore rockfish</t>
        </is>
      </c>
      <c r="C255" t="inlineStr">
        <is>
          <t>Medium bathydemersals (30 - 89 cm)</t>
        </is>
      </c>
      <c r="D255" t="inlineStr">
        <is>
          <t>Scorpionfishes</t>
        </is>
      </c>
      <c r="E255" t="n">
        <v>0.323</v>
      </c>
      <c r="F255" t="n">
        <v>0.327</v>
      </c>
      <c r="G255" t="n">
        <v>0.332</v>
      </c>
      <c r="H255" t="n">
        <v>0.347</v>
      </c>
      <c r="I255" t="n">
        <v>0.362</v>
      </c>
      <c r="J255" t="n">
        <v>0.377</v>
      </c>
      <c r="K255" t="n">
        <v>0.392</v>
      </c>
      <c r="L255" t="n">
        <v>0.408</v>
      </c>
      <c r="M255" t="n">
        <v>1.538</v>
      </c>
      <c r="N255" t="n">
        <v>2.343</v>
      </c>
      <c r="O255" t="n">
        <v>3.457</v>
      </c>
      <c r="P255" t="n">
        <v>4.562</v>
      </c>
      <c r="Q255" t="n">
        <v>5.659</v>
      </c>
      <c r="R255" t="n">
        <v>5.482</v>
      </c>
      <c r="S255" t="n">
        <v>5.621</v>
      </c>
      <c r="T255" t="n">
        <v>5.484</v>
      </c>
      <c r="U255" t="n">
        <v>5.385</v>
      </c>
      <c r="V255" t="n">
        <v>5.325</v>
      </c>
      <c r="W255" t="n">
        <v>5.435</v>
      </c>
      <c r="X255" t="n">
        <v>9.194000000000001</v>
      </c>
      <c r="Y255" t="n">
        <v>9.699</v>
      </c>
      <c r="Z255" t="n">
        <v>10.138</v>
      </c>
      <c r="AA255" t="n">
        <v>10.44</v>
      </c>
      <c r="AB255" t="n">
        <v>10.609</v>
      </c>
      <c r="AC255" t="n">
        <v>7.144</v>
      </c>
      <c r="AD255" t="n">
        <v>6.871</v>
      </c>
      <c r="AE255" t="n">
        <v>7.704</v>
      </c>
      <c r="AF255" t="n">
        <v>10.536</v>
      </c>
      <c r="AG255" t="n">
        <v>11.137</v>
      </c>
      <c r="AH255" t="n">
        <v>11.489</v>
      </c>
      <c r="AI255" t="n">
        <v>12.771</v>
      </c>
      <c r="AJ255" t="n">
        <v>13.753</v>
      </c>
      <c r="AK255" t="n">
        <v>12.925</v>
      </c>
      <c r="AL255" t="n">
        <v>12.85</v>
      </c>
      <c r="AM255" t="n">
        <v>15.746</v>
      </c>
      <c r="AN255" t="n">
        <v>17.049</v>
      </c>
      <c r="AO255" t="n">
        <v>19.559</v>
      </c>
      <c r="AP255" t="n">
        <v>21.727</v>
      </c>
      <c r="AQ255" t="n">
        <v>25.24</v>
      </c>
      <c r="AR255" t="n">
        <v>25.585</v>
      </c>
      <c r="AS255" t="n">
        <v>27.327</v>
      </c>
      <c r="AT255" t="n">
        <v>27.104</v>
      </c>
      <c r="AU255" t="n">
        <v>26.897</v>
      </c>
      <c r="AV255" t="n">
        <v>26.864</v>
      </c>
      <c r="AW255" t="n">
        <v>27</v>
      </c>
      <c r="AX255" t="n">
        <v>27.302</v>
      </c>
      <c r="AY255" t="n">
        <v>27.768</v>
      </c>
      <c r="AZ255" t="n">
        <v>28.229</v>
      </c>
      <c r="BA255" t="n">
        <v>28.525</v>
      </c>
      <c r="BB255" t="n">
        <v>28.656</v>
      </c>
      <c r="BC255" t="n">
        <v>28.623</v>
      </c>
      <c r="BD255" t="n">
        <v>28.424</v>
      </c>
      <c r="BE255" t="n">
        <v>28.466</v>
      </c>
      <c r="BF255" t="n">
        <v>28.748</v>
      </c>
      <c r="BG255" t="n">
        <v>29.497</v>
      </c>
      <c r="BH255" t="n">
        <v>30.261</v>
      </c>
      <c r="BI255" t="n">
        <v>29.705</v>
      </c>
      <c r="BJ255" t="n">
        <v>29.289</v>
      </c>
      <c r="BK255" t="n">
        <v>28.856</v>
      </c>
      <c r="BL255" t="n">
        <v>9.119</v>
      </c>
      <c r="BM255" t="n">
        <v>33.546</v>
      </c>
      <c r="BN255" t="n">
        <v>34.137</v>
      </c>
      <c r="BO255" t="n">
        <v>35.177</v>
      </c>
      <c r="BP255" t="n">
        <v>35.959</v>
      </c>
      <c r="BQ255" t="n">
        <v>37.254</v>
      </c>
      <c r="BR255" t="n">
        <v>38.545</v>
      </c>
      <c r="BS255" t="n">
        <v>39.964</v>
      </c>
      <c r="BT255" t="n">
        <v>41.492</v>
      </c>
      <c r="BU255" t="n">
        <v>42.848</v>
      </c>
      <c r="BV255" t="n">
        <v>52.699</v>
      </c>
    </row>
    <row r="256">
      <c r="A256" t="inlineStr">
        <is>
          <t>Solenocera africana</t>
        </is>
      </c>
      <c r="B256" t="inlineStr">
        <is>
          <t>African mud shrimp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3.256</v>
      </c>
      <c r="O256" t="n">
        <v>6.447</v>
      </c>
      <c r="P256" t="n">
        <v>9.571999999999999</v>
      </c>
      <c r="Q256" t="n">
        <v>12.631</v>
      </c>
      <c r="R256" t="n">
        <v>15.625</v>
      </c>
      <c r="S256" t="n">
        <v>18.554</v>
      </c>
      <c r="T256" t="n">
        <v>21.416</v>
      </c>
      <c r="U256" t="n">
        <v>24.214</v>
      </c>
      <c r="V256" t="n">
        <v>26.945</v>
      </c>
      <c r="W256" t="n">
        <v>31.584</v>
      </c>
      <c r="X256" t="n">
        <v>34.361</v>
      </c>
      <c r="Y256" t="n">
        <v>29.423</v>
      </c>
      <c r="Z256" t="n">
        <v>31.551</v>
      </c>
      <c r="AA256" t="n">
        <v>33.717</v>
      </c>
      <c r="AB256" t="n">
        <v>41.163</v>
      </c>
      <c r="AC256" t="n">
        <v>48.829</v>
      </c>
      <c r="AD256" t="n">
        <v>52.34</v>
      </c>
      <c r="AE256" t="n">
        <v>63.067</v>
      </c>
      <c r="AF256" t="n">
        <v>73.065</v>
      </c>
      <c r="AG256" t="n">
        <v>81.96299999999999</v>
      </c>
      <c r="AH256" t="n">
        <v>89.363</v>
      </c>
      <c r="AI256" t="n">
        <v>94.83799999999999</v>
      </c>
      <c r="AJ256" t="n">
        <v>82.14100000000001</v>
      </c>
      <c r="AK256" t="n">
        <v>68.247</v>
      </c>
      <c r="AL256" t="n">
        <v>53.892</v>
      </c>
      <c r="AM256" t="n">
        <v>39.809</v>
      </c>
      <c r="AN256" t="n">
        <v>26.732</v>
      </c>
      <c r="AO256" t="n">
        <v>15.395</v>
      </c>
      <c r="AP256" t="n">
        <v>10.686</v>
      </c>
      <c r="AQ256" t="n">
        <v>6.154</v>
      </c>
      <c r="AR256" t="n">
        <v>1.942</v>
      </c>
      <c r="AS256" t="n">
        <v>2.412</v>
      </c>
      <c r="AT256" t="n">
        <v>2.754</v>
      </c>
      <c r="AU256" t="n">
        <v>2.943</v>
      </c>
      <c r="AV256" t="n">
        <v>2.693</v>
      </c>
      <c r="AW256" t="n">
        <v>2.743</v>
      </c>
      <c r="AX256" t="n">
        <v>2.783</v>
      </c>
      <c r="AY256" t="n">
        <v>2.812</v>
      </c>
      <c r="AZ256" t="n">
        <v>2.832</v>
      </c>
      <c r="BA256" t="n">
        <v>2.842</v>
      </c>
      <c r="BB256" t="n">
        <v>2.842</v>
      </c>
      <c r="BC256" t="n">
        <v>2.833</v>
      </c>
      <c r="BD256" t="n">
        <v>3.303</v>
      </c>
      <c r="BE256" t="n">
        <v>3.146</v>
      </c>
      <c r="BF256" t="n">
        <v>2.719</v>
      </c>
      <c r="BG256" t="n">
        <v>1.548</v>
      </c>
      <c r="BH256" t="n">
        <v>0.733</v>
      </c>
      <c r="BI256" t="n">
        <v>1.386</v>
      </c>
      <c r="BJ256" t="n">
        <v>1.307</v>
      </c>
      <c r="BK256" t="n">
        <v>1.229</v>
      </c>
      <c r="BL256" t="n">
        <v>2.305</v>
      </c>
      <c r="BM256" t="n">
        <v>1.616</v>
      </c>
      <c r="BN256" t="n">
        <v>1.856</v>
      </c>
      <c r="BO256" t="n">
        <v>2.11</v>
      </c>
      <c r="BP256" t="n">
        <v>6.19</v>
      </c>
      <c r="BQ256" t="n">
        <v>6.824</v>
      </c>
      <c r="BR256" t="n">
        <v>6.768</v>
      </c>
      <c r="BS256" t="n">
        <v>2.713</v>
      </c>
      <c r="BT256" t="n">
        <v>2.864</v>
      </c>
      <c r="BU256" t="n">
        <v>3.017</v>
      </c>
      <c r="BV256" t="n">
        <v>3.017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10.841</v>
      </c>
      <c r="BC257" t="n">
        <v>52.773</v>
      </c>
      <c r="BD257" t="n">
        <v>49.338</v>
      </c>
      <c r="BE257" t="n">
        <v>161.678</v>
      </c>
      <c r="BF257" t="n">
        <v>44.466</v>
      </c>
      <c r="BG257" t="n">
        <v>236.911</v>
      </c>
      <c r="BH257" t="n">
        <v>119.197</v>
      </c>
      <c r="BI257" t="n">
        <v>135.036</v>
      </c>
      <c r="BJ257" t="n">
        <v>28.797</v>
      </c>
      <c r="BK257" t="n">
        <v>0.34</v>
      </c>
      <c r="BL257" t="n">
        <v>229.344</v>
      </c>
      <c r="BM257" t="n">
        <v>19.452</v>
      </c>
      <c r="BN257" t="n">
        <v>11.727</v>
      </c>
      <c r="BO257" t="n">
        <v>0.99</v>
      </c>
      <c r="BP257" t="n">
        <v>0</v>
      </c>
      <c r="BQ257" t="n">
        <v>0</v>
      </c>
      <c r="BR257" t="n">
        <v>1.911</v>
      </c>
      <c r="BS257" t="n">
        <v>51.909</v>
      </c>
      <c r="BT257" t="n">
        <v>42.762</v>
      </c>
      <c r="BU257" t="n">
        <v>0.017</v>
      </c>
      <c r="BV257" t="n">
        <v>35.074</v>
      </c>
    </row>
    <row r="258">
      <c r="A258" t="inlineStr">
        <is>
          <t>Psettodes belcheri</t>
        </is>
      </c>
      <c r="B258" t="inlineStr">
        <is>
          <t>Spottail spiny turbot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1.093</v>
      </c>
      <c r="F258" t="n">
        <v>1.109</v>
      </c>
      <c r="G258" t="n">
        <v>2.42</v>
      </c>
      <c r="H258" t="n">
        <v>2.822</v>
      </c>
      <c r="I258" t="n">
        <v>3.268</v>
      </c>
      <c r="J258" t="n">
        <v>3.65</v>
      </c>
      <c r="K258" t="n">
        <v>4.165</v>
      </c>
      <c r="L258" t="n">
        <v>4.523</v>
      </c>
      <c r="M258" t="n">
        <v>4.999</v>
      </c>
      <c r="N258" t="n">
        <v>2.868</v>
      </c>
      <c r="O258" t="n">
        <v>3.306</v>
      </c>
      <c r="P258" t="n">
        <v>3.744</v>
      </c>
      <c r="Q258" t="n">
        <v>3.712</v>
      </c>
      <c r="R258" t="n">
        <v>4.061</v>
      </c>
      <c r="S258" t="n">
        <v>4.169</v>
      </c>
      <c r="T258" t="n">
        <v>4</v>
      </c>
      <c r="U258" t="n">
        <v>3.658</v>
      </c>
      <c r="V258" t="n">
        <v>3.367</v>
      </c>
      <c r="W258" t="n">
        <v>3.275</v>
      </c>
      <c r="X258" t="n">
        <v>3.336</v>
      </c>
      <c r="Y258" t="n">
        <v>3.086</v>
      </c>
      <c r="Z258" t="n">
        <v>3.588</v>
      </c>
      <c r="AA258" t="n">
        <v>3.436</v>
      </c>
      <c r="AB258" t="n">
        <v>3.534</v>
      </c>
      <c r="AC258" t="n">
        <v>3.632</v>
      </c>
      <c r="AD258" t="n">
        <v>4.907</v>
      </c>
      <c r="AE258" t="n">
        <v>6.038</v>
      </c>
      <c r="AF258" t="n">
        <v>8.186</v>
      </c>
      <c r="AG258" t="n">
        <v>10.2</v>
      </c>
      <c r="AH258" t="n">
        <v>12.924</v>
      </c>
      <c r="AI258" t="n">
        <v>12.168</v>
      </c>
      <c r="AJ258" t="n">
        <v>13.095</v>
      </c>
      <c r="AK258" t="n">
        <v>13.935</v>
      </c>
      <c r="AL258" t="n">
        <v>14.976</v>
      </c>
      <c r="AM258" t="n">
        <v>15.865</v>
      </c>
      <c r="AN258" t="n">
        <v>27.907</v>
      </c>
      <c r="AO258" t="n">
        <v>28.483</v>
      </c>
      <c r="AP258" t="n">
        <v>28.735</v>
      </c>
      <c r="AQ258" t="n">
        <v>27.553</v>
      </c>
      <c r="AR258" t="n">
        <v>29.732</v>
      </c>
      <c r="AS258" t="n">
        <v>31.776</v>
      </c>
      <c r="AT258" t="n">
        <v>33.08</v>
      </c>
      <c r="AU258" t="n">
        <v>29.71</v>
      </c>
      <c r="AV258" t="n">
        <v>28.923</v>
      </c>
      <c r="AW258" t="n">
        <v>42.941</v>
      </c>
      <c r="AX258" t="n">
        <v>47.288</v>
      </c>
      <c r="AY258" t="n">
        <v>34.216</v>
      </c>
      <c r="AZ258" t="n">
        <v>24.046</v>
      </c>
      <c r="BA258" t="n">
        <v>32.939</v>
      </c>
      <c r="BB258" t="n">
        <v>32.32</v>
      </c>
      <c r="BC258" t="n">
        <v>49.268</v>
      </c>
      <c r="BD258" t="n">
        <v>25.735</v>
      </c>
      <c r="BE258" t="n">
        <v>39.349</v>
      </c>
      <c r="BF258" t="n">
        <v>31.079</v>
      </c>
      <c r="BG258" t="n">
        <v>36.324</v>
      </c>
      <c r="BH258" t="n">
        <v>21.047</v>
      </c>
      <c r="BI258" t="n">
        <v>25.04</v>
      </c>
      <c r="BJ258" t="n">
        <v>23.931</v>
      </c>
      <c r="BK258" t="n">
        <v>31.434</v>
      </c>
      <c r="BL258" t="n">
        <v>15.723</v>
      </c>
      <c r="BM258" t="n">
        <v>10.111</v>
      </c>
      <c r="BN258" t="n">
        <v>12.274</v>
      </c>
      <c r="BO258" t="n">
        <v>13.63</v>
      </c>
      <c r="BP258" t="n">
        <v>12.355</v>
      </c>
      <c r="BQ258" t="n">
        <v>15.588</v>
      </c>
      <c r="BR258" t="n">
        <v>10.658</v>
      </c>
      <c r="BS258" t="n">
        <v>9.871</v>
      </c>
      <c r="BT258" t="n">
        <v>9.996</v>
      </c>
      <c r="BU258" t="n">
        <v>9.050000000000001</v>
      </c>
      <c r="BV258" t="n">
        <v>24.979</v>
      </c>
    </row>
    <row r="259">
      <c r="A259" t="inlineStr">
        <is>
          <t>Carcharhinus leucas</t>
        </is>
      </c>
      <c r="B259" t="inlineStr">
        <is>
          <t>Bull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748.741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0.001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353.003</v>
      </c>
    </row>
    <row r="260">
      <c r="A260" t="inlineStr">
        <is>
          <t>Apsilus fuscus</t>
        </is>
      </c>
      <c r="B260" t="inlineStr">
        <is>
          <t>African forktail snapper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112.618</v>
      </c>
      <c r="BH260" t="n">
        <v>45.78</v>
      </c>
      <c r="BI260" t="n">
        <v>12.818</v>
      </c>
      <c r="BJ260" t="n">
        <v>14.65</v>
      </c>
      <c r="BK260" t="n">
        <v>9.156000000000001</v>
      </c>
      <c r="BL260" t="n">
        <v>0.916</v>
      </c>
      <c r="BM260" t="n">
        <v>0.916</v>
      </c>
      <c r="BN260" t="n">
        <v>0.916</v>
      </c>
      <c r="BO260" t="n">
        <v>3.662</v>
      </c>
      <c r="BP260" t="n">
        <v>0.916</v>
      </c>
      <c r="BQ260" t="n">
        <v>0</v>
      </c>
      <c r="BR260" t="n">
        <v>146.379</v>
      </c>
      <c r="BS260" t="n">
        <v>190.909</v>
      </c>
      <c r="BT260" t="n">
        <v>188.93</v>
      </c>
      <c r="BU260" t="n">
        <v>179.034</v>
      </c>
      <c r="BV260" t="n">
        <v>172.281</v>
      </c>
    </row>
    <row r="261">
      <c r="A261" t="inlineStr">
        <is>
          <t>Carcharhinus falciformis</t>
        </is>
      </c>
      <c r="B261" t="inlineStr">
        <is>
          <t>Silky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13.301</v>
      </c>
      <c r="AU261" t="n">
        <v>19.063</v>
      </c>
      <c r="AV261" t="n">
        <v>5.205</v>
      </c>
      <c r="AW261" t="n">
        <v>14.866</v>
      </c>
      <c r="AX261" t="n">
        <v>19.443</v>
      </c>
      <c r="AY261" t="n">
        <v>0.209</v>
      </c>
      <c r="AZ261" t="n">
        <v>1.172</v>
      </c>
      <c r="BA261" t="n">
        <v>6.811</v>
      </c>
      <c r="BB261" t="n">
        <v>110.168</v>
      </c>
      <c r="BC261" t="n">
        <v>99.95399999999999</v>
      </c>
      <c r="BD261" t="n">
        <v>2.375</v>
      </c>
      <c r="BE261" t="n">
        <v>6.884</v>
      </c>
      <c r="BF261" t="n">
        <v>10.453</v>
      </c>
      <c r="BG261" t="n">
        <v>50.047</v>
      </c>
      <c r="BH261" t="n">
        <v>38.607</v>
      </c>
      <c r="BI261" t="n">
        <v>14.224</v>
      </c>
      <c r="BJ261" t="n">
        <v>37.729</v>
      </c>
      <c r="BK261" t="n">
        <v>10.425</v>
      </c>
      <c r="BL261" t="n">
        <v>12.39</v>
      </c>
      <c r="BM261" t="n">
        <v>40.025</v>
      </c>
      <c r="BN261" t="n">
        <v>62.416</v>
      </c>
      <c r="BO261" t="n">
        <v>9.004</v>
      </c>
      <c r="BP261" t="n">
        <v>0.103</v>
      </c>
      <c r="BQ261" t="n">
        <v>0.102</v>
      </c>
      <c r="BR261" t="n">
        <v>3.066</v>
      </c>
      <c r="BS261" t="n">
        <v>41.263</v>
      </c>
      <c r="BT261" t="n">
        <v>221.108</v>
      </c>
      <c r="BU261" t="n">
        <v>121.429</v>
      </c>
      <c r="BV261" t="n">
        <v>47.571</v>
      </c>
    </row>
    <row r="262">
      <c r="A262" t="inlineStr">
        <is>
          <t>Alopias</t>
        </is>
      </c>
      <c r="B262" t="inlineStr">
        <is>
          <t>Thresher sharks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14.643</v>
      </c>
      <c r="BA262" t="n">
        <v>30.876</v>
      </c>
      <c r="BB262" t="n">
        <v>187.355</v>
      </c>
      <c r="BC262" t="n">
        <v>149.756</v>
      </c>
      <c r="BD262" t="n">
        <v>0.592</v>
      </c>
      <c r="BE262" t="n">
        <v>0.08</v>
      </c>
      <c r="BF262" t="n">
        <v>0.332</v>
      </c>
      <c r="BG262" t="n">
        <v>0.65</v>
      </c>
      <c r="BH262" t="n">
        <v>0.117</v>
      </c>
      <c r="BI262" t="n">
        <v>0.121</v>
      </c>
      <c r="BJ262" t="n">
        <v>0</v>
      </c>
      <c r="BK262" t="n">
        <v>0.481</v>
      </c>
      <c r="BL262" t="n">
        <v>0</v>
      </c>
      <c r="BM262" t="n">
        <v>0.232</v>
      </c>
      <c r="BN262" t="n">
        <v>86.354</v>
      </c>
      <c r="BO262" t="n">
        <v>90.758</v>
      </c>
      <c r="BP262" t="n">
        <v>75.464</v>
      </c>
      <c r="BQ262" t="n">
        <v>61.7</v>
      </c>
      <c r="BR262" t="n">
        <v>63.99</v>
      </c>
      <c r="BS262" t="n">
        <v>149.372</v>
      </c>
      <c r="BT262" t="n">
        <v>26.301</v>
      </c>
      <c r="BU262" t="n">
        <v>30.074</v>
      </c>
      <c r="BV262" t="n">
        <v>15.072</v>
      </c>
    </row>
    <row r="263">
      <c r="A263" t="inlineStr">
        <is>
          <t>Stomias affinis</t>
        </is>
      </c>
      <c r="B263" t="inlineStr">
        <is>
          <t>Gunther's boafish</t>
        </is>
      </c>
      <c r="C263" t="inlineStr">
        <is>
          <t>Small bathypelagics (&lt;30 cm)</t>
        </is>
      </c>
      <c r="D263" t="inlineStr">
        <is>
          <t>Other fishes &amp; inverts</t>
        </is>
      </c>
      <c r="E263" t="n">
        <v>0.226</v>
      </c>
      <c r="F263" t="n">
        <v>0.23</v>
      </c>
      <c r="G263" t="n">
        <v>0.233</v>
      </c>
      <c r="H263" t="n">
        <v>0.243</v>
      </c>
      <c r="I263" t="n">
        <v>0.254</v>
      </c>
      <c r="J263" t="n">
        <v>0.264</v>
      </c>
      <c r="K263" t="n">
        <v>0.275</v>
      </c>
      <c r="L263" t="n">
        <v>0.286</v>
      </c>
      <c r="M263" t="n">
        <v>1.079</v>
      </c>
      <c r="N263" t="n">
        <v>1.644</v>
      </c>
      <c r="O263" t="n">
        <v>2.425</v>
      </c>
      <c r="P263" t="n">
        <v>3.2</v>
      </c>
      <c r="Q263" t="n">
        <v>3.97</v>
      </c>
      <c r="R263" t="n">
        <v>3.845</v>
      </c>
      <c r="S263" t="n">
        <v>3.943</v>
      </c>
      <c r="T263" t="n">
        <v>3.847</v>
      </c>
      <c r="U263" t="n">
        <v>3.778</v>
      </c>
      <c r="V263" t="n">
        <v>3.735</v>
      </c>
      <c r="W263" t="n">
        <v>3.812</v>
      </c>
      <c r="X263" t="n">
        <v>6.45</v>
      </c>
      <c r="Y263" t="n">
        <v>6.804</v>
      </c>
      <c r="Z263" t="n">
        <v>7.111</v>
      </c>
      <c r="AA263" t="n">
        <v>7.324</v>
      </c>
      <c r="AB263" t="n">
        <v>7.442</v>
      </c>
      <c r="AC263" t="n">
        <v>5.011</v>
      </c>
      <c r="AD263" t="n">
        <v>4.82</v>
      </c>
      <c r="AE263" t="n">
        <v>5.404</v>
      </c>
      <c r="AF263" t="n">
        <v>7.391</v>
      </c>
      <c r="AG263" t="n">
        <v>7.813</v>
      </c>
      <c r="AH263" t="n">
        <v>8.058999999999999</v>
      </c>
      <c r="AI263" t="n">
        <v>8.959</v>
      </c>
      <c r="AJ263" t="n">
        <v>9.648</v>
      </c>
      <c r="AK263" t="n">
        <v>9.067</v>
      </c>
      <c r="AL263" t="n">
        <v>9.013999999999999</v>
      </c>
      <c r="AM263" t="n">
        <v>11.046</v>
      </c>
      <c r="AN263" t="n">
        <v>11.96</v>
      </c>
      <c r="AO263" t="n">
        <v>13.721</v>
      </c>
      <c r="AP263" t="n">
        <v>15.241</v>
      </c>
      <c r="AQ263" t="n">
        <v>17.706</v>
      </c>
      <c r="AR263" t="n">
        <v>17.948</v>
      </c>
      <c r="AS263" t="n">
        <v>19.17</v>
      </c>
      <c r="AT263" t="n">
        <v>19.013</v>
      </c>
      <c r="AU263" t="n">
        <v>18.868</v>
      </c>
      <c r="AV263" t="n">
        <v>18.845</v>
      </c>
      <c r="AW263" t="n">
        <v>18.94</v>
      </c>
      <c r="AX263" t="n">
        <v>19.152</v>
      </c>
      <c r="AY263" t="n">
        <v>19.479</v>
      </c>
      <c r="AZ263" t="n">
        <v>19.803</v>
      </c>
      <c r="BA263" t="n">
        <v>20.01</v>
      </c>
      <c r="BB263" t="n">
        <v>20.102</v>
      </c>
      <c r="BC263" t="n">
        <v>20.079</v>
      </c>
      <c r="BD263" t="n">
        <v>19.939</v>
      </c>
      <c r="BE263" t="n">
        <v>19.968</v>
      </c>
      <c r="BF263" t="n">
        <v>20.167</v>
      </c>
      <c r="BG263" t="n">
        <v>20.692</v>
      </c>
      <c r="BH263" t="n">
        <v>21.228</v>
      </c>
      <c r="BI263" t="n">
        <v>20.838</v>
      </c>
      <c r="BJ263" t="n">
        <v>20.546</v>
      </c>
      <c r="BK263" t="n">
        <v>20.242</v>
      </c>
      <c r="BL263" t="n">
        <v>6.397</v>
      </c>
      <c r="BM263" t="n">
        <v>23.532</v>
      </c>
      <c r="BN263" t="n">
        <v>23.947</v>
      </c>
      <c r="BO263" t="n">
        <v>24.677</v>
      </c>
      <c r="BP263" t="n">
        <v>25.225</v>
      </c>
      <c r="BQ263" t="n">
        <v>26.133</v>
      </c>
      <c r="BR263" t="n">
        <v>27.039</v>
      </c>
      <c r="BS263" t="n">
        <v>28.034</v>
      </c>
      <c r="BT263" t="n">
        <v>29.107</v>
      </c>
      <c r="BU263" t="n">
        <v>30.058</v>
      </c>
      <c r="BV263" t="n">
        <v>31.079</v>
      </c>
    </row>
    <row r="264">
      <c r="A264" t="inlineStr">
        <is>
          <t>Fistularia tabacaria</t>
        </is>
      </c>
      <c r="B264" t="inlineStr">
        <is>
          <t>Cornetfish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13.347</v>
      </c>
      <c r="BG264" t="n">
        <v>7.797</v>
      </c>
      <c r="BH264" t="n">
        <v>27.662</v>
      </c>
      <c r="BI264" t="n">
        <v>12.456</v>
      </c>
      <c r="BJ264" t="n">
        <v>12.422</v>
      </c>
      <c r="BK264" t="n">
        <v>18.352</v>
      </c>
      <c r="BL264" t="n">
        <v>10.137</v>
      </c>
      <c r="BM264" t="n">
        <v>104.359</v>
      </c>
      <c r="BN264" t="n">
        <v>52.445</v>
      </c>
      <c r="BO264" t="n">
        <v>99.995</v>
      </c>
      <c r="BP264" t="n">
        <v>50.255</v>
      </c>
      <c r="BQ264" t="n">
        <v>49.131</v>
      </c>
      <c r="BR264" t="n">
        <v>92.999</v>
      </c>
      <c r="BS264" t="n">
        <v>90.577</v>
      </c>
      <c r="BT264" t="n">
        <v>88.19499999999999</v>
      </c>
      <c r="BU264" t="n">
        <v>43.906</v>
      </c>
      <c r="BV264" t="n">
        <v>83.111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0.31</v>
      </c>
      <c r="AX265" t="n">
        <v>1.86</v>
      </c>
      <c r="AY265" t="n">
        <v>21.726</v>
      </c>
      <c r="AZ265" t="n">
        <v>13.735</v>
      </c>
      <c r="BA265" t="n">
        <v>12.573</v>
      </c>
      <c r="BB265" t="n">
        <v>12.629</v>
      </c>
      <c r="BC265" t="n">
        <v>8.202</v>
      </c>
      <c r="BD265" t="n">
        <v>19.077</v>
      </c>
      <c r="BE265" t="n">
        <v>132.482</v>
      </c>
      <c r="BF265" t="n">
        <v>67.968</v>
      </c>
      <c r="BG265" t="n">
        <v>164.183</v>
      </c>
      <c r="BH265" t="n">
        <v>70.062</v>
      </c>
      <c r="BI265" t="n">
        <v>15.73</v>
      </c>
      <c r="BJ265" t="n">
        <v>12.86</v>
      </c>
      <c r="BK265" t="n">
        <v>0.891</v>
      </c>
      <c r="BL265" t="n">
        <v>0.831</v>
      </c>
      <c r="BM265" t="n">
        <v>0.775</v>
      </c>
      <c r="BN265" t="n">
        <v>20.432</v>
      </c>
      <c r="BO265" t="n">
        <v>1.295</v>
      </c>
      <c r="BP265" t="n">
        <v>1.344</v>
      </c>
      <c r="BQ265" t="n">
        <v>3.711</v>
      </c>
      <c r="BR265" t="n">
        <v>1.999</v>
      </c>
      <c r="BS265" t="n">
        <v>1.891</v>
      </c>
      <c r="BT265" t="n">
        <v>258.138</v>
      </c>
      <c r="BU265" t="n">
        <v>1.162</v>
      </c>
      <c r="BV265" t="n">
        <v>7.328</v>
      </c>
    </row>
    <row r="266">
      <c r="A266" t="inlineStr">
        <is>
          <t>Panulirus</t>
        </is>
      </c>
      <c r="B266" t="inlineStr">
        <is>
          <t>Spiny lobsters</t>
        </is>
      </c>
      <c r="C266" t="inlineStr">
        <is>
          <t>Lobsters, crabs</t>
        </is>
      </c>
      <c r="D266" t="inlineStr">
        <is>
          <t>Crustaceans</t>
        </is>
      </c>
      <c r="E266" t="n">
        <v>0.052</v>
      </c>
      <c r="F266" t="n">
        <v>0.052</v>
      </c>
      <c r="G266" t="n">
        <v>0.053</v>
      </c>
      <c r="H266" t="n">
        <v>0.055</v>
      </c>
      <c r="I266" t="n">
        <v>0.058</v>
      </c>
      <c r="J266" t="n">
        <v>0.06</v>
      </c>
      <c r="K266" t="n">
        <v>0.063</v>
      </c>
      <c r="L266" t="n">
        <v>0.065</v>
      </c>
      <c r="M266" t="n">
        <v>0.246</v>
      </c>
      <c r="N266" t="n">
        <v>0.374</v>
      </c>
      <c r="O266" t="n">
        <v>0.552</v>
      </c>
      <c r="P266" t="n">
        <v>0.729</v>
      </c>
      <c r="Q266" t="n">
        <v>0.904</v>
      </c>
      <c r="R266" t="n">
        <v>0.876</v>
      </c>
      <c r="S266" t="n">
        <v>0.898</v>
      </c>
      <c r="T266" t="n">
        <v>0.876</v>
      </c>
      <c r="U266" t="n">
        <v>2.003</v>
      </c>
      <c r="V266" t="n">
        <v>2.418</v>
      </c>
      <c r="W266" t="n">
        <v>4.202</v>
      </c>
      <c r="X266" t="n">
        <v>7.72</v>
      </c>
      <c r="Y266" t="n">
        <v>11.948</v>
      </c>
      <c r="Z266" t="n">
        <v>15.032</v>
      </c>
      <c r="AA266" t="n">
        <v>17.389</v>
      </c>
      <c r="AB266" t="n">
        <v>21.956</v>
      </c>
      <c r="AC266" t="n">
        <v>21.4</v>
      </c>
      <c r="AD266" t="n">
        <v>22.566</v>
      </c>
      <c r="AE266" t="n">
        <v>25.001</v>
      </c>
      <c r="AF266" t="n">
        <v>28.829</v>
      </c>
      <c r="AG266" t="n">
        <v>33.942</v>
      </c>
      <c r="AH266" t="n">
        <v>32.304</v>
      </c>
      <c r="AI266" t="n">
        <v>8.891</v>
      </c>
      <c r="AJ266" t="n">
        <v>7.407</v>
      </c>
      <c r="AK266" t="n">
        <v>4.506</v>
      </c>
      <c r="AL266" t="n">
        <v>5.968</v>
      </c>
      <c r="AM266" t="n">
        <v>9.347</v>
      </c>
      <c r="AN266" t="n">
        <v>4.491</v>
      </c>
      <c r="AO266" t="n">
        <v>5.517</v>
      </c>
      <c r="AP266" t="n">
        <v>4.39</v>
      </c>
      <c r="AQ266" t="n">
        <v>9.539999999999999</v>
      </c>
      <c r="AR266" t="n">
        <v>27.953</v>
      </c>
      <c r="AS266" t="n">
        <v>53.014</v>
      </c>
      <c r="AT266" t="n">
        <v>4.56</v>
      </c>
      <c r="AU266" t="n">
        <v>5.216</v>
      </c>
      <c r="AV266" t="n">
        <v>5.21</v>
      </c>
      <c r="AW266" t="n">
        <v>5.232</v>
      </c>
      <c r="AX266" t="n">
        <v>4.592</v>
      </c>
      <c r="AY266" t="n">
        <v>4.667</v>
      </c>
      <c r="AZ266" t="n">
        <v>4.74</v>
      </c>
      <c r="BA266" t="n">
        <v>4.788</v>
      </c>
      <c r="BB266" t="n">
        <v>6.415</v>
      </c>
      <c r="BC266" t="n">
        <v>6.409</v>
      </c>
      <c r="BD266" t="n">
        <v>4.771</v>
      </c>
      <c r="BE266" t="n">
        <v>4.778</v>
      </c>
      <c r="BF266" t="n">
        <v>4.823</v>
      </c>
      <c r="BG266" t="n">
        <v>5.631</v>
      </c>
      <c r="BH266" t="n">
        <v>7.589</v>
      </c>
      <c r="BI266" t="n">
        <v>5.664</v>
      </c>
      <c r="BJ266" t="n">
        <v>5.598</v>
      </c>
      <c r="BK266" t="n">
        <v>5.529</v>
      </c>
      <c r="BL266" t="n">
        <v>1.687</v>
      </c>
      <c r="BM266" t="n">
        <v>6.278</v>
      </c>
      <c r="BN266" t="n">
        <v>5.684</v>
      </c>
      <c r="BO266" t="n">
        <v>6.539</v>
      </c>
      <c r="BP266" t="n">
        <v>6.879</v>
      </c>
      <c r="BQ266" t="n">
        <v>29.094</v>
      </c>
      <c r="BR266" t="n">
        <v>48.929</v>
      </c>
      <c r="BS266" t="n">
        <v>68.639</v>
      </c>
      <c r="BT266" t="n">
        <v>44.58</v>
      </c>
      <c r="BU266" t="n">
        <v>75.5</v>
      </c>
      <c r="BV266" t="n">
        <v>48.414</v>
      </c>
    </row>
    <row r="267">
      <c r="A267" t="inlineStr">
        <is>
          <t>Alopias vulpinus</t>
        </is>
      </c>
      <c r="B267" t="inlineStr">
        <is>
          <t>Thresher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11.428</v>
      </c>
      <c r="BA267" t="n">
        <v>18.318</v>
      </c>
      <c r="BB267" t="n">
        <v>0.302</v>
      </c>
      <c r="BC267" t="n">
        <v>0.82</v>
      </c>
      <c r="BD267" t="n">
        <v>4.828</v>
      </c>
      <c r="BE267" t="n">
        <v>0.8129999999999999</v>
      </c>
      <c r="BF267" t="n">
        <v>0.819</v>
      </c>
      <c r="BG267" t="n">
        <v>13.797</v>
      </c>
      <c r="BH267" t="n">
        <v>15.479</v>
      </c>
      <c r="BI267" t="n">
        <v>3.825</v>
      </c>
      <c r="BJ267" t="n">
        <v>13.137</v>
      </c>
      <c r="BK267" t="n">
        <v>8.367000000000001</v>
      </c>
      <c r="BL267" t="n">
        <v>7.042</v>
      </c>
      <c r="BM267" t="n">
        <v>15.45</v>
      </c>
      <c r="BN267" t="n">
        <v>0.92</v>
      </c>
      <c r="BO267" t="n">
        <v>0.429</v>
      </c>
      <c r="BP267" t="n">
        <v>0.485</v>
      </c>
      <c r="BQ267" t="n">
        <v>29.517</v>
      </c>
      <c r="BR267" t="n">
        <v>84.499</v>
      </c>
      <c r="BS267" t="n">
        <v>248.88</v>
      </c>
      <c r="BT267" t="n">
        <v>208.061</v>
      </c>
      <c r="BU267" t="n">
        <v>20.568</v>
      </c>
      <c r="BV267" t="n">
        <v>14.718</v>
      </c>
    </row>
    <row r="268">
      <c r="A268" t="inlineStr">
        <is>
          <t>Helicolenus dactylopterus</t>
        </is>
      </c>
      <c r="B268" t="inlineStr">
        <is>
          <t>Blackbelly rosefish</t>
        </is>
      </c>
      <c r="C268" t="inlineStr">
        <is>
          <t>Medium bathydemersals (30 - 89 cm)</t>
        </is>
      </c>
      <c r="D268" t="inlineStr">
        <is>
          <t>Scorpionfishes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2.287</v>
      </c>
      <c r="BD268" t="n">
        <v>1.537</v>
      </c>
      <c r="BE268" t="n">
        <v>0.746</v>
      </c>
      <c r="BF268" t="n">
        <v>1.516</v>
      </c>
      <c r="BG268" t="n">
        <v>35.636</v>
      </c>
      <c r="BH268" t="n">
        <v>38.836</v>
      </c>
      <c r="BI268" t="n">
        <v>62.412</v>
      </c>
      <c r="BJ268" t="n">
        <v>81.628</v>
      </c>
      <c r="BK268" t="n">
        <v>41.923</v>
      </c>
      <c r="BL268" t="n">
        <v>48.192</v>
      </c>
      <c r="BM268" t="n">
        <v>19.757</v>
      </c>
      <c r="BN268" t="n">
        <v>29.133</v>
      </c>
      <c r="BO268" t="n">
        <v>19.754</v>
      </c>
      <c r="BP268" t="n">
        <v>21.753</v>
      </c>
      <c r="BQ268" t="n">
        <v>41.15</v>
      </c>
      <c r="BR268" t="n">
        <v>39.94</v>
      </c>
      <c r="BS268" t="n">
        <v>62.746</v>
      </c>
      <c r="BT268" t="n">
        <v>55.407</v>
      </c>
      <c r="BU268" t="n">
        <v>51.851</v>
      </c>
      <c r="BV268" t="n">
        <v>26.602</v>
      </c>
    </row>
    <row r="269">
      <c r="A269" t="inlineStr">
        <is>
          <t>Marine finfishes not identified</t>
        </is>
      </c>
      <c r="B269" t="inlineStr">
        <is>
          <t>Finfishes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n">
        <v>11.525</v>
      </c>
      <c r="F269" t="n">
        <v>12.019</v>
      </c>
      <c r="G269" t="n">
        <v>12.513</v>
      </c>
      <c r="H269" t="n">
        <v>13.007</v>
      </c>
      <c r="I269" t="n">
        <v>6.599</v>
      </c>
      <c r="J269" t="n">
        <v>7.093</v>
      </c>
      <c r="K269" t="n">
        <v>2.896</v>
      </c>
      <c r="L269" t="n">
        <v>6.332</v>
      </c>
      <c r="M269" t="n">
        <v>0</v>
      </c>
      <c r="N269" t="n">
        <v>0.267</v>
      </c>
      <c r="O269" t="n">
        <v>5.485</v>
      </c>
      <c r="P269" t="n">
        <v>8.183999999999999</v>
      </c>
      <c r="Q269" t="n">
        <v>9.175000000000001</v>
      </c>
      <c r="R269" t="n">
        <v>15.357</v>
      </c>
      <c r="S269" t="n">
        <v>18.45</v>
      </c>
      <c r="T269" t="n">
        <v>29.496</v>
      </c>
      <c r="U269" t="n">
        <v>33.311</v>
      </c>
      <c r="V269" t="n">
        <v>14.714</v>
      </c>
      <c r="W269" t="n">
        <v>16.491</v>
      </c>
      <c r="X269" t="n">
        <v>17.94</v>
      </c>
      <c r="Y269" t="n">
        <v>6.812</v>
      </c>
      <c r="Z269" t="n">
        <v>7.799</v>
      </c>
      <c r="AA269" t="n">
        <v>8.268000000000001</v>
      </c>
      <c r="AB269" t="n">
        <v>6.889</v>
      </c>
      <c r="AC269" t="n">
        <v>5.481</v>
      </c>
      <c r="AD269" t="n">
        <v>3.975</v>
      </c>
      <c r="AE269" t="n">
        <v>2.063</v>
      </c>
      <c r="AF269" t="n">
        <v>4.616</v>
      </c>
      <c r="AG269" t="n">
        <v>7.013</v>
      </c>
      <c r="AH269" t="n">
        <v>8.846</v>
      </c>
      <c r="AI269" t="n">
        <v>8.244</v>
      </c>
      <c r="AJ269" t="n">
        <v>9.824999999999999</v>
      </c>
      <c r="AK269" t="n">
        <v>11.428</v>
      </c>
      <c r="AL269" t="n">
        <v>15.381</v>
      </c>
      <c r="AM269" t="n">
        <v>15.988</v>
      </c>
      <c r="AN269" t="n">
        <v>17.92</v>
      </c>
      <c r="AO269" t="n">
        <v>18.483</v>
      </c>
      <c r="AP269" t="n">
        <v>22.963</v>
      </c>
      <c r="AQ269" t="n">
        <v>27.895</v>
      </c>
      <c r="AR269" t="n">
        <v>27.264</v>
      </c>
      <c r="AS269" t="n">
        <v>29.32</v>
      </c>
      <c r="AT269" t="n">
        <v>28.134</v>
      </c>
      <c r="AU269" t="n">
        <v>24.913</v>
      </c>
      <c r="AV269" t="n">
        <v>21.615</v>
      </c>
      <c r="AW269" t="n">
        <v>19.133</v>
      </c>
      <c r="AX269" t="n">
        <v>14.793</v>
      </c>
      <c r="AY269" t="n">
        <v>13.105</v>
      </c>
      <c r="AZ269" t="n">
        <v>10.559</v>
      </c>
      <c r="BA269" t="n">
        <v>8.621</v>
      </c>
      <c r="BB269" t="n">
        <v>7.396</v>
      </c>
      <c r="BC269" t="n">
        <v>6.775</v>
      </c>
      <c r="BD269" t="n">
        <v>4.927</v>
      </c>
      <c r="BE269" t="n">
        <v>3.389</v>
      </c>
      <c r="BF269" t="n">
        <v>1.683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0.02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Holocentrus adscensionis</t>
        </is>
      </c>
      <c r="B270" t="inlineStr">
        <is>
          <t>Squirrelfish</t>
        </is>
      </c>
      <c r="C270" t="inlineStr">
        <is>
          <t>Medium reef assoc. fish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278.502</v>
      </c>
      <c r="BS270" t="n">
        <v>80.56699999999999</v>
      </c>
      <c r="BT270" t="n">
        <v>89.51900000000001</v>
      </c>
      <c r="BU270" t="n">
        <v>99.465</v>
      </c>
      <c r="BV270" t="n">
        <v>123.695</v>
      </c>
    </row>
    <row r="271">
      <c r="A271" t="inlineStr">
        <is>
          <t>Centrophorus granulosus</t>
        </is>
      </c>
      <c r="B271" t="inlineStr">
        <is>
          <t>Gulper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6.804</v>
      </c>
      <c r="F271" t="n">
        <v>7.033</v>
      </c>
      <c r="G271" t="n">
        <v>7.257</v>
      </c>
      <c r="H271" t="n">
        <v>7.512</v>
      </c>
      <c r="I271" t="n">
        <v>7.741</v>
      </c>
      <c r="J271" t="n">
        <v>7.944</v>
      </c>
      <c r="K271" t="n">
        <v>8.179</v>
      </c>
      <c r="L271" t="n">
        <v>8.300000000000001</v>
      </c>
      <c r="M271" t="n">
        <v>8.689</v>
      </c>
      <c r="N271" t="n">
        <v>8.929</v>
      </c>
      <c r="O271" t="n">
        <v>9.138</v>
      </c>
      <c r="P271" t="n">
        <v>9.27</v>
      </c>
      <c r="Q271" t="n">
        <v>9.521000000000001</v>
      </c>
      <c r="R271" t="n">
        <v>8.465</v>
      </c>
      <c r="S271" t="n">
        <v>7.319</v>
      </c>
      <c r="T271" t="n">
        <v>6.148</v>
      </c>
      <c r="U271" t="n">
        <v>4.914</v>
      </c>
      <c r="V271" t="n">
        <v>7.654</v>
      </c>
      <c r="W271" t="n">
        <v>7.186</v>
      </c>
      <c r="X271" t="n">
        <v>7.865</v>
      </c>
      <c r="Y271" t="n">
        <v>4.442</v>
      </c>
      <c r="Z271" t="n">
        <v>10.438</v>
      </c>
      <c r="AA271" t="n">
        <v>10.802</v>
      </c>
      <c r="AB271" t="n">
        <v>10.63</v>
      </c>
      <c r="AC271" t="n">
        <v>10.463</v>
      </c>
      <c r="AD271" t="n">
        <v>10.805</v>
      </c>
      <c r="AE271" t="n">
        <v>3.844</v>
      </c>
      <c r="AF271" t="n">
        <v>8.307</v>
      </c>
      <c r="AG271" t="n">
        <v>7.983</v>
      </c>
      <c r="AH271" t="n">
        <v>14.227</v>
      </c>
      <c r="AI271" t="n">
        <v>13.357</v>
      </c>
      <c r="AJ271" t="n">
        <v>12.943</v>
      </c>
      <c r="AK271" t="n">
        <v>10.877</v>
      </c>
      <c r="AL271" t="n">
        <v>11.547</v>
      </c>
      <c r="AM271" t="n">
        <v>10.127</v>
      </c>
      <c r="AN271" t="n">
        <v>9.487</v>
      </c>
      <c r="AO271" t="n">
        <v>9.73</v>
      </c>
      <c r="AP271" t="n">
        <v>9.321</v>
      </c>
      <c r="AQ271" t="n">
        <v>8.952999999999999</v>
      </c>
      <c r="AR271" t="n">
        <v>8.736000000000001</v>
      </c>
      <c r="AS271" t="n">
        <v>8.901</v>
      </c>
      <c r="AT271" t="n">
        <v>9.768000000000001</v>
      </c>
      <c r="AU271" t="n">
        <v>10.405</v>
      </c>
      <c r="AV271" t="n">
        <v>7.882</v>
      </c>
      <c r="AW271" t="n">
        <v>8.15</v>
      </c>
      <c r="AX271" t="n">
        <v>7.714</v>
      </c>
      <c r="AY271" t="n">
        <v>6.227</v>
      </c>
      <c r="AZ271" t="n">
        <v>6.664</v>
      </c>
      <c r="BA271" t="n">
        <v>5.686</v>
      </c>
      <c r="BB271" t="n">
        <v>3.93</v>
      </c>
      <c r="BC271" t="n">
        <v>3.962</v>
      </c>
      <c r="BD271" t="n">
        <v>3.326</v>
      </c>
      <c r="BE271" t="n">
        <v>3.717</v>
      </c>
      <c r="BF271" t="n">
        <v>7.848</v>
      </c>
      <c r="BG271" t="n">
        <v>6.224</v>
      </c>
      <c r="BH271" t="n">
        <v>3.799</v>
      </c>
      <c r="BI271" t="n">
        <v>5.685</v>
      </c>
      <c r="BJ271" t="n">
        <v>42.635</v>
      </c>
      <c r="BK271" t="n">
        <v>38.082</v>
      </c>
      <c r="BL271" t="n">
        <v>2.15</v>
      </c>
      <c r="BM271" t="n">
        <v>0.374</v>
      </c>
      <c r="BN271" t="n">
        <v>1.707</v>
      </c>
      <c r="BO271" t="n">
        <v>0.507</v>
      </c>
      <c r="BP271" t="n">
        <v>0.541</v>
      </c>
      <c r="BQ271" t="n">
        <v>0.5570000000000001</v>
      </c>
      <c r="BR271" t="n">
        <v>0.238</v>
      </c>
      <c r="BS271" t="n">
        <v>0.712</v>
      </c>
      <c r="BT271" t="n">
        <v>0.656</v>
      </c>
      <c r="BU271" t="n">
        <v>0.216</v>
      </c>
      <c r="BV271" t="n">
        <v>15.457</v>
      </c>
    </row>
    <row r="272">
      <c r="A272" t="inlineStr">
        <is>
          <t>Galeorhinus galeus</t>
        </is>
      </c>
      <c r="B272" t="inlineStr">
        <is>
          <t>Tope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0.006</v>
      </c>
      <c r="BA272" t="n">
        <v>0.018</v>
      </c>
      <c r="BB272" t="n">
        <v>0</v>
      </c>
      <c r="BC272" t="n">
        <v>1.463</v>
      </c>
      <c r="BD272" t="n">
        <v>0.738</v>
      </c>
      <c r="BE272" t="n">
        <v>1.429</v>
      </c>
      <c r="BF272" t="n">
        <v>71.203</v>
      </c>
      <c r="BG272" t="n">
        <v>12.326</v>
      </c>
      <c r="BH272" t="n">
        <v>23.031</v>
      </c>
      <c r="BI272" t="n">
        <v>8.266</v>
      </c>
      <c r="BJ272" t="n">
        <v>69.854</v>
      </c>
      <c r="BK272" t="n">
        <v>69.925</v>
      </c>
      <c r="BL272" t="n">
        <v>62.152</v>
      </c>
      <c r="BM272" t="n">
        <v>81.096</v>
      </c>
      <c r="BN272" t="n">
        <v>8.863</v>
      </c>
      <c r="BO272" t="n">
        <v>8.096</v>
      </c>
      <c r="BP272" t="n">
        <v>5.827</v>
      </c>
      <c r="BQ272" t="n">
        <v>1.532</v>
      </c>
      <c r="BR272" t="n">
        <v>20.527</v>
      </c>
      <c r="BS272" t="n">
        <v>47.856</v>
      </c>
      <c r="BT272" t="n">
        <v>31.384</v>
      </c>
      <c r="BU272" t="n">
        <v>2.786</v>
      </c>
      <c r="BV272" t="n">
        <v>23.929</v>
      </c>
    </row>
    <row r="273">
      <c r="A273" t="inlineStr">
        <is>
          <t>Gymnothorax</t>
        </is>
      </c>
      <c r="B273" t="inlineStr">
        <is>
          <t>Morays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3.594</v>
      </c>
      <c r="BD273" t="n">
        <v>2.177</v>
      </c>
      <c r="BE273" t="n">
        <v>1.398</v>
      </c>
      <c r="BF273" t="n">
        <v>3.555</v>
      </c>
      <c r="BG273" t="n">
        <v>9.125999999999999</v>
      </c>
      <c r="BH273" t="n">
        <v>18.043</v>
      </c>
      <c r="BI273" t="n">
        <v>24.141</v>
      </c>
      <c r="BJ273" t="n">
        <v>37.59</v>
      </c>
      <c r="BK273" t="n">
        <v>41.307</v>
      </c>
      <c r="BL273" t="n">
        <v>36.443</v>
      </c>
      <c r="BM273" t="n">
        <v>33.032</v>
      </c>
      <c r="BN273" t="n">
        <v>33.228</v>
      </c>
      <c r="BO273" t="n">
        <v>28.37</v>
      </c>
      <c r="BP273" t="n">
        <v>32.186</v>
      </c>
      <c r="BQ273" t="n">
        <v>34.196</v>
      </c>
      <c r="BR273" t="n">
        <v>33.076</v>
      </c>
      <c r="BS273" t="n">
        <v>33.556</v>
      </c>
      <c r="BT273" t="n">
        <v>92.22199999999999</v>
      </c>
      <c r="BU273" t="n">
        <v>26.412</v>
      </c>
      <c r="BV273" t="n">
        <v>15.145</v>
      </c>
    </row>
    <row r="274">
      <c r="A274" t="inlineStr">
        <is>
          <t>Echeneidae</t>
        </is>
      </c>
      <c r="B274" t="inlineStr">
        <is>
          <t>Remoras</t>
        </is>
      </c>
      <c r="C274" t="inlineStr">
        <is>
          <t>Large pelagics (&gt;=90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0.249</v>
      </c>
      <c r="BA274" t="n">
        <v>2.993</v>
      </c>
      <c r="BB274" t="n">
        <v>0.998</v>
      </c>
      <c r="BC274" t="n">
        <v>11.974</v>
      </c>
      <c r="BD274" t="n">
        <v>0.249</v>
      </c>
      <c r="BE274" t="n">
        <v>0.249</v>
      </c>
      <c r="BF274" t="n">
        <v>0.249</v>
      </c>
      <c r="BG274" t="n">
        <v>0.998</v>
      </c>
      <c r="BH274" t="n">
        <v>511.283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Dicentrarchus punctatus</t>
        </is>
      </c>
      <c r="B275" t="inlineStr">
        <is>
          <t>Spotted seabass</t>
        </is>
      </c>
      <c r="C275" t="inlineStr">
        <is>
          <t>Medium pelagics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31.343</v>
      </c>
      <c r="AJ275" t="n">
        <v>34.892</v>
      </c>
      <c r="AK275" t="n">
        <v>54.345</v>
      </c>
      <c r="AL275" t="n">
        <v>20.831</v>
      </c>
      <c r="AM275" t="n">
        <v>59.347</v>
      </c>
      <c r="AN275" t="n">
        <v>125.813</v>
      </c>
      <c r="AO275" t="n">
        <v>68.051</v>
      </c>
      <c r="AP275" t="n">
        <v>36.061</v>
      </c>
      <c r="AQ275" t="n">
        <v>14.305</v>
      </c>
      <c r="AR275" t="n">
        <v>16.558</v>
      </c>
      <c r="AS275" t="n">
        <v>43.729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0.113</v>
      </c>
      <c r="AZ275" t="n">
        <v>0.102</v>
      </c>
      <c r="BA275" t="n">
        <v>0.125</v>
      </c>
      <c r="BB275" t="n">
        <v>0.224</v>
      </c>
      <c r="BC275" t="n">
        <v>2.999</v>
      </c>
      <c r="BD275" t="n">
        <v>0.333</v>
      </c>
      <c r="BE275" t="n">
        <v>0.5649999999999999</v>
      </c>
      <c r="BF275" t="n">
        <v>4.937</v>
      </c>
      <c r="BG275" t="n">
        <v>0.004</v>
      </c>
      <c r="BH275" t="n">
        <v>0.001</v>
      </c>
      <c r="BI275" t="n">
        <v>0.001</v>
      </c>
      <c r="BJ275" t="n">
        <v>0.001</v>
      </c>
      <c r="BK275" t="n">
        <v>0.001</v>
      </c>
      <c r="BL275" t="n">
        <v>0.001</v>
      </c>
      <c r="BM275" t="n">
        <v>2.074</v>
      </c>
      <c r="BN275" t="n">
        <v>1.693</v>
      </c>
      <c r="BO275" t="n">
        <v>2.39</v>
      </c>
      <c r="BP275" t="n">
        <v>1.511</v>
      </c>
      <c r="BQ275" t="n">
        <v>1.08</v>
      </c>
      <c r="BR275" t="n">
        <v>1.499</v>
      </c>
      <c r="BS275" t="n">
        <v>2.431</v>
      </c>
      <c r="BT275" t="n">
        <v>0.516</v>
      </c>
      <c r="BU275" t="n">
        <v>0.483</v>
      </c>
      <c r="BV275" t="n">
        <v>0.194</v>
      </c>
    </row>
    <row r="276">
      <c r="A276" t="inlineStr">
        <is>
          <t>Caranx lugubris</t>
        </is>
      </c>
      <c r="B276" t="inlineStr">
        <is>
          <t>Black jack</t>
        </is>
      </c>
      <c r="C276" t="inlineStr">
        <is>
          <t>Large benthopelagics (&gt;=90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523.231</v>
      </c>
    </row>
    <row r="277">
      <c r="A277" t="inlineStr">
        <is>
          <t>Holothuriidae</t>
        </is>
      </c>
      <c r="B277" t="inlineStr">
        <is>
          <t>Fleshy sea cucumbers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93.485</v>
      </c>
      <c r="BI277" t="n">
        <v>86.855</v>
      </c>
      <c r="BJ277" t="n">
        <v>80.22499999999999</v>
      </c>
      <c r="BK277" t="n">
        <v>73.595</v>
      </c>
      <c r="BL277" t="n">
        <v>66.965</v>
      </c>
      <c r="BM277" t="n">
        <v>60.334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0.47</v>
      </c>
      <c r="BU277" t="n">
        <v>0</v>
      </c>
      <c r="BV277" t="n">
        <v>0</v>
      </c>
    </row>
    <row r="278">
      <c r="A278" t="inlineStr">
        <is>
          <t>Centrophorus squamosus</t>
        </is>
      </c>
      <c r="B278" t="inlineStr">
        <is>
          <t>Leafscale gulper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3.3</v>
      </c>
      <c r="BD278" t="n">
        <v>2.877</v>
      </c>
      <c r="BE278" t="n">
        <v>2.235</v>
      </c>
      <c r="BF278" t="n">
        <v>5.595</v>
      </c>
      <c r="BG278" t="n">
        <v>38.538</v>
      </c>
      <c r="BH278" t="n">
        <v>7.161</v>
      </c>
      <c r="BI278" t="n">
        <v>4.488</v>
      </c>
      <c r="BJ278" t="n">
        <v>13.046</v>
      </c>
      <c r="BK278" t="n">
        <v>50.277</v>
      </c>
      <c r="BL278" t="n">
        <v>44.12</v>
      </c>
      <c r="BM278" t="n">
        <v>55.439</v>
      </c>
      <c r="BN278" t="n">
        <v>56.769</v>
      </c>
      <c r="BO278" t="n">
        <v>45.463</v>
      </c>
      <c r="BP278" t="n">
        <v>20.617</v>
      </c>
      <c r="BQ278" t="n">
        <v>23.767</v>
      </c>
      <c r="BR278" t="n">
        <v>0</v>
      </c>
      <c r="BS278" t="n">
        <v>0</v>
      </c>
      <c r="BT278" t="n">
        <v>2.807</v>
      </c>
      <c r="BU278" t="n">
        <v>2.807</v>
      </c>
      <c r="BV278" t="n">
        <v>7.266</v>
      </c>
    </row>
    <row r="279">
      <c r="A279" t="inlineStr">
        <is>
          <t>Sarpa salpa</t>
        </is>
      </c>
      <c r="B279" t="inlineStr">
        <is>
          <t>Salema</t>
        </is>
      </c>
      <c r="C279" t="inlineStr">
        <is>
          <t>Medium benthopelagics (30 - 89 cm)</t>
        </is>
      </c>
      <c r="D279" t="inlineStr">
        <is>
          <t>Perch-likes</t>
        </is>
      </c>
      <c r="E279" t="n">
        <v>0.675</v>
      </c>
      <c r="F279" t="n">
        <v>0.677</v>
      </c>
      <c r="G279" t="n">
        <v>1.974</v>
      </c>
      <c r="H279" t="n">
        <v>2.359</v>
      </c>
      <c r="I279" t="n">
        <v>2.791</v>
      </c>
      <c r="J279" t="n">
        <v>3.16</v>
      </c>
      <c r="K279" t="n">
        <v>3.661</v>
      </c>
      <c r="L279" t="n">
        <v>4.011</v>
      </c>
      <c r="M279" t="n">
        <v>4.463</v>
      </c>
      <c r="N279" t="n">
        <v>2.318</v>
      </c>
      <c r="O279" t="n">
        <v>2.743</v>
      </c>
      <c r="P279" t="n">
        <v>3.172</v>
      </c>
      <c r="Q279" t="n">
        <v>3.126</v>
      </c>
      <c r="R279" t="n">
        <v>3.539</v>
      </c>
      <c r="S279" t="n">
        <v>3.717</v>
      </c>
      <c r="T279" t="n">
        <v>3.621</v>
      </c>
      <c r="U279" t="n">
        <v>3.354</v>
      </c>
      <c r="V279" t="n">
        <v>2.895</v>
      </c>
      <c r="W279" t="n">
        <v>2.636</v>
      </c>
      <c r="X279" t="n">
        <v>2.436</v>
      </c>
      <c r="Y279" t="n">
        <v>2.212</v>
      </c>
      <c r="Z279" t="n">
        <v>2.104</v>
      </c>
      <c r="AA279" t="n">
        <v>1.667</v>
      </c>
      <c r="AB279" t="n">
        <v>1.5</v>
      </c>
      <c r="AC279" t="n">
        <v>1.308</v>
      </c>
      <c r="AD279" t="n">
        <v>1.123</v>
      </c>
      <c r="AE279" t="n">
        <v>0.887</v>
      </c>
      <c r="AF279" t="n">
        <v>0.669</v>
      </c>
      <c r="AG279" t="n">
        <v>0.426</v>
      </c>
      <c r="AH279" t="n">
        <v>0.201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5.703</v>
      </c>
      <c r="BH279" t="n">
        <v>11.347</v>
      </c>
      <c r="BI279" t="n">
        <v>20.439</v>
      </c>
      <c r="BJ279" t="n">
        <v>29.988</v>
      </c>
      <c r="BK279" t="n">
        <v>33.647</v>
      </c>
      <c r="BL279" t="n">
        <v>27.355</v>
      </c>
      <c r="BM279" t="n">
        <v>22.524</v>
      </c>
      <c r="BN279" t="n">
        <v>17.838</v>
      </c>
      <c r="BO279" t="n">
        <v>15.173</v>
      </c>
      <c r="BP279" t="n">
        <v>13.574</v>
      </c>
      <c r="BQ279" t="n">
        <v>20.361</v>
      </c>
      <c r="BR279" t="n">
        <v>16.367</v>
      </c>
      <c r="BS279" t="n">
        <v>19.584</v>
      </c>
      <c r="BT279" t="n">
        <v>15.94</v>
      </c>
      <c r="BU279" t="n">
        <v>17.762</v>
      </c>
      <c r="BV279" t="n">
        <v>13.513</v>
      </c>
    </row>
    <row r="280">
      <c r="A280" t="inlineStr">
        <is>
          <t>Chaceon maritae</t>
        </is>
      </c>
      <c r="B280" t="inlineStr">
        <is>
          <t>West African geryon</t>
        </is>
      </c>
      <c r="C280" t="inlineStr">
        <is>
          <t>Lobsters, crabs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109.726</v>
      </c>
      <c r="AU280" t="n">
        <v>105.354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3.508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1.444</v>
      </c>
      <c r="BK280" t="n">
        <v>84.358</v>
      </c>
      <c r="BL280" t="n">
        <v>4.096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32.376</v>
      </c>
      <c r="BT280" t="n">
        <v>1.483</v>
      </c>
      <c r="BU280" t="n">
        <v>1.928</v>
      </c>
      <c r="BV280" t="n">
        <v>13.958</v>
      </c>
    </row>
    <row r="281">
      <c r="A281" t="inlineStr">
        <is>
          <t>Isurus paucus</t>
        </is>
      </c>
      <c r="B281" t="inlineStr">
        <is>
          <t>Longfin mako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2.235</v>
      </c>
      <c r="BA281" t="n">
        <v>1.06</v>
      </c>
      <c r="BB281" t="n">
        <v>0</v>
      </c>
      <c r="BC281" t="n">
        <v>1.786</v>
      </c>
      <c r="BD281" t="n">
        <v>0.6840000000000001</v>
      </c>
      <c r="BE281" t="n">
        <v>1.219</v>
      </c>
      <c r="BF281" t="n">
        <v>1.124</v>
      </c>
      <c r="BG281" t="n">
        <v>0.219</v>
      </c>
      <c r="BH281" t="n">
        <v>0</v>
      </c>
      <c r="BI281" t="n">
        <v>0</v>
      </c>
      <c r="BJ281" t="n">
        <v>1.042</v>
      </c>
      <c r="BK281" t="n">
        <v>0</v>
      </c>
      <c r="BL281" t="n">
        <v>1.166</v>
      </c>
      <c r="BM281" t="n">
        <v>0.803</v>
      </c>
      <c r="BN281" t="n">
        <v>1.712</v>
      </c>
      <c r="BO281" t="n">
        <v>1.372</v>
      </c>
      <c r="BP281" t="n">
        <v>6.009</v>
      </c>
      <c r="BQ281" t="n">
        <v>1.261</v>
      </c>
      <c r="BR281" t="n">
        <v>5.421</v>
      </c>
      <c r="BS281" t="n">
        <v>11.085</v>
      </c>
      <c r="BT281" t="n">
        <v>222.42</v>
      </c>
      <c r="BU281" t="n">
        <v>48.662</v>
      </c>
      <c r="BV281" t="n">
        <v>38.706</v>
      </c>
    </row>
    <row r="282">
      <c r="A282" t="inlineStr">
        <is>
          <t>Carcharodon carcharias</t>
        </is>
      </c>
      <c r="B282" t="inlineStr">
        <is>
          <t>Great white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0.006</v>
      </c>
      <c r="T282" t="n">
        <v>0.003</v>
      </c>
      <c r="U282" t="n">
        <v>0.003</v>
      </c>
      <c r="V282" t="n">
        <v>0.003</v>
      </c>
      <c r="W282" t="n">
        <v>0.006</v>
      </c>
      <c r="X282" t="n">
        <v>0.006</v>
      </c>
      <c r="Y282" t="n">
        <v>0.006</v>
      </c>
      <c r="Z282" t="n">
        <v>0.006</v>
      </c>
      <c r="AA282" t="n">
        <v>0.006</v>
      </c>
      <c r="AB282" t="n">
        <v>0.003</v>
      </c>
      <c r="AC282" t="n">
        <v>0.87</v>
      </c>
      <c r="AD282" t="n">
        <v>1.78</v>
      </c>
      <c r="AE282" t="n">
        <v>1.46</v>
      </c>
      <c r="AF282" t="n">
        <v>3.345</v>
      </c>
      <c r="AG282" t="n">
        <v>7.403</v>
      </c>
      <c r="AH282" t="n">
        <v>4.723</v>
      </c>
      <c r="AI282" t="n">
        <v>6.267</v>
      </c>
      <c r="AJ282" t="n">
        <v>4.919</v>
      </c>
      <c r="AK282" t="n">
        <v>4.893</v>
      </c>
      <c r="AL282" t="n">
        <v>0.657</v>
      </c>
      <c r="AM282" t="n">
        <v>0.447</v>
      </c>
      <c r="AN282" t="n">
        <v>0.669</v>
      </c>
      <c r="AO282" t="n">
        <v>0.001</v>
      </c>
      <c r="AP282" t="n">
        <v>0.497</v>
      </c>
      <c r="AQ282" t="n">
        <v>1.101</v>
      </c>
      <c r="AR282" t="n">
        <v>2.372</v>
      </c>
      <c r="AS282" t="n">
        <v>2.172</v>
      </c>
      <c r="AT282" t="n">
        <v>6.193</v>
      </c>
      <c r="AU282" t="n">
        <v>3.402</v>
      </c>
      <c r="AV282" t="n">
        <v>3.848</v>
      </c>
      <c r="AW282" t="n">
        <v>80.318</v>
      </c>
      <c r="AX282" t="n">
        <v>14.228</v>
      </c>
      <c r="AY282" t="n">
        <v>12.359</v>
      </c>
      <c r="AZ282" t="n">
        <v>19.431</v>
      </c>
      <c r="BA282" t="n">
        <v>15.06</v>
      </c>
      <c r="BB282" t="n">
        <v>3.372</v>
      </c>
      <c r="BC282" t="n">
        <v>3.551</v>
      </c>
      <c r="BD282" t="n">
        <v>4.225</v>
      </c>
      <c r="BE282" t="n">
        <v>4.315</v>
      </c>
      <c r="BF282" t="n">
        <v>4.635</v>
      </c>
      <c r="BG282" t="n">
        <v>5.212</v>
      </c>
      <c r="BH282" t="n">
        <v>9.289999999999999</v>
      </c>
      <c r="BI282" t="n">
        <v>4.756</v>
      </c>
      <c r="BJ282" t="n">
        <v>4.818</v>
      </c>
      <c r="BK282" t="n">
        <v>3.725</v>
      </c>
      <c r="BL282" t="n">
        <v>3.99</v>
      </c>
      <c r="BM282" t="n">
        <v>19.114</v>
      </c>
      <c r="BN282" t="n">
        <v>7.184</v>
      </c>
      <c r="BO282" t="n">
        <v>12.891</v>
      </c>
      <c r="BP282" t="n">
        <v>6.204</v>
      </c>
      <c r="BQ282" t="n">
        <v>5.751</v>
      </c>
      <c r="BR282" t="n">
        <v>10.448</v>
      </c>
      <c r="BS282" t="n">
        <v>9.622</v>
      </c>
      <c r="BT282" t="n">
        <v>8.818</v>
      </c>
      <c r="BU282" t="n">
        <v>4.169</v>
      </c>
      <c r="BV282" t="n">
        <v>7.667</v>
      </c>
    </row>
    <row r="283">
      <c r="A283" t="inlineStr">
        <is>
          <t>Ruvettus pretiosus</t>
        </is>
      </c>
      <c r="B283" t="inlineStr">
        <is>
          <t>Oilfish</t>
        </is>
      </c>
      <c r="C283" t="inlineStr">
        <is>
          <t>Large benthopelagics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3.817</v>
      </c>
      <c r="BD283" t="n">
        <v>1.539</v>
      </c>
      <c r="BE283" t="n">
        <v>5.968</v>
      </c>
      <c r="BF283" t="n">
        <v>9.853</v>
      </c>
      <c r="BG283" t="n">
        <v>14.477</v>
      </c>
      <c r="BH283" t="n">
        <v>32.049</v>
      </c>
      <c r="BI283" t="n">
        <v>19.712</v>
      </c>
      <c r="BJ283" t="n">
        <v>21.655</v>
      </c>
      <c r="BK283" t="n">
        <v>30.738</v>
      </c>
      <c r="BL283" t="n">
        <v>25.817</v>
      </c>
      <c r="BM283" t="n">
        <v>52.401</v>
      </c>
      <c r="BN283" t="n">
        <v>34.197</v>
      </c>
      <c r="BO283" t="n">
        <v>29.695</v>
      </c>
      <c r="BP283" t="n">
        <v>18.712</v>
      </c>
      <c r="BQ283" t="n">
        <v>10.481</v>
      </c>
      <c r="BR283" t="n">
        <v>4.255</v>
      </c>
      <c r="BS283" t="n">
        <v>5.704</v>
      </c>
      <c r="BT283" t="n">
        <v>1.485</v>
      </c>
      <c r="BU283" t="n">
        <v>1.748</v>
      </c>
      <c r="BV283" t="n">
        <v>8.16</v>
      </c>
    </row>
    <row r="284">
      <c r="A284" t="inlineStr">
        <is>
          <t>Centroscymnus coelolepis</t>
        </is>
      </c>
      <c r="B284" t="inlineStr">
        <is>
          <t>Portuguese dogfish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54.444</v>
      </c>
      <c r="BI284" t="n">
        <v>0</v>
      </c>
      <c r="BJ284" t="n">
        <v>73.60899999999999</v>
      </c>
      <c r="BK284" t="n">
        <v>154.549</v>
      </c>
      <c r="BL284" t="n">
        <v>30.967</v>
      </c>
      <c r="BM284" t="n">
        <v>0.541</v>
      </c>
      <c r="BN284" t="n">
        <v>0.117</v>
      </c>
      <c r="BO284" t="n">
        <v>0.08599999999999999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16.284</v>
      </c>
    </row>
    <row r="285">
      <c r="A285" t="inlineStr">
        <is>
          <t>Mustelus</t>
        </is>
      </c>
      <c r="B285" t="inlineStr">
        <is>
          <t>Smoothhounds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67.351</v>
      </c>
      <c r="BH285" t="n">
        <v>124.673</v>
      </c>
      <c r="BI285" t="n">
        <v>0</v>
      </c>
      <c r="BJ285" t="n">
        <v>17.178</v>
      </c>
      <c r="BK285" t="n">
        <v>37.355</v>
      </c>
      <c r="BL285" t="n">
        <v>0</v>
      </c>
      <c r="BM285" t="n">
        <v>15.349</v>
      </c>
      <c r="BN285" t="n">
        <v>19.128</v>
      </c>
      <c r="BO285" t="n">
        <v>3.546</v>
      </c>
      <c r="BP285" t="n">
        <v>33.285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Arnoglossus laterna</t>
        </is>
      </c>
      <c r="B286" t="inlineStr">
        <is>
          <t>Mediterranean scaldfish</t>
        </is>
      </c>
      <c r="C286" t="inlineStr">
        <is>
          <t>Small to medium flatfishes (&lt;90 cm)</t>
        </is>
      </c>
      <c r="D286" t="inlineStr">
        <is>
          <t>Flatfishes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34.021</v>
      </c>
      <c r="BT286" t="n">
        <v>133.076</v>
      </c>
      <c r="BU286" t="n">
        <v>85.428</v>
      </c>
      <c r="BV286" t="n">
        <v>58.341</v>
      </c>
    </row>
    <row r="287">
      <c r="A287" t="inlineStr">
        <is>
          <t>Carcharhinus amboinensis</t>
        </is>
      </c>
      <c r="B287" t="inlineStr">
        <is>
          <t>Pigeye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300.31</v>
      </c>
    </row>
    <row r="288">
      <c r="A288" t="inlineStr">
        <is>
          <t>Epinephelus caninus</t>
        </is>
      </c>
      <c r="B288" t="inlineStr">
        <is>
          <t>Dogtooth grouper</t>
        </is>
      </c>
      <c r="C288" t="inlineStr">
        <is>
          <t>Large demersals (&gt;=90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0.607</v>
      </c>
      <c r="AD288" t="n">
        <v>0.924</v>
      </c>
      <c r="AE288" t="n">
        <v>1.386</v>
      </c>
      <c r="AF288" t="n">
        <v>1.904</v>
      </c>
      <c r="AG288" t="n">
        <v>2.466</v>
      </c>
      <c r="AH288" t="n">
        <v>2.517</v>
      </c>
      <c r="AI288" t="n">
        <v>2.871</v>
      </c>
      <c r="AJ288" t="n">
        <v>2.803</v>
      </c>
      <c r="AK288" t="n">
        <v>3.152</v>
      </c>
      <c r="AL288" t="n">
        <v>3.254</v>
      </c>
      <c r="AM288" t="n">
        <v>3.83</v>
      </c>
      <c r="AN288" t="n">
        <v>4.278</v>
      </c>
      <c r="AO288" t="n">
        <v>4.668</v>
      </c>
      <c r="AP288" t="n">
        <v>5.443</v>
      </c>
      <c r="AQ288" t="n">
        <v>5.447</v>
      </c>
      <c r="AR288" t="n">
        <v>5.016</v>
      </c>
      <c r="AS288" t="n">
        <v>4.986</v>
      </c>
      <c r="AT288" t="n">
        <v>4.599</v>
      </c>
      <c r="AU288" t="n">
        <v>5.312</v>
      </c>
      <c r="AV288" t="n">
        <v>5.353</v>
      </c>
      <c r="AW288" t="n">
        <v>6.104</v>
      </c>
      <c r="AX288" t="n">
        <v>6</v>
      </c>
      <c r="AY288" t="n">
        <v>6.487</v>
      </c>
      <c r="AZ288" t="n">
        <v>6.22</v>
      </c>
      <c r="BA288" t="n">
        <v>7.885</v>
      </c>
      <c r="BB288" t="n">
        <v>7.453</v>
      </c>
      <c r="BC288" t="n">
        <v>6.748</v>
      </c>
      <c r="BD288" t="n">
        <v>8.045</v>
      </c>
      <c r="BE288" t="n">
        <v>8.455</v>
      </c>
      <c r="BF288" t="n">
        <v>6.906</v>
      </c>
      <c r="BG288" t="n">
        <v>8.134</v>
      </c>
      <c r="BH288" t="n">
        <v>7.938</v>
      </c>
      <c r="BI288" t="n">
        <v>9.977</v>
      </c>
      <c r="BJ288" t="n">
        <v>8.327</v>
      </c>
      <c r="BK288" t="n">
        <v>8.904</v>
      </c>
      <c r="BL288" t="n">
        <v>9.103999999999999</v>
      </c>
      <c r="BM288" t="n">
        <v>15.717</v>
      </c>
      <c r="BN288" t="n">
        <v>7.685</v>
      </c>
      <c r="BO288" t="n">
        <v>14.235</v>
      </c>
      <c r="BP288" t="n">
        <v>6.939</v>
      </c>
      <c r="BQ288" t="n">
        <v>6.568</v>
      </c>
      <c r="BR288" t="n">
        <v>12.015</v>
      </c>
      <c r="BS288" t="n">
        <v>11.283</v>
      </c>
      <c r="BT288" t="n">
        <v>10.569</v>
      </c>
      <c r="BU288" t="n">
        <v>5.048</v>
      </c>
      <c r="BV288" t="n">
        <v>9.138999999999999</v>
      </c>
    </row>
    <row r="289">
      <c r="A289" t="inlineStr">
        <is>
          <t>Beryx</t>
        </is>
      </c>
      <c r="B289" t="inlineStr">
        <is>
          <t>Alfonsinos</t>
        </is>
      </c>
      <c r="C289" t="inlineStr">
        <is>
          <t>Medium benthopelagics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7.194</v>
      </c>
      <c r="BT289" t="n">
        <v>8.252000000000001</v>
      </c>
      <c r="BU289" t="n">
        <v>8.288</v>
      </c>
      <c r="BV289" t="n">
        <v>233.901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40.557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3.239</v>
      </c>
      <c r="AW290" t="n">
        <v>0.042</v>
      </c>
      <c r="AX290" t="n">
        <v>3.146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0.043</v>
      </c>
      <c r="BE290" t="n">
        <v>0</v>
      </c>
      <c r="BF290" t="n">
        <v>8.989000000000001</v>
      </c>
      <c r="BG290" t="n">
        <v>6.852</v>
      </c>
      <c r="BH290" t="n">
        <v>8.122999999999999</v>
      </c>
      <c r="BI290" t="n">
        <v>7.606</v>
      </c>
      <c r="BJ290" t="n">
        <v>10.251</v>
      </c>
      <c r="BK290" t="n">
        <v>5.217</v>
      </c>
      <c r="BL290" t="n">
        <v>13.293</v>
      </c>
      <c r="BM290" t="n">
        <v>30.365</v>
      </c>
      <c r="BN290" t="n">
        <v>15.582</v>
      </c>
      <c r="BO290" t="n">
        <v>18.717</v>
      </c>
      <c r="BP290" t="n">
        <v>14.537</v>
      </c>
      <c r="BQ290" t="n">
        <v>10.099</v>
      </c>
      <c r="BR290" t="n">
        <v>10.411</v>
      </c>
      <c r="BS290" t="n">
        <v>11.249</v>
      </c>
      <c r="BT290" t="n">
        <v>11.279</v>
      </c>
      <c r="BU290" t="n">
        <v>14.849</v>
      </c>
      <c r="BV290" t="n">
        <v>10.909</v>
      </c>
    </row>
    <row r="291">
      <c r="A291" t="inlineStr">
        <is>
          <t>Alopias superciliosus</t>
        </is>
      </c>
      <c r="B291" t="inlineStr">
        <is>
          <t>Bigeye thresher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62.77</v>
      </c>
      <c r="BA291" t="n">
        <v>54.835</v>
      </c>
      <c r="BB291" t="n">
        <v>33.127</v>
      </c>
      <c r="BC291" t="n">
        <v>2.784</v>
      </c>
      <c r="BD291" t="n">
        <v>0.544</v>
      </c>
      <c r="BE291" t="n">
        <v>0.496</v>
      </c>
      <c r="BF291" t="n">
        <v>1.152</v>
      </c>
      <c r="BG291" t="n">
        <v>1.125</v>
      </c>
      <c r="BH291" t="n">
        <v>3.348</v>
      </c>
      <c r="BI291" t="n">
        <v>1.935</v>
      </c>
      <c r="BJ291" t="n">
        <v>3.249</v>
      </c>
      <c r="BK291" t="n">
        <v>2.96</v>
      </c>
      <c r="BL291" t="n">
        <v>5.446</v>
      </c>
      <c r="BM291" t="n">
        <v>0.095</v>
      </c>
      <c r="BN291" t="n">
        <v>0</v>
      </c>
      <c r="BO291" t="n">
        <v>42.719</v>
      </c>
      <c r="BP291" t="n">
        <v>0</v>
      </c>
      <c r="BQ291" t="n">
        <v>0</v>
      </c>
      <c r="BR291" t="n">
        <v>0</v>
      </c>
      <c r="BS291" t="n">
        <v>0</v>
      </c>
      <c r="BT291" t="n">
        <v>4.995</v>
      </c>
      <c r="BU291" t="n">
        <v>8.986000000000001</v>
      </c>
      <c r="BV291" t="n">
        <v>23.978</v>
      </c>
    </row>
    <row r="292">
      <c r="A292" t="inlineStr">
        <is>
          <t>Maja squinado</t>
        </is>
      </c>
      <c r="B292" t="inlineStr">
        <is>
          <t>Spinous spider crab</t>
        </is>
      </c>
      <c r="C292" t="inlineStr">
        <is>
          <t>Lobsters, crabs</t>
        </is>
      </c>
      <c r="D292" t="inlineStr">
        <is>
          <t>Crustaceans</t>
        </is>
      </c>
      <c r="E292" t="n">
        <v>0.064</v>
      </c>
      <c r="F292" t="n">
        <v>0.065</v>
      </c>
      <c r="G292" t="n">
        <v>0.066</v>
      </c>
      <c r="H292" t="n">
        <v>0.06900000000000001</v>
      </c>
      <c r="I292" t="n">
        <v>0.07199999999999999</v>
      </c>
      <c r="J292" t="n">
        <v>0.075</v>
      </c>
      <c r="K292" t="n">
        <v>0.078</v>
      </c>
      <c r="L292" t="n">
        <v>0.082</v>
      </c>
      <c r="M292" t="n">
        <v>0.307</v>
      </c>
      <c r="N292" t="n">
        <v>0.468</v>
      </c>
      <c r="O292" t="n">
        <v>0.6909999999999999</v>
      </c>
      <c r="P292" t="n">
        <v>0.912</v>
      </c>
      <c r="Q292" t="n">
        <v>1.131</v>
      </c>
      <c r="R292" t="n">
        <v>1.095</v>
      </c>
      <c r="S292" t="n">
        <v>1.123</v>
      </c>
      <c r="T292" t="n">
        <v>1.096</v>
      </c>
      <c r="U292" t="n">
        <v>1.076</v>
      </c>
      <c r="V292" t="n">
        <v>1.064</v>
      </c>
      <c r="W292" t="n">
        <v>1.086</v>
      </c>
      <c r="X292" t="n">
        <v>1.837</v>
      </c>
      <c r="Y292" t="n">
        <v>1.938</v>
      </c>
      <c r="Z292" t="n">
        <v>2.026</v>
      </c>
      <c r="AA292" t="n">
        <v>2.086</v>
      </c>
      <c r="AB292" t="n">
        <v>2.12</v>
      </c>
      <c r="AC292" t="n">
        <v>1.427</v>
      </c>
      <c r="AD292" t="n">
        <v>1.373</v>
      </c>
      <c r="AE292" t="n">
        <v>1.539</v>
      </c>
      <c r="AF292" t="n">
        <v>2.105</v>
      </c>
      <c r="AG292" t="n">
        <v>2.225</v>
      </c>
      <c r="AH292" t="n">
        <v>2.296</v>
      </c>
      <c r="AI292" t="n">
        <v>2.552</v>
      </c>
      <c r="AJ292" t="n">
        <v>2.748</v>
      </c>
      <c r="AK292" t="n">
        <v>2.583</v>
      </c>
      <c r="AL292" t="n">
        <v>2.568</v>
      </c>
      <c r="AM292" t="n">
        <v>3.146</v>
      </c>
      <c r="AN292" t="n">
        <v>3.407</v>
      </c>
      <c r="AO292" t="n">
        <v>3.908</v>
      </c>
      <c r="AP292" t="n">
        <v>4.341</v>
      </c>
      <c r="AQ292" t="n">
        <v>5.043</v>
      </c>
      <c r="AR292" t="n">
        <v>5.112</v>
      </c>
      <c r="AS292" t="n">
        <v>5.46</v>
      </c>
      <c r="AT292" t="n">
        <v>5.416</v>
      </c>
      <c r="AU292" t="n">
        <v>5.375</v>
      </c>
      <c r="AV292" t="n">
        <v>5.368</v>
      </c>
      <c r="AW292" t="n">
        <v>5.395</v>
      </c>
      <c r="AX292" t="n">
        <v>5.455</v>
      </c>
      <c r="AY292" t="n">
        <v>5.549</v>
      </c>
      <c r="AZ292" t="n">
        <v>5.641</v>
      </c>
      <c r="BA292" t="n">
        <v>5.7</v>
      </c>
      <c r="BB292" t="n">
        <v>5.726</v>
      </c>
      <c r="BC292" t="n">
        <v>5.719</v>
      </c>
      <c r="BD292" t="n">
        <v>5.68</v>
      </c>
      <c r="BE292" t="n">
        <v>5.688</v>
      </c>
      <c r="BF292" t="n">
        <v>5.744</v>
      </c>
      <c r="BG292" t="n">
        <v>5.894</v>
      </c>
      <c r="BH292" t="n">
        <v>6.047</v>
      </c>
      <c r="BI292" t="n">
        <v>5.936</v>
      </c>
      <c r="BJ292" t="n">
        <v>6.575</v>
      </c>
      <c r="BK292" t="n">
        <v>5.766</v>
      </c>
      <c r="BL292" t="n">
        <v>1.822</v>
      </c>
      <c r="BM292" t="n">
        <v>6.703</v>
      </c>
      <c r="BN292" t="n">
        <v>6.821</v>
      </c>
      <c r="BO292" t="n">
        <v>7.029</v>
      </c>
      <c r="BP292" t="n">
        <v>7.185</v>
      </c>
      <c r="BQ292" t="n">
        <v>7.444</v>
      </c>
      <c r="BR292" t="n">
        <v>7.702</v>
      </c>
      <c r="BS292" t="n">
        <v>7.986</v>
      </c>
      <c r="BT292" t="n">
        <v>8.291</v>
      </c>
      <c r="BU292" t="n">
        <v>8.561999999999999</v>
      </c>
      <c r="BV292" t="n">
        <v>8.853</v>
      </c>
    </row>
    <row r="293">
      <c r="A293" t="inlineStr">
        <is>
          <t>Cynoglossus senegalensis</t>
        </is>
      </c>
      <c r="B293" t="inlineStr">
        <is>
          <t>Senegalese tonguesole</t>
        </is>
      </c>
      <c r="C293" t="inlineStr">
        <is>
          <t>Small to medium flatfishes (&lt;90 cm)</t>
        </is>
      </c>
      <c r="D293" t="inlineStr">
        <is>
          <t>Flatfishes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244.316</v>
      </c>
    </row>
    <row r="294">
      <c r="A294" t="inlineStr">
        <is>
          <t>Panulirus regius</t>
        </is>
      </c>
      <c r="B294" t="inlineStr">
        <is>
          <t>Royal spiny lobster</t>
        </is>
      </c>
      <c r="C294" t="inlineStr">
        <is>
          <t>Lobsters, crabs</t>
        </is>
      </c>
      <c r="D294" t="inlineStr">
        <is>
          <t>Crustaceans</t>
        </is>
      </c>
      <c r="E294" t="n">
        <v>4.635</v>
      </c>
      <c r="F294" t="n">
        <v>4.754</v>
      </c>
      <c r="G294" t="n">
        <v>4.872</v>
      </c>
      <c r="H294" t="n">
        <v>4.99</v>
      </c>
      <c r="I294" t="n">
        <v>5.108</v>
      </c>
      <c r="J294" t="n">
        <v>5.227</v>
      </c>
      <c r="K294" t="n">
        <v>5.345</v>
      </c>
      <c r="L294" t="n">
        <v>5.306</v>
      </c>
      <c r="M294" t="n">
        <v>5.424</v>
      </c>
      <c r="N294" t="n">
        <v>5.385</v>
      </c>
      <c r="O294" t="n">
        <v>5.522</v>
      </c>
      <c r="P294" t="n">
        <v>5.746</v>
      </c>
      <c r="Q294" t="n">
        <v>5.868</v>
      </c>
      <c r="R294" t="n">
        <v>5.777</v>
      </c>
      <c r="S294" t="n">
        <v>5.844</v>
      </c>
      <c r="T294" t="n">
        <v>6.239</v>
      </c>
      <c r="U294" t="n">
        <v>5.874</v>
      </c>
      <c r="V294" t="n">
        <v>6.188</v>
      </c>
      <c r="W294" t="n">
        <v>4.848</v>
      </c>
      <c r="X294" t="n">
        <v>4.773</v>
      </c>
      <c r="Y294" t="n">
        <v>4.464</v>
      </c>
      <c r="Z294" t="n">
        <v>2.5</v>
      </c>
      <c r="AA294" t="n">
        <v>1.098</v>
      </c>
      <c r="AB294" t="n">
        <v>1.101</v>
      </c>
      <c r="AC294" t="n">
        <v>1.102</v>
      </c>
      <c r="AD294" t="n">
        <v>1.1</v>
      </c>
      <c r="AE294" t="n">
        <v>1.115</v>
      </c>
      <c r="AF294" t="n">
        <v>1.096</v>
      </c>
      <c r="AG294" t="n">
        <v>1.077</v>
      </c>
      <c r="AH294" t="n">
        <v>1.058</v>
      </c>
      <c r="AI294" t="n">
        <v>1.123</v>
      </c>
      <c r="AJ294" t="n">
        <v>1.226</v>
      </c>
      <c r="AK294" t="n">
        <v>1.606</v>
      </c>
      <c r="AL294" t="n">
        <v>1.51</v>
      </c>
      <c r="AM294" t="n">
        <v>0.961</v>
      </c>
      <c r="AN294" t="n">
        <v>1.151</v>
      </c>
      <c r="AO294" t="n">
        <v>1.087</v>
      </c>
      <c r="AP294" t="n">
        <v>1.447</v>
      </c>
      <c r="AQ294" t="n">
        <v>1.694</v>
      </c>
      <c r="AR294" t="n">
        <v>1.938</v>
      </c>
      <c r="AS294" t="n">
        <v>2.353</v>
      </c>
      <c r="AT294" t="n">
        <v>2.669</v>
      </c>
      <c r="AU294" t="n">
        <v>2.855</v>
      </c>
      <c r="AV294" t="n">
        <v>3.185</v>
      </c>
      <c r="AW294" t="n">
        <v>2.695</v>
      </c>
      <c r="AX294" t="n">
        <v>4.118</v>
      </c>
      <c r="AY294" t="n">
        <v>3.345</v>
      </c>
      <c r="AZ294" t="n">
        <v>2.704</v>
      </c>
      <c r="BA294" t="n">
        <v>2.913</v>
      </c>
      <c r="BB294" t="n">
        <v>2.559</v>
      </c>
      <c r="BC294" t="n">
        <v>4.036</v>
      </c>
      <c r="BD294" t="n">
        <v>3.949</v>
      </c>
      <c r="BE294" t="n">
        <v>3.857</v>
      </c>
      <c r="BF294" t="n">
        <v>3.742</v>
      </c>
      <c r="BG294" t="n">
        <v>3.879</v>
      </c>
      <c r="BH294" t="n">
        <v>3.804</v>
      </c>
      <c r="BI294" t="n">
        <v>3.699</v>
      </c>
      <c r="BJ294" t="n">
        <v>3.626</v>
      </c>
      <c r="BK294" t="n">
        <v>3.296</v>
      </c>
      <c r="BL294" t="n">
        <v>1.551</v>
      </c>
      <c r="BM294" t="n">
        <v>2.027</v>
      </c>
      <c r="BN294" t="n">
        <v>2.433</v>
      </c>
      <c r="BO294" t="n">
        <v>1.555</v>
      </c>
      <c r="BP294" t="n">
        <v>1.891</v>
      </c>
      <c r="BQ294" t="n">
        <v>1.594</v>
      </c>
      <c r="BR294" t="n">
        <v>1.524</v>
      </c>
      <c r="BS294" t="n">
        <v>1.609</v>
      </c>
      <c r="BT294" t="n">
        <v>1.587</v>
      </c>
      <c r="BU294" t="n">
        <v>1.56</v>
      </c>
      <c r="BV294" t="n">
        <v>1.533</v>
      </c>
    </row>
    <row r="295">
      <c r="A295" t="inlineStr">
        <is>
          <t>Trachichthyidae</t>
        </is>
      </c>
      <c r="B295" t="inlineStr">
        <is>
          <t>Slimeheads</t>
        </is>
      </c>
      <c r="C295" t="inlineStr">
        <is>
          <t>Medium bathypelagics (30 - 89 cm)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167.948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Leptocharias smithii</t>
        </is>
      </c>
      <c r="B296" t="inlineStr">
        <is>
          <t>Barbeled houndshark</t>
        </is>
      </c>
      <c r="C296" t="inlineStr">
        <is>
          <t>Small to medium sharks (&lt;90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0.344</v>
      </c>
      <c r="BF296" t="n">
        <v>0.246</v>
      </c>
      <c r="BG296" t="n">
        <v>0</v>
      </c>
      <c r="BH296" t="n">
        <v>120.593</v>
      </c>
      <c r="BI296" t="n">
        <v>39.254</v>
      </c>
      <c r="BJ296" t="n">
        <v>0.137</v>
      </c>
      <c r="BK296" t="n">
        <v>0.07000000000000001</v>
      </c>
      <c r="BL296" t="n">
        <v>7.062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Lophius vaillanti</t>
        </is>
      </c>
      <c r="B297" t="inlineStr">
        <is>
          <t>Shortspine African angler</t>
        </is>
      </c>
      <c r="C297" t="inlineStr">
        <is>
          <t>Medium bathydemersals (30 - 89 cm)</t>
        </is>
      </c>
      <c r="D297" t="inlineStr">
        <is>
          <t>Other fishes &amp; inverts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4.713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0.278</v>
      </c>
      <c r="AS297" t="n">
        <v>0.284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7.476</v>
      </c>
      <c r="BD297" t="n">
        <v>9.925000000000001</v>
      </c>
      <c r="BE297" t="n">
        <v>9.976000000000001</v>
      </c>
      <c r="BF297" t="n">
        <v>0</v>
      </c>
      <c r="BG297" t="n">
        <v>0</v>
      </c>
      <c r="BH297" t="n">
        <v>0</v>
      </c>
      <c r="BI297" t="n">
        <v>0</v>
      </c>
      <c r="BJ297" t="n">
        <v>6.933</v>
      </c>
      <c r="BK297" t="n">
        <v>0</v>
      </c>
      <c r="BL297" t="n">
        <v>0</v>
      </c>
      <c r="BM297" t="n">
        <v>0</v>
      </c>
      <c r="BN297" t="n">
        <v>87.84699999999999</v>
      </c>
      <c r="BO297" t="n">
        <v>3.119</v>
      </c>
      <c r="BP297" t="n">
        <v>27.642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Zenopsis conchifer</t>
        </is>
      </c>
      <c r="B298" t="inlineStr">
        <is>
          <t>Silvery John dory</t>
        </is>
      </c>
      <c r="C298" t="inlineStr">
        <is>
          <t>Medium benthopelagics (30 - 89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1.924</v>
      </c>
      <c r="AY298" t="n">
        <v>6.087</v>
      </c>
      <c r="AZ298" t="n">
        <v>4.128</v>
      </c>
      <c r="BA298" t="n">
        <v>4.092</v>
      </c>
      <c r="BB298" t="n">
        <v>1.953</v>
      </c>
      <c r="BC298" t="n">
        <v>0</v>
      </c>
      <c r="BD298" t="n">
        <v>0.193</v>
      </c>
      <c r="BE298" t="n">
        <v>0</v>
      </c>
      <c r="BF298" t="n">
        <v>2.274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1.608</v>
      </c>
      <c r="BM298" t="n">
        <v>6.411</v>
      </c>
      <c r="BN298" t="n">
        <v>0</v>
      </c>
      <c r="BO298" t="n">
        <v>0.08599999999999999</v>
      </c>
      <c r="BP298" t="n">
        <v>0.081</v>
      </c>
      <c r="BQ298" t="n">
        <v>1.292</v>
      </c>
      <c r="BR298" t="n">
        <v>0.839</v>
      </c>
      <c r="BS298" t="n">
        <v>7.304</v>
      </c>
      <c r="BT298" t="n">
        <v>4.296</v>
      </c>
      <c r="BU298" t="n">
        <v>1.289</v>
      </c>
      <c r="BV298" t="n">
        <v>105.058</v>
      </c>
    </row>
    <row r="299">
      <c r="A299" t="inlineStr">
        <is>
          <t>Cyprinidae</t>
        </is>
      </c>
      <c r="B299" t="inlineStr">
        <is>
          <t>Carps, barbels, other cyprinids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n">
        <v>2.542</v>
      </c>
      <c r="F299" t="n">
        <v>2.65</v>
      </c>
      <c r="G299" t="n">
        <v>2.759</v>
      </c>
      <c r="H299" t="n">
        <v>2.868</v>
      </c>
      <c r="I299" t="n">
        <v>1.455</v>
      </c>
      <c r="J299" t="n">
        <v>1.564</v>
      </c>
      <c r="K299" t="n">
        <v>0.639</v>
      </c>
      <c r="L299" t="n">
        <v>1.396</v>
      </c>
      <c r="M299" t="n">
        <v>0</v>
      </c>
      <c r="N299" t="n">
        <v>0.059</v>
      </c>
      <c r="O299" t="n">
        <v>1.209</v>
      </c>
      <c r="P299" t="n">
        <v>1.805</v>
      </c>
      <c r="Q299" t="n">
        <v>2.023</v>
      </c>
      <c r="R299" t="n">
        <v>3.387</v>
      </c>
      <c r="S299" t="n">
        <v>4.069</v>
      </c>
      <c r="T299" t="n">
        <v>6.504</v>
      </c>
      <c r="U299" t="n">
        <v>7.346</v>
      </c>
      <c r="V299" t="n">
        <v>3.245</v>
      </c>
      <c r="W299" t="n">
        <v>3.637</v>
      </c>
      <c r="X299" t="n">
        <v>3.956</v>
      </c>
      <c r="Y299" t="n">
        <v>1.502</v>
      </c>
      <c r="Z299" t="n">
        <v>1.72</v>
      </c>
      <c r="AA299" t="n">
        <v>1.823</v>
      </c>
      <c r="AB299" t="n">
        <v>1.519</v>
      </c>
      <c r="AC299" t="n">
        <v>1.209</v>
      </c>
      <c r="AD299" t="n">
        <v>0.877</v>
      </c>
      <c r="AE299" t="n">
        <v>0.455</v>
      </c>
      <c r="AF299" t="n">
        <v>1.018</v>
      </c>
      <c r="AG299" t="n">
        <v>1.546</v>
      </c>
      <c r="AH299" t="n">
        <v>1.951</v>
      </c>
      <c r="AI299" t="n">
        <v>1.818</v>
      </c>
      <c r="AJ299" t="n">
        <v>2.167</v>
      </c>
      <c r="AK299" t="n">
        <v>2.52</v>
      </c>
      <c r="AL299" t="n">
        <v>3.392</v>
      </c>
      <c r="AM299" t="n">
        <v>3.526</v>
      </c>
      <c r="AN299" t="n">
        <v>3.952</v>
      </c>
      <c r="AO299" t="n">
        <v>4.076</v>
      </c>
      <c r="AP299" t="n">
        <v>5.064</v>
      </c>
      <c r="AQ299" t="n">
        <v>6.151</v>
      </c>
      <c r="AR299" t="n">
        <v>6.012</v>
      </c>
      <c r="AS299" t="n">
        <v>6.466</v>
      </c>
      <c r="AT299" t="n">
        <v>6.204</v>
      </c>
      <c r="AU299" t="n">
        <v>5.494</v>
      </c>
      <c r="AV299" t="n">
        <v>4.766</v>
      </c>
      <c r="AW299" t="n">
        <v>4.219</v>
      </c>
      <c r="AX299" t="n">
        <v>3.262</v>
      </c>
      <c r="AY299" t="n">
        <v>2.89</v>
      </c>
      <c r="AZ299" t="n">
        <v>2.329</v>
      </c>
      <c r="BA299" t="n">
        <v>1.901</v>
      </c>
      <c r="BB299" t="n">
        <v>1.631</v>
      </c>
      <c r="BC299" t="n">
        <v>1.494</v>
      </c>
      <c r="BD299" t="n">
        <v>1.087</v>
      </c>
      <c r="BE299" t="n">
        <v>0.747</v>
      </c>
      <c r="BF299" t="n">
        <v>0.371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Inermiidae</t>
        </is>
      </c>
      <c r="B300" t="inlineStr">
        <is>
          <t>Bonnetmouths</t>
        </is>
      </c>
      <c r="C300" t="inlineStr">
        <is>
          <t>Small pelagics (&lt;30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7.198</v>
      </c>
      <c r="AP300" t="n">
        <v>12.234</v>
      </c>
      <c r="AQ300" t="n">
        <v>9.978</v>
      </c>
      <c r="AR300" t="n">
        <v>2.536</v>
      </c>
      <c r="AS300" t="n">
        <v>6.441</v>
      </c>
      <c r="AT300" t="n">
        <v>4.257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54.49</v>
      </c>
      <c r="BQ300" t="n">
        <v>31.547</v>
      </c>
      <c r="BR300" t="n">
        <v>3.441</v>
      </c>
      <c r="BS300" t="n">
        <v>4.644</v>
      </c>
      <c r="BT300" t="n">
        <v>0</v>
      </c>
      <c r="BU300" t="n">
        <v>0</v>
      </c>
      <c r="BV300" t="n">
        <v>0</v>
      </c>
    </row>
    <row r="301">
      <c r="A301" t="inlineStr">
        <is>
          <t>Pristidae</t>
        </is>
      </c>
      <c r="B301" t="inlineStr">
        <is>
          <t>Sawfishes</t>
        </is>
      </c>
      <c r="C301" t="inlineStr">
        <is>
          <t>Large rays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47.612</v>
      </c>
      <c r="BA301" t="n">
        <v>0</v>
      </c>
      <c r="BB301" t="n">
        <v>38.732</v>
      </c>
      <c r="BC301" t="n">
        <v>41.703</v>
      </c>
      <c r="BD301" t="n">
        <v>0</v>
      </c>
      <c r="BE301" t="n">
        <v>0</v>
      </c>
      <c r="BF301" t="n">
        <v>0</v>
      </c>
      <c r="BG301" t="n">
        <v>7.945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Beryx splendens</t>
        </is>
      </c>
      <c r="B302" t="inlineStr">
        <is>
          <t>Splendid alfonsino</t>
        </is>
      </c>
      <c r="C302" t="inlineStr">
        <is>
          <t>Medium benthopelagics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2.737</v>
      </c>
      <c r="BP302" t="n">
        <v>2.273</v>
      </c>
      <c r="BQ302" t="n">
        <v>5.195</v>
      </c>
      <c r="BR302" t="n">
        <v>13.054</v>
      </c>
      <c r="BS302" t="n">
        <v>4.041</v>
      </c>
      <c r="BT302" t="n">
        <v>0.337</v>
      </c>
      <c r="BU302" t="n">
        <v>0.673</v>
      </c>
      <c r="BV302" t="n">
        <v>107.477</v>
      </c>
    </row>
    <row r="303">
      <c r="A303" t="inlineStr">
        <is>
          <t>Aetobatus narinari</t>
        </is>
      </c>
      <c r="B303" t="inlineStr">
        <is>
          <t>Spotted eagle ray</t>
        </is>
      </c>
      <c r="C303" t="inlineStr">
        <is>
          <t>Large rays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126.286</v>
      </c>
    </row>
    <row r="304">
      <c r="A304" t="inlineStr">
        <is>
          <t>Alloteuthis</t>
        </is>
      </c>
      <c r="B304" t="inlineStr">
        <is>
          <t>Atlantic common squids</t>
        </is>
      </c>
      <c r="C304" t="inlineStr">
        <is>
          <t>Cephalopods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121.114</v>
      </c>
    </row>
    <row r="305">
      <c r="A305" t="inlineStr">
        <is>
          <t>Schedophilus pemarco</t>
        </is>
      </c>
      <c r="B305" t="inlineStr">
        <is>
          <t>Pemarco blackfish</t>
        </is>
      </c>
      <c r="C305" t="inlineStr">
        <is>
          <t>Medium benthopelagics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0.507</v>
      </c>
      <c r="BB305" t="n">
        <v>0</v>
      </c>
      <c r="BC305" t="n">
        <v>1.091</v>
      </c>
      <c r="BD305" t="n">
        <v>3.35</v>
      </c>
      <c r="BE305" t="n">
        <v>1.286</v>
      </c>
      <c r="BF305" t="n">
        <v>1.597</v>
      </c>
      <c r="BG305" t="n">
        <v>1.565</v>
      </c>
      <c r="BH305" t="n">
        <v>2.197</v>
      </c>
      <c r="BI305" t="n">
        <v>6.87</v>
      </c>
      <c r="BJ305" t="n">
        <v>1.958</v>
      </c>
      <c r="BK305" t="n">
        <v>41.19</v>
      </c>
      <c r="BL305" t="n">
        <v>11.388</v>
      </c>
      <c r="BM305" t="n">
        <v>6.949</v>
      </c>
      <c r="BN305" t="n">
        <v>3.082</v>
      </c>
      <c r="BO305" t="n">
        <v>5.949</v>
      </c>
      <c r="BP305" t="n">
        <v>3.027</v>
      </c>
      <c r="BQ305" t="n">
        <v>2.997</v>
      </c>
      <c r="BR305" t="n">
        <v>5.746</v>
      </c>
      <c r="BS305" t="n">
        <v>5.67</v>
      </c>
      <c r="BT305" t="n">
        <v>5.594</v>
      </c>
      <c r="BU305" t="n">
        <v>2.822</v>
      </c>
      <c r="BV305" t="n">
        <v>5.415</v>
      </c>
    </row>
    <row r="306">
      <c r="A306" t="inlineStr">
        <is>
          <t>Pagrus auriga</t>
        </is>
      </c>
      <c r="B306" t="inlineStr">
        <is>
          <t>Redbanded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0.017</v>
      </c>
      <c r="BF306" t="n">
        <v>0</v>
      </c>
      <c r="BG306" t="n">
        <v>0</v>
      </c>
      <c r="BH306" t="n">
        <v>0</v>
      </c>
      <c r="BI306" t="n">
        <v>7.716</v>
      </c>
      <c r="BJ306" t="n">
        <v>14.884</v>
      </c>
      <c r="BK306" t="n">
        <v>0</v>
      </c>
      <c r="BL306" t="n">
        <v>0</v>
      </c>
      <c r="BM306" t="n">
        <v>10.485</v>
      </c>
      <c r="BN306" t="n">
        <v>8.051</v>
      </c>
      <c r="BO306" t="n">
        <v>5.439</v>
      </c>
      <c r="BP306" t="n">
        <v>3.38</v>
      </c>
      <c r="BQ306" t="n">
        <v>1.632</v>
      </c>
      <c r="BR306" t="n">
        <v>10.425</v>
      </c>
      <c r="BS306" t="n">
        <v>10.389</v>
      </c>
      <c r="BT306" t="n">
        <v>10.36</v>
      </c>
      <c r="BU306" t="n">
        <v>10.419</v>
      </c>
      <c r="BV306" t="n">
        <v>22.196</v>
      </c>
    </row>
    <row r="307">
      <c r="A307" t="inlineStr">
        <is>
          <t>Megalops atlanticus</t>
        </is>
      </c>
      <c r="B307" t="inlineStr">
        <is>
          <t>Tarpon</t>
        </is>
      </c>
      <c r="C307" t="inlineStr">
        <is>
          <t>Large pelagics (&gt;=90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0.017</v>
      </c>
      <c r="X307" t="n">
        <v>0.037</v>
      </c>
      <c r="Y307" t="n">
        <v>0.053</v>
      </c>
      <c r="Z307" t="n">
        <v>0.074</v>
      </c>
      <c r="AA307" t="n">
        <v>0.097</v>
      </c>
      <c r="AB307" t="n">
        <v>0.121</v>
      </c>
      <c r="AC307" t="n">
        <v>0.148</v>
      </c>
      <c r="AD307" t="n">
        <v>0.274</v>
      </c>
      <c r="AE307" t="n">
        <v>0.432</v>
      </c>
      <c r="AF307" t="n">
        <v>0.615</v>
      </c>
      <c r="AG307" t="n">
        <v>0.8149999999999999</v>
      </c>
      <c r="AH307" t="n">
        <v>1.041</v>
      </c>
      <c r="AI307" t="n">
        <v>0.997</v>
      </c>
      <c r="AJ307" t="n">
        <v>1.08</v>
      </c>
      <c r="AK307" t="n">
        <v>1.165</v>
      </c>
      <c r="AL307" t="n">
        <v>1.253</v>
      </c>
      <c r="AM307" t="n">
        <v>1.339</v>
      </c>
      <c r="AN307" t="n">
        <v>2.4</v>
      </c>
      <c r="AO307" t="n">
        <v>2.449</v>
      </c>
      <c r="AP307" t="n">
        <v>2.473</v>
      </c>
      <c r="AQ307" t="n">
        <v>2.372</v>
      </c>
      <c r="AR307" t="n">
        <v>2.564</v>
      </c>
      <c r="AS307" t="n">
        <v>2.743</v>
      </c>
      <c r="AT307" t="n">
        <v>2.853</v>
      </c>
      <c r="AU307" t="n">
        <v>2.553</v>
      </c>
      <c r="AV307" t="n">
        <v>2.417</v>
      </c>
      <c r="AW307" t="n">
        <v>3.707</v>
      </c>
      <c r="AX307" t="n">
        <v>4.091</v>
      </c>
      <c r="AY307" t="n">
        <v>2.951</v>
      </c>
      <c r="AZ307" t="n">
        <v>1.915</v>
      </c>
      <c r="BA307" t="n">
        <v>2.842</v>
      </c>
      <c r="BB307" t="n">
        <v>2.817</v>
      </c>
      <c r="BC307" t="n">
        <v>4.225</v>
      </c>
      <c r="BD307" t="n">
        <v>2.082</v>
      </c>
      <c r="BE307" t="n">
        <v>3.275</v>
      </c>
      <c r="BF307" t="n">
        <v>2.705</v>
      </c>
      <c r="BG307" t="n">
        <v>3.107</v>
      </c>
      <c r="BH307" t="n">
        <v>1.828</v>
      </c>
      <c r="BI307" t="n">
        <v>2.193</v>
      </c>
      <c r="BJ307" t="n">
        <v>2.084</v>
      </c>
      <c r="BK307" t="n">
        <v>2.755</v>
      </c>
      <c r="BL307" t="n">
        <v>1.38</v>
      </c>
      <c r="BM307" t="n">
        <v>0.887</v>
      </c>
      <c r="BN307" t="n">
        <v>0.99</v>
      </c>
      <c r="BO307" t="n">
        <v>1.036</v>
      </c>
      <c r="BP307" t="n">
        <v>1.084</v>
      </c>
      <c r="BQ307" t="n">
        <v>1.126</v>
      </c>
      <c r="BR307" t="n">
        <v>0.9350000000000001</v>
      </c>
      <c r="BS307" t="n">
        <v>0.865</v>
      </c>
      <c r="BT307" t="n">
        <v>0.794</v>
      </c>
      <c r="BU307" t="n">
        <v>0.794</v>
      </c>
      <c r="BV307" t="n">
        <v>24.712</v>
      </c>
    </row>
    <row r="308">
      <c r="A308" t="inlineStr">
        <is>
          <t>Hexanchus griseus</t>
        </is>
      </c>
      <c r="B308" t="inlineStr">
        <is>
          <t>Bluntnose sixgill shark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0.002</v>
      </c>
      <c r="BD308" t="n">
        <v>0.001</v>
      </c>
      <c r="BE308" t="n">
        <v>0.001</v>
      </c>
      <c r="BF308" t="n">
        <v>0.004</v>
      </c>
      <c r="BG308" t="n">
        <v>0.006</v>
      </c>
      <c r="BH308" t="n">
        <v>0.238</v>
      </c>
      <c r="BI308" t="n">
        <v>0.017</v>
      </c>
      <c r="BJ308" t="n">
        <v>0.28</v>
      </c>
      <c r="BK308" t="n">
        <v>42.122</v>
      </c>
      <c r="BL308" t="n">
        <v>0.828</v>
      </c>
      <c r="BM308" t="n">
        <v>10.198</v>
      </c>
      <c r="BN308" t="n">
        <v>6.529</v>
      </c>
      <c r="BO308" t="n">
        <v>4.304</v>
      </c>
      <c r="BP308" t="n">
        <v>2.641</v>
      </c>
      <c r="BQ308" t="n">
        <v>1.265</v>
      </c>
      <c r="BR308" t="n">
        <v>7.984</v>
      </c>
      <c r="BS308" t="n">
        <v>7.901</v>
      </c>
      <c r="BT308" t="n">
        <v>7.833</v>
      </c>
      <c r="BU308" t="n">
        <v>7.837</v>
      </c>
      <c r="BV308" t="n">
        <v>7.905</v>
      </c>
    </row>
    <row r="309">
      <c r="A309" t="inlineStr">
        <is>
          <t>Sphyrnidae</t>
        </is>
      </c>
      <c r="B309" t="inlineStr">
        <is>
          <t>Hammer, bonnet, scoophead sharks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1.2</v>
      </c>
      <c r="BL309" t="n">
        <v>0</v>
      </c>
      <c r="BM309" t="n">
        <v>0.003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77.04000000000001</v>
      </c>
      <c r="BT309" t="n">
        <v>0.735</v>
      </c>
      <c r="BU309" t="n">
        <v>11.324</v>
      </c>
      <c r="BV309" t="n">
        <v>2.621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2.74</v>
      </c>
      <c r="BN310" t="n">
        <v>11.953</v>
      </c>
      <c r="BO310" t="n">
        <v>5.376</v>
      </c>
      <c r="BP310" t="n">
        <v>4.507</v>
      </c>
      <c r="BQ310" t="n">
        <v>5.864</v>
      </c>
      <c r="BR310" t="n">
        <v>1.256</v>
      </c>
      <c r="BS310" t="n">
        <v>4.971</v>
      </c>
      <c r="BT310" t="n">
        <v>12.098</v>
      </c>
      <c r="BU310" t="n">
        <v>5.003</v>
      </c>
      <c r="BV310" t="n">
        <v>26.64</v>
      </c>
    </row>
    <row r="311">
      <c r="A311" t="inlineStr">
        <is>
          <t>Centrophorus lusitanicus</t>
        </is>
      </c>
      <c r="B311" t="inlineStr">
        <is>
          <t>Lowfin gulper shark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30.455</v>
      </c>
      <c r="BL311" t="n">
        <v>6.606</v>
      </c>
      <c r="BM311" t="n">
        <v>0.001</v>
      </c>
      <c r="BN311" t="n">
        <v>0.766</v>
      </c>
      <c r="BO311" t="n">
        <v>21.485</v>
      </c>
      <c r="BP311" t="n">
        <v>19.561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Branchiostegus</t>
        </is>
      </c>
      <c r="B312" t="inlineStr">
        <is>
          <t>Indian and Pacific tilefishes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68.095</v>
      </c>
    </row>
    <row r="313">
      <c r="A313" t="inlineStr">
        <is>
          <t>Dalatias licha</t>
        </is>
      </c>
      <c r="B313" t="inlineStr">
        <is>
          <t>Kitefin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53.782</v>
      </c>
      <c r="BH313" t="n">
        <v>0</v>
      </c>
      <c r="BI313" t="n">
        <v>0</v>
      </c>
      <c r="BJ313" t="n">
        <v>0.725</v>
      </c>
      <c r="BK313" t="n">
        <v>7.502</v>
      </c>
      <c r="BL313" t="n">
        <v>0.008</v>
      </c>
      <c r="BM313" t="n">
        <v>0.028</v>
      </c>
      <c r="BN313" t="n">
        <v>0.153</v>
      </c>
      <c r="BO313" t="n">
        <v>0.017</v>
      </c>
      <c r="BP313" t="n">
        <v>0</v>
      </c>
      <c r="BQ313" t="n">
        <v>2.569</v>
      </c>
      <c r="BR313" t="n">
        <v>0</v>
      </c>
      <c r="BS313" t="n">
        <v>0</v>
      </c>
      <c r="BT313" t="n">
        <v>0</v>
      </c>
      <c r="BU313" t="n">
        <v>0</v>
      </c>
      <c r="BV313" t="n">
        <v>0.605</v>
      </c>
    </row>
    <row r="314">
      <c r="A314" t="inlineStr">
        <is>
          <t>Centrolophidae</t>
        </is>
      </c>
      <c r="B314" t="inlineStr">
        <is>
          <t>Medusafishes</t>
        </is>
      </c>
      <c r="C314" t="inlineStr">
        <is>
          <t>Medium benthopelagics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25.748</v>
      </c>
      <c r="BI314" t="n">
        <v>14.585</v>
      </c>
      <c r="BJ314" t="n">
        <v>4.295</v>
      </c>
      <c r="BK314" t="n">
        <v>0</v>
      </c>
      <c r="BL314" t="n">
        <v>1.568</v>
      </c>
      <c r="BM314" t="n">
        <v>2.196</v>
      </c>
      <c r="BN314" t="n">
        <v>0.384</v>
      </c>
      <c r="BO314" t="n">
        <v>0.095</v>
      </c>
      <c r="BP314" t="n">
        <v>0.8090000000000001</v>
      </c>
      <c r="BQ314" t="n">
        <v>0.404</v>
      </c>
      <c r="BR314" t="n">
        <v>0.829</v>
      </c>
      <c r="BS314" t="n">
        <v>1.493</v>
      </c>
      <c r="BT314" t="n">
        <v>0.996</v>
      </c>
      <c r="BU314" t="n">
        <v>9.459</v>
      </c>
      <c r="BV314" t="n">
        <v>0.339</v>
      </c>
    </row>
    <row r="315">
      <c r="A315" t="inlineStr">
        <is>
          <t>Squalus blainville</t>
        </is>
      </c>
      <c r="B315" t="inlineStr">
        <is>
          <t>Longnose spurdog</t>
        </is>
      </c>
      <c r="C315" t="inlineStr">
        <is>
          <t>Small to medium sharks (&lt;90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42.925</v>
      </c>
      <c r="BT315" t="n">
        <v>0</v>
      </c>
      <c r="BU315" t="n">
        <v>0</v>
      </c>
      <c r="BV315" t="n">
        <v>14.408</v>
      </c>
    </row>
    <row r="316">
      <c r="A316" t="inlineStr">
        <is>
          <t>Bivalvia</t>
        </is>
      </c>
      <c r="B316" t="inlineStr">
        <is>
          <t>Clams</t>
        </is>
      </c>
      <c r="C316" t="inlineStr">
        <is>
          <t>Other demersal invertebrates</t>
        </is>
      </c>
      <c r="D316" t="inlineStr">
        <is>
          <t>Molluscs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0.437</v>
      </c>
      <c r="BC316" t="n">
        <v>1.42</v>
      </c>
      <c r="BD316" t="n">
        <v>3.193</v>
      </c>
      <c r="BE316" t="n">
        <v>8.388</v>
      </c>
      <c r="BF316" t="n">
        <v>0.444</v>
      </c>
      <c r="BG316" t="n">
        <v>2.835</v>
      </c>
      <c r="BH316" t="n">
        <v>1.593</v>
      </c>
      <c r="BI316" t="n">
        <v>0.475</v>
      </c>
      <c r="BJ316" t="n">
        <v>0.12</v>
      </c>
      <c r="BK316" t="n">
        <v>0</v>
      </c>
      <c r="BL316" t="n">
        <v>0</v>
      </c>
      <c r="BM316" t="n">
        <v>0.093</v>
      </c>
      <c r="BN316" t="n">
        <v>0.097</v>
      </c>
      <c r="BO316" t="n">
        <v>2.403</v>
      </c>
      <c r="BP316" t="n">
        <v>0.102</v>
      </c>
      <c r="BQ316" t="n">
        <v>0.41</v>
      </c>
      <c r="BR316" t="n">
        <v>1.264</v>
      </c>
      <c r="BS316" t="n">
        <v>15.64</v>
      </c>
      <c r="BT316" t="n">
        <v>17.154</v>
      </c>
      <c r="BU316" t="n">
        <v>0.505</v>
      </c>
      <c r="BV316" t="n">
        <v>0.651</v>
      </c>
    </row>
    <row r="317">
      <c r="A317" t="inlineStr">
        <is>
          <t>Caranx bartholomaei</t>
        </is>
      </c>
      <c r="B317" t="inlineStr">
        <is>
          <t>Yellow jack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55.955</v>
      </c>
    </row>
    <row r="318">
      <c r="A318" t="inlineStr">
        <is>
          <t>Dasyatis marmorata</t>
        </is>
      </c>
      <c r="B318" t="inlineStr">
        <is>
          <t>Marbled stingray</t>
        </is>
      </c>
      <c r="C318" t="inlineStr">
        <is>
          <t>Small to medium rays (&lt;90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55.451</v>
      </c>
    </row>
    <row r="319">
      <c r="A319" t="inlineStr">
        <is>
          <t>Seriola rivoliana</t>
        </is>
      </c>
      <c r="B319" t="inlineStr">
        <is>
          <t>Longfin yellowtail</t>
        </is>
      </c>
      <c r="C319" t="inlineStr">
        <is>
          <t>Large benthopelagics (&gt;=90 cm)</t>
        </is>
      </c>
      <c r="D319" t="inlineStr">
        <is>
          <t>Perch-likes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13.61</v>
      </c>
      <c r="BS319" t="n">
        <v>14.218</v>
      </c>
      <c r="BT319" t="n">
        <v>13.436</v>
      </c>
      <c r="BU319" t="n">
        <v>4.769</v>
      </c>
      <c r="BV319" t="n">
        <v>5.084</v>
      </c>
    </row>
    <row r="320">
      <c r="A320" t="inlineStr">
        <is>
          <t>Oblada melanurus</t>
        </is>
      </c>
      <c r="B320" t="inlineStr">
        <is>
          <t>Saddled seabream</t>
        </is>
      </c>
      <c r="C320" t="inlineStr">
        <is>
          <t>Small benthopelagics (&lt;30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3.471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3.37</v>
      </c>
      <c r="AX320" t="n">
        <v>19.661</v>
      </c>
      <c r="AY320" t="n">
        <v>14.506</v>
      </c>
      <c r="AZ320" t="n">
        <v>0.151</v>
      </c>
      <c r="BA320" t="n">
        <v>0.6</v>
      </c>
      <c r="BB320" t="n">
        <v>0</v>
      </c>
      <c r="BC320" t="n">
        <v>0.169</v>
      </c>
      <c r="BD320" t="n">
        <v>0.171</v>
      </c>
      <c r="BE320" t="n">
        <v>0.165</v>
      </c>
      <c r="BF320" t="n">
        <v>1.342</v>
      </c>
      <c r="BG320" t="n">
        <v>0.681</v>
      </c>
      <c r="BH320" t="n">
        <v>0</v>
      </c>
      <c r="BI320" t="n">
        <v>0.175</v>
      </c>
      <c r="BJ320" t="n">
        <v>0.702</v>
      </c>
      <c r="BK320" t="n">
        <v>0.502</v>
      </c>
      <c r="BL320" t="n">
        <v>0</v>
      </c>
      <c r="BM320" t="n">
        <v>0</v>
      </c>
      <c r="BN320" t="n">
        <v>0.095</v>
      </c>
      <c r="BO320" t="n">
        <v>0</v>
      </c>
      <c r="BP320" t="n">
        <v>0.081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Carcharhiniformes</t>
        </is>
      </c>
      <c r="B321" t="inlineStr">
        <is>
          <t>Ground sharks</t>
        </is>
      </c>
      <c r="C321" t="inlineStr">
        <is>
          <t>Large sharks (&gt;=90 cm)</t>
        </is>
      </c>
      <c r="D321" t="inlineStr">
        <is>
          <t>Sharks &amp; rays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38.649</v>
      </c>
      <c r="BD321" t="n">
        <v>1.09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Promethichthys prometheus</t>
        </is>
      </c>
      <c r="B322" t="inlineStr">
        <is>
          <t>Roudi escolar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4.615</v>
      </c>
      <c r="BE322" t="n">
        <v>5.222</v>
      </c>
      <c r="BF322" t="n">
        <v>4.548</v>
      </c>
      <c r="BG322" t="n">
        <v>3.048</v>
      </c>
      <c r="BH322" t="n">
        <v>3.642</v>
      </c>
      <c r="BI322" t="n">
        <v>3.791</v>
      </c>
      <c r="BJ322" t="n">
        <v>3.852</v>
      </c>
      <c r="BK322" t="n">
        <v>1.921</v>
      </c>
      <c r="BL322" t="n">
        <v>1.609</v>
      </c>
      <c r="BM322" t="n">
        <v>1.166</v>
      </c>
      <c r="BN322" t="n">
        <v>0.838</v>
      </c>
      <c r="BO322" t="n">
        <v>0</v>
      </c>
      <c r="BP322" t="n">
        <v>0.646</v>
      </c>
      <c r="BQ322" t="n">
        <v>0.646</v>
      </c>
      <c r="BR322" t="n">
        <v>0.893</v>
      </c>
      <c r="BS322" t="n">
        <v>0.914</v>
      </c>
      <c r="BT322" t="n">
        <v>0.457</v>
      </c>
      <c r="BU322" t="n">
        <v>0</v>
      </c>
      <c r="BV322" t="n">
        <v>0.457</v>
      </c>
    </row>
    <row r="323">
      <c r="A323" t="inlineStr">
        <is>
          <t>Miscellaneous aquatic invertebrates</t>
        </is>
      </c>
      <c r="B323" t="inlineStr">
        <is>
          <t>Aquatic invertebrates</t>
        </is>
      </c>
      <c r="C323" t="inlineStr">
        <is>
          <t>Other demersal invertebrates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3.347</v>
      </c>
      <c r="BG323" t="n">
        <v>2.657</v>
      </c>
      <c r="BH323" t="n">
        <v>4.759</v>
      </c>
      <c r="BI323" t="n">
        <v>0</v>
      </c>
      <c r="BJ323" t="n">
        <v>2.334</v>
      </c>
      <c r="BK323" t="n">
        <v>0</v>
      </c>
      <c r="BL323" t="n">
        <v>0</v>
      </c>
      <c r="BM323" t="n">
        <v>0</v>
      </c>
      <c r="BN323" t="n">
        <v>21.43</v>
      </c>
      <c r="BO323" t="n">
        <v>0.092</v>
      </c>
      <c r="BP323" t="n">
        <v>0.101</v>
      </c>
      <c r="BQ323" t="n">
        <v>0</v>
      </c>
      <c r="BR323" t="n">
        <v>0.08400000000000001</v>
      </c>
      <c r="BS323" t="n">
        <v>0</v>
      </c>
      <c r="BT323" t="n">
        <v>0.059</v>
      </c>
      <c r="BU323" t="n">
        <v>0.468</v>
      </c>
      <c r="BV323" t="n">
        <v>0.145</v>
      </c>
    </row>
    <row r="324">
      <c r="A324" t="inlineStr">
        <is>
          <t>Schedophilus ovalis</t>
        </is>
      </c>
      <c r="B324" t="inlineStr">
        <is>
          <t>Imperial blackfish</t>
        </is>
      </c>
      <c r="C324" t="inlineStr">
        <is>
          <t>Medium demersals (30 - 89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0.874</v>
      </c>
      <c r="BV324" t="n">
        <v>33.076</v>
      </c>
    </row>
    <row r="325">
      <c r="A325" t="inlineStr">
        <is>
          <t>Pseudocaranx dentex</t>
        </is>
      </c>
      <c r="B325" t="inlineStr">
        <is>
          <t>White trevally</t>
        </is>
      </c>
      <c r="C325" t="inlineStr">
        <is>
          <t>Large reef assoc. fish (&gt;=90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30.464</v>
      </c>
    </row>
    <row r="326">
      <c r="A326" t="inlineStr">
        <is>
          <t>Dentex maroccanus</t>
        </is>
      </c>
      <c r="B326" t="inlineStr">
        <is>
          <t>Morocco dentex</t>
        </is>
      </c>
      <c r="C326" t="inlineStr">
        <is>
          <t>Medium demersals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26.785</v>
      </c>
    </row>
    <row r="327">
      <c r="A327" t="inlineStr">
        <is>
          <t>Rachycentridae</t>
        </is>
      </c>
      <c r="B327" t="inlineStr">
        <is>
          <t>Cobias</t>
        </is>
      </c>
      <c r="C327" t="inlineStr">
        <is>
          <t>Large pelagics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1.835</v>
      </c>
      <c r="AM327" t="n">
        <v>17.572</v>
      </c>
      <c r="AN327" t="n">
        <v>3.407</v>
      </c>
      <c r="AO327" t="n">
        <v>0</v>
      </c>
      <c r="AP327" t="n">
        <v>2.238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Lamnidae</t>
        </is>
      </c>
      <c r="B328" t="inlineStr">
        <is>
          <t>Mackerel/white sharks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24.091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0.399</v>
      </c>
      <c r="BL328" t="n">
        <v>0.124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Sarda</t>
        </is>
      </c>
      <c r="B329" t="inlineStr">
        <is>
          <t>Bonitos</t>
        </is>
      </c>
      <c r="C329" t="inlineStr">
        <is>
          <t>Large pelagics (&gt;=90 cm)</t>
        </is>
      </c>
      <c r="D329" t="inlineStr">
        <is>
          <t>Tuna &amp; billfishes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21.889</v>
      </c>
    </row>
    <row r="330">
      <c r="A330" t="inlineStr">
        <is>
          <t>Isurus</t>
        </is>
      </c>
      <c r="B330" t="inlineStr">
        <is>
          <t>Mako sharks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0.748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19.983</v>
      </c>
    </row>
    <row r="331">
      <c r="A331" t="inlineStr">
        <is>
          <t>Lophius</t>
        </is>
      </c>
      <c r="B331" t="inlineStr">
        <is>
          <t>Frogfishes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1.346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14.255</v>
      </c>
    </row>
    <row r="332">
      <c r="A332" t="inlineStr">
        <is>
          <t>Hoplostethus atlanticus</t>
        </is>
      </c>
      <c r="B332" t="inlineStr">
        <is>
          <t>Orange roughy</t>
        </is>
      </c>
      <c r="C332" t="inlineStr">
        <is>
          <t>Medium bathypelagics (30 - 89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13.538</v>
      </c>
    </row>
    <row r="333">
      <c r="A333" t="inlineStr">
        <is>
          <t>Serranus</t>
        </is>
      </c>
      <c r="B333" t="inlineStr">
        <is>
          <t>Groupers</t>
        </is>
      </c>
      <c r="C333" t="inlineStr">
        <is>
          <t>Small reef assoc. fish (&lt;30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3.26</v>
      </c>
      <c r="BT333" t="n">
        <v>0.992</v>
      </c>
      <c r="BU333" t="n">
        <v>0.4</v>
      </c>
      <c r="BV333" t="n">
        <v>6.828</v>
      </c>
    </row>
    <row r="334">
      <c r="A334" t="inlineStr">
        <is>
          <t>Sebastidae</t>
        </is>
      </c>
      <c r="B334" t="inlineStr">
        <is>
          <t>Rockfishes, rockcods, thornyheads</t>
        </is>
      </c>
      <c r="C334" t="inlineStr">
        <is>
          <t>Medium demersals (30 - 89 cm)</t>
        </is>
      </c>
      <c r="D334" t="inlineStr">
        <is>
          <t>Scorpionfishes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11.345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Serranus cabrilla</t>
        </is>
      </c>
      <c r="B335" t="inlineStr">
        <is>
          <t>Comber</t>
        </is>
      </c>
      <c r="C335" t="inlineStr">
        <is>
          <t>Medium bathydemersals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10.806</v>
      </c>
    </row>
    <row r="336">
      <c r="A336" t="inlineStr">
        <is>
          <t>Diplodus sargus</t>
        </is>
      </c>
      <c r="B336" t="inlineStr">
        <is>
          <t>White seabream</t>
        </is>
      </c>
      <c r="C336" t="inlineStr">
        <is>
          <t>Medium demersals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10.196</v>
      </c>
    </row>
    <row r="337">
      <c r="A337" t="inlineStr">
        <is>
          <t>Deania calceus</t>
        </is>
      </c>
      <c r="B337" t="inlineStr">
        <is>
          <t>Birdbeak dogfish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0.134</v>
      </c>
      <c r="BJ337" t="n">
        <v>1.67</v>
      </c>
      <c r="BK337" t="n">
        <v>6.332</v>
      </c>
      <c r="BL337" t="n">
        <v>1.785</v>
      </c>
      <c r="BM337" t="n">
        <v>0.021</v>
      </c>
      <c r="BN337" t="n">
        <v>0</v>
      </c>
      <c r="BO337" t="n">
        <v>0.083</v>
      </c>
      <c r="BP337" t="n">
        <v>0.079</v>
      </c>
      <c r="BQ337" t="n">
        <v>0</v>
      </c>
      <c r="BR337" t="n">
        <v>0</v>
      </c>
      <c r="BS337" t="n">
        <v>0</v>
      </c>
      <c r="BT337" t="n">
        <v>0.008</v>
      </c>
      <c r="BU337" t="n">
        <v>0</v>
      </c>
      <c r="BV337" t="n">
        <v>0</v>
      </c>
    </row>
    <row r="338">
      <c r="A338" t="inlineStr">
        <is>
          <t>Lamniformes</t>
        </is>
      </c>
      <c r="B338" t="inlineStr">
        <is>
          <t>Mackerel sharks</t>
        </is>
      </c>
      <c r="C338" t="inlineStr">
        <is>
          <t>Large sharks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9.935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Dicologlossa hexophthalma</t>
        </is>
      </c>
      <c r="B339" t="inlineStr">
        <is>
          <t>Ocellated wedge sole</t>
        </is>
      </c>
      <c r="C339" t="inlineStr">
        <is>
          <t>Small to medium flatfishes (&lt;90 cm)</t>
        </is>
      </c>
      <c r="D339" t="inlineStr">
        <is>
          <t>Flatfishes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9.268000000000001</v>
      </c>
    </row>
    <row r="340">
      <c r="A340" t="inlineStr">
        <is>
          <t>Carcharhinus longimanus</t>
        </is>
      </c>
      <c r="B340" t="inlineStr">
        <is>
          <t>Oceanic whitetip shark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0.019</v>
      </c>
      <c r="AY340" t="n">
        <v>0</v>
      </c>
      <c r="AZ340" t="n">
        <v>0.35</v>
      </c>
      <c r="BA340" t="n">
        <v>1.261</v>
      </c>
      <c r="BB340" t="n">
        <v>0</v>
      </c>
      <c r="BC340" t="n">
        <v>0.237</v>
      </c>
      <c r="BD340" t="n">
        <v>0.9330000000000001</v>
      </c>
      <c r="BE340" t="n">
        <v>0.027</v>
      </c>
      <c r="BF340" t="n">
        <v>1.044</v>
      </c>
      <c r="BG340" t="n">
        <v>0.001</v>
      </c>
      <c r="BH340" t="n">
        <v>0.047</v>
      </c>
      <c r="BI340" t="n">
        <v>0</v>
      </c>
      <c r="BJ340" t="n">
        <v>0.346</v>
      </c>
      <c r="BK340" t="n">
        <v>0</v>
      </c>
      <c r="BL340" t="n">
        <v>0.5669999999999999</v>
      </c>
      <c r="BM340" t="n">
        <v>0.513</v>
      </c>
      <c r="BN340" t="n">
        <v>0</v>
      </c>
      <c r="BO340" t="n">
        <v>0</v>
      </c>
      <c r="BP340" t="n">
        <v>0</v>
      </c>
      <c r="BQ340" t="n">
        <v>3.539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Centroscyllium fabricii</t>
        </is>
      </c>
      <c r="B341" t="inlineStr">
        <is>
          <t>Black dogfish</t>
        </is>
      </c>
      <c r="C341" t="inlineStr">
        <is>
          <t>Small to medium sharks (&lt;90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5.073</v>
      </c>
      <c r="BH341" t="n">
        <v>0.225</v>
      </c>
      <c r="BI341" t="n">
        <v>0</v>
      </c>
      <c r="BJ341" t="n">
        <v>0</v>
      </c>
      <c r="BK341" t="n">
        <v>0</v>
      </c>
      <c r="BL341" t="n">
        <v>2.971</v>
      </c>
      <c r="BM341" t="n">
        <v>0.165</v>
      </c>
      <c r="BN341" t="n">
        <v>0.018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Liza</t>
        </is>
      </c>
      <c r="B342" t="inlineStr">
        <is>
          <t>Mullets</t>
        </is>
      </c>
      <c r="C342" t="inlineStr">
        <is>
          <t>Medium pelagics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0.659</v>
      </c>
      <c r="BT342" t="n">
        <v>0.974</v>
      </c>
      <c r="BU342" t="n">
        <v>4.061</v>
      </c>
      <c r="BV342" t="n">
        <v>2.214</v>
      </c>
    </row>
    <row r="343">
      <c r="A343" t="inlineStr">
        <is>
          <t>Alepisaurus ferox</t>
        </is>
      </c>
      <c r="B343" t="inlineStr">
        <is>
          <t>Long snouted lancetfish</t>
        </is>
      </c>
      <c r="C343" t="inlineStr">
        <is>
          <t>Large bathypelagics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7.172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Dicentrarchus</t>
        </is>
      </c>
      <c r="B344" t="inlineStr">
        <is>
          <t>Seabasses</t>
        </is>
      </c>
      <c r="C344" t="inlineStr">
        <is>
          <t>Large demersals (&gt;=90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6.267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0.411</v>
      </c>
      <c r="BN344" t="n">
        <v>0</v>
      </c>
      <c r="BO344" t="n">
        <v>0.016</v>
      </c>
      <c r="BP344" t="n">
        <v>0</v>
      </c>
      <c r="BQ344" t="n">
        <v>0.033</v>
      </c>
      <c r="BR344" t="n">
        <v>0</v>
      </c>
      <c r="BS344" t="n">
        <v>0.029</v>
      </c>
      <c r="BT344" t="n">
        <v>0</v>
      </c>
      <c r="BU344" t="n">
        <v>0</v>
      </c>
      <c r="BV344" t="n">
        <v>0</v>
      </c>
    </row>
    <row r="345">
      <c r="A345" t="inlineStr">
        <is>
          <t>Gephyroberyx darwinii</t>
        </is>
      </c>
      <c r="B345" t="inlineStr">
        <is>
          <t>Darwin's slimehead</t>
        </is>
      </c>
      <c r="C345" t="inlineStr">
        <is>
          <t>Medium benthopelagics (30 - 89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6.187</v>
      </c>
    </row>
    <row r="346">
      <c r="A346" t="inlineStr">
        <is>
          <t>Aphanopus intermedius</t>
        </is>
      </c>
      <c r="B346" t="inlineStr">
        <is>
          <t>Intermediate scabbardfish</t>
        </is>
      </c>
      <c r="C346" t="inlineStr">
        <is>
          <t>Large benthopelagics (&gt;=90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1.182</v>
      </c>
      <c r="BS346" t="n">
        <v>5</v>
      </c>
      <c r="BT346" t="n">
        <v>0</v>
      </c>
      <c r="BU346" t="n">
        <v>0</v>
      </c>
      <c r="BV346" t="n">
        <v>0</v>
      </c>
    </row>
    <row r="347">
      <c r="A347" t="inlineStr">
        <is>
          <t>Parapristipoma octolineatum</t>
        </is>
      </c>
      <c r="B347" t="inlineStr">
        <is>
          <t>African striped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6.052</v>
      </c>
    </row>
    <row r="348">
      <c r="A348" t="inlineStr">
        <is>
          <t>Priacanthidae</t>
        </is>
      </c>
      <c r="B348" t="inlineStr">
        <is>
          <t>Bigeyes, catalufas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5.545</v>
      </c>
    </row>
    <row r="349">
      <c r="A349" t="inlineStr">
        <is>
          <t>Psettodes bennettii</t>
        </is>
      </c>
      <c r="B349" t="inlineStr">
        <is>
          <t>Spiny turbot</t>
        </is>
      </c>
      <c r="C349" t="inlineStr">
        <is>
          <t>Small to medium flatfishes (&lt;90 cm)</t>
        </is>
      </c>
      <c r="D349" t="inlineStr">
        <is>
          <t>Flatfishes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4.275</v>
      </c>
    </row>
    <row r="350">
      <c r="A350" t="inlineStr">
        <is>
          <t>Scymnodon ringens</t>
        </is>
      </c>
      <c r="B350" t="inlineStr">
        <is>
          <t>Knifetooth dogfish</t>
        </is>
      </c>
      <c r="C350" t="inlineStr">
        <is>
          <t>Small to medium sharks (&lt;90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2.967</v>
      </c>
      <c r="BL350" t="n">
        <v>1.239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0.025</v>
      </c>
    </row>
    <row r="351">
      <c r="A351" t="inlineStr">
        <is>
          <t>Beryx decadactylus</t>
        </is>
      </c>
      <c r="B351" t="inlineStr">
        <is>
          <t>Alfonsino</t>
        </is>
      </c>
      <c r="C351" t="inlineStr">
        <is>
          <t>Medium bathydemersals (30 - 89 cm)</t>
        </is>
      </c>
      <c r="D351" t="inlineStr">
        <is>
          <t>Other fishes &amp; inverts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0.034</v>
      </c>
      <c r="BT351" t="n">
        <v>0.057</v>
      </c>
      <c r="BU351" t="n">
        <v>0.046</v>
      </c>
      <c r="BV351" t="n">
        <v>3.832</v>
      </c>
    </row>
    <row r="352">
      <c r="A352" t="inlineStr">
        <is>
          <t>Squalus</t>
        </is>
      </c>
      <c r="B352" t="inlineStr">
        <is>
          <t>Dogfishes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3.956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0.003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Carcharhinus plumbeus</t>
        </is>
      </c>
      <c r="B353" t="inlineStr">
        <is>
          <t>Sandbar shark</t>
        </is>
      </c>
      <c r="C353" t="inlineStr">
        <is>
          <t>Large sharks (&gt;=90 cm)</t>
        </is>
      </c>
      <c r="D353" t="inlineStr">
        <is>
          <t>Sharks &amp; rays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0.007</v>
      </c>
      <c r="BA353" t="n">
        <v>0.008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0.011</v>
      </c>
      <c r="BK353" t="n">
        <v>0</v>
      </c>
      <c r="BL353" t="n">
        <v>0.138</v>
      </c>
      <c r="BM353" t="n">
        <v>0.002</v>
      </c>
      <c r="BN353" t="n">
        <v>0</v>
      </c>
      <c r="BO353" t="n">
        <v>0.004</v>
      </c>
      <c r="BP353" t="n">
        <v>0.066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2.983</v>
      </c>
    </row>
    <row r="354">
      <c r="A354" t="inlineStr">
        <is>
          <t>Geryon</t>
        </is>
      </c>
      <c r="B354" t="inlineStr">
        <is>
          <t>Deepsea crabs</t>
        </is>
      </c>
      <c r="C354" t="inlineStr">
        <is>
          <t>Lobsters, crabs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2.292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Lampris guttatus</t>
        </is>
      </c>
      <c r="B355" t="inlineStr">
        <is>
          <t>Opah</t>
        </is>
      </c>
      <c r="C355" t="inlineStr">
        <is>
          <t>Large bathypelagics (&gt;=90 cm)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0.596</v>
      </c>
      <c r="BC355" t="n">
        <v>0.164</v>
      </c>
      <c r="BD355" t="n">
        <v>0.166</v>
      </c>
      <c r="BE355" t="n">
        <v>0.169</v>
      </c>
      <c r="BF355" t="n">
        <v>0.681</v>
      </c>
      <c r="BG355" t="n">
        <v>0.173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0.037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Carcharias taurus</t>
        </is>
      </c>
      <c r="B356" t="inlineStr">
        <is>
          <t>Sand tiger shark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1.299</v>
      </c>
      <c r="BL356" t="n">
        <v>0</v>
      </c>
      <c r="BM356" t="n">
        <v>0.001</v>
      </c>
      <c r="BN356" t="n">
        <v>0.011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Chimaeriformes</t>
        </is>
      </c>
      <c r="B357" t="inlineStr">
        <is>
          <t>Chimaeras</t>
        </is>
      </c>
      <c r="C357" t="inlineStr">
        <is>
          <t>Large rays (&gt;=90 cm)</t>
        </is>
      </c>
      <c r="D357" t="inlineStr">
        <is>
          <t>Sharks &amp; rays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0.036</v>
      </c>
      <c r="BI357" t="n">
        <v>0.142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0.753</v>
      </c>
      <c r="BS357" t="n">
        <v>0.052</v>
      </c>
      <c r="BT357" t="n">
        <v>0</v>
      </c>
      <c r="BU357" t="n">
        <v>0</v>
      </c>
      <c r="BV357" t="n">
        <v>0</v>
      </c>
    </row>
    <row r="358">
      <c r="A358" t="inlineStr">
        <is>
          <t>Scyliorhinidae</t>
        </is>
      </c>
      <c r="B358" t="inlineStr">
        <is>
          <t>Cat/swellsharks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0.037</v>
      </c>
      <c r="BL358" t="n">
        <v>0.582</v>
      </c>
      <c r="BM358" t="n">
        <v>0.195</v>
      </c>
      <c r="BN358" t="n">
        <v>0.083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Epigonus telescopus</t>
        </is>
      </c>
      <c r="B359" t="inlineStr">
        <is>
          <t>Black cardinal fish</t>
        </is>
      </c>
      <c r="C359" t="inlineStr">
        <is>
          <t>Medium bathydemersals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0.124</v>
      </c>
      <c r="BR359" t="n">
        <v>0.034</v>
      </c>
      <c r="BS359" t="n">
        <v>0.319</v>
      </c>
      <c r="BT359" t="n">
        <v>0.159</v>
      </c>
      <c r="BU359" t="n">
        <v>0</v>
      </c>
      <c r="BV359" t="n">
        <v>0</v>
      </c>
    </row>
    <row r="360">
      <c r="A360" t="inlineStr">
        <is>
          <t>Bathytoshia centroura</t>
        </is>
      </c>
      <c r="B360" t="inlineStr">
        <is>
          <t>Roughtail stingray</t>
        </is>
      </c>
      <c r="C360" t="inlineStr">
        <is>
          <t>Large rays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0.616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Labridae</t>
        </is>
      </c>
      <c r="B361" t="inlineStr">
        <is>
          <t>Wrasses, gropers, tuskfishes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0.053</v>
      </c>
      <c r="BD361" t="n">
        <v>0.043</v>
      </c>
      <c r="BE361" t="n">
        <v>0.011</v>
      </c>
      <c r="BF361" t="n">
        <v>0.01</v>
      </c>
      <c r="BG361" t="n">
        <v>0.011</v>
      </c>
      <c r="BH361" t="n">
        <v>0</v>
      </c>
      <c r="BI361" t="n">
        <v>0.002</v>
      </c>
      <c r="BJ361" t="n">
        <v>0</v>
      </c>
      <c r="BK361" t="n">
        <v>0</v>
      </c>
      <c r="BL361" t="n">
        <v>0</v>
      </c>
      <c r="BM361" t="n">
        <v>0</v>
      </c>
      <c r="BN361" t="n">
        <v>0.244</v>
      </c>
      <c r="BO361" t="n">
        <v>0.06900000000000001</v>
      </c>
      <c r="BP361" t="n">
        <v>0.07099999999999999</v>
      </c>
      <c r="BQ361" t="n">
        <v>0.07099999999999999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Malacostraca</t>
        </is>
      </c>
      <c r="B362" t="inlineStr">
        <is>
          <t>Lobsters, crabs, shrimps, krill</t>
        </is>
      </c>
      <c r="C362" t="inlineStr">
        <is>
          <t>Shrimps</t>
        </is>
      </c>
      <c r="D362" t="inlineStr">
        <is>
          <t>Crustaceans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0.008999999999999999</v>
      </c>
      <c r="BF362" t="n">
        <v>0</v>
      </c>
      <c r="BG362" t="n">
        <v>0</v>
      </c>
      <c r="BH362" t="n">
        <v>0</v>
      </c>
      <c r="BI362" t="n">
        <v>0.467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Gymnothorax maderensis</t>
        </is>
      </c>
      <c r="B363" t="inlineStr">
        <is>
          <t>Sharktooth moray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0.469</v>
      </c>
      <c r="BV363" t="n">
        <v>0</v>
      </c>
    </row>
    <row r="364">
      <c r="A364" t="inlineStr">
        <is>
          <t>Centroselachus crepidater</t>
        </is>
      </c>
      <c r="B364" t="inlineStr">
        <is>
          <t>Longnose velvet dogfish</t>
        </is>
      </c>
      <c r="C364" t="inlineStr">
        <is>
          <t>Large sharks (&gt;=90 cm)</t>
        </is>
      </c>
      <c r="D364" t="inlineStr">
        <is>
          <t>Sharks &amp; rays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0.213</v>
      </c>
      <c r="BI364" t="n">
        <v>0</v>
      </c>
      <c r="BJ364" t="n">
        <v>0.007</v>
      </c>
      <c r="BK364" t="n">
        <v>0.126</v>
      </c>
      <c r="BL364" t="n">
        <v>0.044</v>
      </c>
      <c r="BM364" t="n">
        <v>0.001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Carcharhinus obscurus</t>
        </is>
      </c>
      <c r="B365" t="inlineStr">
        <is>
          <t>Dusky shark</t>
        </is>
      </c>
      <c r="C365" t="inlineStr">
        <is>
          <t>Large sharks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0.023</v>
      </c>
      <c r="BB365" t="n">
        <v>0</v>
      </c>
      <c r="BC365" t="n">
        <v>0</v>
      </c>
      <c r="BD365" t="n">
        <v>0</v>
      </c>
      <c r="BE365" t="n">
        <v>0.036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0.012</v>
      </c>
      <c r="BM365" t="n">
        <v>0.005</v>
      </c>
      <c r="BN365" t="n">
        <v>0.006</v>
      </c>
      <c r="BO365" t="n">
        <v>0</v>
      </c>
      <c r="BP365" t="n">
        <v>0</v>
      </c>
      <c r="BQ365" t="n">
        <v>0.213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Fistulariidae</t>
        </is>
      </c>
      <c r="B366" t="inlineStr">
        <is>
          <t>Cornetfishes</t>
        </is>
      </c>
      <c r="C366" t="inlineStr">
        <is>
          <t>Large reef assoc. fish (&gt;=90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0.005</v>
      </c>
      <c r="AY366" t="n">
        <v>0.008</v>
      </c>
      <c r="AZ366" t="n">
        <v>0.007</v>
      </c>
      <c r="BA366" t="n">
        <v>0.008</v>
      </c>
      <c r="BB366" t="n">
        <v>0.007</v>
      </c>
      <c r="BC366" t="n">
        <v>0.002</v>
      </c>
      <c r="BD366" t="n">
        <v>0.003</v>
      </c>
      <c r="BE366" t="n">
        <v>0.002</v>
      </c>
      <c r="BF366" t="n">
        <v>0.008999999999999999</v>
      </c>
      <c r="BG366" t="n">
        <v>0.167</v>
      </c>
      <c r="BH366" t="n">
        <v>0.001</v>
      </c>
      <c r="BI366" t="n">
        <v>0.001</v>
      </c>
      <c r="BJ366" t="n">
        <v>0.001</v>
      </c>
      <c r="BK366" t="n">
        <v>0.001</v>
      </c>
      <c r="BL366" t="n">
        <v>0.001</v>
      </c>
      <c r="BM366" t="n">
        <v>0.001</v>
      </c>
      <c r="BN366" t="n">
        <v>0.001</v>
      </c>
      <c r="BO366" t="n">
        <v>0.001</v>
      </c>
      <c r="BP366" t="n">
        <v>0.001</v>
      </c>
      <c r="BQ366" t="n">
        <v>0.001</v>
      </c>
      <c r="BR366" t="n">
        <v>0.001</v>
      </c>
      <c r="BS366" t="n">
        <v>0.001</v>
      </c>
      <c r="BT366" t="n">
        <v>0.002</v>
      </c>
      <c r="BU366" t="n">
        <v>0.001</v>
      </c>
      <c r="BV366" t="n">
        <v>0.001</v>
      </c>
    </row>
    <row r="367">
      <c r="A367" t="inlineStr">
        <is>
          <t>Cetorhinus maximus</t>
        </is>
      </c>
      <c r="B367" t="inlineStr">
        <is>
          <t>Basking shark</t>
        </is>
      </c>
      <c r="C367" t="inlineStr">
        <is>
          <t>Large sharks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0.171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Cephalopholis taeniops</t>
        </is>
      </c>
      <c r="B368" t="inlineStr">
        <is>
          <t>Bluespotted seabass</t>
        </is>
      </c>
      <c r="C368" t="inlineStr">
        <is>
          <t>Large reef assoc. fish (&gt;=90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0.094</v>
      </c>
    </row>
    <row r="369">
      <c r="A369" t="inlineStr">
        <is>
          <t>Oxynotus centrina</t>
        </is>
      </c>
      <c r="B369" t="inlineStr">
        <is>
          <t>Angular roughshark</t>
        </is>
      </c>
      <c r="C369" t="inlineStr">
        <is>
          <t>Large sharks (&gt;=90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0.001</v>
      </c>
      <c r="BN369" t="n">
        <v>0</v>
      </c>
      <c r="BO369" t="n">
        <v>0.07099999999999999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Thunnus</t>
        </is>
      </c>
      <c r="B370" t="inlineStr">
        <is>
          <t>Tunas</t>
        </is>
      </c>
      <c r="C370" t="inlineStr">
        <is>
          <t>Large pelagics (&gt;=90 cm)</t>
        </is>
      </c>
      <c r="D370" t="inlineStr">
        <is>
          <t>Tuna &amp; billfishes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0.002</v>
      </c>
      <c r="BN370" t="n">
        <v>0.008999999999999999</v>
      </c>
      <c r="BO370" t="n">
        <v>0</v>
      </c>
      <c r="BP370" t="n">
        <v>0</v>
      </c>
      <c r="BQ370" t="n">
        <v>0.023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Etmopterus</t>
        </is>
      </c>
      <c r="B371" t="inlineStr">
        <is>
          <t>Lanternsharks</t>
        </is>
      </c>
      <c r="C371" t="inlineStr">
        <is>
          <t>Small to medium sharks (&lt;90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0.001</v>
      </c>
      <c r="BN371" t="n">
        <v>0.026</v>
      </c>
      <c r="BO371" t="n">
        <v>0.006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Carcharhinus galapagensis</t>
        </is>
      </c>
      <c r="B372" t="inlineStr">
        <is>
          <t>Galapagos shark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0.015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Echinorhinus brucus</t>
        </is>
      </c>
      <c r="B373" t="inlineStr">
        <is>
          <t>Bramble shark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0.014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Bramidae</t>
        </is>
      </c>
      <c r="B374" t="inlineStr">
        <is>
          <t>Pomfrets</t>
        </is>
      </c>
      <c r="C374" t="inlineStr">
        <is>
          <t>Medium 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0.008999999999999999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Carcharhinus brachyurus</t>
        </is>
      </c>
      <c r="B375" t="inlineStr">
        <is>
          <t>Copper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0.003</v>
      </c>
      <c r="BL375" t="n">
        <v>0.005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Somniosus rostratus</t>
        </is>
      </c>
      <c r="B376" t="inlineStr">
        <is>
          <t>Little sleeper shark</t>
        </is>
      </c>
      <c r="C376" t="inlineStr">
        <is>
          <t>Large sharks (&gt;=90 cm)</t>
        </is>
      </c>
      <c r="D376" t="inlineStr">
        <is>
          <t>Sharks &amp; rays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0.004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s="5" t="inlineStr">
        <is>
          <t>Côtier L pred | Côtier M pred | Côtier M inv | Côtier S pred | Côtier S inv | Dem L pred | Dem L inv | Dem M pred | Dem M inv | Dem S pred | Dem S inv</t>
        </is>
      </c>
      <c r="F5" t="inlineStr">
        <is>
          <t>0.239 | 0.000 | 0.231 | 0.051 | 0.264 | 0.047 | 0.006 | 0.012 | 0.149 | 0.000 | 0.001</t>
        </is>
      </c>
      <c r="G5" t="inlineStr">
        <is>
          <t>catch_composition</t>
        </is>
      </c>
      <c r="H5" t="inlineStr">
        <is>
          <t>low</t>
        </is>
      </c>
      <c r="I5" t="inlineStr">
        <is>
          <t>composite_split</t>
        </is>
      </c>
      <c r="J5" t="n">
        <v>54105501.982</v>
      </c>
      <c r="K5" t="n">
        <v>32.2723</v>
      </c>
      <c r="L5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</row>
    <row r="6">
      <c r="A6" t="inlineStr">
        <is>
          <t>Ethmalosa fimbriata</t>
        </is>
      </c>
      <c r="B6" t="inlineStr">
        <is>
          <t>Bonga shad</t>
        </is>
      </c>
      <c r="C6" t="inlineStr">
        <is>
          <t>Medium pelagics (30 - 89 cm)</t>
        </is>
      </c>
      <c r="D6" t="inlineStr">
        <is>
          <t>Herring-likes</t>
        </is>
      </c>
      <c r="E6" s="7" t="inlineStr">
        <is>
          <t>Ethmalose</t>
        </is>
      </c>
      <c r="F6" t="inlineStr"/>
      <c r="G6" t="inlineStr"/>
      <c r="H6" t="inlineStr">
        <is>
          <t>high</t>
        </is>
      </c>
      <c r="I6" t="inlineStr">
        <is>
          <t>explicit_member</t>
        </is>
      </c>
      <c r="J6" t="n">
        <v>16059854.407</v>
      </c>
      <c r="K6" t="n">
        <v>9.5792</v>
      </c>
      <c r="L6" s="6" t="inlineStr">
        <is>
          <t>Guénette &amp; Diallo 2004 Table 6 p.131 explicitly lists this taxon in the named group(s); printed and accepted names checked against WoRMS.</t>
        </is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s="8" t="inlineStr">
        <is>
          <t>Côtier pel S inv</t>
        </is>
      </c>
      <c r="F7" t="inlineStr"/>
      <c r="G7" t="inlineStr"/>
      <c r="H7" t="inlineStr">
        <is>
          <t>medium</t>
        </is>
      </c>
      <c r="I7" t="inlineStr">
        <is>
          <t>taxonomic_containment</t>
        </is>
      </c>
      <c r="J7" t="n">
        <v>9023480.199999999</v>
      </c>
      <c r="K7" t="n">
        <v>5.3822</v>
      </c>
      <c r="L7" s="6" t="inlineStr">
        <is>
          <t>Genus-level catch spans exactly the Table 6 groups containing its documented species. No habitat class overrides those placements.</t>
        </is>
      </c>
    </row>
    <row r="8">
      <c r="A8" t="inlineStr">
        <is>
          <t>Engraulis encrasicolus</t>
        </is>
      </c>
      <c r="B8" t="inlineStr">
        <is>
          <t>European anchovy</t>
        </is>
      </c>
      <c r="C8" t="inlineStr">
        <is>
          <t>Small pelagics (&lt;30 cm)</t>
        </is>
      </c>
      <c r="D8" t="inlineStr">
        <is>
          <t>Anchovies</t>
        </is>
      </c>
      <c r="E8" s="7" t="inlineStr">
        <is>
          <t>Côtier pel S inv</t>
        </is>
      </c>
      <c r="F8" t="inlineStr"/>
      <c r="G8" t="inlineStr"/>
      <c r="H8" t="inlineStr">
        <is>
          <t>high</t>
        </is>
      </c>
      <c r="I8" t="inlineStr">
        <is>
          <t>explicit_member</t>
        </is>
      </c>
      <c r="J8" t="n">
        <v>6169688.338</v>
      </c>
      <c r="K8" t="n">
        <v>3.68</v>
      </c>
      <c r="L8" s="6" t="inlineStr">
        <is>
          <t>Guénette &amp; Diallo 2004 Table 6 p.131 explicitly lists this taxon in the named group(s); printed and accepted names checked against WoRMS.</t>
        </is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s="8" t="inlineStr">
        <is>
          <t>Bars</t>
        </is>
      </c>
      <c r="F9" t="inlineStr"/>
      <c r="G9" t="inlineStr"/>
      <c r="H9" t="inlineStr">
        <is>
          <t>medium</t>
        </is>
      </c>
      <c r="I9" t="inlineStr">
        <is>
          <t>taxonomic_containment</t>
        </is>
      </c>
      <c r="J9" t="n">
        <v>5842799.356</v>
      </c>
      <c r="K9" t="n">
        <v>3.4851</v>
      </c>
      <c r="L9" s="6" t="inlineStr">
        <is>
          <t>Genus-level catch spans exactly the Table 6 groups containing its documented species. No habitat class overrides those placements.</t>
        </is>
      </c>
    </row>
    <row r="10">
      <c r="A10" t="inlineStr">
        <is>
          <t>Sardinella aurita</t>
        </is>
      </c>
      <c r="B10" t="inlineStr">
        <is>
          <t>Round sardinella</t>
        </is>
      </c>
      <c r="C10" t="inlineStr">
        <is>
          <t>Small pelagics (&lt;30 cm)</t>
        </is>
      </c>
      <c r="D10" t="inlineStr">
        <is>
          <t>Herring-likes</t>
        </is>
      </c>
      <c r="E10" s="7" t="inlineStr">
        <is>
          <t>Côtier pel S inv</t>
        </is>
      </c>
      <c r="F10" t="inlineStr"/>
      <c r="G10" t="inlineStr"/>
      <c r="H10" t="inlineStr">
        <is>
          <t>high</t>
        </is>
      </c>
      <c r="I10" t="inlineStr">
        <is>
          <t>explicit_member</t>
        </is>
      </c>
      <c r="J10" t="n">
        <v>4946271.858</v>
      </c>
      <c r="K10" t="n">
        <v>2.9503</v>
      </c>
      <c r="L10" s="6" t="inlineStr">
        <is>
          <t>Guénette &amp; Diallo 2004 Table 6 p.131 explicitly lists this taxon in the named group(s); printed and accepted names checked against WoRMS.</t>
        </is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s="7" t="inlineStr">
        <is>
          <t>Céphalopodes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4732809.636</v>
      </c>
      <c r="K11" t="n">
        <v>2.823</v>
      </c>
      <c r="L11" s="6" t="inlineStr">
        <is>
          <t>Source p.125 explicitly includes commercial and noncommercial octopus, cuttlefish and squid in the single cephalopod group.</t>
        </is>
      </c>
    </row>
    <row r="12">
      <c r="A12" t="inlineStr">
        <is>
          <t>Brachydeuterus auritus</t>
        </is>
      </c>
      <c r="B12" t="inlineStr">
        <is>
          <t>Bigeye grunt</t>
        </is>
      </c>
      <c r="C12" t="inlineStr">
        <is>
          <t>Small demersals (&lt;30 cm)</t>
        </is>
      </c>
      <c r="D12" t="inlineStr">
        <is>
          <t>Perch-likes</t>
        </is>
      </c>
      <c r="E12" s="7" t="inlineStr">
        <is>
          <t>Côtier S inv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3179416.57</v>
      </c>
      <c r="K12" t="n">
        <v>1.8964</v>
      </c>
      <c r="L12" s="6" t="inlineStr">
        <is>
          <t>Guénette &amp; Diallo 2004 Table 6 p.131 explicitly lists this taxon in the named group(s); printed and accepted names checked against WoRMS.</t>
        </is>
      </c>
    </row>
    <row r="13">
      <c r="A13" t="inlineStr">
        <is>
          <t>Trachurus</t>
        </is>
      </c>
      <c r="B13" t="inlineStr">
        <is>
          <t>Jacks, horse mackerels</t>
        </is>
      </c>
      <c r="C13" t="inlineStr">
        <is>
          <t>Medium pelagics (30 - 89 cm)</t>
        </is>
      </c>
      <c r="D13" t="inlineStr">
        <is>
          <t>Perch-likes</t>
        </is>
      </c>
      <c r="E13" s="8" t="inlineStr">
        <is>
          <t>Pel S inv</t>
        </is>
      </c>
      <c r="F13" t="inlineStr"/>
      <c r="G13" t="inlineStr"/>
      <c r="H13" t="inlineStr">
        <is>
          <t>medium</t>
        </is>
      </c>
      <c r="I13" t="inlineStr">
        <is>
          <t>taxonomic_containment</t>
        </is>
      </c>
      <c r="J13" t="n">
        <v>3069248.284</v>
      </c>
      <c r="K13" t="n">
        <v>1.8307</v>
      </c>
      <c r="L13" s="6" t="inlineStr">
        <is>
          <t>Genus-level catch spans exactly the Table 6 groups containing its documented species. No habitat class overrides those placements.</t>
        </is>
      </c>
    </row>
    <row r="14">
      <c r="A14" t="inlineStr">
        <is>
          <t>Sardinella maderensis</t>
        </is>
      </c>
      <c r="B14" t="inlineStr">
        <is>
          <t>Madeiran sardinella</t>
        </is>
      </c>
      <c r="C14" t="inlineStr">
        <is>
          <t>Medium pelagics (30 - 89 cm)</t>
        </is>
      </c>
      <c r="D14" t="inlineStr">
        <is>
          <t>Herring-likes</t>
        </is>
      </c>
      <c r="E14" s="7" t="inlineStr">
        <is>
          <t>Côtier pel S inv</t>
        </is>
      </c>
      <c r="F14" t="inlineStr"/>
      <c r="G14" t="inlineStr"/>
      <c r="H14" t="inlineStr">
        <is>
          <t>high</t>
        </is>
      </c>
      <c r="I14" t="inlineStr">
        <is>
          <t>explicit_member</t>
        </is>
      </c>
      <c r="J14" t="n">
        <v>2712007.901</v>
      </c>
      <c r="K14" t="n">
        <v>1.6176</v>
      </c>
      <c r="L14" s="6" t="inlineStr">
        <is>
          <t>Guénette &amp; Diallo 2004 Table 6 p.131 explicitly lists this taxon in the named group(s); printed and accepted names checked against WoRMS.</t>
        </is>
      </c>
    </row>
    <row r="15">
      <c r="A15" t="inlineStr">
        <is>
          <t>Katsuwonus pelamis</t>
        </is>
      </c>
      <c r="B15" t="inlineStr">
        <is>
          <t>Skipjack tuna</t>
        </is>
      </c>
      <c r="C15" t="inlineStr">
        <is>
          <t>Large pelagics (&gt;=90 cm)</t>
        </is>
      </c>
      <c r="D15" t="inlineStr">
        <is>
          <t>Tuna &amp; billfishes</t>
        </is>
      </c>
      <c r="E15" s="7" t="inlineStr">
        <is>
          <t>Thons majeurs</t>
        </is>
      </c>
      <c r="F15" t="inlineStr"/>
      <c r="G15" t="inlineStr"/>
      <c r="H15" t="inlineStr">
        <is>
          <t>high</t>
        </is>
      </c>
      <c r="I15" t="inlineStr">
        <is>
          <t>explicit_member</t>
        </is>
      </c>
      <c r="J15" t="n">
        <v>2349950.979</v>
      </c>
      <c r="K15" t="n">
        <v>1.4017</v>
      </c>
      <c r="L15" s="6" t="inlineStr">
        <is>
          <t>Guénette &amp; Diallo 2004 Table 6 p.131 explicitly lists this taxon in the named group(s); printed and accepted names checked against WoRMS.</t>
        </is>
      </c>
    </row>
    <row r="16">
      <c r="A16" t="inlineStr">
        <is>
          <t>Thunnus albacares</t>
        </is>
      </c>
      <c r="B16" t="inlineStr">
        <is>
          <t>Yellowfin tuna</t>
        </is>
      </c>
      <c r="C16" t="inlineStr">
        <is>
          <t>Large pelagics (&gt;=90 cm)</t>
        </is>
      </c>
      <c r="D16" t="inlineStr">
        <is>
          <t>Tuna &amp; billfishes</t>
        </is>
      </c>
      <c r="E16" s="7" t="inlineStr">
        <is>
          <t>Thons majeurs</t>
        </is>
      </c>
      <c r="F16" t="inlineStr"/>
      <c r="G16" t="inlineStr"/>
      <c r="H16" t="inlineStr">
        <is>
          <t>high</t>
        </is>
      </c>
      <c r="I16" t="inlineStr">
        <is>
          <t>explicit_member</t>
        </is>
      </c>
      <c r="J16" t="n">
        <v>2303135.349</v>
      </c>
      <c r="K16" t="n">
        <v>1.3738</v>
      </c>
      <c r="L16" s="6" t="inlineStr">
        <is>
          <t>Guénette &amp; Diallo 2004 Table 6 p.131 explicitly lists this taxon in the named group(s); printed and accepted names checked against WoRMS.</t>
        </is>
      </c>
    </row>
    <row r="17">
      <c r="A17" t="inlineStr">
        <is>
          <t>Galeoides decadactylus</t>
        </is>
      </c>
      <c r="B17" t="inlineStr">
        <is>
          <t>Lesser African threadfin</t>
        </is>
      </c>
      <c r="C17" t="inlineStr">
        <is>
          <t>Medium demersals (30 - 89 cm)</t>
        </is>
      </c>
      <c r="D17" t="inlineStr">
        <is>
          <t>Perch-likes</t>
        </is>
      </c>
      <c r="E17" s="7" t="inlineStr">
        <is>
          <t>Petit capitaine</t>
        </is>
      </c>
      <c r="F17" t="inlineStr"/>
      <c r="G17" t="inlineStr"/>
      <c r="H17" t="inlineStr">
        <is>
          <t>high</t>
        </is>
      </c>
      <c r="I17" t="inlineStr">
        <is>
          <t>explicit_member</t>
        </is>
      </c>
      <c r="J17" t="n">
        <v>1937563.164</v>
      </c>
      <c r="K17" t="n">
        <v>1.1557</v>
      </c>
      <c r="L17" s="6" t="inlineStr">
        <is>
          <t>Guénette &amp; Diallo 2004 Table 6 p.131 explicitly lists this taxon in the named group(s); printed and accepted names checked against WoRMS.</t>
        </is>
      </c>
    </row>
    <row r="18">
      <c r="A18" t="inlineStr">
        <is>
          <t>Pseudotolithus elongatus</t>
        </is>
      </c>
      <c r="B18" t="inlineStr">
        <is>
          <t>Bobo croaker</t>
        </is>
      </c>
      <c r="C18" t="inlineStr">
        <is>
          <t>Medium demersals (30 - 89 cm)</t>
        </is>
      </c>
      <c r="D18" t="inlineStr">
        <is>
          <t>Perch-likes</t>
        </is>
      </c>
      <c r="E18" s="7" t="inlineStr">
        <is>
          <t>Bars</t>
        </is>
      </c>
      <c r="F18" t="inlineStr"/>
      <c r="G18" t="inlineStr"/>
      <c r="H18" t="inlineStr">
        <is>
          <t>high</t>
        </is>
      </c>
      <c r="I18" t="inlineStr">
        <is>
          <t>explicit_member</t>
        </is>
      </c>
      <c r="J18" t="n">
        <v>1602177.658</v>
      </c>
      <c r="K18" t="n">
        <v>0.9557</v>
      </c>
      <c r="L18" s="6" t="inlineStr">
        <is>
          <t>Guénette &amp; Diallo 2004 Table 6 p.131 explicitly lists this taxon in the named group(s); printed and accepted names checked against WoRMS.</t>
        </is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s="8" t="inlineStr">
        <is>
          <t>Côtier pel L pred</t>
        </is>
      </c>
      <c r="F19" t="inlineStr"/>
      <c r="G19" t="inlineStr"/>
      <c r="H19" t="inlineStr">
        <is>
          <t>medium</t>
        </is>
      </c>
      <c r="I19" t="inlineStr">
        <is>
          <t>taxonomic_containment</t>
        </is>
      </c>
      <c r="J19" t="n">
        <v>1518406.698</v>
      </c>
      <c r="K19" t="n">
        <v>0.9056999999999999</v>
      </c>
      <c r="L19" s="6" t="inlineStr">
        <is>
          <t>Genus-level catch spans exactly the Table 6 groups containing its documented species. No habitat class overrides those placements.</t>
        </is>
      </c>
    </row>
    <row r="20">
      <c r="A20" t="inlineStr">
        <is>
          <t>Clupeiformes</t>
        </is>
      </c>
      <c r="B20" t="inlineStr">
        <is>
          <t>Herrings, shads, anchovies</t>
        </is>
      </c>
      <c r="C20" t="inlineStr">
        <is>
          <t>Small pelagics (&lt;30 cm)</t>
        </is>
      </c>
      <c r="D20" t="inlineStr">
        <is>
          <t>Other fishes &amp; inverts</t>
        </is>
      </c>
      <c r="E20" s="8" t="inlineStr">
        <is>
          <t>Côtier pel S inv | Ethmalose</t>
        </is>
      </c>
      <c r="F20" t="inlineStr">
        <is>
          <t>0.601 | 0.399</t>
        </is>
      </c>
      <c r="G20" t="inlineStr">
        <is>
          <t>catch_composition</t>
        </is>
      </c>
      <c r="H20" t="inlineStr">
        <is>
          <t>medium</t>
        </is>
      </c>
      <c r="I20" t="inlineStr">
        <is>
          <t>composite_split</t>
        </is>
      </c>
      <c r="J20" t="n">
        <v>1518026.458</v>
      </c>
      <c r="K20" t="n">
        <v>0.9055</v>
      </c>
      <c r="L20" s="6" t="inlineStr">
        <is>
          <t>Anchovies, herrings/sardinellas and bonga occur in the coastal small-pelagic and named Ethmalose compartments in Table 6.</t>
        </is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s="8" t="inlineStr">
        <is>
          <t>Côtier M pred | Côtier pel L pred | Pel L pred | Pel S inv</t>
        </is>
      </c>
      <c r="F21" t="inlineStr">
        <is>
          <t>0.000 | 0.579 | 0.010 | 0.411</t>
        </is>
      </c>
      <c r="G21" t="inlineStr">
        <is>
          <t>catch_composition</t>
        </is>
      </c>
      <c r="H21" t="inlineStr">
        <is>
          <t>medium</t>
        </is>
      </c>
      <c r="I21" t="inlineStr">
        <is>
          <t>composite_split</t>
        </is>
      </c>
      <c r="J21" t="n">
        <v>1450867.123</v>
      </c>
      <c r="K21" t="n">
        <v>0.8653999999999999</v>
      </c>
      <c r="L21" s="6" t="inlineStr">
        <is>
          <t>Family catch spans the union of all Table 6 member groups belonging to Carangidae under WoRMS. Every candidate is supported by a source member; source placement outranks SAU habitat class.</t>
        </is>
      </c>
    </row>
    <row r="22">
      <c r="A22" t="inlineStr">
        <is>
          <t>Trichiurus lepturus</t>
        </is>
      </c>
      <c r="B22" t="inlineStr">
        <is>
          <t>Largehead hairtail</t>
        </is>
      </c>
      <c r="C22" t="inlineStr">
        <is>
          <t>Large benthopelagics (&gt;=90 cm)</t>
        </is>
      </c>
      <c r="D22" t="inlineStr">
        <is>
          <t>Perch-likes</t>
        </is>
      </c>
      <c r="E22" s="7" t="inlineStr">
        <is>
          <t>Côtier L pred</t>
        </is>
      </c>
      <c r="F22" t="inlineStr"/>
      <c r="G22" t="inlineStr"/>
      <c r="H22" t="inlineStr">
        <is>
          <t>high</t>
        </is>
      </c>
      <c r="I22" t="inlineStr">
        <is>
          <t>explicit_member</t>
        </is>
      </c>
      <c r="J22" t="n">
        <v>1439530.738</v>
      </c>
      <c r="K22" t="n">
        <v>0.8586</v>
      </c>
      <c r="L22" s="6" t="inlineStr">
        <is>
          <t>Guénette &amp; Diallo 2004 Table 6 p.131 explicitly lists this taxon in the named group(s); printed and accepted names checked against WoRMS.</t>
        </is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s="8" t="inlineStr">
        <is>
          <t>Bars | Côtier L pred | Côtier S pred | Dem L pred | Dem L inv</t>
        </is>
      </c>
      <c r="F23" t="inlineStr">
        <is>
          <t>0.651 | 0.243 | 0.052 | 0.048 | 0.006</t>
        </is>
      </c>
      <c r="G23" t="inlineStr">
        <is>
          <t>catch_composition</t>
        </is>
      </c>
      <c r="H23" t="inlineStr">
        <is>
          <t>medium</t>
        </is>
      </c>
      <c r="I23" t="inlineStr">
        <is>
          <t>composite_split</t>
        </is>
      </c>
      <c r="J23" t="n">
        <v>1420361.07</v>
      </c>
      <c r="K23" t="n">
        <v>0.8472</v>
      </c>
      <c r="L23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</row>
    <row r="24">
      <c r="A24" t="inlineStr">
        <is>
          <t>Chloroscombrus chrysurus</t>
        </is>
      </c>
      <c r="B24" t="inlineStr">
        <is>
          <t>Atlantic bumper</t>
        </is>
      </c>
      <c r="C24" t="inlineStr">
        <is>
          <t>Medium pelagics (30 - 89 cm)</t>
        </is>
      </c>
      <c r="D24" t="inlineStr">
        <is>
          <t>Perch-likes</t>
        </is>
      </c>
      <c r="E24" s="7" t="inlineStr">
        <is>
          <t>Côtier pel L pred</t>
        </is>
      </c>
      <c r="F24" t="inlineStr"/>
      <c r="G24" t="inlineStr"/>
      <c r="H24" t="inlineStr">
        <is>
          <t>high</t>
        </is>
      </c>
      <c r="I24" t="inlineStr">
        <is>
          <t>explicit_member</t>
        </is>
      </c>
      <c r="J24" t="n">
        <v>1394161.195</v>
      </c>
      <c r="K24" t="n">
        <v>0.8316</v>
      </c>
      <c r="L24" s="6" t="inlineStr">
        <is>
          <t>Guénette &amp; Diallo 2004 Table 6 p.131 explicitly lists this taxon in the named group(s); printed and accepted names checked against WoRMS.</t>
        </is>
      </c>
    </row>
    <row r="25">
      <c r="A25" t="inlineStr">
        <is>
          <t>Sarotherodon melanotheron</t>
        </is>
      </c>
      <c r="B25" t="inlineStr">
        <is>
          <t>Blackchin tilapia</t>
        </is>
      </c>
      <c r="C25" t="inlineStr">
        <is>
          <t>Small demersals (&lt;30 cm)</t>
        </is>
      </c>
      <c r="D25" t="inlineStr">
        <is>
          <t>Perch-likes</t>
        </is>
      </c>
      <c r="E25" s="9" t="inlineStr">
        <is>
          <t>Unresolved</t>
        </is>
      </c>
      <c r="F25" t="inlineStr"/>
      <c r="G25" t="inlineStr"/>
      <c r="H25" t="inlineStr">
        <is>
          <t>unresolved</t>
        </is>
      </c>
      <c r="I25" t="inlineStr">
        <is>
          <t>none</t>
        </is>
      </c>
      <c r="J25" t="n">
        <v>1133300.549</v>
      </c>
      <c r="K25" t="n">
        <v>0.676</v>
      </c>
      <c r="L25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26">
      <c r="A26" t="inlineStr">
        <is>
          <t>Sepia</t>
        </is>
      </c>
      <c r="B26" t="inlineStr">
        <is>
          <t>Sepia cuttlefishes</t>
        </is>
      </c>
      <c r="C26" t="inlineStr">
        <is>
          <t>Cephalopods</t>
        </is>
      </c>
      <c r="D26" t="inlineStr">
        <is>
          <t>Other fishes &amp; inverts</t>
        </is>
      </c>
      <c r="E26" s="7" t="inlineStr">
        <is>
          <t>Céphalopodes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1128579.148</v>
      </c>
      <c r="K26" t="n">
        <v>0.6732</v>
      </c>
      <c r="L26" s="6" t="inlineStr">
        <is>
          <t>Source p.125 explicitly includes all cephalopods, including octopus, cuttlefish and squid.</t>
        </is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s="8" t="inlineStr">
        <is>
          <t>Côtier pel S inv | Ethmalose</t>
        </is>
      </c>
      <c r="F27" t="inlineStr">
        <is>
          <t>0.601 | 0.399</t>
        </is>
      </c>
      <c r="G27" t="inlineStr">
        <is>
          <t>catch_composition</t>
        </is>
      </c>
      <c r="H27" t="inlineStr">
        <is>
          <t>medium</t>
        </is>
      </c>
      <c r="I27" t="inlineStr">
        <is>
          <t>composite_split</t>
        </is>
      </c>
      <c r="J27" t="n">
        <v>1104199.724</v>
      </c>
      <c r="K27" t="n">
        <v>0.6586</v>
      </c>
      <c r="L27" s="6" t="inlineStr">
        <is>
          <t>Historical herring-family catch includes sardinellas and bonga. Table 6 separates Sardinella/Ilisha from Ethmalosa; current family-rank changes do not erase that commercial scope.</t>
        </is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s="8" t="inlineStr">
        <is>
          <t>Thons majeurs | Thons mineurs | Pel S inv</t>
        </is>
      </c>
      <c r="F28" t="inlineStr">
        <is>
          <t>0.473 | 0.159 | 0.368</t>
        </is>
      </c>
      <c r="G28" t="inlineStr">
        <is>
          <t>catch_composition</t>
        </is>
      </c>
      <c r="H28" t="inlineStr">
        <is>
          <t>medium</t>
        </is>
      </c>
      <c r="I28" t="inlineStr">
        <is>
          <t>composite_split</t>
        </is>
      </c>
      <c r="J28" t="n">
        <v>1005227.905</v>
      </c>
      <c r="K28" t="n">
        <v>0.5996</v>
      </c>
      <c r="L28" s="6" t="inlineStr">
        <is>
          <t>Table 6 places Thunnus/Katsuwonus in major tunas, other tuna/bonito and Spanish mackerel taxa in minor tunas, and Scomber in small offshore pelagics.</t>
        </is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s="8" t="inlineStr">
        <is>
          <t>Sélaciens L prof | Sélaciens L côtiers | Sélaciens M prof | Sélaciens M côtiers</t>
        </is>
      </c>
      <c r="F29" t="inlineStr">
        <is>
          <t>0.731 | 0.091 | 0.172 | 0.006</t>
        </is>
      </c>
      <c r="G29" t="inlineStr">
        <is>
          <t>catch_composition</t>
        </is>
      </c>
      <c r="H29" t="inlineStr">
        <is>
          <t>medium</t>
        </is>
      </c>
      <c r="I29" t="inlineStr">
        <is>
          <t>composite_split</t>
        </is>
      </c>
      <c r="J29" t="n">
        <v>911158.706</v>
      </c>
      <c r="K29" t="n">
        <v>0.5435</v>
      </c>
      <c r="L29" s="6" t="inlineStr">
        <is>
          <t>The class-level catch spans all four documented shark/ray size and depth groups in Table 6.</t>
        </is>
      </c>
    </row>
    <row r="30">
      <c r="A30" t="inlineStr">
        <is>
          <t>Polydactylus quadrifilis</t>
        </is>
      </c>
      <c r="B30" t="inlineStr">
        <is>
          <t>Giant African threadfin</t>
        </is>
      </c>
      <c r="C30" t="inlineStr">
        <is>
          <t>Large demersals (&gt;=90 cm)</t>
        </is>
      </c>
      <c r="D30" t="inlineStr">
        <is>
          <t>Perch-likes</t>
        </is>
      </c>
      <c r="E30" s="7" t="inlineStr">
        <is>
          <t>Gros capitaine</t>
        </is>
      </c>
      <c r="F30" t="inlineStr"/>
      <c r="G30" t="inlineStr"/>
      <c r="H30" t="inlineStr">
        <is>
          <t>high</t>
        </is>
      </c>
      <c r="I30" t="inlineStr">
        <is>
          <t>explicit_member</t>
        </is>
      </c>
      <c r="J30" t="n">
        <v>805152.367</v>
      </c>
      <c r="K30" t="n">
        <v>0.4802</v>
      </c>
      <c r="L30" s="6" t="inlineStr">
        <is>
          <t>Guénette &amp; Diallo 2004 Table 6 p.131 explicitly lists this taxon in the named group(s); printed and accepted names checked against WoRMS.</t>
        </is>
      </c>
    </row>
    <row r="31">
      <c r="A31" t="inlineStr">
        <is>
          <t>Thunnus obesus</t>
        </is>
      </c>
      <c r="B31" t="inlineStr">
        <is>
          <t>Bigeye tuna</t>
        </is>
      </c>
      <c r="C31" t="inlineStr">
        <is>
          <t>Large pelagics (&gt;=90 cm)</t>
        </is>
      </c>
      <c r="D31" t="inlineStr">
        <is>
          <t>Tuna &amp; billfishes</t>
        </is>
      </c>
      <c r="E31" s="7" t="inlineStr">
        <is>
          <t>Thons majeurs</t>
        </is>
      </c>
      <c r="F31" t="inlineStr"/>
      <c r="G31" t="inlineStr"/>
      <c r="H31" t="inlineStr">
        <is>
          <t>high</t>
        </is>
      </c>
      <c r="I31" t="inlineStr">
        <is>
          <t>explicit_member</t>
        </is>
      </c>
      <c r="J31" t="n">
        <v>788871.309</v>
      </c>
      <c r="K31" t="n">
        <v>0.4705</v>
      </c>
      <c r="L31" s="6" t="inlineStr">
        <is>
          <t>Guénette &amp; Diallo 2004 Table 6 p.131 explicitly lists this taxon in the named group(s); printed and accepted names checked against WoRMS.</t>
        </is>
      </c>
    </row>
    <row r="32">
      <c r="A32" t="inlineStr">
        <is>
          <t>Mugilidae</t>
        </is>
      </c>
      <c r="B32" t="inlineStr">
        <is>
          <t>Mullets, grey mullets</t>
        </is>
      </c>
      <c r="C32" t="inlineStr">
        <is>
          <t>Medium reef assoc. fish (30 - 89 cm)</t>
        </is>
      </c>
      <c r="D32" t="inlineStr">
        <is>
          <t>Perch-likes</t>
        </is>
      </c>
      <c r="E32" s="8" t="inlineStr">
        <is>
          <t>Dem M inv | Mulets</t>
        </is>
      </c>
      <c r="F32" t="inlineStr">
        <is>
          <t>0.927 | 0.073</t>
        </is>
      </c>
      <c r="G32" t="inlineStr">
        <is>
          <t>catch_composition</t>
        </is>
      </c>
      <c r="H32" t="inlineStr">
        <is>
          <t>medium</t>
        </is>
      </c>
      <c r="I32" t="inlineStr">
        <is>
          <t>composite_split</t>
        </is>
      </c>
      <c r="J32" t="n">
        <v>785745.88</v>
      </c>
      <c r="K32" t="n">
        <v>0.4687</v>
      </c>
      <c r="L32" s="6" t="inlineStr">
        <is>
          <t>Family catch spans the union of all Table 6 member groups belonging to Mugilidae under WoRMS. Every candidate is supported by a source member; source placement outranks SAU habitat class.</t>
        </is>
      </c>
    </row>
    <row r="33">
      <c r="A33" t="inlineStr">
        <is>
          <t>Polynemidae</t>
        </is>
      </c>
      <c r="B33" t="inlineStr">
        <is>
          <t>Threadfins</t>
        </is>
      </c>
      <c r="C33" t="inlineStr">
        <is>
          <t>Small demersals (&lt;30 cm)</t>
        </is>
      </c>
      <c r="D33" t="inlineStr">
        <is>
          <t>Perch-likes</t>
        </is>
      </c>
      <c r="E33" s="8" t="inlineStr">
        <is>
          <t>Gros capitaine | Petit capitaine | Capitaine royal</t>
        </is>
      </c>
      <c r="F33" t="inlineStr">
        <is>
          <t>0.259 | 0.622 | 0.119</t>
        </is>
      </c>
      <c r="G33" t="inlineStr">
        <is>
          <t>catch_composition</t>
        </is>
      </c>
      <c r="H33" t="inlineStr">
        <is>
          <t>medium</t>
        </is>
      </c>
      <c r="I33" t="inlineStr">
        <is>
          <t>composite_split</t>
        </is>
      </c>
      <c r="J33" t="n">
        <v>771085.964</v>
      </c>
      <c r="K33" t="n">
        <v>0.4599</v>
      </c>
      <c r="L33" s="6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s="8" t="inlineStr">
        <is>
          <t>Dem M inv</t>
        </is>
      </c>
      <c r="F34" t="inlineStr"/>
      <c r="G34" t="inlineStr"/>
      <c r="H34" t="inlineStr">
        <is>
          <t>medium</t>
        </is>
      </c>
      <c r="I34" t="inlineStr">
        <is>
          <t>taxonomic_containment</t>
        </is>
      </c>
      <c r="J34" t="n">
        <v>736703.3959999999</v>
      </c>
      <c r="K34" t="n">
        <v>0.4394</v>
      </c>
      <c r="L34" s="6" t="inlineStr">
        <is>
          <t>Family catch spans the union of all Table 6 member groups belonging to Balistidae under WoRMS. Every candidate is supported by a source member; source placement outranks SAU habitat class.</t>
        </is>
      </c>
    </row>
    <row r="35">
      <c r="A35" t="inlineStr">
        <is>
          <t>Nematocarcinus africanus</t>
        </is>
      </c>
      <c r="B35" t="inlineStr">
        <is>
          <t>African spider shrimp</t>
        </is>
      </c>
      <c r="C35" t="inlineStr">
        <is>
          <t>Shrimps</t>
        </is>
      </c>
      <c r="D35" t="inlineStr">
        <is>
          <t>Crustaceans</t>
        </is>
      </c>
      <c r="E35" s="7" t="inlineStr">
        <is>
          <t>Crustacés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736231.044</v>
      </c>
      <c r="K35" t="n">
        <v>0.4391</v>
      </c>
      <c r="L35" s="6" t="inlineStr">
        <is>
          <t>WoRMS crustacean taxonomy and SAU shrimp/crab/lobster class agree with the source Crustacés definition on p.125.</t>
        </is>
      </c>
    </row>
    <row r="36">
      <c r="A36" t="inlineStr">
        <is>
          <t>Haemulidae</t>
        </is>
      </c>
      <c r="B36" t="inlineStr">
        <is>
          <t>Grunts, sweetlips, bonnetmouths</t>
        </is>
      </c>
      <c r="C36" t="inlineStr">
        <is>
          <t>Medium demersals (30 - 89 cm)</t>
        </is>
      </c>
      <c r="D36" t="inlineStr">
        <is>
          <t>Perch-likes</t>
        </is>
      </c>
      <c r="E36" s="8" t="inlineStr">
        <is>
          <t>Côtier M inv | Côtier S inv | Dem M inv</t>
        </is>
      </c>
      <c r="F36" t="inlineStr">
        <is>
          <t>0.359 | 0.410 | 0.231</t>
        </is>
      </c>
      <c r="G36" t="inlineStr">
        <is>
          <t>catch_composition</t>
        </is>
      </c>
      <c r="H36" t="inlineStr">
        <is>
          <t>medium</t>
        </is>
      </c>
      <c r="I36" t="inlineStr">
        <is>
          <t>composite_split</t>
        </is>
      </c>
      <c r="J36" t="n">
        <v>731597.709</v>
      </c>
      <c r="K36" t="n">
        <v>0.4364</v>
      </c>
      <c r="L36" s="6" t="inlineStr">
        <is>
          <t>Family catch spans the union of all Table 6 member groups belonging to Haemulidae under WoRMS. Every candidate is supported by a source member; source placement outranks SAU habitat class.</t>
        </is>
      </c>
    </row>
    <row r="37">
      <c r="A37" t="inlineStr">
        <is>
          <t>Cynoglossus</t>
        </is>
      </c>
      <c r="B37" t="inlineStr">
        <is>
          <t>Tonguesoles</t>
        </is>
      </c>
      <c r="C37" t="inlineStr">
        <is>
          <t>Small to medium flatfishes (&lt;90 cm)</t>
        </is>
      </c>
      <c r="D37" t="inlineStr">
        <is>
          <t>Flatfishes</t>
        </is>
      </c>
      <c r="E37" s="8" t="inlineStr">
        <is>
          <t>Côtier M inv</t>
        </is>
      </c>
      <c r="F37" t="inlineStr"/>
      <c r="G37" t="inlineStr"/>
      <c r="H37" t="inlineStr">
        <is>
          <t>medium</t>
        </is>
      </c>
      <c r="I37" t="inlineStr">
        <is>
          <t>taxonomic_containment</t>
        </is>
      </c>
      <c r="J37" t="n">
        <v>718318.286</v>
      </c>
      <c r="K37" t="n">
        <v>0.4285</v>
      </c>
      <c r="L37" s="6" t="inlineStr">
        <is>
          <t>Genus-level catch spans exactly the Table 6 groups containing its documented species. No habitat class overrides those placements.</t>
        </is>
      </c>
    </row>
    <row r="38">
      <c r="A38" t="inlineStr">
        <is>
          <t>Ilisha africana</t>
        </is>
      </c>
      <c r="B38" t="inlineStr">
        <is>
          <t>West African ilisha</t>
        </is>
      </c>
      <c r="C38" t="inlineStr">
        <is>
          <t>Medium pelagics (30 - 89 cm)</t>
        </is>
      </c>
      <c r="D38" t="inlineStr">
        <is>
          <t>Herring-likes</t>
        </is>
      </c>
      <c r="E38" s="7" t="inlineStr">
        <is>
          <t>Côtier pel S inv</t>
        </is>
      </c>
      <c r="F38" t="inlineStr"/>
      <c r="G38" t="inlineStr"/>
      <c r="H38" t="inlineStr">
        <is>
          <t>high</t>
        </is>
      </c>
      <c r="I38" t="inlineStr">
        <is>
          <t>explicit_member</t>
        </is>
      </c>
      <c r="J38" t="n">
        <v>715365.8810000001</v>
      </c>
      <c r="K38" t="n">
        <v>0.4267</v>
      </c>
      <c r="L38" s="6" t="inlineStr">
        <is>
          <t>Guénette &amp; Diallo 2004 Table 6 p.131 explicitly lists this taxon in the named group(s); printed and accepted names checked against WoRMS.</t>
        </is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s="8" t="inlineStr">
        <is>
          <t>Côtier L pred</t>
        </is>
      </c>
      <c r="F39" t="inlineStr"/>
      <c r="G39" t="inlineStr"/>
      <c r="H39" t="inlineStr">
        <is>
          <t>medium</t>
        </is>
      </c>
      <c r="I39" t="inlineStr">
        <is>
          <t>taxonomic_containment</t>
        </is>
      </c>
      <c r="J39" t="n">
        <v>701348.539</v>
      </c>
      <c r="K39" t="n">
        <v>0.4183</v>
      </c>
      <c r="L39" s="6" t="inlineStr">
        <is>
          <t>Family catch spans the union of all Table 6 member groups belonging to Lutjanidae under WoRMS. Every candidate is supported by a source member; source placement outranks SAU habitat class.</t>
        </is>
      </c>
    </row>
    <row r="40">
      <c r="A40" t="inlineStr">
        <is>
          <t>Cynoglossus monodi</t>
        </is>
      </c>
      <c r="B40" t="inlineStr">
        <is>
          <t>Guinean tonguesole</t>
        </is>
      </c>
      <c r="C40" t="inlineStr">
        <is>
          <t>Small to medium flatfishes (&lt;90 cm)</t>
        </is>
      </c>
      <c r="D40" t="inlineStr">
        <is>
          <t>Flatfishes</t>
        </is>
      </c>
      <c r="E40" s="7" t="inlineStr">
        <is>
          <t>Côtier M inv</t>
        </is>
      </c>
      <c r="F40" t="inlineStr"/>
      <c r="G40" t="inlineStr"/>
      <c r="H40" t="inlineStr">
        <is>
          <t>high</t>
        </is>
      </c>
      <c r="I40" t="inlineStr">
        <is>
          <t>explicit_member</t>
        </is>
      </c>
      <c r="J40" t="n">
        <v>697298.156</v>
      </c>
      <c r="K40" t="n">
        <v>0.4159</v>
      </c>
      <c r="L40" s="6" t="inlineStr">
        <is>
          <t>Guénette &amp; Diallo 2004 Table 6 p.131 explicitly lists this taxon in the named group(s); printed and accepted names checked against WoRMS.</t>
        </is>
      </c>
    </row>
    <row r="41">
      <c r="A41" t="inlineStr">
        <is>
          <t>Rachycentron canadum</t>
        </is>
      </c>
      <c r="B41" t="inlineStr">
        <is>
          <t>Cobia</t>
        </is>
      </c>
      <c r="C41" t="inlineStr">
        <is>
          <t>Large pelagics (&gt;=90 cm)</t>
        </is>
      </c>
      <c r="D41" t="inlineStr">
        <is>
          <t>Perch-likes</t>
        </is>
      </c>
      <c r="E41" s="7" t="inlineStr">
        <is>
          <t>Côtier pel L pred</t>
        </is>
      </c>
      <c r="F41" t="inlineStr"/>
      <c r="G41" t="inlineStr"/>
      <c r="H41" t="inlineStr">
        <is>
          <t>high</t>
        </is>
      </c>
      <c r="I41" t="inlineStr">
        <is>
          <t>explicit_member</t>
        </is>
      </c>
      <c r="J41" t="n">
        <v>677083.2340000001</v>
      </c>
      <c r="K41" t="n">
        <v>0.4039</v>
      </c>
      <c r="L41" s="6" t="inlineStr">
        <is>
          <t>Guénette &amp; Diallo 2004 Table 6 p.131 explicitly lists this taxon in the named group(s); printed and accepted names checked against WoRMS.</t>
        </is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s="5" t="inlineStr">
        <is>
          <t>Côtier L pred | Côtier M pred | Disques | Côtier M inv | Côtier S pred | Côtier S inv | Dem L pred | Dem L inv | Dem M pred | Dem M inv | Dem S pred | Dem S inv</t>
        </is>
      </c>
      <c r="F42" t="inlineStr">
        <is>
          <t>0.234 | 0.000 | 0.021 | 0.227 | 0.049 | 0.259 | 0.046 | 0.006 | 0.011 | 0.146 | 0.000 | 0.001</t>
        </is>
      </c>
      <c r="G42" t="inlineStr">
        <is>
          <t>catch_composition</t>
        </is>
      </c>
      <c r="H42" t="inlineStr">
        <is>
          <t>low</t>
        </is>
      </c>
      <c r="I42" t="inlineStr">
        <is>
          <t>composite_split</t>
        </is>
      </c>
      <c r="J42" t="n">
        <v>663130.919</v>
      </c>
      <c r="K42" t="n">
        <v>0.3955</v>
      </c>
      <c r="L42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s="7" t="inlineStr">
        <is>
          <t>Côtier pel L pred</t>
        </is>
      </c>
      <c r="F43" t="inlineStr"/>
      <c r="G43" t="inlineStr"/>
      <c r="H43" t="inlineStr">
        <is>
          <t>high</t>
        </is>
      </c>
      <c r="I43" t="inlineStr">
        <is>
          <t>explicit_member</t>
        </is>
      </c>
      <c r="J43" t="n">
        <v>638202.504</v>
      </c>
      <c r="K43" t="n">
        <v>0.3807</v>
      </c>
      <c r="L43" s="6" t="inlineStr">
        <is>
          <t>Guénette &amp; Diallo 2004 Table 6 p.131 explicitly lists this taxon in the named group(s); printed and accepted names checked against WoRMS.</t>
        </is>
      </c>
    </row>
    <row r="44">
      <c r="A44" t="inlineStr">
        <is>
          <t>Scombroidei</t>
        </is>
      </c>
      <c r="B44" t="inlineStr">
        <is>
          <t>Tunas, bonitos, billfishes</t>
        </is>
      </c>
      <c r="C44" t="inlineStr">
        <is>
          <t>Large pelagics (&gt;=90 cm)</t>
        </is>
      </c>
      <c r="D44" t="inlineStr">
        <is>
          <t>Tuna &amp; billfishes</t>
        </is>
      </c>
      <c r="E44" s="5" t="inlineStr">
        <is>
          <t>Thons majeurs | Thons mineurs | Pel S inv | Côtier L pred | Bathy L pred</t>
        </is>
      </c>
      <c r="F44" t="inlineStr">
        <is>
          <t>0.383 | 0.128 | 0.298 | 0.190 | 0.001</t>
        </is>
      </c>
      <c r="G44" t="inlineStr">
        <is>
          <t>catch_composition</t>
        </is>
      </c>
      <c r="H44" t="inlineStr">
        <is>
          <t>low</t>
        </is>
      </c>
      <c r="I44" t="inlineStr">
        <is>
          <t>composite_split</t>
        </is>
      </c>
      <c r="J44" t="n">
        <v>602457.3959999999</v>
      </c>
      <c r="K44" t="n">
        <v>0.3593</v>
      </c>
      <c r="L44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</row>
    <row r="45">
      <c r="A45" t="inlineStr">
        <is>
          <t>Engraulidae</t>
        </is>
      </c>
      <c r="B45" t="inlineStr">
        <is>
          <t>Anchovies, round herrings</t>
        </is>
      </c>
      <c r="C45" t="inlineStr">
        <is>
          <t>Small pelagics (&lt;30 cm)</t>
        </is>
      </c>
      <c r="D45" t="inlineStr">
        <is>
          <t>Anchovies</t>
        </is>
      </c>
      <c r="E45" s="7" t="inlineStr">
        <is>
          <t>Côtier pel S inv</t>
        </is>
      </c>
      <c r="F45" t="inlineStr"/>
      <c r="G45" t="inlineStr"/>
      <c r="H45" t="inlineStr">
        <is>
          <t>high</t>
        </is>
      </c>
      <c r="I45" t="inlineStr">
        <is>
          <t>taxonomic_containment</t>
        </is>
      </c>
      <c r="J45" t="n">
        <v>599019.25</v>
      </c>
      <c r="K45" t="n">
        <v>0.3573</v>
      </c>
      <c r="L45" s="6" t="inlineStr">
        <is>
          <t>Engraulis is listed in the coastal small-pelagic compartment; this is the model's anchovy-compatible pool.</t>
        </is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s="7" t="inlineStr">
        <is>
          <t>Thons mineurs</t>
        </is>
      </c>
      <c r="F46" t="inlineStr"/>
      <c r="G46" t="inlineStr"/>
      <c r="H46" t="inlineStr">
        <is>
          <t>high</t>
        </is>
      </c>
      <c r="I46" t="inlineStr">
        <is>
          <t>explicit_member</t>
        </is>
      </c>
      <c r="J46" t="n">
        <v>562844.1360000001</v>
      </c>
      <c r="K46" t="n">
        <v>0.3357</v>
      </c>
      <c r="L46" s="6" t="inlineStr">
        <is>
          <t>Guénette &amp; Diallo 2004 Table 6 p.131 explicitly lists this taxon in the named group(s); printed and accepted names checked against WoRMS.</t>
        </is>
      </c>
    </row>
    <row r="47">
      <c r="A47" t="inlineStr">
        <is>
          <t>Diplodus</t>
        </is>
      </c>
      <c r="B47" t="inlineStr">
        <is>
          <t>Two-toothed seabreams</t>
        </is>
      </c>
      <c r="C47" t="inlineStr">
        <is>
          <t>Medium benthopelagics (30 - 89 cm)</t>
        </is>
      </c>
      <c r="D47" t="inlineStr">
        <is>
          <t>Perch-likes</t>
        </is>
      </c>
      <c r="E47" s="8" t="inlineStr">
        <is>
          <t>Côtier M inv</t>
        </is>
      </c>
      <c r="F47" t="inlineStr"/>
      <c r="G47" t="inlineStr"/>
      <c r="H47" t="inlineStr">
        <is>
          <t>medium</t>
        </is>
      </c>
      <c r="I47" t="inlineStr">
        <is>
          <t>taxonomic_containment</t>
        </is>
      </c>
      <c r="J47" t="n">
        <v>557560.791</v>
      </c>
      <c r="K47" t="n">
        <v>0.3326</v>
      </c>
      <c r="L47" s="6" t="inlineStr">
        <is>
          <t>Genus-level catch spans exactly the Table 6 groups containing its documented species. No habitat class overrides those placements.</t>
        </is>
      </c>
    </row>
    <row r="48">
      <c r="A48" t="inlineStr">
        <is>
          <t>Dentex</t>
        </is>
      </c>
      <c r="B48" t="inlineStr">
        <is>
          <t>Toothed seabreams</t>
        </is>
      </c>
      <c r="C48" t="inlineStr">
        <is>
          <t>Large benthopelagics (&gt;=90 cm)</t>
        </is>
      </c>
      <c r="D48" t="inlineStr">
        <is>
          <t>Perch-likes</t>
        </is>
      </c>
      <c r="E48" s="8" t="inlineStr">
        <is>
          <t>Côtier L pred | Dem M pred</t>
        </is>
      </c>
      <c r="F48" t="inlineStr">
        <is>
          <t>0.953 | 0.047</t>
        </is>
      </c>
      <c r="G48" t="inlineStr">
        <is>
          <t>catch_composition</t>
        </is>
      </c>
      <c r="H48" t="inlineStr">
        <is>
          <t>medium</t>
        </is>
      </c>
      <c r="I48" t="inlineStr">
        <is>
          <t>composite_split</t>
        </is>
      </c>
      <c r="J48" t="n">
        <v>548413.921</v>
      </c>
      <c r="K48" t="n">
        <v>0.3271</v>
      </c>
      <c r="L48" s="6" t="inlineStr">
        <is>
          <t>Genus-level catch spans exactly the Table 6 groups containing its documented species. No habitat class overrides those placements.</t>
        </is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s="7" t="inlineStr">
        <is>
          <t>Crustacés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542861.24</v>
      </c>
      <c r="K49" t="n">
        <v>0.3238</v>
      </c>
      <c r="L49" s="6" t="inlineStr">
        <is>
          <t>Penaeoid/prawn catch falls within the source's explicit shrimp-containing Crustacés definition (p.125).</t>
        </is>
      </c>
    </row>
    <row r="50">
      <c r="A50" t="inlineStr">
        <is>
          <t>Penaeus notialis</t>
        </is>
      </c>
      <c r="B50" t="inlineStr">
        <is>
          <t>Southern pink shrimp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Crustacés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535244.302</v>
      </c>
      <c r="K50" t="n">
        <v>0.3193</v>
      </c>
      <c r="L50" s="6" t="inlineStr">
        <is>
          <t>WoRMS crustacean taxonomy and SAU shrimp/crab/lobster class agree with the source Crustacés definition on p.125.</t>
        </is>
      </c>
    </row>
    <row r="51">
      <c r="A51" t="inlineStr">
        <is>
          <t>Sparidae</t>
        </is>
      </c>
      <c r="B51" t="inlineStr">
        <is>
          <t>Porgies, seabreams</t>
        </is>
      </c>
      <c r="C51" t="inlineStr">
        <is>
          <t>Medium benthopelagics (30 - 89 cm)</t>
        </is>
      </c>
      <c r="D51" t="inlineStr">
        <is>
          <t>Perch-likes</t>
        </is>
      </c>
      <c r="E51" s="8" t="inlineStr">
        <is>
          <t>Côtier L pred | Côtier M inv | Côtier S inv | Dem L inv | Dem L pred | Dem M inv | Dem M pred | Mulets</t>
        </is>
      </c>
      <c r="F51" t="inlineStr">
        <is>
          <t>0.249 | 0.241 | 0.275 | 0.007 | 0.049 | 0.155 | 0.012 | 0.012</t>
        </is>
      </c>
      <c r="G51" t="inlineStr">
        <is>
          <t>catch_composition</t>
        </is>
      </c>
      <c r="H51" t="inlineStr">
        <is>
          <t>medium</t>
        </is>
      </c>
      <c r="I51" t="inlineStr">
        <is>
          <t>composite_split</t>
        </is>
      </c>
      <c r="J51" t="n">
        <v>527424.2070000001</v>
      </c>
      <c r="K51" t="n">
        <v>0.3146</v>
      </c>
      <c r="L51" s="6" t="inlineStr">
        <is>
          <t>Family catch spans the union of all Table 6 member groups belonging to Sparidae under WoRMS. Every candidate is supported by a source member; source placement outranks SAU habitat class.</t>
        </is>
      </c>
    </row>
    <row r="52">
      <c r="A52" t="inlineStr">
        <is>
          <t>Trachurus trecae</t>
        </is>
      </c>
      <c r="B52" t="inlineStr">
        <is>
          <t>Cunene horse mackerel</t>
        </is>
      </c>
      <c r="C52" t="inlineStr">
        <is>
          <t>Medium benthopelagics (30 - 89 cm)</t>
        </is>
      </c>
      <c r="D52" t="inlineStr">
        <is>
          <t>Perch-likes</t>
        </is>
      </c>
      <c r="E52" s="7" t="inlineStr">
        <is>
          <t>Pel S inv</t>
        </is>
      </c>
      <c r="F52" t="inlineStr"/>
      <c r="G52" t="inlineStr"/>
      <c r="H52" t="inlineStr">
        <is>
          <t>high</t>
        </is>
      </c>
      <c r="I52" t="inlineStr">
        <is>
          <t>explicit_member</t>
        </is>
      </c>
      <c r="J52" t="n">
        <v>515245.374</v>
      </c>
      <c r="K52" t="n">
        <v>0.3073</v>
      </c>
      <c r="L52" s="6" t="inlineStr">
        <is>
          <t>Guénette &amp; Diallo 2004 Table 6 p.131 explicitly lists this taxon in the named group(s); printed and accepted names checked against WoRMS.</t>
        </is>
      </c>
    </row>
    <row r="53">
      <c r="A53" t="inlineStr">
        <is>
          <t>Penaeidae</t>
        </is>
      </c>
      <c r="B53" t="inlineStr">
        <is>
          <t>Commercial shrimps and prawns</t>
        </is>
      </c>
      <c r="C53" t="inlineStr">
        <is>
          <t>Shrimps</t>
        </is>
      </c>
      <c r="D53" t="inlineStr">
        <is>
          <t>Crustaceans</t>
        </is>
      </c>
      <c r="E53" s="7" t="inlineStr">
        <is>
          <t>Crustacés</t>
        </is>
      </c>
      <c r="F53" t="inlineStr"/>
      <c r="G53" t="inlineStr"/>
      <c r="H53" t="inlineStr">
        <is>
          <t>high</t>
        </is>
      </c>
      <c r="I53" t="inlineStr">
        <is>
          <t>taxonomic_containment</t>
        </is>
      </c>
      <c r="J53" t="n">
        <v>511079.609</v>
      </c>
      <c r="K53" t="n">
        <v>0.3048</v>
      </c>
      <c r="L53" s="6" t="inlineStr">
        <is>
          <t>WoRMS crustacean taxonomy and SAU shrimp/crab/lobster class agree with the source Crustacés definition on p.125.</t>
        </is>
      </c>
    </row>
    <row r="54">
      <c r="A54" t="inlineStr">
        <is>
          <t>Pomadasys</t>
        </is>
      </c>
      <c r="B54" t="inlineStr">
        <is>
          <t>Grunters</t>
        </is>
      </c>
      <c r="C54" t="inlineStr">
        <is>
          <t>Medium demersals (30 - 89 cm)</t>
        </is>
      </c>
      <c r="D54" t="inlineStr">
        <is>
          <t>Perch-likes</t>
        </is>
      </c>
      <c r="E54" s="8" t="inlineStr">
        <is>
          <t>Côtier M inv</t>
        </is>
      </c>
      <c r="F54" t="inlineStr"/>
      <c r="G54" t="inlineStr"/>
      <c r="H54" t="inlineStr">
        <is>
          <t>medium</t>
        </is>
      </c>
      <c r="I54" t="inlineStr">
        <is>
          <t>taxonomic_containment</t>
        </is>
      </c>
      <c r="J54" t="n">
        <v>478930.316</v>
      </c>
      <c r="K54" t="n">
        <v>0.2857</v>
      </c>
      <c r="L54" s="6" t="inlineStr">
        <is>
          <t>Genus-level catch spans exactly the Table 6 groups containing its documented species. No habitat class overrides those placements.</t>
        </is>
      </c>
    </row>
    <row r="55">
      <c r="A55" t="inlineStr">
        <is>
          <t>Sphyraenidae</t>
        </is>
      </c>
      <c r="B55" t="inlineStr">
        <is>
          <t>Barracudas</t>
        </is>
      </c>
      <c r="C55" t="inlineStr">
        <is>
          <t>Medium reef assoc. fish (30 - 89 cm)</t>
        </is>
      </c>
      <c r="D55" t="inlineStr">
        <is>
          <t>Perch-likes</t>
        </is>
      </c>
      <c r="E55" s="8" t="inlineStr">
        <is>
          <t>Côtier pel L pred</t>
        </is>
      </c>
      <c r="F55" t="inlineStr"/>
      <c r="G55" t="inlineStr"/>
      <c r="H55" t="inlineStr">
        <is>
          <t>medium</t>
        </is>
      </c>
      <c r="I55" t="inlineStr">
        <is>
          <t>taxonomic_containment</t>
        </is>
      </c>
      <c r="J55" t="n">
        <v>464213.477</v>
      </c>
      <c r="K55" t="n">
        <v>0.2769</v>
      </c>
      <c r="L55" s="6" t="inlineStr">
        <is>
          <t>Family catch spans the union of all Table 6 member groups belonging to Sphyraenidae under WoRMS. Every candidate is supported by a source member; source placement outranks SAU habitat class.</t>
        </is>
      </c>
    </row>
    <row r="56">
      <c r="A56" t="inlineStr">
        <is>
          <t>Sarda sarda</t>
        </is>
      </c>
      <c r="B56" t="inlineStr">
        <is>
          <t>Atlantic bonito</t>
        </is>
      </c>
      <c r="C56" t="inlineStr">
        <is>
          <t>Medium pelagics (30 - 89 cm)</t>
        </is>
      </c>
      <c r="D56" t="inlineStr">
        <is>
          <t>Tuna &amp; billfishes</t>
        </is>
      </c>
      <c r="E56" s="7" t="inlineStr">
        <is>
          <t>Thons mineurs</t>
        </is>
      </c>
      <c r="F56" t="inlineStr"/>
      <c r="G56" t="inlineStr"/>
      <c r="H56" t="inlineStr">
        <is>
          <t>high</t>
        </is>
      </c>
      <c r="I56" t="inlineStr">
        <is>
          <t>explicit_member</t>
        </is>
      </c>
      <c r="J56" t="n">
        <v>446613.688</v>
      </c>
      <c r="K56" t="n">
        <v>0.2664</v>
      </c>
      <c r="L56" s="6" t="inlineStr">
        <is>
          <t>Guénette &amp; Diallo 2004 Table 6 p.131 explicitly lists this taxon in the named group(s); printed and accepted names checked against WoRMS.</t>
        </is>
      </c>
    </row>
    <row r="57">
      <c r="A57" t="inlineStr">
        <is>
          <t>Dasyatidae</t>
        </is>
      </c>
      <c r="B57" t="inlineStr">
        <is>
          <t>Whiptail stingrays</t>
        </is>
      </c>
      <c r="C57" t="inlineStr">
        <is>
          <t>Large rays (&gt;=90 cm)</t>
        </is>
      </c>
      <c r="D57" t="inlineStr">
        <is>
          <t>Sharks &amp; rays</t>
        </is>
      </c>
      <c r="E57" s="8" t="inlineStr">
        <is>
          <t>Sélaciens L côtiers | Sélaciens M côtiers</t>
        </is>
      </c>
      <c r="F57" t="inlineStr">
        <is>
          <t>0.934 | 0.066</t>
        </is>
      </c>
      <c r="G57" t="inlineStr">
        <is>
          <t>catch_composition</t>
        </is>
      </c>
      <c r="H57" t="inlineStr">
        <is>
          <t>medium</t>
        </is>
      </c>
      <c r="I57" t="inlineStr">
        <is>
          <t>composite_split</t>
        </is>
      </c>
      <c r="J57" t="n">
        <v>435963.098</v>
      </c>
      <c r="K57" t="n">
        <v>0.26</v>
      </c>
      <c r="L57" s="6" t="inlineStr">
        <is>
          <t>Family catch spans the union of all Table 6 member groups belonging to Dasyatidae under WoRMS. Every candidate is supported by a source member; source placement outranks SAU habitat class.</t>
        </is>
      </c>
    </row>
    <row r="58">
      <c r="A58" t="inlineStr">
        <is>
          <t>Pteroscion peli</t>
        </is>
      </c>
      <c r="B58" t="inlineStr">
        <is>
          <t>Boe drum</t>
        </is>
      </c>
      <c r="C58" t="inlineStr">
        <is>
          <t>Medium benthopelagics (30 - 89 cm)</t>
        </is>
      </c>
      <c r="D58" t="inlineStr">
        <is>
          <t>Perch-likes</t>
        </is>
      </c>
      <c r="E58" s="7" t="inlineStr">
        <is>
          <t>Côtier S pred</t>
        </is>
      </c>
      <c r="F58" t="inlineStr"/>
      <c r="G58" t="inlineStr"/>
      <c r="H58" t="inlineStr">
        <is>
          <t>high</t>
        </is>
      </c>
      <c r="I58" t="inlineStr">
        <is>
          <t>explicit_member</t>
        </is>
      </c>
      <c r="J58" t="n">
        <v>422411.1</v>
      </c>
      <c r="K58" t="n">
        <v>0.252</v>
      </c>
      <c r="L58" s="6" t="inlineStr">
        <is>
          <t>Guénette &amp; Diallo 2004 Table 6 p.131 explicitly lists this taxon in the named group(s); printed and accepted names checked against WoRMS.</t>
        </is>
      </c>
    </row>
    <row r="59">
      <c r="A59" t="inlineStr">
        <is>
          <t>Sarotherodon galilaeus</t>
        </is>
      </c>
      <c r="B59" t="inlineStr">
        <is>
          <t>Mango tilapia</t>
        </is>
      </c>
      <c r="C59" t="inlineStr">
        <is>
          <t>Large reef assoc. fish (&gt;=90 cm)</t>
        </is>
      </c>
      <c r="D59" t="inlineStr">
        <is>
          <t>Perch-likes</t>
        </is>
      </c>
      <c r="E59" s="9" t="inlineStr">
        <is>
          <t>Unresolved</t>
        </is>
      </c>
      <c r="F59" t="inlineStr"/>
      <c r="G59" t="inlineStr"/>
      <c r="H59" t="inlineStr">
        <is>
          <t>unresolved</t>
        </is>
      </c>
      <c r="I59" t="inlineStr">
        <is>
          <t>none</t>
        </is>
      </c>
      <c r="J59" t="n">
        <v>405273.308</v>
      </c>
      <c r="K59" t="n">
        <v>0.2417</v>
      </c>
      <c r="L59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60">
      <c r="A60" t="inlineStr">
        <is>
          <t>Pseudotolithus senegalensis</t>
        </is>
      </c>
      <c r="B60" t="inlineStr">
        <is>
          <t>Cassava croaker</t>
        </is>
      </c>
      <c r="C60" t="inlineStr">
        <is>
          <t>Large demersals (&gt;=90 cm)</t>
        </is>
      </c>
      <c r="D60" t="inlineStr">
        <is>
          <t>Perch-likes</t>
        </is>
      </c>
      <c r="E60" s="7" t="inlineStr">
        <is>
          <t>Bars</t>
        </is>
      </c>
      <c r="F60" t="inlineStr"/>
      <c r="G60" t="inlineStr"/>
      <c r="H60" t="inlineStr">
        <is>
          <t>high</t>
        </is>
      </c>
      <c r="I60" t="inlineStr">
        <is>
          <t>explicit_member</t>
        </is>
      </c>
      <c r="J60" t="n">
        <v>403396.237</v>
      </c>
      <c r="K60" t="n">
        <v>0.2406</v>
      </c>
      <c r="L60" s="6" t="inlineStr">
        <is>
          <t>Guénette &amp; Diallo 2004 Table 6 p.131 explicitly lists this taxon in the named group(s); printed and accepted names checked against WoRMS.</t>
        </is>
      </c>
    </row>
    <row r="61">
      <c r="A61" t="inlineStr">
        <is>
          <t>Parapenaeus longirostris</t>
        </is>
      </c>
      <c r="B61" t="inlineStr">
        <is>
          <t>Deepwater rose shrimp</t>
        </is>
      </c>
      <c r="C61" t="inlineStr">
        <is>
          <t>Shrimps</t>
        </is>
      </c>
      <c r="D61" t="inlineStr">
        <is>
          <t>Crustaceans</t>
        </is>
      </c>
      <c r="E61" s="7" t="inlineStr">
        <is>
          <t>Crustacés</t>
        </is>
      </c>
      <c r="F61" t="inlineStr"/>
      <c r="G61" t="inlineStr"/>
      <c r="H61" t="inlineStr">
        <is>
          <t>high</t>
        </is>
      </c>
      <c r="I61" t="inlineStr">
        <is>
          <t>taxonomic_containment</t>
        </is>
      </c>
      <c r="J61" t="n">
        <v>400810.411</v>
      </c>
      <c r="K61" t="n">
        <v>0.2391</v>
      </c>
      <c r="L61" s="6" t="inlineStr">
        <is>
          <t>WoRMS crustacean taxonomy and SAU shrimp/crab/lobster class agree with the source Crustacés definition on p.125.</t>
        </is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s="7" t="inlineStr">
        <is>
          <t>Côtier pel L pred</t>
        </is>
      </c>
      <c r="F62" t="inlineStr"/>
      <c r="G62" t="inlineStr"/>
      <c r="H62" t="inlineStr">
        <is>
          <t>high</t>
        </is>
      </c>
      <c r="I62" t="inlineStr">
        <is>
          <t>explicit_member</t>
        </is>
      </c>
      <c r="J62" t="n">
        <v>391862.704</v>
      </c>
      <c r="K62" t="n">
        <v>0.2337</v>
      </c>
      <c r="L62" s="6" t="inlineStr">
        <is>
          <t>Guénette &amp; Diallo 2004 Table 6 p.131 explicitly lists this taxon in the named group(s); printed and accepted names checked against WoRMS.</t>
        </is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s="5" t="inlineStr">
        <is>
          <t>Côtier pel L pred | Côtier pel S inv | Pel L pred | Pel S inv</t>
        </is>
      </c>
      <c r="F63" t="inlineStr">
        <is>
          <t>0.189 | 0.673 | 0.003 | 0.135</t>
        </is>
      </c>
      <c r="G63" t="inlineStr">
        <is>
          <t>catch_composition</t>
        </is>
      </c>
      <c r="H63" t="inlineStr">
        <is>
          <t>low</t>
        </is>
      </c>
      <c r="I63" t="inlineStr">
        <is>
          <t>composite_split</t>
        </is>
      </c>
      <c r="J63" t="n">
        <v>388990.858</v>
      </c>
      <c r="K63" t="n">
        <v>0.232</v>
      </c>
      <c r="L63" s="6" t="inlineStr">
        <is>
          <t>Pelagic nei is restricted to broad coastal and offshore pelagic pools. Named tuna/ethmalose stocks and bottom/bathyal groups are excluded.</t>
        </is>
      </c>
    </row>
    <row r="64">
      <c r="A64" t="inlineStr">
        <is>
          <t>Pentheroscion mbizi</t>
        </is>
      </c>
      <c r="B64" t="inlineStr">
        <is>
          <t>Mbizi croaker</t>
        </is>
      </c>
      <c r="C64" t="inlineStr">
        <is>
          <t>Medium demersals (30 - 89 cm)</t>
        </is>
      </c>
      <c r="D64" t="inlineStr">
        <is>
          <t>Perch-likes</t>
        </is>
      </c>
      <c r="E64" s="9" t="inlineStr">
        <is>
          <t>Unresolved</t>
        </is>
      </c>
      <c r="F64" t="inlineStr"/>
      <c r="G64" t="inlineStr"/>
      <c r="H64" t="inlineStr">
        <is>
          <t>unresolved</t>
        </is>
      </c>
      <c r="I64" t="inlineStr">
        <is>
          <t>none</t>
        </is>
      </c>
      <c r="J64" t="n">
        <v>372671.569</v>
      </c>
      <c r="K64" t="n">
        <v>0.2223</v>
      </c>
      <c r="L6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65">
      <c r="A65" t="inlineStr">
        <is>
          <t>Pentanemus quinquarius</t>
        </is>
      </c>
      <c r="B65" t="inlineStr">
        <is>
          <t>Royal threadfin</t>
        </is>
      </c>
      <c r="C65" t="inlineStr">
        <is>
          <t>Small demersals (&lt;30 cm)</t>
        </is>
      </c>
      <c r="D65" t="inlineStr">
        <is>
          <t>Perch-likes</t>
        </is>
      </c>
      <c r="E65" s="7" t="inlineStr">
        <is>
          <t>Capitaine royal</t>
        </is>
      </c>
      <c r="F65" t="inlineStr"/>
      <c r="G65" t="inlineStr"/>
      <c r="H65" t="inlineStr">
        <is>
          <t>high</t>
        </is>
      </c>
      <c r="I65" t="inlineStr">
        <is>
          <t>explicit_member</t>
        </is>
      </c>
      <c r="J65" t="n">
        <v>371053.828</v>
      </c>
      <c r="K65" t="n">
        <v>0.2213</v>
      </c>
      <c r="L65" s="6" t="inlineStr">
        <is>
          <t>Guénette &amp; Diallo 2004 Table 6 p.131 explicitly lists this taxon in the named group(s); printed and accepted names checked against WoRMS.</t>
        </is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s="8" t="inlineStr">
        <is>
          <t>Côtier pel L pred</t>
        </is>
      </c>
      <c r="F66" t="inlineStr"/>
      <c r="G66" t="inlineStr"/>
      <c r="H66" t="inlineStr">
        <is>
          <t>medium</t>
        </is>
      </c>
      <c r="I66" t="inlineStr">
        <is>
          <t>taxonomic_containment</t>
        </is>
      </c>
      <c r="J66" t="n">
        <v>355589.5</v>
      </c>
      <c r="K66" t="n">
        <v>0.2121</v>
      </c>
      <c r="L66" s="6" t="inlineStr">
        <is>
          <t>Genus-level catch spans exactly the Table 6 groups containing its documented species. No habitat class overrides those placements.</t>
        </is>
      </c>
    </row>
    <row r="67">
      <c r="A67" t="inlineStr">
        <is>
          <t>Carlarius heudelotii</t>
        </is>
      </c>
      <c r="B67" t="inlineStr">
        <is>
          <t>Smoothmouth sea catfish</t>
        </is>
      </c>
      <c r="C67" t="inlineStr">
        <is>
          <t>Medium demersals (30 - 89 cm)</t>
        </is>
      </c>
      <c r="D67" t="inlineStr">
        <is>
          <t>Other fishes &amp; inverts</t>
        </is>
      </c>
      <c r="E67" s="7" t="inlineStr">
        <is>
          <t>Mâchoiron</t>
        </is>
      </c>
      <c r="F67" t="inlineStr"/>
      <c r="G67" t="inlineStr"/>
      <c r="H67" t="inlineStr">
        <is>
          <t>high</t>
        </is>
      </c>
      <c r="I67" t="inlineStr">
        <is>
          <t>explicit_member</t>
        </is>
      </c>
      <c r="J67" t="n">
        <v>347179.801</v>
      </c>
      <c r="K67" t="n">
        <v>0.2071</v>
      </c>
      <c r="L67" s="6" t="inlineStr">
        <is>
          <t>Guénette &amp; Diallo 2004 Table 6 p.131 explicitly lists this taxon in the named group(s); printed and accepted names checked against WoRMS.</t>
        </is>
      </c>
    </row>
    <row r="68">
      <c r="A68" t="inlineStr">
        <is>
          <t>Scomber</t>
        </is>
      </c>
      <c r="B68" t="inlineStr">
        <is>
          <t>Chub mackerels</t>
        </is>
      </c>
      <c r="C68" t="inlineStr">
        <is>
          <t>Medium pelagics (30 - 89 cm)</t>
        </is>
      </c>
      <c r="D68" t="inlineStr">
        <is>
          <t>Perch-likes</t>
        </is>
      </c>
      <c r="E68" s="8" t="inlineStr">
        <is>
          <t>Pel S inv</t>
        </is>
      </c>
      <c r="F68" t="inlineStr"/>
      <c r="G68" t="inlineStr"/>
      <c r="H68" t="inlineStr">
        <is>
          <t>medium</t>
        </is>
      </c>
      <c r="I68" t="inlineStr">
        <is>
          <t>taxonomic_containment</t>
        </is>
      </c>
      <c r="J68" t="n">
        <v>346215.466</v>
      </c>
      <c r="K68" t="n">
        <v>0.2065</v>
      </c>
      <c r="L68" s="6" t="inlineStr">
        <is>
          <t>Genus-level catch spans exactly the Table 6 groups containing its documented species. No habitat class overrides those placements.</t>
        </is>
      </c>
    </row>
    <row r="69">
      <c r="A69" t="inlineStr">
        <is>
          <t>Pagellus bellottii</t>
        </is>
      </c>
      <c r="B69" t="inlineStr">
        <is>
          <t>Red pandora</t>
        </is>
      </c>
      <c r="C69" t="inlineStr">
        <is>
          <t>Medium demersals (30 - 89 cm)</t>
        </is>
      </c>
      <c r="D69" t="inlineStr">
        <is>
          <t>Perch-likes</t>
        </is>
      </c>
      <c r="E69" s="7" t="inlineStr">
        <is>
          <t>Dem M inv</t>
        </is>
      </c>
      <c r="F69" t="inlineStr"/>
      <c r="G69" t="inlineStr"/>
      <c r="H69" t="inlineStr">
        <is>
          <t>high</t>
        </is>
      </c>
      <c r="I69" t="inlineStr">
        <is>
          <t>explicit_member</t>
        </is>
      </c>
      <c r="J69" t="n">
        <v>335354.527</v>
      </c>
      <c r="K69" t="n">
        <v>0.2</v>
      </c>
      <c r="L69" s="6" t="inlineStr">
        <is>
          <t>Guénette &amp; Diallo 2004 Table 6 p.131 explicitly lists this taxon in the named group(s); printed and accepted names checked against WoRMS.</t>
        </is>
      </c>
    </row>
    <row r="70">
      <c r="A70" t="inlineStr">
        <is>
          <t>Pagrus</t>
        </is>
      </c>
      <c r="B70" t="inlineStr">
        <is>
          <t>Subtropical seabreams</t>
        </is>
      </c>
      <c r="C70" t="inlineStr">
        <is>
          <t>Medium benthopelagics (30 - 89 cm)</t>
        </is>
      </c>
      <c r="D70" t="inlineStr">
        <is>
          <t>Perch-likes</t>
        </is>
      </c>
      <c r="E70" s="8" t="inlineStr">
        <is>
          <t>Dem L pred</t>
        </is>
      </c>
      <c r="F70" t="inlineStr"/>
      <c r="G70" t="inlineStr"/>
      <c r="H70" t="inlineStr">
        <is>
          <t>medium</t>
        </is>
      </c>
      <c r="I70" t="inlineStr">
        <is>
          <t>taxonomic_containment</t>
        </is>
      </c>
      <c r="J70" t="n">
        <v>329079.849</v>
      </c>
      <c r="K70" t="n">
        <v>0.1963</v>
      </c>
      <c r="L70" s="6" t="inlineStr">
        <is>
          <t>Genus-level catch spans exactly the Table 6 groups containing its documented species. No habitat class overrides those placements.</t>
        </is>
      </c>
    </row>
    <row r="71">
      <c r="A71" t="inlineStr">
        <is>
          <t>Pomadasys jubelini</t>
        </is>
      </c>
      <c r="B71" t="inlineStr">
        <is>
          <t>Sompat grunt</t>
        </is>
      </c>
      <c r="C71" t="inlineStr">
        <is>
          <t>Medium demersals (30 - 89 cm)</t>
        </is>
      </c>
      <c r="D71" t="inlineStr">
        <is>
          <t>Perch-likes</t>
        </is>
      </c>
      <c r="E71" s="7" t="inlineStr">
        <is>
          <t>Côtier M inv</t>
        </is>
      </c>
      <c r="F71" t="inlineStr"/>
      <c r="G71" t="inlineStr"/>
      <c r="H71" t="inlineStr">
        <is>
          <t>high</t>
        </is>
      </c>
      <c r="I71" t="inlineStr">
        <is>
          <t>explicit_member</t>
        </is>
      </c>
      <c r="J71" t="n">
        <v>321432.033</v>
      </c>
      <c r="K71" t="n">
        <v>0.1917</v>
      </c>
      <c r="L71" s="6" t="inlineStr">
        <is>
          <t>Guénette &amp; Diallo 2004 Table 6 p.131 explicitly lists this taxon in the named group(s); printed and accepted names checked against WoRMS.</t>
        </is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s="7" t="inlineStr">
        <is>
          <t>Thons mineurs</t>
        </is>
      </c>
      <c r="F72" t="inlineStr"/>
      <c r="G72" t="inlineStr"/>
      <c r="H72" t="inlineStr">
        <is>
          <t>high</t>
        </is>
      </c>
      <c r="I72" t="inlineStr">
        <is>
          <t>explicit_member</t>
        </is>
      </c>
      <c r="J72" t="n">
        <v>316019.443</v>
      </c>
      <c r="K72" t="n">
        <v>0.1885</v>
      </c>
      <c r="L72" s="6" t="inlineStr">
        <is>
          <t>Guénette &amp; Diallo 2004 Table 6 p.131 explicitly lists this taxon in the named group(s); printed and accepted names checked against WoRMS.</t>
        </is>
      </c>
    </row>
    <row r="73">
      <c r="A73" t="inlineStr">
        <is>
          <t>Elops lacerta</t>
        </is>
      </c>
      <c r="B73" t="inlineStr">
        <is>
          <t>West African ladyfish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s="7" t="inlineStr">
        <is>
          <t>Côtier pel L pred</t>
        </is>
      </c>
      <c r="F73" t="inlineStr"/>
      <c r="G73" t="inlineStr"/>
      <c r="H73" t="inlineStr">
        <is>
          <t>high</t>
        </is>
      </c>
      <c r="I73" t="inlineStr">
        <is>
          <t>explicit_member</t>
        </is>
      </c>
      <c r="J73" t="n">
        <v>305343.546</v>
      </c>
      <c r="K73" t="n">
        <v>0.1821</v>
      </c>
      <c r="L73" s="6" t="inlineStr">
        <is>
          <t>Guénette &amp; Diallo 2004 Table 6 p.131 explicitly lists this taxon in the named group(s); printed and accepted names checked against WoRMS.</t>
        </is>
      </c>
    </row>
    <row r="74">
      <c r="A74" t="inlineStr">
        <is>
          <t>Pseudotolithus typus</t>
        </is>
      </c>
      <c r="B74" t="inlineStr">
        <is>
          <t>Longneck croaker</t>
        </is>
      </c>
      <c r="C74" t="inlineStr">
        <is>
          <t>Large demersals (&gt;=90 cm)</t>
        </is>
      </c>
      <c r="D74" t="inlineStr">
        <is>
          <t>Perch-likes</t>
        </is>
      </c>
      <c r="E74" s="7" t="inlineStr">
        <is>
          <t>Bars</t>
        </is>
      </c>
      <c r="F74" t="inlineStr"/>
      <c r="G74" t="inlineStr"/>
      <c r="H74" t="inlineStr">
        <is>
          <t>high</t>
        </is>
      </c>
      <c r="I74" t="inlineStr">
        <is>
          <t>explicit_member</t>
        </is>
      </c>
      <c r="J74" t="n">
        <v>303874.133</v>
      </c>
      <c r="K74" t="n">
        <v>0.1813</v>
      </c>
      <c r="L74" s="6" t="inlineStr">
        <is>
          <t>Guénette &amp; Diallo 2004 Table 6 p.131 explicitly lists this taxon in the named group(s); printed and accepted names checked against WoRMS.</t>
        </is>
      </c>
    </row>
    <row r="75">
      <c r="A75" t="inlineStr">
        <is>
          <t>Octopus vulgaris</t>
        </is>
      </c>
      <c r="B75" t="inlineStr">
        <is>
          <t>Common octopus</t>
        </is>
      </c>
      <c r="C75" t="inlineStr">
        <is>
          <t>Cephalopods</t>
        </is>
      </c>
      <c r="D75" t="inlineStr">
        <is>
          <t>Other fishes &amp; inverts</t>
        </is>
      </c>
      <c r="E75" s="7" t="inlineStr">
        <is>
          <t>Céphalopodes</t>
        </is>
      </c>
      <c r="F75" t="inlineStr"/>
      <c r="G75" t="inlineStr"/>
      <c r="H75" t="inlineStr">
        <is>
          <t>high</t>
        </is>
      </c>
      <c r="I75" t="inlineStr">
        <is>
          <t>taxonomic_containment</t>
        </is>
      </c>
      <c r="J75" t="n">
        <v>299194.624</v>
      </c>
      <c r="K75" t="n">
        <v>0.1785</v>
      </c>
      <c r="L75" s="6" t="inlineStr">
        <is>
          <t>Source p.125 explicitly includes all cephalopods, including octopus, cuttlefish and squid.</t>
        </is>
      </c>
    </row>
    <row r="76">
      <c r="A76" t="inlineStr">
        <is>
          <t>Lutjanus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s="8" t="inlineStr">
        <is>
          <t>Côtier L pred</t>
        </is>
      </c>
      <c r="F76" t="inlineStr"/>
      <c r="G76" t="inlineStr"/>
      <c r="H76" t="inlineStr">
        <is>
          <t>medium</t>
        </is>
      </c>
      <c r="I76" t="inlineStr">
        <is>
          <t>taxonomic_containment</t>
        </is>
      </c>
      <c r="J76" t="n">
        <v>281553.855</v>
      </c>
      <c r="K76" t="n">
        <v>0.1679</v>
      </c>
      <c r="L76" s="6" t="inlineStr">
        <is>
          <t>Genus-level catch spans exactly the Table 6 groups containing its documented species. No habitat class overrides those placements.</t>
        </is>
      </c>
    </row>
    <row r="77">
      <c r="A77" t="inlineStr">
        <is>
          <t>Drepane africana</t>
        </is>
      </c>
      <c r="B77" t="inlineStr">
        <is>
          <t>African sicklefish</t>
        </is>
      </c>
      <c r="C77" t="inlineStr">
        <is>
          <t>Medium benthopelagics (30 - 89 cm)</t>
        </is>
      </c>
      <c r="D77" t="inlineStr">
        <is>
          <t>Perch-likes</t>
        </is>
      </c>
      <c r="E77" s="7" t="inlineStr">
        <is>
          <t>Disques</t>
        </is>
      </c>
      <c r="F77" t="inlineStr"/>
      <c r="G77" t="inlineStr"/>
      <c r="H77" t="inlineStr">
        <is>
          <t>high</t>
        </is>
      </c>
      <c r="I77" t="inlineStr">
        <is>
          <t>explicit_member</t>
        </is>
      </c>
      <c r="J77" t="n">
        <v>280288.367</v>
      </c>
      <c r="K77" t="n">
        <v>0.1672</v>
      </c>
      <c r="L77" s="6" t="inlineStr">
        <is>
          <t>Guénette &amp; Diallo 2004 Table 6 p.131 explicitly lists this taxon in the named group(s); printed and accepted names checked against WoRMS.</t>
        </is>
      </c>
    </row>
    <row r="78">
      <c r="A78" t="inlineStr">
        <is>
          <t>Scomber colias</t>
        </is>
      </c>
      <c r="B78" t="inlineStr">
        <is>
          <t>Atlantic chub mackerel</t>
        </is>
      </c>
      <c r="C78" t="inlineStr">
        <is>
          <t>Medium pelagics (30 - 89 cm)</t>
        </is>
      </c>
      <c r="D78" t="inlineStr">
        <is>
          <t>Perch-likes</t>
        </is>
      </c>
      <c r="E78" s="8" t="inlineStr">
        <is>
          <t>Pel S inv</t>
        </is>
      </c>
      <c r="F78" t="inlineStr"/>
      <c r="G78" t="inlineStr"/>
      <c r="H78" t="inlineStr">
        <is>
          <t>medium</t>
        </is>
      </c>
      <c r="I78" t="inlineStr">
        <is>
          <t>analogue</t>
        </is>
      </c>
      <c r="J78" t="n">
        <v>261950.127</v>
      </c>
      <c r="K78" t="n">
        <v>0.1562</v>
      </c>
      <c r="L78" s="6" t="inlineStr">
        <is>
          <t>Species not individually listed: its genus has one documented Table 6 group, supported by the catch's Medium pelagics (30 - 89 cm) class. Congeneric extension is inference.</t>
        </is>
      </c>
    </row>
    <row r="79">
      <c r="A79" t="inlineStr">
        <is>
          <t>Epinephelus</t>
        </is>
      </c>
      <c r="B79" t="inlineStr">
        <is>
          <t>Seabasses, hinds</t>
        </is>
      </c>
      <c r="C79" t="inlineStr">
        <is>
          <t>Medium reef assoc. fish (30 - 89 cm)</t>
        </is>
      </c>
      <c r="D79" t="inlineStr">
        <is>
          <t>Perch-likes</t>
        </is>
      </c>
      <c r="E79" s="8" t="inlineStr">
        <is>
          <t>Côtier L pred | Dem L pred</t>
        </is>
      </c>
      <c r="F79" t="inlineStr">
        <is>
          <t>0.837 | 0.163</t>
        </is>
      </c>
      <c r="G79" t="inlineStr">
        <is>
          <t>catch_composition</t>
        </is>
      </c>
      <c r="H79" t="inlineStr">
        <is>
          <t>medium</t>
        </is>
      </c>
      <c r="I79" t="inlineStr">
        <is>
          <t>composite_split</t>
        </is>
      </c>
      <c r="J79" t="n">
        <v>249491.397</v>
      </c>
      <c r="K79" t="n">
        <v>0.1488</v>
      </c>
      <c r="L79" s="6" t="inlineStr">
        <is>
          <t>Genus-level catch spans exactly the Table 6 groups containing its documented species. No habitat class overrides those placements.</t>
        </is>
      </c>
    </row>
    <row r="80">
      <c r="A80" t="inlineStr">
        <is>
          <t>Trachurus trachurus</t>
        </is>
      </c>
      <c r="B80" t="inlineStr">
        <is>
          <t>Atlantic horse mackerel</t>
        </is>
      </c>
      <c r="C80" t="inlineStr">
        <is>
          <t>Medium pelagics (30 - 89 cm)</t>
        </is>
      </c>
      <c r="D80" t="inlineStr">
        <is>
          <t>Perch-likes</t>
        </is>
      </c>
      <c r="E80" s="8" t="inlineStr">
        <is>
          <t>Pel S inv</t>
        </is>
      </c>
      <c r="F80" t="inlineStr"/>
      <c r="G80" t="inlineStr"/>
      <c r="H80" t="inlineStr">
        <is>
          <t>medium</t>
        </is>
      </c>
      <c r="I80" t="inlineStr">
        <is>
          <t>analogue</t>
        </is>
      </c>
      <c r="J80" t="n">
        <v>241304.47</v>
      </c>
      <c r="K80" t="n">
        <v>0.1439</v>
      </c>
      <c r="L80" s="6" t="inlineStr">
        <is>
          <t>Species not individually listed: its genus has one documented Table 6 group, supported by the catch's Medium pelagics (30 - 89 cm) class. Congeneric extension is inference.</t>
        </is>
      </c>
    </row>
    <row r="81">
      <c r="A81" t="inlineStr">
        <is>
          <t>Argyrosomus regius</t>
        </is>
      </c>
      <c r="B81" t="inlineStr">
        <is>
          <t>Meagre</t>
        </is>
      </c>
      <c r="C81" t="inlineStr">
        <is>
          <t>Large benthopelagics (&gt;=90 cm)</t>
        </is>
      </c>
      <c r="D81" t="inlineStr">
        <is>
          <t>Perch-likes</t>
        </is>
      </c>
      <c r="E81" s="7" t="inlineStr">
        <is>
          <t>Côtier L pred</t>
        </is>
      </c>
      <c r="F81" t="inlineStr"/>
      <c r="G81" t="inlineStr"/>
      <c r="H81" t="inlineStr">
        <is>
          <t>high</t>
        </is>
      </c>
      <c r="I81" t="inlineStr">
        <is>
          <t>explicit_member</t>
        </is>
      </c>
      <c r="J81" t="n">
        <v>239356.238</v>
      </c>
      <c r="K81" t="n">
        <v>0.1428</v>
      </c>
      <c r="L81" s="6" t="inlineStr">
        <is>
          <t>Guénette &amp; Diallo 2004 Table 6 p.131 explicitly lists this taxon in the named group(s); printed and accepted names checked against WoRMS.</t>
        </is>
      </c>
    </row>
    <row r="82">
      <c r="A82" t="inlineStr">
        <is>
          <t>Scyris alexandrina</t>
        </is>
      </c>
      <c r="B82" t="inlineStr">
        <is>
          <t>Alexandria pompano</t>
        </is>
      </c>
      <c r="C82" t="inlineStr">
        <is>
          <t>Medium pelagics (30 - 89 cm)</t>
        </is>
      </c>
      <c r="D82" t="inlineStr">
        <is>
          <t>Perch-likes</t>
        </is>
      </c>
      <c r="E82" s="7" t="inlineStr">
        <is>
          <t>Côtier pel L pred</t>
        </is>
      </c>
      <c r="F82" t="inlineStr"/>
      <c r="G82" t="inlineStr"/>
      <c r="H82" t="inlineStr">
        <is>
          <t>high</t>
        </is>
      </c>
      <c r="I82" t="inlineStr">
        <is>
          <t>synonym</t>
        </is>
      </c>
      <c r="J82" t="n">
        <v>237360.082</v>
      </c>
      <c r="K82" t="n">
        <v>0.1416</v>
      </c>
      <c r="L82" s="6" t="inlineStr">
        <is>
          <t>Guénette &amp; Diallo 2004 Table 6 p.131 explicitly lists this taxon in the named group(s); printed and accepted names checked against WoRMS.</t>
        </is>
      </c>
    </row>
    <row r="83">
      <c r="A83" t="inlineStr">
        <is>
          <t>Squalidae</t>
        </is>
      </c>
      <c r="B83" t="inlineStr">
        <is>
          <t>Dogfish sharks</t>
        </is>
      </c>
      <c r="C83" t="inlineStr">
        <is>
          <t>Large sharks (&gt;=90 cm)</t>
        </is>
      </c>
      <c r="D83" t="inlineStr">
        <is>
          <t>Sharks &amp; rays</t>
        </is>
      </c>
      <c r="E83" s="8" t="inlineStr">
        <is>
          <t>Sélaciens L prof | Sélaciens M prof</t>
        </is>
      </c>
      <c r="F83" t="inlineStr">
        <is>
          <t>0.810 | 0.190</t>
        </is>
      </c>
      <c r="G83" t="inlineStr">
        <is>
          <t>catch_composition</t>
        </is>
      </c>
      <c r="H83" t="inlineStr">
        <is>
          <t>medium</t>
        </is>
      </c>
      <c r="I83" t="inlineStr">
        <is>
          <t>composite_split</t>
        </is>
      </c>
      <c r="J83" t="n">
        <v>236585.885</v>
      </c>
      <c r="K83" t="n">
        <v>0.1411</v>
      </c>
      <c r="L83" s="6" t="inlineStr">
        <is>
          <t>Family catch spans the union of all Table 6 member groups belonging to Squalidae under WoRMS. Every candidate is supported by a source member; source placement outranks SAU habitat class.</t>
        </is>
      </c>
    </row>
    <row r="84">
      <c r="A84" t="inlineStr">
        <is>
          <t>Scomberomorus tritor</t>
        </is>
      </c>
      <c r="B84" t="inlineStr">
        <is>
          <t>West African Spanish mackerel</t>
        </is>
      </c>
      <c r="C84" t="inlineStr">
        <is>
          <t>Medium pelagics (30 - 89 cm)</t>
        </is>
      </c>
      <c r="D84" t="inlineStr">
        <is>
          <t>Perch-likes</t>
        </is>
      </c>
      <c r="E84" s="7" t="inlineStr">
        <is>
          <t>Thons mineurs</t>
        </is>
      </c>
      <c r="F84" t="inlineStr"/>
      <c r="G84" t="inlineStr"/>
      <c r="H84" t="inlineStr">
        <is>
          <t>high</t>
        </is>
      </c>
      <c r="I84" t="inlineStr">
        <is>
          <t>explicit_member</t>
        </is>
      </c>
      <c r="J84" t="n">
        <v>232621.782</v>
      </c>
      <c r="K84" t="n">
        <v>0.1388</v>
      </c>
      <c r="L84" s="6" t="inlineStr">
        <is>
          <t>Guénette &amp; Diallo 2004 Table 6 p.131 explicitly lists this taxon in the named group(s); printed and accepted names checked against WoRMS.</t>
        </is>
      </c>
    </row>
    <row r="85">
      <c r="A85" t="inlineStr">
        <is>
          <t>Pagellus</t>
        </is>
      </c>
      <c r="B85" t="inlineStr">
        <is>
          <t>Pandoras</t>
        </is>
      </c>
      <c r="C85" t="inlineStr">
        <is>
          <t>Medium benthopelagics (30 - 89 cm)</t>
        </is>
      </c>
      <c r="D85" t="inlineStr">
        <is>
          <t>Perch-likes</t>
        </is>
      </c>
      <c r="E85" s="8" t="inlineStr">
        <is>
          <t>Dem M inv</t>
        </is>
      </c>
      <c r="F85" t="inlineStr"/>
      <c r="G85" t="inlineStr"/>
      <c r="H85" t="inlineStr">
        <is>
          <t>medium</t>
        </is>
      </c>
      <c r="I85" t="inlineStr">
        <is>
          <t>taxonomic_containment</t>
        </is>
      </c>
      <c r="J85" t="n">
        <v>231646.118</v>
      </c>
      <c r="K85" t="n">
        <v>0.1382</v>
      </c>
      <c r="L85" s="6" t="inlineStr">
        <is>
          <t>Genus-level catch spans exactly the Table 6 groups containing its documented species. No habitat class overrides those placements.</t>
        </is>
      </c>
    </row>
    <row r="86">
      <c r="A86" t="inlineStr">
        <is>
          <t>Nematopalaemon hastatus</t>
        </is>
      </c>
      <c r="B86" t="inlineStr">
        <is>
          <t>Estuarine prawn</t>
        </is>
      </c>
      <c r="C86" t="inlineStr">
        <is>
          <t>Shrimps</t>
        </is>
      </c>
      <c r="D86" t="inlineStr">
        <is>
          <t>Crustaceans</t>
        </is>
      </c>
      <c r="E86" s="7" t="inlineStr">
        <is>
          <t>Crustacés</t>
        </is>
      </c>
      <c r="F86" t="inlineStr"/>
      <c r="G86" t="inlineStr"/>
      <c r="H86" t="inlineStr">
        <is>
          <t>high</t>
        </is>
      </c>
      <c r="I86" t="inlineStr">
        <is>
          <t>taxonomic_containment</t>
        </is>
      </c>
      <c r="J86" t="n">
        <v>225043.179</v>
      </c>
      <c r="K86" t="n">
        <v>0.1342</v>
      </c>
      <c r="L86" s="6" t="inlineStr">
        <is>
          <t>WoRMS crustacean taxonomy and SAU shrimp/crab/lobster class agree with the source Crustacés definition on p.125.</t>
        </is>
      </c>
    </row>
    <row r="87">
      <c r="A87" t="inlineStr">
        <is>
          <t>Selene dorsalis</t>
        </is>
      </c>
      <c r="B87" t="inlineStr">
        <is>
          <t>African moonfish</t>
        </is>
      </c>
      <c r="C87" t="inlineStr">
        <is>
          <t>Small demersals (&lt;30 cm)</t>
        </is>
      </c>
      <c r="D87" t="inlineStr">
        <is>
          <t>Perch-likes</t>
        </is>
      </c>
      <c r="E87" s="7" t="inlineStr">
        <is>
          <t>Côtier pel L pred</t>
        </is>
      </c>
      <c r="F87" t="inlineStr"/>
      <c r="G87" t="inlineStr"/>
      <c r="H87" t="inlineStr">
        <is>
          <t>high</t>
        </is>
      </c>
      <c r="I87" t="inlineStr">
        <is>
          <t>explicit_member</t>
        </is>
      </c>
      <c r="J87" t="n">
        <v>216745.116</v>
      </c>
      <c r="K87" t="n">
        <v>0.1293</v>
      </c>
      <c r="L87" s="6" t="inlineStr">
        <is>
          <t>Guénette &amp; Diallo 2004 Table 6 p.131 explicitly lists this taxon in the named group(s); printed and accepted names checked against WoRMS.</t>
        </is>
      </c>
    </row>
    <row r="88">
      <c r="A88" t="inlineStr">
        <is>
          <t>Trachinotus</t>
        </is>
      </c>
      <c r="B88" t="inlineStr">
        <is>
          <t>Pompanos</t>
        </is>
      </c>
      <c r="C88" t="inlineStr">
        <is>
          <t>Medium pelagics (30 - 89 cm)</t>
        </is>
      </c>
      <c r="D88" t="inlineStr">
        <is>
          <t>Perch-likes</t>
        </is>
      </c>
      <c r="E88" s="8" t="inlineStr">
        <is>
          <t>Côtier pel L pred</t>
        </is>
      </c>
      <c r="F88" t="inlineStr"/>
      <c r="G88" t="inlineStr"/>
      <c r="H88" t="inlineStr">
        <is>
          <t>medium</t>
        </is>
      </c>
      <c r="I88" t="inlineStr">
        <is>
          <t>taxonomic_containment</t>
        </is>
      </c>
      <c r="J88" t="n">
        <v>211036.856</v>
      </c>
      <c r="K88" t="n">
        <v>0.1259</v>
      </c>
      <c r="L88" s="6" t="inlineStr">
        <is>
          <t>Genus-level catch spans exactly the Table 6 groups containing its documented species. No habitat class overrides those placements.</t>
        </is>
      </c>
    </row>
    <row r="89">
      <c r="A89" t="inlineStr">
        <is>
          <t>Balistes capriscus</t>
        </is>
      </c>
      <c r="B89" t="inlineStr">
        <is>
          <t>Grey triggerfish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s="7" t="inlineStr">
        <is>
          <t>Dem M inv</t>
        </is>
      </c>
      <c r="F89" t="inlineStr"/>
      <c r="G89" t="inlineStr"/>
      <c r="H89" t="inlineStr">
        <is>
          <t>high</t>
        </is>
      </c>
      <c r="I89" t="inlineStr">
        <is>
          <t>explicit_member</t>
        </is>
      </c>
      <c r="J89" t="n">
        <v>204773.111</v>
      </c>
      <c r="K89" t="n">
        <v>0.1221</v>
      </c>
      <c r="L89" s="6" t="inlineStr">
        <is>
          <t>Guénette &amp; Diallo 2004 Table 6 p.131 explicitly lists this taxon in the named group(s); printed and accepted names checked against WoRMS.</t>
        </is>
      </c>
    </row>
    <row r="90">
      <c r="A90" t="inlineStr">
        <is>
          <t>Pseudupeneus prayensis</t>
        </is>
      </c>
      <c r="B90" t="inlineStr">
        <is>
          <t>West African goatfish</t>
        </is>
      </c>
      <c r="C90" t="inlineStr">
        <is>
          <t>Medium demersals (30 - 89 cm)</t>
        </is>
      </c>
      <c r="D90" t="inlineStr">
        <is>
          <t>Perch-likes</t>
        </is>
      </c>
      <c r="E90" s="7" t="inlineStr">
        <is>
          <t>Dem M inv</t>
        </is>
      </c>
      <c r="F90" t="inlineStr"/>
      <c r="G90" t="inlineStr"/>
      <c r="H90" t="inlineStr">
        <is>
          <t>high</t>
        </is>
      </c>
      <c r="I90" t="inlineStr">
        <is>
          <t>explicit_member</t>
        </is>
      </c>
      <c r="J90" t="n">
        <v>202853.218</v>
      </c>
      <c r="K90" t="n">
        <v>0.121</v>
      </c>
      <c r="L90" s="6" t="inlineStr">
        <is>
          <t>Guénette &amp; Diallo 2004 Table 6 p.131 explicitly lists this taxon in the named group(s); printed and accepted names checked against WoRMS.</t>
        </is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s="7" t="inlineStr">
        <is>
          <t>Sélaciens L prof</t>
        </is>
      </c>
      <c r="F91" t="inlineStr"/>
      <c r="G91" t="inlineStr"/>
      <c r="H91" t="inlineStr">
        <is>
          <t>high</t>
        </is>
      </c>
      <c r="I91" t="inlineStr">
        <is>
          <t>explicit_member</t>
        </is>
      </c>
      <c r="J91" t="n">
        <v>199252.152</v>
      </c>
      <c r="K91" t="n">
        <v>0.1188</v>
      </c>
      <c r="L91" s="6" t="inlineStr">
        <is>
          <t>Guénette &amp; Diallo 2004 Table 6 p.131 explicitly lists this taxon in the named group(s); printed and accepted names checked against WoRMS.</t>
        </is>
      </c>
    </row>
    <row r="92">
      <c r="A92" t="inlineStr">
        <is>
          <t>Thunnus thynnus</t>
        </is>
      </c>
      <c r="B92" t="inlineStr">
        <is>
          <t>Atlantic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s="8" t="inlineStr">
        <is>
          <t>Thons majeurs</t>
        </is>
      </c>
      <c r="F92" t="inlineStr"/>
      <c r="G92" t="inlineStr"/>
      <c r="H92" t="inlineStr">
        <is>
          <t>medium</t>
        </is>
      </c>
      <c r="I92" t="inlineStr">
        <is>
          <t>analogue</t>
        </is>
      </c>
      <c r="J92" t="n">
        <v>187594.54</v>
      </c>
      <c r="K92" t="n">
        <v>0.1119</v>
      </c>
      <c r="L92" s="6" t="inlineStr">
        <is>
          <t>Species not individually listed: its genus has one documented Table 6 group, supported by the catch's Large pelagics (&gt;=90 cm) class. Congeneric extension is inference.</t>
        </is>
      </c>
    </row>
    <row r="93">
      <c r="A93" t="inlineStr">
        <is>
          <t>Thunnus alalunga</t>
        </is>
      </c>
      <c r="B93" t="inlineStr">
        <is>
          <t>Albacore</t>
        </is>
      </c>
      <c r="C93" t="inlineStr">
        <is>
          <t>Large pelagics (&gt;=90 cm)</t>
        </is>
      </c>
      <c r="D93" t="inlineStr">
        <is>
          <t>Tuna &amp; billfishes</t>
        </is>
      </c>
      <c r="E93" s="7" t="inlineStr">
        <is>
          <t>Thons majeurs</t>
        </is>
      </c>
      <c r="F93" t="inlineStr"/>
      <c r="G93" t="inlineStr"/>
      <c r="H93" t="inlineStr">
        <is>
          <t>high</t>
        </is>
      </c>
      <c r="I93" t="inlineStr">
        <is>
          <t>explicit_member</t>
        </is>
      </c>
      <c r="J93" t="n">
        <v>185809.05</v>
      </c>
      <c r="K93" t="n">
        <v>0.1108</v>
      </c>
      <c r="L93" s="6" t="inlineStr">
        <is>
          <t>Guénette &amp; Diallo 2004 Table 6 p.131 explicitly lists this taxon in the named group(s); printed and accepted names checked against WoRMS.</t>
        </is>
      </c>
    </row>
    <row r="94">
      <c r="A94" t="inlineStr">
        <is>
          <t>Sepiida</t>
        </is>
      </c>
      <c r="B94" t="inlineStr">
        <is>
          <t>Cuttlefishes, bobtail squids</t>
        </is>
      </c>
      <c r="C94" t="inlineStr">
        <is>
          <t>Cephalopods</t>
        </is>
      </c>
      <c r="D94" t="inlineStr">
        <is>
          <t>Other fishes &amp; inverts</t>
        </is>
      </c>
      <c r="E94" s="7" t="inlineStr">
        <is>
          <t>Céphalopodes</t>
        </is>
      </c>
      <c r="F94" t="inlineStr"/>
      <c r="G94" t="inlineStr"/>
      <c r="H94" t="inlineStr">
        <is>
          <t>high</t>
        </is>
      </c>
      <c r="I94" t="inlineStr">
        <is>
          <t>taxonomic_containment</t>
        </is>
      </c>
      <c r="J94" t="n">
        <v>185244.806</v>
      </c>
      <c r="K94" t="n">
        <v>0.1105</v>
      </c>
      <c r="L94" s="6" t="inlineStr">
        <is>
          <t>Source p.125 explicitly includes all cephalopods, including octopus, cuttlefish and squid.</t>
        </is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s="7" t="inlineStr">
        <is>
          <t>Céphalopodes</t>
        </is>
      </c>
      <c r="F95" t="inlineStr"/>
      <c r="G95" t="inlineStr"/>
      <c r="H95" t="inlineStr">
        <is>
          <t>high</t>
        </is>
      </c>
      <c r="I95" t="inlineStr">
        <is>
          <t>taxonomic_containment</t>
        </is>
      </c>
      <c r="J95" t="n">
        <v>181049.389</v>
      </c>
      <c r="K95" t="n">
        <v>0.108</v>
      </c>
      <c r="L95" s="6" t="inlineStr">
        <is>
          <t>Source p.125 explicitly includes all cephalopods, including octopus, cuttlefish and squid.</t>
        </is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s="7" t="inlineStr">
        <is>
          <t>Thons mineurs</t>
        </is>
      </c>
      <c r="F96" t="inlineStr"/>
      <c r="G96" t="inlineStr"/>
      <c r="H96" t="inlineStr">
        <is>
          <t>high</t>
        </is>
      </c>
      <c r="I96" t="inlineStr">
        <is>
          <t>explicit_member</t>
        </is>
      </c>
      <c r="J96" t="n">
        <v>180780.317</v>
      </c>
      <c r="K96" t="n">
        <v>0.1078</v>
      </c>
      <c r="L96" s="6" t="inlineStr">
        <is>
          <t>Guénette &amp; Diallo 2004 Table 6 p.131 explicitly lists this taxon in the named group(s); printed and accepted names checked against WoRMS.</t>
        </is>
      </c>
    </row>
    <row r="97">
      <c r="A97" t="inlineStr">
        <is>
          <t>Rajiformes</t>
        </is>
      </c>
      <c r="B97" t="inlineStr">
        <is>
          <t>Skates and rays</t>
        </is>
      </c>
      <c r="C97" t="inlineStr">
        <is>
          <t>Large rays (&gt;=90 cm)</t>
        </is>
      </c>
      <c r="D97" t="inlineStr">
        <is>
          <t>Sharks &amp; rays</t>
        </is>
      </c>
      <c r="E97" s="8" t="inlineStr">
        <is>
          <t>Sélaciens L prof | Sélaciens M prof</t>
        </is>
      </c>
      <c r="F97" t="inlineStr">
        <is>
          <t>0.810 | 0.190</t>
        </is>
      </c>
      <c r="G97" t="inlineStr">
        <is>
          <t>catch_composition</t>
        </is>
      </c>
      <c r="H97" t="inlineStr">
        <is>
          <t>medium</t>
        </is>
      </c>
      <c r="I97" t="inlineStr">
        <is>
          <t>composite_split</t>
        </is>
      </c>
      <c r="J97" t="n">
        <v>176679.785</v>
      </c>
      <c r="K97" t="n">
        <v>0.1054</v>
      </c>
      <c r="L97" s="6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</row>
    <row r="98">
      <c r="A98" t="inlineStr">
        <is>
          <t>Solea</t>
        </is>
      </c>
      <c r="B98" t="inlineStr">
        <is>
          <t>Soles</t>
        </is>
      </c>
      <c r="C98" t="inlineStr">
        <is>
          <t>Small to medium flatfishes (&lt;90 cm)</t>
        </is>
      </c>
      <c r="D98" t="inlineStr">
        <is>
          <t>Flatfishes</t>
        </is>
      </c>
      <c r="E98" s="5" t="inlineStr">
        <is>
          <t>Côtier S inv</t>
        </is>
      </c>
      <c r="F98" t="inlineStr"/>
      <c r="G98" t="inlineStr"/>
      <c r="H98" t="inlineStr">
        <is>
          <t>low</t>
        </is>
      </c>
      <c r="I98" t="inlineStr">
        <is>
          <t>analogue</t>
        </is>
      </c>
      <c r="J98" t="n">
        <v>172378.238</v>
      </c>
      <c r="K98" t="n">
        <v>0.1028</v>
      </c>
      <c r="L98" s="6" t="inlineStr">
        <is>
          <t>Analyst analogue: sole genus shares benthic-invertebrate feeding and shelf habitat with the source's Pegusa/Dicologlossa small coastal invertebrate feeders. Species membership is not directly documented.</t>
        </is>
      </c>
    </row>
    <row r="99">
      <c r="A99" t="inlineStr">
        <is>
          <t>Stromateus fiatola</t>
        </is>
      </c>
      <c r="B99" t="inlineStr">
        <is>
          <t>Blue butterfish</t>
        </is>
      </c>
      <c r="C99" t="inlineStr">
        <is>
          <t>Medium benthopelagics (30 - 89 cm)</t>
        </is>
      </c>
      <c r="D99" t="inlineStr">
        <is>
          <t>Perch-likes</t>
        </is>
      </c>
      <c r="E99" s="7" t="inlineStr">
        <is>
          <t>Côtier S pred</t>
        </is>
      </c>
      <c r="F99" t="inlineStr"/>
      <c r="G99" t="inlineStr"/>
      <c r="H99" t="inlineStr">
        <is>
          <t>high</t>
        </is>
      </c>
      <c r="I99" t="inlineStr">
        <is>
          <t>explicit_member</t>
        </is>
      </c>
      <c r="J99" t="n">
        <v>167686.604</v>
      </c>
      <c r="K99" t="n">
        <v>0.1</v>
      </c>
      <c r="L99" s="6" t="inlineStr">
        <is>
          <t>Guénette &amp; Diallo 2004 Table 6 p.131 explicitly lists this taxon in the named group(s); printed and accepted names checked against WoRMS.</t>
        </is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s="8" t="inlineStr">
        <is>
          <t>Crustacés</t>
        </is>
      </c>
      <c r="F100" t="inlineStr"/>
      <c r="G100" t="inlineStr"/>
      <c r="H100" t="inlineStr">
        <is>
          <t>medium</t>
        </is>
      </c>
      <c r="I100" t="inlineStr">
        <is>
          <t>taxonomic_containment</t>
        </is>
      </c>
      <c r="J100" t="n">
        <v>162844.136</v>
      </c>
      <c r="K100" t="n">
        <v>0.09710000000000001</v>
      </c>
      <c r="L100" s="6" t="inlineStr">
        <is>
          <t>SAU shrimp-category catch matches the commercial/noncommercial shrimp and crab/lobster pool described on p.125.</t>
        </is>
      </c>
    </row>
    <row r="101">
      <c r="A101" t="inlineStr">
        <is>
          <t>Sepiidae</t>
        </is>
      </c>
      <c r="B101" t="inlineStr">
        <is>
          <t>Cuttlefishes</t>
        </is>
      </c>
      <c r="C101" t="inlineStr">
        <is>
          <t>Cephalopods</t>
        </is>
      </c>
      <c r="D101" t="inlineStr">
        <is>
          <t>Other fishes &amp; inverts</t>
        </is>
      </c>
      <c r="E101" s="7" t="inlineStr">
        <is>
          <t>Céphalopodes</t>
        </is>
      </c>
      <c r="F101" t="inlineStr"/>
      <c r="G101" t="inlineStr"/>
      <c r="H101" t="inlineStr">
        <is>
          <t>high</t>
        </is>
      </c>
      <c r="I101" t="inlineStr">
        <is>
          <t>taxonomic_containment</t>
        </is>
      </c>
      <c r="J101" t="n">
        <v>158576.085</v>
      </c>
      <c r="K101" t="n">
        <v>0.0946</v>
      </c>
      <c r="L101" s="6" t="inlineStr">
        <is>
          <t>Source p.125 explicitly includes all cephalopods, including octopus, cuttlefish and squid.</t>
        </is>
      </c>
    </row>
    <row r="102">
      <c r="A102" t="inlineStr">
        <is>
          <t>Dentex gibbosus</t>
        </is>
      </c>
      <c r="B102" t="inlineStr">
        <is>
          <t>Pink dentex</t>
        </is>
      </c>
      <c r="C102" t="inlineStr">
        <is>
          <t>Large benthopelagics (&gt;=90 cm)</t>
        </is>
      </c>
      <c r="D102" t="inlineStr">
        <is>
          <t>Perch-likes</t>
        </is>
      </c>
      <c r="E102" s="7" t="inlineStr">
        <is>
          <t>Côtier L pred</t>
        </is>
      </c>
      <c r="F102" t="inlineStr"/>
      <c r="G102" t="inlineStr"/>
      <c r="H102" t="inlineStr">
        <is>
          <t>high</t>
        </is>
      </c>
      <c r="I102" t="inlineStr">
        <is>
          <t>explicit_member</t>
        </is>
      </c>
      <c r="J102" t="n">
        <v>157881.303</v>
      </c>
      <c r="K102" t="n">
        <v>0.09420000000000001</v>
      </c>
      <c r="L102" s="6" t="inlineStr">
        <is>
          <t>Guénette &amp; Diallo 2004 Table 6 p.131 explicitly lists this taxon in the named group(s); printed and accepted names checked against WoRMS.</t>
        </is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s="8" t="inlineStr">
        <is>
          <t>Côtier L pred | Côtier M inv | Côtier S pred | Côtier S inv | Dem L pred | Dem S pred | Dem S inv</t>
        </is>
      </c>
      <c r="F103" t="inlineStr">
        <is>
          <t>0.287 | 0.278 | 0.061 | 0.317 | 0.056 | 0.000 | 0.001</t>
        </is>
      </c>
      <c r="G103" t="inlineStr">
        <is>
          <t>catch_composition</t>
        </is>
      </c>
      <c r="H103" t="inlineStr">
        <is>
          <t>medium</t>
        </is>
      </c>
      <c r="I103" t="inlineStr">
        <is>
          <t>composite_split</t>
        </is>
      </c>
      <c r="J103" t="n">
        <v>157106.538</v>
      </c>
      <c r="K103" t="n">
        <v>0.09370000000000001</v>
      </c>
      <c r="L103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</row>
    <row r="104">
      <c r="A104" t="inlineStr">
        <is>
          <t>Caranx rhonchus</t>
        </is>
      </c>
      <c r="B104" t="inlineStr">
        <is>
          <t>False scad</t>
        </is>
      </c>
      <c r="C104" t="inlineStr">
        <is>
          <t>Medium benthopelagics (30 - 89 cm)</t>
        </is>
      </c>
      <c r="D104" t="inlineStr">
        <is>
          <t>Perch-likes</t>
        </is>
      </c>
      <c r="E104" s="7" t="inlineStr">
        <is>
          <t>Côtier pel L pred</t>
        </is>
      </c>
      <c r="F104" t="inlineStr"/>
      <c r="G104" t="inlineStr"/>
      <c r="H104" t="inlineStr">
        <is>
          <t>high</t>
        </is>
      </c>
      <c r="I104" t="inlineStr">
        <is>
          <t>explicit_member</t>
        </is>
      </c>
      <c r="J104" t="n">
        <v>156259.923</v>
      </c>
      <c r="K104" t="n">
        <v>0.09320000000000001</v>
      </c>
      <c r="L104" s="6" t="inlineStr">
        <is>
          <t>Guénette &amp; Diallo 2004 Table 6 p.131 explicitly lists this taxon in the named group(s); printed and accepted names checked against WoRMS.</t>
        </is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s="5" t="inlineStr">
        <is>
          <t>Sélaciens L prof | Sélaciens L côtiers | Sélaciens M prof | Sélaciens M côtiers</t>
        </is>
      </c>
      <c r="F105" t="inlineStr">
        <is>
          <t>0.731 | 0.091 | 0.172 | 0.006</t>
        </is>
      </c>
      <c r="G105" t="inlineStr">
        <is>
          <t>catch_composition</t>
        </is>
      </c>
      <c r="H105" t="inlineStr">
        <is>
          <t>low</t>
        </is>
      </c>
      <c r="I105" t="inlineStr">
        <is>
          <t>composite_split</t>
        </is>
      </c>
      <c r="J105" t="n">
        <v>155684.309</v>
      </c>
      <c r="K105" t="n">
        <v>0.0929</v>
      </c>
      <c r="L105" s="6" t="inlineStr">
        <is>
          <t>Cartilaginous catch is allocated over the four documented shark/ray pools; no chimaera group is represented.</t>
        </is>
      </c>
    </row>
    <row r="106">
      <c r="A106" t="inlineStr">
        <is>
          <t>Acanthocybium solandri</t>
        </is>
      </c>
      <c r="B106" t="inlineStr">
        <is>
          <t>Wahoo</t>
        </is>
      </c>
      <c r="C106" t="inlineStr">
        <is>
          <t>Large pelagics (&gt;=90 cm)</t>
        </is>
      </c>
      <c r="D106" t="inlineStr">
        <is>
          <t>Perch-likes</t>
        </is>
      </c>
      <c r="E106" s="7" t="inlineStr">
        <is>
          <t>Thons mineurs</t>
        </is>
      </c>
      <c r="F106" t="inlineStr"/>
      <c r="G106" t="inlineStr"/>
      <c r="H106" t="inlineStr">
        <is>
          <t>high</t>
        </is>
      </c>
      <c r="I106" t="inlineStr">
        <is>
          <t>explicit_member</t>
        </is>
      </c>
      <c r="J106" t="n">
        <v>155495.952</v>
      </c>
      <c r="K106" t="n">
        <v>0.0927</v>
      </c>
      <c r="L106" s="6" t="inlineStr">
        <is>
          <t>Guénette &amp; Diallo 2004 Table 6 p.131 explicitly lists this taxon in the named group(s); printed and accepted names checked against WoRMS.</t>
        </is>
      </c>
    </row>
    <row r="107">
      <c r="A107" t="inlineStr">
        <is>
          <t>Decapterus</t>
        </is>
      </c>
      <c r="B107" t="inlineStr">
        <is>
          <t>Scads</t>
        </is>
      </c>
      <c r="C107" t="inlineStr">
        <is>
          <t>Medium pelagics (30 - 89 cm)</t>
        </is>
      </c>
      <c r="D107" t="inlineStr">
        <is>
          <t>Perch-likes</t>
        </is>
      </c>
      <c r="E107" s="8" t="inlineStr">
        <is>
          <t>Pel S inv</t>
        </is>
      </c>
      <c r="F107" t="inlineStr"/>
      <c r="G107" t="inlineStr"/>
      <c r="H107" t="inlineStr">
        <is>
          <t>medium</t>
        </is>
      </c>
      <c r="I107" t="inlineStr">
        <is>
          <t>taxonomic_containment</t>
        </is>
      </c>
      <c r="J107" t="n">
        <v>155217.652</v>
      </c>
      <c r="K107" t="n">
        <v>0.0926</v>
      </c>
      <c r="L107" s="6" t="inlineStr">
        <is>
          <t>Genus-level catch spans exactly the Table 6 groups containing its documented species. No habitat class overrides those placements.</t>
        </is>
      </c>
    </row>
    <row r="108">
      <c r="A108" t="inlineStr">
        <is>
          <t>Murex</t>
        </is>
      </c>
      <c r="B108" t="inlineStr">
        <is>
          <t>Murex shells</t>
        </is>
      </c>
      <c r="C108" t="inlineStr">
        <is>
          <t>Other demersal invertebrates</t>
        </is>
      </c>
      <c r="D108" t="inlineStr">
        <is>
          <t>Molluscs</t>
        </is>
      </c>
      <c r="E108" s="7" t="inlineStr">
        <is>
          <t>Benthos</t>
        </is>
      </c>
      <c r="F108" t="inlineStr"/>
      <c r="G108" t="inlineStr"/>
      <c r="H108" t="inlineStr">
        <is>
          <t>high</t>
        </is>
      </c>
      <c r="I108" t="inlineStr">
        <is>
          <t>taxonomic_containment</t>
        </is>
      </c>
      <c r="J108" t="n">
        <v>154880.082</v>
      </c>
      <c r="K108" t="n">
        <v>0.0924</v>
      </c>
      <c r="L108" s="6" t="inlineStr">
        <is>
          <t>Non-cephalopod benthic molluscs and echinoderms are explicitly included in Benthos on p.126.</t>
        </is>
      </c>
    </row>
    <row r="109">
      <c r="A109" t="inlineStr">
        <is>
          <t>Trichiuridae</t>
        </is>
      </c>
      <c r="B109" t="inlineStr">
        <is>
          <t>Cutlassfishes</t>
        </is>
      </c>
      <c r="C109" t="inlineStr">
        <is>
          <t>Large benthopelagics (&gt;=90 cm)</t>
        </is>
      </c>
      <c r="D109" t="inlineStr">
        <is>
          <t>Perch-likes</t>
        </is>
      </c>
      <c r="E109" s="8" t="inlineStr">
        <is>
          <t>Côtier L pred</t>
        </is>
      </c>
      <c r="F109" t="inlineStr"/>
      <c r="G109" t="inlineStr"/>
      <c r="H109" t="inlineStr">
        <is>
          <t>medium</t>
        </is>
      </c>
      <c r="I109" t="inlineStr">
        <is>
          <t>taxonomic_containment</t>
        </is>
      </c>
      <c r="J109" t="n">
        <v>151306.484</v>
      </c>
      <c r="K109" t="n">
        <v>0.0902</v>
      </c>
      <c r="L109" s="6" t="inlineStr">
        <is>
          <t>Family catch spans the union of all Table 6 member groups belonging to Trichiuridae under WoRMS. Every candidate is supported by a source member; source placement outranks SAU habitat class.</t>
        </is>
      </c>
    </row>
    <row r="110">
      <c r="A110" t="inlineStr">
        <is>
          <t>Acanthurus</t>
        </is>
      </c>
      <c r="B110" t="inlineStr">
        <is>
          <t>Surgeonfishes</t>
        </is>
      </c>
      <c r="C110" t="inlineStr">
        <is>
          <t>Small reef assoc. fish (&lt;30 cm)</t>
        </is>
      </c>
      <c r="D110" t="inlineStr">
        <is>
          <t>Perch-likes</t>
        </is>
      </c>
      <c r="E110" s="8" t="inlineStr">
        <is>
          <t>Mulets</t>
        </is>
      </c>
      <c r="F110" t="inlineStr"/>
      <c r="G110" t="inlineStr"/>
      <c r="H110" t="inlineStr">
        <is>
          <t>medium</t>
        </is>
      </c>
      <c r="I110" t="inlineStr">
        <is>
          <t>taxonomic_containment</t>
        </is>
      </c>
      <c r="J110" t="n">
        <v>149547.449</v>
      </c>
      <c r="K110" t="n">
        <v>0.0892</v>
      </c>
      <c r="L110" s="6" t="inlineStr">
        <is>
          <t>Genus-level catch spans exactly the Table 6 groups containing its documented species. No habitat class overrides those placements.</t>
        </is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s="7" t="inlineStr">
        <is>
          <t>Céphalopodes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140572.183</v>
      </c>
      <c r="K111" t="n">
        <v>0.0838</v>
      </c>
      <c r="L111" s="6" t="inlineStr">
        <is>
          <t>Source p.125 explicitly includes all cephalopods, including octopus, cuttlefish and squid.</t>
        </is>
      </c>
    </row>
    <row r="112">
      <c r="A112" t="inlineStr">
        <is>
          <t>Gastropoda</t>
        </is>
      </c>
      <c r="B112" t="inlineStr">
        <is>
          <t>Sea snails</t>
        </is>
      </c>
      <c r="C112" t="inlineStr">
        <is>
          <t>Other demersal invertebrates</t>
        </is>
      </c>
      <c r="D112" t="inlineStr">
        <is>
          <t>Molluscs</t>
        </is>
      </c>
      <c r="E112" s="7" t="inlineStr">
        <is>
          <t>Benthos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125447.183</v>
      </c>
      <c r="K112" t="n">
        <v>0.07480000000000001</v>
      </c>
      <c r="L112" s="6" t="inlineStr">
        <is>
          <t>Non-cephalopod benthic molluscs and echinoderms are explicitly included in Benthos on p.126.</t>
        </is>
      </c>
    </row>
    <row r="113">
      <c r="A113" t="inlineStr">
        <is>
          <t>Crassostrea</t>
        </is>
      </c>
      <c r="B113" t="inlineStr">
        <is>
          <t>Cupped oysters</t>
        </is>
      </c>
      <c r="C113" t="inlineStr">
        <is>
          <t>Other demersal invertebrates</t>
        </is>
      </c>
      <c r="D113" t="inlineStr">
        <is>
          <t>Molluscs</t>
        </is>
      </c>
      <c r="E113" s="7" t="inlineStr">
        <is>
          <t>Benthos</t>
        </is>
      </c>
      <c r="F113" t="inlineStr"/>
      <c r="G113" t="inlineStr"/>
      <c r="H113" t="inlineStr">
        <is>
          <t>high</t>
        </is>
      </c>
      <c r="I113" t="inlineStr">
        <is>
          <t>taxonomic_containment</t>
        </is>
      </c>
      <c r="J113" t="n">
        <v>122731.973</v>
      </c>
      <c r="K113" t="n">
        <v>0.0732</v>
      </c>
      <c r="L113" s="6" t="inlineStr">
        <is>
          <t>Non-cephalopod benthic molluscs and echinoderms are explicitly included in Benthos on p.126.</t>
        </is>
      </c>
    </row>
    <row r="114">
      <c r="A114" t="inlineStr">
        <is>
          <t>Istiophorus albicans</t>
        </is>
      </c>
      <c r="B114" t="inlineStr">
        <is>
          <t>Atlantic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s="7" t="inlineStr">
        <is>
          <t>Thons majeurs</t>
        </is>
      </c>
      <c r="F114" t="inlineStr"/>
      <c r="G114" t="inlineStr"/>
      <c r="H114" t="inlineStr">
        <is>
          <t>high</t>
        </is>
      </c>
      <c r="I114" t="inlineStr">
        <is>
          <t>explicit_member</t>
        </is>
      </c>
      <c r="J114" t="n">
        <v>121322.969</v>
      </c>
      <c r="K114" t="n">
        <v>0.07240000000000001</v>
      </c>
      <c r="L114" s="6" t="inlineStr">
        <is>
          <t>Guénette &amp; Diallo 2004 Table 6 p.131 explicitly lists this taxon in the named group(s); printed and accepted names checked against WoRMS.</t>
        </is>
      </c>
    </row>
    <row r="115">
      <c r="A115" t="inlineStr">
        <is>
          <t>Sepia officinalis</t>
        </is>
      </c>
      <c r="B115" t="inlineStr">
        <is>
          <t>Common cuttlefish</t>
        </is>
      </c>
      <c r="C115" t="inlineStr">
        <is>
          <t>Cephalopods</t>
        </is>
      </c>
      <c r="D115" t="inlineStr">
        <is>
          <t>Other fishes &amp; inverts</t>
        </is>
      </c>
      <c r="E115" s="7" t="inlineStr">
        <is>
          <t>Céphalopodes</t>
        </is>
      </c>
      <c r="F115" t="inlineStr"/>
      <c r="G115" t="inlineStr"/>
      <c r="H115" t="inlineStr">
        <is>
          <t>high</t>
        </is>
      </c>
      <c r="I115" t="inlineStr">
        <is>
          <t>taxonomic_containment</t>
        </is>
      </c>
      <c r="J115" t="n">
        <v>119284.302</v>
      </c>
      <c r="K115" t="n">
        <v>0.0711</v>
      </c>
      <c r="L115" s="6" t="inlineStr">
        <is>
          <t>Source p.125 explicitly includes all cephalopods, including octopus, cuttlefish and squid.</t>
        </is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s="8" t="inlineStr">
        <is>
          <t>Thons mineurs</t>
        </is>
      </c>
      <c r="F116" t="inlineStr"/>
      <c r="G116" t="inlineStr"/>
      <c r="H116" t="inlineStr">
        <is>
          <t>medium</t>
        </is>
      </c>
      <c r="I116" t="inlineStr">
        <is>
          <t>taxonomic_containment</t>
        </is>
      </c>
      <c r="J116" t="n">
        <v>118771.04</v>
      </c>
      <c r="K116" t="n">
        <v>0.0708</v>
      </c>
      <c r="L116" s="6" t="inlineStr">
        <is>
          <t>Genus-level catch spans exactly the Table 6 groups containing its documented species. No habitat class overrides those placements.</t>
        </is>
      </c>
    </row>
    <row r="117">
      <c r="A117" t="inlineStr">
        <is>
          <t>Balistes</t>
        </is>
      </c>
      <c r="B117" t="inlineStr">
        <is>
          <t>Triggerfish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s="8" t="inlineStr">
        <is>
          <t>Dem M inv</t>
        </is>
      </c>
      <c r="F117" t="inlineStr"/>
      <c r="G117" t="inlineStr"/>
      <c r="H117" t="inlineStr">
        <is>
          <t>medium</t>
        </is>
      </c>
      <c r="I117" t="inlineStr">
        <is>
          <t>taxonomic_containment</t>
        </is>
      </c>
      <c r="J117" t="n">
        <v>111581.8</v>
      </c>
      <c r="K117" t="n">
        <v>0.06660000000000001</v>
      </c>
      <c r="L117" s="6" t="inlineStr">
        <is>
          <t>Genus-level catch spans exactly the Table 6 groups containing its documented species. No habitat class overrides those placements.</t>
        </is>
      </c>
    </row>
    <row r="118">
      <c r="A118" t="inlineStr">
        <is>
          <t>Cynoglossus canariensis</t>
        </is>
      </c>
      <c r="B118" t="inlineStr">
        <is>
          <t>Canary tonguesole</t>
        </is>
      </c>
      <c r="C118" t="inlineStr">
        <is>
          <t>Small to medium flatfishes (&lt;90 cm)</t>
        </is>
      </c>
      <c r="D118" t="inlineStr">
        <is>
          <t>Flatfishes</t>
        </is>
      </c>
      <c r="E118" s="7" t="inlineStr">
        <is>
          <t>Côtier M inv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97665.511</v>
      </c>
      <c r="K118" t="n">
        <v>0.0583</v>
      </c>
      <c r="L118" s="6" t="inlineStr">
        <is>
          <t>Guénette &amp; Diallo 2004 Table 6 p.131 explicitly lists this taxon in the named group(s); printed and accepted names checked against WoRMS.</t>
        </is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s="8" t="inlineStr">
        <is>
          <t>Céphalopodes | Benthos</t>
        </is>
      </c>
      <c r="F119" t="inlineStr">
        <is>
          <t>0.931 | 0.069</t>
        </is>
      </c>
      <c r="G119" t="inlineStr">
        <is>
          <t>catch_composition</t>
        </is>
      </c>
      <c r="H119" t="inlineStr">
        <is>
          <t>medium</t>
        </is>
      </c>
      <c r="I119" t="inlineStr">
        <is>
          <t>composite_split</t>
        </is>
      </c>
      <c r="J119" t="n">
        <v>97253.016</v>
      </c>
      <c r="K119" t="n">
        <v>0.058</v>
      </c>
      <c r="L119" s="6" t="inlineStr">
        <is>
          <t>Molluscs span cephalopods (p.125) and benthic bivalves/gastropods (p.126); both source-defined groups are required.</t>
        </is>
      </c>
    </row>
    <row r="120">
      <c r="A120" t="inlineStr">
        <is>
          <t>Cheilopogon melanurus</t>
        </is>
      </c>
      <c r="B120" t="inlineStr">
        <is>
          <t>Atlantic flyingfish</t>
        </is>
      </c>
      <c r="C120" t="inlineStr">
        <is>
          <t>Small pelagics (&lt;30 cm)</t>
        </is>
      </c>
      <c r="D120" t="inlineStr">
        <is>
          <t>Other fishes &amp; inverts</t>
        </is>
      </c>
      <c r="E120" s="8" t="inlineStr">
        <is>
          <t>Pel S inv</t>
        </is>
      </c>
      <c r="F120" t="inlineStr"/>
      <c r="G120" t="inlineStr"/>
      <c r="H120" t="inlineStr">
        <is>
          <t>medium</t>
        </is>
      </c>
      <c r="I120" t="inlineStr">
        <is>
          <t>analogue</t>
        </is>
      </c>
      <c r="J120" t="n">
        <v>96651.819</v>
      </c>
      <c r="K120" t="n">
        <v>0.0576</v>
      </c>
      <c r="L120" s="6" t="inlineStr">
        <is>
          <t>Species not individually listed: its genus has one documented Table 6 group, supported by the catch's Small pelagics (&lt;30 cm) class. Congeneric extension is inference.</t>
        </is>
      </c>
    </row>
    <row r="121">
      <c r="A121" t="inlineStr">
        <is>
          <t>Aristeus varidens</t>
        </is>
      </c>
      <c r="B121" t="inlineStr">
        <is>
          <t>Striped red shrimp</t>
        </is>
      </c>
      <c r="C121" t="inlineStr">
        <is>
          <t>Shrimps</t>
        </is>
      </c>
      <c r="D121" t="inlineStr">
        <is>
          <t>Crustaceans</t>
        </is>
      </c>
      <c r="E121" s="7" t="inlineStr">
        <is>
          <t>Crustacés</t>
        </is>
      </c>
      <c r="F121" t="inlineStr"/>
      <c r="G121" t="inlineStr"/>
      <c r="H121" t="inlineStr">
        <is>
          <t>high</t>
        </is>
      </c>
      <c r="I121" t="inlineStr">
        <is>
          <t>taxonomic_containment</t>
        </is>
      </c>
      <c r="J121" t="n">
        <v>96649.15399999999</v>
      </c>
      <c r="K121" t="n">
        <v>0.0576</v>
      </c>
      <c r="L121" s="6" t="inlineStr">
        <is>
          <t>WoRMS crustacean taxonomy and SAU shrimp/crab/lobster class agree with the source Crustacés definition on p.125.</t>
        </is>
      </c>
    </row>
    <row r="122">
      <c r="A122" t="inlineStr">
        <is>
          <t>Rajidae</t>
        </is>
      </c>
      <c r="B122" t="inlineStr">
        <is>
          <t>Stingrays</t>
        </is>
      </c>
      <c r="C122" t="inlineStr">
        <is>
          <t>Large rays (&gt;=90 cm)</t>
        </is>
      </c>
      <c r="D122" t="inlineStr">
        <is>
          <t>Sharks &amp; rays</t>
        </is>
      </c>
      <c r="E122" s="8" t="inlineStr">
        <is>
          <t>Sélaciens L prof | Sélaciens M prof</t>
        </is>
      </c>
      <c r="F122" t="inlineStr">
        <is>
          <t>0.810 | 0.190</t>
        </is>
      </c>
      <c r="G122" t="inlineStr">
        <is>
          <t>catch_composition</t>
        </is>
      </c>
      <c r="H122" t="inlineStr">
        <is>
          <t>medium</t>
        </is>
      </c>
      <c r="I122" t="inlineStr">
        <is>
          <t>composite_split</t>
        </is>
      </c>
      <c r="J122" t="n">
        <v>94060.95699999999</v>
      </c>
      <c r="K122" t="n">
        <v>0.0561</v>
      </c>
      <c r="L122" s="6" t="inlineStr">
        <is>
          <t>Family catch spans the union of all Table 6 member groups belonging to Rajidae under WoRMS. Every candidate is supported by a source member; source placement outranks SAU habitat class.</t>
        </is>
      </c>
    </row>
    <row r="123">
      <c r="A123" t="inlineStr">
        <is>
          <t>Xiphias gladius</t>
        </is>
      </c>
      <c r="B123" t="inlineStr">
        <is>
          <t>Swordfish</t>
        </is>
      </c>
      <c r="C123" t="inlineStr">
        <is>
          <t>Large pelagics (&gt;=90 cm)</t>
        </is>
      </c>
      <c r="D123" t="inlineStr">
        <is>
          <t>Tuna &amp; billfishes</t>
        </is>
      </c>
      <c r="E123" s="7" t="inlineStr">
        <is>
          <t>Thons majeurs</t>
        </is>
      </c>
      <c r="F123" t="inlineStr"/>
      <c r="G123" t="inlineStr"/>
      <c r="H123" t="inlineStr">
        <is>
          <t>high</t>
        </is>
      </c>
      <c r="I123" t="inlineStr">
        <is>
          <t>explicit_member</t>
        </is>
      </c>
      <c r="J123" t="n">
        <v>89998.41800000001</v>
      </c>
      <c r="K123" t="n">
        <v>0.0537</v>
      </c>
      <c r="L123" s="6" t="inlineStr">
        <is>
          <t>Guénette &amp; Diallo 2004 Table 6 p.131 explicitly lists this taxon in the named group(s); printed and accepted names checked against WoRMS.</t>
        </is>
      </c>
    </row>
    <row r="124">
      <c r="A124" t="inlineStr">
        <is>
          <t>Zeus faber</t>
        </is>
      </c>
      <c r="B124" t="inlineStr">
        <is>
          <t>John dory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s="7" t="inlineStr">
        <is>
          <t>Dem L pred</t>
        </is>
      </c>
      <c r="F124" t="inlineStr"/>
      <c r="G124" t="inlineStr"/>
      <c r="H124" t="inlineStr">
        <is>
          <t>high</t>
        </is>
      </c>
      <c r="I124" t="inlineStr">
        <is>
          <t>explicit_member</t>
        </is>
      </c>
      <c r="J124" t="n">
        <v>87375.508</v>
      </c>
      <c r="K124" t="n">
        <v>0.0521</v>
      </c>
      <c r="L124" s="6" t="inlineStr">
        <is>
          <t>Guénette &amp; Diallo 2004 Table 6 p.131 explicitly lists this taxon in the named group(s); printed and accepted names checked against WoRMS.</t>
        </is>
      </c>
    </row>
    <row r="125">
      <c r="A125" t="inlineStr">
        <is>
          <t>Raja miraletus</t>
        </is>
      </c>
      <c r="B125" t="inlineStr">
        <is>
          <t>Brown ray</t>
        </is>
      </c>
      <c r="C125" t="inlineStr">
        <is>
          <t>Small to medium rays (&lt;90 cm)</t>
        </is>
      </c>
      <c r="D125" t="inlineStr">
        <is>
          <t>Sharks &amp; rays</t>
        </is>
      </c>
      <c r="E125" s="7" t="inlineStr">
        <is>
          <t>Sélaciens M prof</t>
        </is>
      </c>
      <c r="F125" t="inlineStr"/>
      <c r="G125" t="inlineStr"/>
      <c r="H125" t="inlineStr">
        <is>
          <t>high</t>
        </is>
      </c>
      <c r="I125" t="inlineStr">
        <is>
          <t>explicit_member</t>
        </is>
      </c>
      <c r="J125" t="n">
        <v>80276.21400000001</v>
      </c>
      <c r="K125" t="n">
        <v>0.0479</v>
      </c>
      <c r="L125" s="6" t="inlineStr">
        <is>
          <t>Guénette &amp; Diallo 2004 Table 6 p.131 explicitly lists this taxon in the named group(s); printed and accepted names checked against WoRMS.</t>
        </is>
      </c>
    </row>
    <row r="126">
      <c r="A126" t="inlineStr">
        <is>
          <t>Umbrina canariensis</t>
        </is>
      </c>
      <c r="B126" t="inlineStr">
        <is>
          <t>Canary drum</t>
        </is>
      </c>
      <c r="C126" t="inlineStr">
        <is>
          <t>Medium demersals (30 - 89 cm)</t>
        </is>
      </c>
      <c r="D126" t="inlineStr">
        <is>
          <t>Perch-likes</t>
        </is>
      </c>
      <c r="E126" s="7" t="inlineStr">
        <is>
          <t>Dem L inv</t>
        </is>
      </c>
      <c r="F126" t="inlineStr"/>
      <c r="G126" t="inlineStr"/>
      <c r="H126" t="inlineStr">
        <is>
          <t>high</t>
        </is>
      </c>
      <c r="I126" t="inlineStr">
        <is>
          <t>explicit_member</t>
        </is>
      </c>
      <c r="J126" t="n">
        <v>79354.856</v>
      </c>
      <c r="K126" t="n">
        <v>0.0473</v>
      </c>
      <c r="L126" s="6" t="inlineStr">
        <is>
          <t>Guénette &amp; Diallo 2004 Table 6 p.131 explicitly lists this taxon in the named group(s); printed and accepted names checked against WoRMS.</t>
        </is>
      </c>
    </row>
    <row r="127">
      <c r="A127" t="inlineStr">
        <is>
          <t>Makaira nigricans</t>
        </is>
      </c>
      <c r="B127" t="inlineStr">
        <is>
          <t>Blue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s="7" t="inlineStr">
        <is>
          <t>Thons majeurs</t>
        </is>
      </c>
      <c r="F127" t="inlineStr"/>
      <c r="G127" t="inlineStr"/>
      <c r="H127" t="inlineStr">
        <is>
          <t>high</t>
        </is>
      </c>
      <c r="I127" t="inlineStr">
        <is>
          <t>explicit_member</t>
        </is>
      </c>
      <c r="J127" t="n">
        <v>74790.83500000001</v>
      </c>
      <c r="K127" t="n">
        <v>0.0446</v>
      </c>
      <c r="L127" s="6" t="inlineStr">
        <is>
          <t>Guénette &amp; Diallo 2004 Table 6 p.131 explicitly lists this taxon in the named group(s); printed and accepted names checked against WoRMS.</t>
        </is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s="8" t="inlineStr">
        <is>
          <t>Dem M pred</t>
        </is>
      </c>
      <c r="F128" t="inlineStr"/>
      <c r="G128" t="inlineStr"/>
      <c r="H128" t="inlineStr">
        <is>
          <t>medium</t>
        </is>
      </c>
      <c r="I128" t="inlineStr">
        <is>
          <t>taxonomic_containment</t>
        </is>
      </c>
      <c r="J128" t="n">
        <v>74254.87699999999</v>
      </c>
      <c r="K128" t="n">
        <v>0.0443</v>
      </c>
      <c r="L128" s="6" t="inlineStr">
        <is>
          <t>Family catch spans the union of all Table 6 member groups belonging to Serranidae under WoRMS. Every candidate is supported by a source member; source placement outranks SAU habitat class.</t>
        </is>
      </c>
    </row>
    <row r="129">
      <c r="A129" t="inlineStr">
        <is>
          <t>Selar crumenophthalmus</t>
        </is>
      </c>
      <c r="B129" t="inlineStr">
        <is>
          <t>Bigeye scad</t>
        </is>
      </c>
      <c r="C129" t="inlineStr">
        <is>
          <t>Medium pelagics (30 - 89 cm)</t>
        </is>
      </c>
      <c r="D129" t="inlineStr">
        <is>
          <t>Perch-likes</t>
        </is>
      </c>
      <c r="E129" s="7" t="inlineStr">
        <is>
          <t>Pel S inv</t>
        </is>
      </c>
      <c r="F129" t="inlineStr"/>
      <c r="G129" t="inlineStr"/>
      <c r="H129" t="inlineStr">
        <is>
          <t>high</t>
        </is>
      </c>
      <c r="I129" t="inlineStr">
        <is>
          <t>explicit_member</t>
        </is>
      </c>
      <c r="J129" t="n">
        <v>72398.216</v>
      </c>
      <c r="K129" t="n">
        <v>0.0432</v>
      </c>
      <c r="L129" s="6" t="inlineStr">
        <is>
          <t>Guénette &amp; Diallo 2004 Table 6 p.131 explicitly lists this taxon in the named group(s); printed and accepted names checked against WoRMS.</t>
        </is>
      </c>
    </row>
    <row r="130">
      <c r="A130" t="inlineStr">
        <is>
          <t>Ablennes hians</t>
        </is>
      </c>
      <c r="B130" t="inlineStr">
        <is>
          <t>Flat needlefish</t>
        </is>
      </c>
      <c r="C130" t="inlineStr">
        <is>
          <t>Large pelagics (&gt;=90 cm)</t>
        </is>
      </c>
      <c r="D130" t="inlineStr">
        <is>
          <t>Other fishes &amp; inverts</t>
        </is>
      </c>
      <c r="E130" s="7" t="inlineStr">
        <is>
          <t>Pel L pred</t>
        </is>
      </c>
      <c r="F130" t="inlineStr"/>
      <c r="G130" t="inlineStr"/>
      <c r="H130" t="inlineStr">
        <is>
          <t>high</t>
        </is>
      </c>
      <c r="I130" t="inlineStr">
        <is>
          <t>explicit_member</t>
        </is>
      </c>
      <c r="J130" t="n">
        <v>71929.917</v>
      </c>
      <c r="K130" t="n">
        <v>0.0429</v>
      </c>
      <c r="L130" s="6" t="inlineStr">
        <is>
          <t>Guénette &amp; Diallo 2004 Table 6 p.131 explicitly lists this taxon in the named group(s); printed and accepted names checked against WoRMS.</t>
        </is>
      </c>
    </row>
    <row r="131">
      <c r="A131" t="inlineStr">
        <is>
          <t>Soleidae</t>
        </is>
      </c>
      <c r="B131" t="inlineStr">
        <is>
          <t>Soles</t>
        </is>
      </c>
      <c r="C131" t="inlineStr">
        <is>
          <t>Small to medium flatfishes (&lt;90 cm)</t>
        </is>
      </c>
      <c r="D131" t="inlineStr">
        <is>
          <t>Flatfishes</t>
        </is>
      </c>
      <c r="E131" s="8" t="inlineStr">
        <is>
          <t>Côtier M inv | Côtier S inv</t>
        </is>
      </c>
      <c r="F131" t="inlineStr">
        <is>
          <t>0.467 | 0.533</t>
        </is>
      </c>
      <c r="G131" t="inlineStr">
        <is>
          <t>catch_composition</t>
        </is>
      </c>
      <c r="H131" t="inlineStr">
        <is>
          <t>medium</t>
        </is>
      </c>
      <c r="I131" t="inlineStr">
        <is>
          <t>composite_split</t>
        </is>
      </c>
      <c r="J131" t="n">
        <v>68299.007</v>
      </c>
      <c r="K131" t="n">
        <v>0.0407</v>
      </c>
      <c r="L131" s="6" t="inlineStr">
        <is>
          <t>Family catch spans the union of all Table 6 member groups belonging to Soleidae under WoRMS. Every candidate is supported by a source member; source placement outranks SAU habitat class.</t>
        </is>
      </c>
    </row>
    <row r="132">
      <c r="A132" t="inlineStr">
        <is>
          <t>Decapterus punctatus</t>
        </is>
      </c>
      <c r="B132" t="inlineStr">
        <is>
          <t>Round scad</t>
        </is>
      </c>
      <c r="C132" t="inlineStr">
        <is>
          <t>Medium benthopelagics (30 - 89 cm)</t>
        </is>
      </c>
      <c r="D132" t="inlineStr">
        <is>
          <t>Perch-likes</t>
        </is>
      </c>
      <c r="E132" s="7" t="inlineStr">
        <is>
          <t>Pel S inv</t>
        </is>
      </c>
      <c r="F132" t="inlineStr"/>
      <c r="G132" t="inlineStr"/>
      <c r="H132" t="inlineStr">
        <is>
          <t>high</t>
        </is>
      </c>
      <c r="I132" t="inlineStr">
        <is>
          <t>explicit_member</t>
        </is>
      </c>
      <c r="J132" t="n">
        <v>67499.776</v>
      </c>
      <c r="K132" t="n">
        <v>0.0403</v>
      </c>
      <c r="L132" s="6" t="inlineStr">
        <is>
          <t>Guénette &amp; Diallo 2004 Table 6 p.131 explicitly lists this taxon in the named group(s); printed and accepted names checked against WoRMS.</t>
        </is>
      </c>
    </row>
    <row r="133">
      <c r="A133" t="inlineStr">
        <is>
          <t>Auxis</t>
        </is>
      </c>
      <c r="B133" t="inlineStr">
        <is>
          <t>Bullet and frigate tunas</t>
        </is>
      </c>
      <c r="C133" t="inlineStr">
        <is>
          <t>Medium pelagics (30 - 89 cm)</t>
        </is>
      </c>
      <c r="D133" t="inlineStr">
        <is>
          <t>Tuna &amp; billfishes</t>
        </is>
      </c>
      <c r="E133" s="8" t="inlineStr">
        <is>
          <t>Thons mineurs</t>
        </is>
      </c>
      <c r="F133" t="inlineStr"/>
      <c r="G133" t="inlineStr"/>
      <c r="H133" t="inlineStr">
        <is>
          <t>medium</t>
        </is>
      </c>
      <c r="I133" t="inlineStr">
        <is>
          <t>taxonomic_containment</t>
        </is>
      </c>
      <c r="J133" t="n">
        <v>66850.584</v>
      </c>
      <c r="K133" t="n">
        <v>0.0399</v>
      </c>
      <c r="L133" s="6" t="inlineStr">
        <is>
          <t>Genus-level catch spans exactly the Table 6 groups containing its documented species. No habitat class overrides those placements.</t>
        </is>
      </c>
    </row>
    <row r="134">
      <c r="A134" t="inlineStr">
        <is>
          <t>Dentex macrophthalmus</t>
        </is>
      </c>
      <c r="B134" t="inlineStr">
        <is>
          <t>Large-eye dentex</t>
        </is>
      </c>
      <c r="C134" t="inlineStr">
        <is>
          <t>Medium benthopelagics (30 - 89 cm)</t>
        </is>
      </c>
      <c r="D134" t="inlineStr">
        <is>
          <t>Perch-likes</t>
        </is>
      </c>
      <c r="E134" s="7" t="inlineStr">
        <is>
          <t>Dem M pred</t>
        </is>
      </c>
      <c r="F134" t="inlineStr"/>
      <c r="G134" t="inlineStr"/>
      <c r="H134" t="inlineStr">
        <is>
          <t>high</t>
        </is>
      </c>
      <c r="I134" t="inlineStr">
        <is>
          <t>explicit_member</t>
        </is>
      </c>
      <c r="J134" t="n">
        <v>64056.767</v>
      </c>
      <c r="K134" t="n">
        <v>0.0382</v>
      </c>
      <c r="L134" s="6" t="inlineStr">
        <is>
          <t>Guénette &amp; Diallo 2004 Table 6 p.131 explicitly lists this taxon in the named group(s); printed and accepted names checked against WoRMS.</t>
        </is>
      </c>
    </row>
    <row r="135">
      <c r="A135" t="inlineStr">
        <is>
          <t>Sphyrna zygaena</t>
        </is>
      </c>
      <c r="B135" t="inlineStr">
        <is>
          <t>Smooth hammerhead</t>
        </is>
      </c>
      <c r="C135" t="inlineStr">
        <is>
          <t>Large sharks (&gt;=90 cm)</t>
        </is>
      </c>
      <c r="D135" t="inlineStr">
        <is>
          <t>Sharks &amp; rays</t>
        </is>
      </c>
      <c r="E135" s="7" t="inlineStr">
        <is>
          <t>Sélaciens L prof</t>
        </is>
      </c>
      <c r="F135" t="inlineStr"/>
      <c r="G135" t="inlineStr"/>
      <c r="H135" t="inlineStr">
        <is>
          <t>high</t>
        </is>
      </c>
      <c r="I135" t="inlineStr">
        <is>
          <t>explicit_member</t>
        </is>
      </c>
      <c r="J135" t="n">
        <v>62228.006</v>
      </c>
      <c r="K135" t="n">
        <v>0.0371</v>
      </c>
      <c r="L135" s="6" t="inlineStr">
        <is>
          <t>Guénette &amp; Diallo 2004 Table 6 p.131 explicitly lists this taxon in the named group(s); printed and accepted names checked against WoRMS.</t>
        </is>
      </c>
    </row>
    <row r="136">
      <c r="A136" t="inlineStr">
        <is>
          <t>Octopus</t>
        </is>
      </c>
      <c r="B136" t="inlineStr">
        <is>
          <t>Octopuses, pikas</t>
        </is>
      </c>
      <c r="C136" t="inlineStr">
        <is>
          <t>Cephalopods</t>
        </is>
      </c>
      <c r="D136" t="inlineStr">
        <is>
          <t>Other fishes &amp; inverts</t>
        </is>
      </c>
      <c r="E136" s="7" t="inlineStr">
        <is>
          <t>Céphalopodes</t>
        </is>
      </c>
      <c r="F136" t="inlineStr"/>
      <c r="G136" t="inlineStr"/>
      <c r="H136" t="inlineStr">
        <is>
          <t>high</t>
        </is>
      </c>
      <c r="I136" t="inlineStr">
        <is>
          <t>taxonomic_containment</t>
        </is>
      </c>
      <c r="J136" t="n">
        <v>61885.691</v>
      </c>
      <c r="K136" t="n">
        <v>0.0369</v>
      </c>
      <c r="L136" s="6" t="inlineStr">
        <is>
          <t>Source p.125 explicitly includes all cephalopods, including octopus, cuttlefish and squid.</t>
        </is>
      </c>
    </row>
    <row r="137">
      <c r="A137" t="inlineStr">
        <is>
          <t>Gobiidae</t>
        </is>
      </c>
      <c r="B137" t="inlineStr">
        <is>
          <t>Gobies</t>
        </is>
      </c>
      <c r="C137" t="inlineStr">
        <is>
          <t>Small reef assoc. fish (&lt;30 cm)</t>
        </is>
      </c>
      <c r="D137" t="inlineStr">
        <is>
          <t>Perch-likes</t>
        </is>
      </c>
      <c r="E137" s="9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61736.349</v>
      </c>
      <c r="K137" t="n">
        <v>0.0368</v>
      </c>
      <c r="L13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38">
      <c r="A138" t="inlineStr">
        <is>
          <t>Carcharhinus</t>
        </is>
      </c>
      <c r="B138" t="inlineStr">
        <is>
          <t>Sharp-nosed sharks</t>
        </is>
      </c>
      <c r="C138" t="inlineStr">
        <is>
          <t>Large sharks (&gt;=90 cm)</t>
        </is>
      </c>
      <c r="D138" t="inlineStr">
        <is>
          <t>Sharks &amp; rays</t>
        </is>
      </c>
      <c r="E138" s="8" t="inlineStr">
        <is>
          <t>Sélaciens L côtiers | Sélaciens L prof</t>
        </is>
      </c>
      <c r="F138" t="inlineStr">
        <is>
          <t>0.110 | 0.890</t>
        </is>
      </c>
      <c r="G138" t="inlineStr">
        <is>
          <t>catch_composition</t>
        </is>
      </c>
      <c r="H138" t="inlineStr">
        <is>
          <t>medium</t>
        </is>
      </c>
      <c r="I138" t="inlineStr">
        <is>
          <t>composite_split</t>
        </is>
      </c>
      <c r="J138" t="n">
        <v>60306.677</v>
      </c>
      <c r="K138" t="n">
        <v>0.036</v>
      </c>
      <c r="L138" s="6" t="inlineStr">
        <is>
          <t>Genus-level catch spans exactly the Table 6 groups containing its documented species. No habitat class overrides those placements.</t>
        </is>
      </c>
    </row>
    <row r="139">
      <c r="A139" t="inlineStr">
        <is>
          <t>Trachinotus ovatus</t>
        </is>
      </c>
      <c r="B139" t="inlineStr">
        <is>
          <t>Pompano</t>
        </is>
      </c>
      <c r="C139" t="inlineStr">
        <is>
          <t>Medium pelagics (30 - 89 cm)</t>
        </is>
      </c>
      <c r="D139" t="inlineStr">
        <is>
          <t>Perch-likes</t>
        </is>
      </c>
      <c r="E139" s="8" t="inlineStr">
        <is>
          <t>Côtier pel L pred</t>
        </is>
      </c>
      <c r="F139" t="inlineStr"/>
      <c r="G139" t="inlineStr"/>
      <c r="H139" t="inlineStr">
        <is>
          <t>medium</t>
        </is>
      </c>
      <c r="I139" t="inlineStr">
        <is>
          <t>analogue</t>
        </is>
      </c>
      <c r="J139" t="n">
        <v>59742.099</v>
      </c>
      <c r="K139" t="n">
        <v>0.0356</v>
      </c>
      <c r="L139" s="6" t="inlineStr">
        <is>
          <t>Species not individually listed: its genus has one documented Table 6 group, supported by the catch's Medium pelagics (30 - 89 cm) class. Congeneric extension is inference.</t>
        </is>
      </c>
    </row>
    <row r="140">
      <c r="A140" t="inlineStr">
        <is>
          <t>Pseudotolithus senegallus</t>
        </is>
      </c>
      <c r="B140" t="inlineStr">
        <is>
          <t>Law croaker</t>
        </is>
      </c>
      <c r="C140" t="inlineStr">
        <is>
          <t>Large demersals (&gt;=90 cm)</t>
        </is>
      </c>
      <c r="D140" t="inlineStr">
        <is>
          <t>Perch-likes</t>
        </is>
      </c>
      <c r="E140" s="7" t="inlineStr">
        <is>
          <t>Bars</t>
        </is>
      </c>
      <c r="F140" t="inlineStr"/>
      <c r="G140" t="inlineStr"/>
      <c r="H140" t="inlineStr">
        <is>
          <t>high</t>
        </is>
      </c>
      <c r="I140" t="inlineStr">
        <is>
          <t>explicit_member</t>
        </is>
      </c>
      <c r="J140" t="n">
        <v>59598.185</v>
      </c>
      <c r="K140" t="n">
        <v>0.0355</v>
      </c>
      <c r="L140" s="6" t="inlineStr">
        <is>
          <t>Guénette &amp; Diallo 2004 Table 6 p.131 explicitly lists this taxon in the named group(s); printed and accepted names checked against WoRMS.</t>
        </is>
      </c>
    </row>
    <row r="141">
      <c r="A141" t="inlineStr">
        <is>
          <t>Mugil cephalus</t>
        </is>
      </c>
      <c r="B141" t="inlineStr">
        <is>
          <t>Flathead grey mullet</t>
        </is>
      </c>
      <c r="C141" t="inlineStr">
        <is>
          <t>Large benthopelagics (&gt;=90 cm)</t>
        </is>
      </c>
      <c r="D141" t="inlineStr">
        <is>
          <t>Perch-likes</t>
        </is>
      </c>
      <c r="E141" s="9" t="inlineStr">
        <is>
          <t>Unresolved</t>
        </is>
      </c>
      <c r="F141" t="inlineStr"/>
      <c r="G141" t="inlineStr"/>
      <c r="H141" t="inlineStr">
        <is>
          <t>unresolved</t>
        </is>
      </c>
      <c r="I141" t="inlineStr">
        <is>
          <t>none</t>
        </is>
      </c>
      <c r="J141" t="n">
        <v>58977.867</v>
      </c>
      <c r="K141" t="n">
        <v>0.0352</v>
      </c>
      <c r="L14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42">
      <c r="A142" t="inlineStr">
        <is>
          <t>Ocypode cursor</t>
        </is>
      </c>
      <c r="B142" t="inlineStr">
        <is>
          <t>Tufted ghost crab</t>
        </is>
      </c>
      <c r="C142" t="inlineStr">
        <is>
          <t>Lobsters, crabs</t>
        </is>
      </c>
      <c r="D142" t="inlineStr">
        <is>
          <t>Crustaceans</t>
        </is>
      </c>
      <c r="E142" s="7" t="inlineStr">
        <is>
          <t>Crustacés</t>
        </is>
      </c>
      <c r="F142" t="inlineStr"/>
      <c r="G142" t="inlineStr"/>
      <c r="H142" t="inlineStr">
        <is>
          <t>high</t>
        </is>
      </c>
      <c r="I142" t="inlineStr">
        <is>
          <t>taxonomic_containment</t>
        </is>
      </c>
      <c r="J142" t="n">
        <v>58921.226</v>
      </c>
      <c r="K142" t="n">
        <v>0.0351</v>
      </c>
      <c r="L142" s="6" t="inlineStr">
        <is>
          <t>WoRMS crustacean taxonomy and SAU shrimp/crab/lobster class agree with the source Crustacés definition on p.125.</t>
        </is>
      </c>
    </row>
    <row r="143">
      <c r="A143" t="inlineStr">
        <is>
          <t>Callinectes marginatus</t>
        </is>
      </c>
      <c r="B143" t="inlineStr">
        <is>
          <t>Marbled swimcrab</t>
        </is>
      </c>
      <c r="C143" t="inlineStr">
        <is>
          <t>Lobsters, crabs</t>
        </is>
      </c>
      <c r="D143" t="inlineStr">
        <is>
          <t>Crustaceans</t>
        </is>
      </c>
      <c r="E143" s="7" t="inlineStr">
        <is>
          <t>Crustacés</t>
        </is>
      </c>
      <c r="F143" t="inlineStr"/>
      <c r="G143" t="inlineStr"/>
      <c r="H143" t="inlineStr">
        <is>
          <t>high</t>
        </is>
      </c>
      <c r="I143" t="inlineStr">
        <is>
          <t>taxonomic_containment</t>
        </is>
      </c>
      <c r="J143" t="n">
        <v>58904.172</v>
      </c>
      <c r="K143" t="n">
        <v>0.0351</v>
      </c>
      <c r="L143" s="6" t="inlineStr">
        <is>
          <t>WoRMS crustacean taxonomy and SAU shrimp/crab/lobster class agree with the source Crustacés definition on p.125.</t>
        </is>
      </c>
    </row>
    <row r="144">
      <c r="A144" t="inlineStr">
        <is>
          <t>Mytilidae</t>
        </is>
      </c>
      <c r="B144" t="inlineStr">
        <is>
          <t>Sea mussels</t>
        </is>
      </c>
      <c r="C144" t="inlineStr">
        <is>
          <t>Other demersal invertebrates</t>
        </is>
      </c>
      <c r="D144" t="inlineStr">
        <is>
          <t>Molluscs</t>
        </is>
      </c>
      <c r="E144" s="7" t="inlineStr">
        <is>
          <t>Benthos</t>
        </is>
      </c>
      <c r="F144" t="inlineStr"/>
      <c r="G144" t="inlineStr"/>
      <c r="H144" t="inlineStr">
        <is>
          <t>high</t>
        </is>
      </c>
      <c r="I144" t="inlineStr">
        <is>
          <t>taxonomic_containment</t>
        </is>
      </c>
      <c r="J144" t="n">
        <v>58894.684</v>
      </c>
      <c r="K144" t="n">
        <v>0.0351</v>
      </c>
      <c r="L144" s="6" t="inlineStr">
        <is>
          <t>Non-cephalopod benthic molluscs and echinoderms are explicitly included in Benthos on p.126.</t>
        </is>
      </c>
    </row>
    <row r="145">
      <c r="A145" t="inlineStr">
        <is>
          <t>Seriola dumerili</t>
        </is>
      </c>
      <c r="B145" t="inlineStr">
        <is>
          <t>Greater amberjack</t>
        </is>
      </c>
      <c r="C145" t="inlineStr">
        <is>
          <t>Large reef assoc. fish (&gt;=90 cm)</t>
        </is>
      </c>
      <c r="D145" t="inlineStr">
        <is>
          <t>Perch-likes</t>
        </is>
      </c>
      <c r="E145" s="7" t="inlineStr">
        <is>
          <t>Côtier pel L pred</t>
        </is>
      </c>
      <c r="F145" t="inlineStr"/>
      <c r="G145" t="inlineStr"/>
      <c r="H145" t="inlineStr">
        <is>
          <t>high</t>
        </is>
      </c>
      <c r="I145" t="inlineStr">
        <is>
          <t>explicit_member</t>
        </is>
      </c>
      <c r="J145" t="n">
        <v>58852.398</v>
      </c>
      <c r="K145" t="n">
        <v>0.0351</v>
      </c>
      <c r="L145" s="6" t="inlineStr">
        <is>
          <t>Guénette &amp; Diallo 2004 Table 6 p.131 explicitly lists this taxon in the named group(s); printed and accepted names checked against WoRMS.</t>
        </is>
      </c>
    </row>
    <row r="146">
      <c r="A146" t="inlineStr">
        <is>
          <t>Merluccius polli</t>
        </is>
      </c>
      <c r="B146" t="inlineStr">
        <is>
          <t>Benguela hake</t>
        </is>
      </c>
      <c r="C146" t="inlineStr">
        <is>
          <t>Medium bathydemersals (30 - 89 cm)</t>
        </is>
      </c>
      <c r="D146" t="inlineStr">
        <is>
          <t>Cod-likes</t>
        </is>
      </c>
      <c r="E146" s="7" t="inlineStr">
        <is>
          <t>Dem L pred</t>
        </is>
      </c>
      <c r="F146" t="inlineStr"/>
      <c r="G146" t="inlineStr"/>
      <c r="H146" t="inlineStr">
        <is>
          <t>high</t>
        </is>
      </c>
      <c r="I146" t="inlineStr">
        <is>
          <t>explicit_member</t>
        </is>
      </c>
      <c r="J146" t="n">
        <v>57248.29</v>
      </c>
      <c r="K146" t="n">
        <v>0.0341</v>
      </c>
      <c r="L146" s="6" t="inlineStr">
        <is>
          <t>Guénette &amp; Diallo 2004 Table 6 p.131 explicitly lists this taxon in the named group(s); printed and accepted names checked against WoRMS.</t>
        </is>
      </c>
    </row>
    <row r="147">
      <c r="A147" t="inlineStr">
        <is>
          <t>Cymbium</t>
        </is>
      </c>
      <c r="B147" t="inlineStr">
        <is>
          <t>Volutes</t>
        </is>
      </c>
      <c r="C147" t="inlineStr">
        <is>
          <t>Other demersal invertebrates</t>
        </is>
      </c>
      <c r="D147" t="inlineStr">
        <is>
          <t>Molluscs</t>
        </is>
      </c>
      <c r="E147" s="7" t="inlineStr">
        <is>
          <t>Benthos</t>
        </is>
      </c>
      <c r="F147" t="inlineStr"/>
      <c r="G147" t="inlineStr"/>
      <c r="H147" t="inlineStr">
        <is>
          <t>high</t>
        </is>
      </c>
      <c r="I147" t="inlineStr">
        <is>
          <t>taxonomic_containment</t>
        </is>
      </c>
      <c r="J147" t="n">
        <v>55863.668</v>
      </c>
      <c r="K147" t="n">
        <v>0.0333</v>
      </c>
      <c r="L147" s="6" t="inlineStr">
        <is>
          <t>Non-cephalopod benthic molluscs and echinoderms are explicitly included in Benthos on p.126.</t>
        </is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s="8" t="inlineStr">
        <is>
          <t>Dem M inv | Mulets</t>
        </is>
      </c>
      <c r="F148" t="inlineStr">
        <is>
          <t>0.927 | 0.073</t>
        </is>
      </c>
      <c r="G148" t="inlineStr">
        <is>
          <t>catch_composition</t>
        </is>
      </c>
      <c r="H148" t="inlineStr">
        <is>
          <t>medium</t>
        </is>
      </c>
      <c r="I148" t="inlineStr">
        <is>
          <t>composite_split</t>
        </is>
      </c>
      <c r="J148" t="n">
        <v>55086.687</v>
      </c>
      <c r="K148" t="n">
        <v>0.0329</v>
      </c>
      <c r="L148" s="6" t="inlineStr">
        <is>
          <t>Genus-level catch spans exactly the Table 6 groups containing its documented species. No habitat class overrides those placements.</t>
        </is>
      </c>
    </row>
    <row r="149">
      <c r="A149" t="inlineStr">
        <is>
          <t>Epinephelus aeneus</t>
        </is>
      </c>
      <c r="B149" t="inlineStr">
        <is>
          <t>White grouper</t>
        </is>
      </c>
      <c r="C149" t="inlineStr">
        <is>
          <t>Large demersals (&gt;=90 cm)</t>
        </is>
      </c>
      <c r="D149" t="inlineStr">
        <is>
          <t>Perch-likes</t>
        </is>
      </c>
      <c r="E149" s="7" t="inlineStr">
        <is>
          <t>Dem L pred</t>
        </is>
      </c>
      <c r="F149" t="inlineStr"/>
      <c r="G149" t="inlineStr"/>
      <c r="H149" t="inlineStr">
        <is>
          <t>high</t>
        </is>
      </c>
      <c r="I149" t="inlineStr">
        <is>
          <t>explicit_member</t>
        </is>
      </c>
      <c r="J149" t="n">
        <v>51901.999</v>
      </c>
      <c r="K149" t="n">
        <v>0.031</v>
      </c>
      <c r="L149" s="6" t="inlineStr">
        <is>
          <t>Guénette &amp; Diallo 2004 Table 6 p.131 explicitly lists this taxon in the named group(s); printed and accepted names checked against WoRMS.</t>
        </is>
      </c>
    </row>
    <row r="150">
      <c r="A150" t="inlineStr">
        <is>
          <t>Pomadasys incisus</t>
        </is>
      </c>
      <c r="B150" t="inlineStr">
        <is>
          <t>Bastard grunt</t>
        </is>
      </c>
      <c r="C150" t="inlineStr">
        <is>
          <t>Medium demersals (30 - 89 cm)</t>
        </is>
      </c>
      <c r="D150" t="inlineStr">
        <is>
          <t>Perch-likes</t>
        </is>
      </c>
      <c r="E150" s="7" t="inlineStr">
        <is>
          <t>Côtier M inv</t>
        </is>
      </c>
      <c r="F150" t="inlineStr"/>
      <c r="G150" t="inlineStr"/>
      <c r="H150" t="inlineStr">
        <is>
          <t>high</t>
        </is>
      </c>
      <c r="I150" t="inlineStr">
        <is>
          <t>explicit_member</t>
        </is>
      </c>
      <c r="J150" t="n">
        <v>51741.948</v>
      </c>
      <c r="K150" t="n">
        <v>0.0309</v>
      </c>
      <c r="L150" s="6" t="inlineStr">
        <is>
          <t>Guénette &amp; Diallo 2004 Table 6 p.131 explicitly lists this taxon in the named group(s); printed and accepted names checked against WoRMS.</t>
        </is>
      </c>
    </row>
    <row r="151">
      <c r="A151" t="inlineStr">
        <is>
          <t>Aristaeopsis edwardsiana</t>
        </is>
      </c>
      <c r="B151" t="inlineStr">
        <is>
          <t>Scarlet shrimp</t>
        </is>
      </c>
      <c r="C151" t="inlineStr">
        <is>
          <t>Shrimps</t>
        </is>
      </c>
      <c r="D151" t="inlineStr">
        <is>
          <t>Crustaceans</t>
        </is>
      </c>
      <c r="E151" s="7" t="inlineStr">
        <is>
          <t>Crustacés</t>
        </is>
      </c>
      <c r="F151" t="inlineStr"/>
      <c r="G151" t="inlineStr"/>
      <c r="H151" t="inlineStr">
        <is>
          <t>high</t>
        </is>
      </c>
      <c r="I151" t="inlineStr">
        <is>
          <t>taxonomic_containment</t>
        </is>
      </c>
      <c r="J151" t="n">
        <v>49302.079</v>
      </c>
      <c r="K151" t="n">
        <v>0.0294</v>
      </c>
      <c r="L151" s="6" t="inlineStr">
        <is>
          <t>WoRMS crustacean taxonomy and SAU shrimp/crab/lobster class agree with the source Crustacés definition on p.125.</t>
        </is>
      </c>
    </row>
    <row r="152">
      <c r="A152" t="inlineStr">
        <is>
          <t>Plectorhinchus mediterraneus</t>
        </is>
      </c>
      <c r="B152" t="inlineStr">
        <is>
          <t>Rubberlip grunt</t>
        </is>
      </c>
      <c r="C152" t="inlineStr">
        <is>
          <t>Medium demersals (30 - 89 cm)</t>
        </is>
      </c>
      <c r="D152" t="inlineStr">
        <is>
          <t>Perch-likes</t>
        </is>
      </c>
      <c r="E152" s="7" t="inlineStr">
        <is>
          <t>Dem M inv</t>
        </is>
      </c>
      <c r="F152" t="inlineStr"/>
      <c r="G152" t="inlineStr"/>
      <c r="H152" t="inlineStr">
        <is>
          <t>high</t>
        </is>
      </c>
      <c r="I152" t="inlineStr">
        <is>
          <t>explicit_member</t>
        </is>
      </c>
      <c r="J152" t="n">
        <v>49082.835</v>
      </c>
      <c r="K152" t="n">
        <v>0.0293</v>
      </c>
      <c r="L152" s="6" t="inlineStr">
        <is>
          <t>Guénette &amp; Diallo 2004 Table 6 p.131 explicitly lists this taxon in the named group(s); printed and accepted names checked against WoRMS.</t>
        </is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s="8" t="inlineStr">
        <is>
          <t>Thons majeurs</t>
        </is>
      </c>
      <c r="F153" t="inlineStr"/>
      <c r="G153" t="inlineStr"/>
      <c r="H153" t="inlineStr">
        <is>
          <t>medium</t>
        </is>
      </c>
      <c r="I153" t="inlineStr">
        <is>
          <t>taxonomic_containment</t>
        </is>
      </c>
      <c r="J153" t="n">
        <v>47329.851</v>
      </c>
      <c r="K153" t="n">
        <v>0.0282</v>
      </c>
      <c r="L153" s="6" t="inlineStr">
        <is>
          <t>Family catch spans the union of all Table 6 member groups belonging to Istiophoridae under WoRMS. Every candidate is supported by a source member; source placement outranks SAU habitat class.</t>
        </is>
      </c>
    </row>
    <row r="154">
      <c r="A154" t="inlineStr">
        <is>
          <t>Brotula barbata</t>
        </is>
      </c>
      <c r="B154" t="inlineStr">
        <is>
          <t>Bearded brotula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s="9" t="inlineStr">
        <is>
          <t>Unresolved</t>
        </is>
      </c>
      <c r="F154" t="inlineStr"/>
      <c r="G154" t="inlineStr"/>
      <c r="H154" t="inlineStr">
        <is>
          <t>unresolved</t>
        </is>
      </c>
      <c r="I154" t="inlineStr">
        <is>
          <t>none</t>
        </is>
      </c>
      <c r="J154" t="n">
        <v>45754.683</v>
      </c>
      <c r="K154" t="n">
        <v>0.0273</v>
      </c>
      <c r="L15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55">
      <c r="A155" t="inlineStr">
        <is>
          <t>Dentex angolensis</t>
        </is>
      </c>
      <c r="B155" t="inlineStr">
        <is>
          <t>Angolan dentex</t>
        </is>
      </c>
      <c r="C155" t="inlineStr">
        <is>
          <t>Small demersals (&lt;30 cm)</t>
        </is>
      </c>
      <c r="D155" t="inlineStr">
        <is>
          <t>Perch-likes</t>
        </is>
      </c>
      <c r="E155" s="9" t="inlineStr">
        <is>
          <t>Unresolved</t>
        </is>
      </c>
      <c r="F155" t="inlineStr"/>
      <c r="G155" t="inlineStr"/>
      <c r="H155" t="inlineStr">
        <is>
          <t>unresolved</t>
        </is>
      </c>
      <c r="I155" t="inlineStr">
        <is>
          <t>none</t>
        </is>
      </c>
      <c r="J155" t="n">
        <v>39612.801</v>
      </c>
      <c r="K155" t="n">
        <v>0.0236</v>
      </c>
      <c r="L15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56">
      <c r="A156" t="inlineStr">
        <is>
          <t>Sphyraena afra</t>
        </is>
      </c>
      <c r="B156" t="inlineStr">
        <is>
          <t>Guinean barracuda</t>
        </is>
      </c>
      <c r="C156" t="inlineStr">
        <is>
          <t>Large pelagics (&gt;=90 cm)</t>
        </is>
      </c>
      <c r="D156" t="inlineStr">
        <is>
          <t>Perch-likes</t>
        </is>
      </c>
      <c r="E156" s="7" t="inlineStr">
        <is>
          <t>Côtier pel L pred</t>
        </is>
      </c>
      <c r="F156" t="inlineStr"/>
      <c r="G156" t="inlineStr"/>
      <c r="H156" t="inlineStr">
        <is>
          <t>high</t>
        </is>
      </c>
      <c r="I156" t="inlineStr">
        <is>
          <t>explicit_member</t>
        </is>
      </c>
      <c r="J156" t="n">
        <v>39527.703</v>
      </c>
      <c r="K156" t="n">
        <v>0.0236</v>
      </c>
      <c r="L156" s="6" t="inlineStr">
        <is>
          <t>Guénette &amp; Diallo 2004 Table 6 p.131 explicitly lists this taxon in the named group(s); printed and accepted names checked against WoRMS.</t>
        </is>
      </c>
    </row>
    <row r="157">
      <c r="A157" t="inlineStr">
        <is>
          <t>Coryphaena hippurus</t>
        </is>
      </c>
      <c r="B157" t="inlineStr">
        <is>
          <t>Common dolphinfish</t>
        </is>
      </c>
      <c r="C157" t="inlineStr">
        <is>
          <t>Large pelagics (&gt;=90 cm)</t>
        </is>
      </c>
      <c r="D157" t="inlineStr">
        <is>
          <t>Perch-likes</t>
        </is>
      </c>
      <c r="E157" s="7" t="inlineStr">
        <is>
          <t>Pel L pred</t>
        </is>
      </c>
      <c r="F157" t="inlineStr"/>
      <c r="G157" t="inlineStr"/>
      <c r="H157" t="inlineStr">
        <is>
          <t>high</t>
        </is>
      </c>
      <c r="I157" t="inlineStr">
        <is>
          <t>explicit_member</t>
        </is>
      </c>
      <c r="J157" t="n">
        <v>39259.019</v>
      </c>
      <c r="K157" t="n">
        <v>0.0234</v>
      </c>
      <c r="L157" s="6" t="inlineStr">
        <is>
          <t>Guénette &amp; Diallo 2004 Table 6 p.131 explicitly lists this taxon in the named group(s); printed and accepted names checked against WoRMS.</t>
        </is>
      </c>
    </row>
    <row r="158">
      <c r="A158" t="inlineStr">
        <is>
          <t>Centrophorus</t>
        </is>
      </c>
      <c r="B158" t="inlineStr">
        <is>
          <t>Gulper shark dogfishes</t>
        </is>
      </c>
      <c r="C158" t="inlineStr">
        <is>
          <t>Large sharks (&gt;=90 cm)</t>
        </is>
      </c>
      <c r="D158" t="inlineStr">
        <is>
          <t>Sharks &amp; rays</t>
        </is>
      </c>
      <c r="E158" s="9" t="inlineStr">
        <is>
          <t>Unresolved</t>
        </is>
      </c>
      <c r="F158" t="inlineStr"/>
      <c r="G158" t="inlineStr"/>
      <c r="H158" t="inlineStr">
        <is>
          <t>unresolved</t>
        </is>
      </c>
      <c r="I158" t="inlineStr">
        <is>
          <t>none</t>
        </is>
      </c>
      <c r="J158" t="n">
        <v>37800.275</v>
      </c>
      <c r="K158" t="n">
        <v>0.0225</v>
      </c>
      <c r="L15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159">
      <c r="A159" t="inlineStr">
        <is>
          <t>Scorpaenidae</t>
        </is>
      </c>
      <c r="B159" t="inlineStr">
        <is>
          <t>Scorpionfishes, rockfishes</t>
        </is>
      </c>
      <c r="C159" t="inlineStr">
        <is>
          <t>Large reef assoc. fish (&gt;=90 cm)</t>
        </is>
      </c>
      <c r="D159" t="inlineStr">
        <is>
          <t>Scorpionfishes</t>
        </is>
      </c>
      <c r="E159" s="7" t="inlineStr">
        <is>
          <t>Côtier S pred</t>
        </is>
      </c>
      <c r="F159" t="inlineStr"/>
      <c r="G159" t="inlineStr"/>
      <c r="H159" t="inlineStr">
        <is>
          <t>high</t>
        </is>
      </c>
      <c r="I159" t="inlineStr">
        <is>
          <t>explicit_member</t>
        </is>
      </c>
      <c r="J159" t="n">
        <v>37644.847</v>
      </c>
      <c r="K159" t="n">
        <v>0.0225</v>
      </c>
      <c r="L159" s="6" t="inlineStr">
        <is>
          <t>Guénette &amp; Diallo 2004 Table 6 p.131 explicitly lists this taxon in the named group(s); printed and accepted names checked against WoRMS.</t>
        </is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s="7" t="inlineStr">
        <is>
          <t>Sélaciens L prof</t>
        </is>
      </c>
      <c r="F160" t="inlineStr"/>
      <c r="G160" t="inlineStr"/>
      <c r="H160" t="inlineStr">
        <is>
          <t>high</t>
        </is>
      </c>
      <c r="I160" t="inlineStr">
        <is>
          <t>explicit_member</t>
        </is>
      </c>
      <c r="J160" t="n">
        <v>37387.723</v>
      </c>
      <c r="K160" t="n">
        <v>0.0223</v>
      </c>
      <c r="L160" s="6" t="inlineStr">
        <is>
          <t>Guénette &amp; Diallo 2004 Table 6 p.131 explicitly lists this taxon in the named group(s); printed and accepted names checked against WoRMS.</t>
        </is>
      </c>
    </row>
    <row r="161">
      <c r="A161" t="inlineStr">
        <is>
          <t>Lutjanus endecacanthus</t>
        </is>
      </c>
      <c r="B161" t="inlineStr">
        <is>
          <t>Guinea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s="7" t="inlineStr">
        <is>
          <t>Côtier L pred</t>
        </is>
      </c>
      <c r="F161" t="inlineStr"/>
      <c r="G161" t="inlineStr"/>
      <c r="H161" t="inlineStr">
        <is>
          <t>high</t>
        </is>
      </c>
      <c r="I161" t="inlineStr">
        <is>
          <t>explicit_member</t>
        </is>
      </c>
      <c r="J161" t="n">
        <v>36935.128</v>
      </c>
      <c r="K161" t="n">
        <v>0.022</v>
      </c>
      <c r="L161" s="6" t="inlineStr">
        <is>
          <t>Guénette &amp; Diallo 2004 Table 6 p.131 explicitly lists this taxon in the named group(s); printed and accepted names checked against WoRMS.</t>
        </is>
      </c>
    </row>
    <row r="162">
      <c r="A162" t="inlineStr">
        <is>
          <t>Scorpaeniformes</t>
        </is>
      </c>
      <c r="B162" t="inlineStr">
        <is>
          <t>Scorpionfishes, flatheads</t>
        </is>
      </c>
      <c r="C162" t="inlineStr">
        <is>
          <t>Medium demersals (30 - 89 cm)</t>
        </is>
      </c>
      <c r="D162" t="inlineStr">
        <is>
          <t>Scorpionfishes</t>
        </is>
      </c>
      <c r="E162" s="9" t="inlineStr">
        <is>
          <t>Unresolved</t>
        </is>
      </c>
      <c r="F162" t="inlineStr"/>
      <c r="G162" t="inlineStr"/>
      <c r="H162" t="inlineStr">
        <is>
          <t>unresolved</t>
        </is>
      </c>
      <c r="I162" t="inlineStr">
        <is>
          <t>none</t>
        </is>
      </c>
      <c r="J162" t="n">
        <v>32825.769</v>
      </c>
      <c r="K162" t="n">
        <v>0.0196</v>
      </c>
      <c r="L16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63">
      <c r="A163" t="inlineStr">
        <is>
          <t>Mullidae</t>
        </is>
      </c>
      <c r="B163" t="inlineStr">
        <is>
          <t>Goatfishes</t>
        </is>
      </c>
      <c r="C163" t="inlineStr">
        <is>
          <t>Medium reef assoc. fish (30 - 89 cm)</t>
        </is>
      </c>
      <c r="D163" t="inlineStr">
        <is>
          <t>Perch-likes</t>
        </is>
      </c>
      <c r="E163" s="8" t="inlineStr">
        <is>
          <t>Dem M inv</t>
        </is>
      </c>
      <c r="F163" t="inlineStr"/>
      <c r="G163" t="inlineStr"/>
      <c r="H163" t="inlineStr">
        <is>
          <t>medium</t>
        </is>
      </c>
      <c r="I163" t="inlineStr">
        <is>
          <t>taxonomic_containment</t>
        </is>
      </c>
      <c r="J163" t="n">
        <v>32334.591</v>
      </c>
      <c r="K163" t="n">
        <v>0.0193</v>
      </c>
      <c r="L163" s="6" t="inlineStr">
        <is>
          <t>Family catch spans the union of all Table 6 member groups belonging to Mullidae under WoRMS. Every candidate is supported by a source member; source placement outranks SAU habitat class.</t>
        </is>
      </c>
    </row>
    <row r="164">
      <c r="A164" t="inlineStr">
        <is>
          <t>Carcharhinidae</t>
        </is>
      </c>
      <c r="B164" t="inlineStr">
        <is>
          <t>Requiem sharks</t>
        </is>
      </c>
      <c r="C164" t="inlineStr">
        <is>
          <t>Large sharks (&gt;=90 cm)</t>
        </is>
      </c>
      <c r="D164" t="inlineStr">
        <is>
          <t>Sharks &amp; rays</t>
        </is>
      </c>
      <c r="E164" s="8" t="inlineStr">
        <is>
          <t>Sélaciens L côtiers | Sélaciens L prof</t>
        </is>
      </c>
      <c r="F164" t="inlineStr">
        <is>
          <t>0.110 | 0.890</t>
        </is>
      </c>
      <c r="G164" t="inlineStr">
        <is>
          <t>catch_composition</t>
        </is>
      </c>
      <c r="H164" t="inlineStr">
        <is>
          <t>medium</t>
        </is>
      </c>
      <c r="I164" t="inlineStr">
        <is>
          <t>composite_split</t>
        </is>
      </c>
      <c r="J164" t="n">
        <v>32100.807</v>
      </c>
      <c r="K164" t="n">
        <v>0.0191</v>
      </c>
      <c r="L164" s="6" t="inlineStr">
        <is>
          <t>Family catch spans the union of all Table 6 member groups belonging to Carcharhinidae under WoRMS. Every candidate is supported by a source member; source placement outranks SAU habitat class.</t>
        </is>
      </c>
    </row>
    <row r="165">
      <c r="A165" t="inlineStr">
        <is>
          <t>Guentherus altivela</t>
        </is>
      </c>
      <c r="B165" t="inlineStr">
        <is>
          <t>Jellynose</t>
        </is>
      </c>
      <c r="C165" t="inlineStr">
        <is>
          <t>Large bathydemersals (&gt;=90 cm)</t>
        </is>
      </c>
      <c r="D165" t="inlineStr">
        <is>
          <t>Other fishes &amp; inverts</t>
        </is>
      </c>
      <c r="E165" s="9" t="inlineStr">
        <is>
          <t>Unresolved</t>
        </is>
      </c>
      <c r="F165" t="inlineStr"/>
      <c r="G165" t="inlineStr"/>
      <c r="H165" t="inlineStr">
        <is>
          <t>unresolved</t>
        </is>
      </c>
      <c r="I165" t="inlineStr">
        <is>
          <t>none</t>
        </is>
      </c>
      <c r="J165" t="n">
        <v>31760.118</v>
      </c>
      <c r="K165" t="n">
        <v>0.0189</v>
      </c>
      <c r="L16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66">
      <c r="A166" t="inlineStr">
        <is>
          <t>Lobotes surinamensis</t>
        </is>
      </c>
      <c r="B166" t="inlineStr">
        <is>
          <t>Tripletail</t>
        </is>
      </c>
      <c r="C166" t="inlineStr">
        <is>
          <t>Large benthopelagics (&gt;=90 cm)</t>
        </is>
      </c>
      <c r="D166" t="inlineStr">
        <is>
          <t>Perch-likes</t>
        </is>
      </c>
      <c r="E166" s="7" t="inlineStr">
        <is>
          <t>Côtier L pred</t>
        </is>
      </c>
      <c r="F166" t="inlineStr"/>
      <c r="G166" t="inlineStr"/>
      <c r="H166" t="inlineStr">
        <is>
          <t>high</t>
        </is>
      </c>
      <c r="I166" t="inlineStr">
        <is>
          <t>explicit_member</t>
        </is>
      </c>
      <c r="J166" t="n">
        <v>31453.521</v>
      </c>
      <c r="K166" t="n">
        <v>0.0188</v>
      </c>
      <c r="L166" s="6" t="inlineStr">
        <is>
          <t>Guénette &amp; Diallo 2004 Table 6 p.131 explicitly lists this taxon in the named group(s); printed and accepted names checked against WoRMS.</t>
        </is>
      </c>
    </row>
    <row r="167">
      <c r="A167" t="inlineStr">
        <is>
          <t>Lethrinus atlanticus</t>
        </is>
      </c>
      <c r="B167" t="inlineStr">
        <is>
          <t>Atlantic emperor</t>
        </is>
      </c>
      <c r="C167" t="inlineStr">
        <is>
          <t>Medium reef assoc. fish (30 - 89 cm)</t>
        </is>
      </c>
      <c r="D167" t="inlineStr">
        <is>
          <t>Perch-likes</t>
        </is>
      </c>
      <c r="E167" s="7" t="inlineStr">
        <is>
          <t>Côtier M inv</t>
        </is>
      </c>
      <c r="F167" t="inlineStr"/>
      <c r="G167" t="inlineStr"/>
      <c r="H167" t="inlineStr">
        <is>
          <t>high</t>
        </is>
      </c>
      <c r="I167" t="inlineStr">
        <is>
          <t>explicit_member</t>
        </is>
      </c>
      <c r="J167" t="n">
        <v>31149.141</v>
      </c>
      <c r="K167" t="n">
        <v>0.0186</v>
      </c>
      <c r="L167" s="6" t="inlineStr">
        <is>
          <t>Guénette &amp; Diallo 2004 Table 6 p.131 explicitly lists this taxon in the named group(s); printed and accepted names checked against WoRMS.</t>
        </is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s="8" t="inlineStr">
        <is>
          <t>Sélaciens L prof</t>
        </is>
      </c>
      <c r="F168" t="inlineStr"/>
      <c r="G168" t="inlineStr"/>
      <c r="H168" t="inlineStr">
        <is>
          <t>medium</t>
        </is>
      </c>
      <c r="I168" t="inlineStr">
        <is>
          <t>taxonomic_containment</t>
        </is>
      </c>
      <c r="J168" t="n">
        <v>30105.966</v>
      </c>
      <c r="K168" t="n">
        <v>0.018</v>
      </c>
      <c r="L168" s="6" t="inlineStr">
        <is>
          <t>Genus-level catch spans exactly the Table 6 groups containing its documented species. No habitat class overrides those placements.</t>
        </is>
      </c>
    </row>
    <row r="169">
      <c r="A169" t="inlineStr">
        <is>
          <t>Rhinobatos</t>
        </is>
      </c>
      <c r="B169" t="inlineStr">
        <is>
          <t>Guitarfishes</t>
        </is>
      </c>
      <c r="C169" t="inlineStr">
        <is>
          <t>Large rays (&gt;=90 cm)</t>
        </is>
      </c>
      <c r="D169" t="inlineStr">
        <is>
          <t>Sharks &amp; rays</t>
        </is>
      </c>
      <c r="E169" s="8" t="inlineStr">
        <is>
          <t>Sélaciens L côtiers | Sélaciens M côtiers</t>
        </is>
      </c>
      <c r="F169" t="inlineStr">
        <is>
          <t>0.934 | 0.066</t>
        </is>
      </c>
      <c r="G169" t="inlineStr">
        <is>
          <t>catch_composition</t>
        </is>
      </c>
      <c r="H169" t="inlineStr">
        <is>
          <t>medium</t>
        </is>
      </c>
      <c r="I169" t="inlineStr">
        <is>
          <t>composite_split</t>
        </is>
      </c>
      <c r="J169" t="n">
        <v>29710.026</v>
      </c>
      <c r="K169" t="n">
        <v>0.0177</v>
      </c>
      <c r="L169" s="6" t="inlineStr">
        <is>
          <t>Genus-level catch spans exactly the Table 6 groups containing its documented species. No habitat class overrides those placements.</t>
        </is>
      </c>
    </row>
    <row r="170">
      <c r="A170" t="inlineStr">
        <is>
          <t>Lithognathus mormyrus</t>
        </is>
      </c>
      <c r="B170" t="inlineStr">
        <is>
          <t>Sand steenbras</t>
        </is>
      </c>
      <c r="C170" t="inlineStr">
        <is>
          <t>Medium benthopelagics (30 - 89 cm)</t>
        </is>
      </c>
      <c r="D170" t="inlineStr">
        <is>
          <t>Perch-likes</t>
        </is>
      </c>
      <c r="E170" s="9" t="inlineStr">
        <is>
          <t>Unresolved</t>
        </is>
      </c>
      <c r="F170" t="inlineStr"/>
      <c r="G170" t="inlineStr"/>
      <c r="H170" t="inlineStr">
        <is>
          <t>unresolved</t>
        </is>
      </c>
      <c r="I170" t="inlineStr">
        <is>
          <t>none</t>
        </is>
      </c>
      <c r="J170" t="n">
        <v>29680.528</v>
      </c>
      <c r="K170" t="n">
        <v>0.0177</v>
      </c>
      <c r="L17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s="7" t="inlineStr">
        <is>
          <t>Crustacés</t>
        </is>
      </c>
      <c r="F171" t="inlineStr"/>
      <c r="G171" t="inlineStr"/>
      <c r="H171" t="inlineStr">
        <is>
          <t>high</t>
        </is>
      </c>
      <c r="I171" t="inlineStr">
        <is>
          <t>taxonomic_containment</t>
        </is>
      </c>
      <c r="J171" t="n">
        <v>29150.583</v>
      </c>
      <c r="K171" t="n">
        <v>0.0174</v>
      </c>
      <c r="L171" s="6" t="inlineStr">
        <is>
          <t>WoRMS crustacean taxonomy and SAU shrimp/crab/lobster class agree with the source Crustacés definition on p.125.</t>
        </is>
      </c>
    </row>
    <row r="172">
      <c r="A172" t="inlineStr">
        <is>
          <t>Raja</t>
        </is>
      </c>
      <c r="B172" t="inlineStr">
        <is>
          <t>Stingrays, skates</t>
        </is>
      </c>
      <c r="C172" t="inlineStr">
        <is>
          <t>Small to medium rays (&lt;90 cm)</t>
        </is>
      </c>
      <c r="D172" t="inlineStr">
        <is>
          <t>Sharks &amp; rays</t>
        </is>
      </c>
      <c r="E172" s="8" t="inlineStr">
        <is>
          <t>Sélaciens L prof | Sélaciens M prof</t>
        </is>
      </c>
      <c r="F172" t="inlineStr">
        <is>
          <t>0.810 | 0.190</t>
        </is>
      </c>
      <c r="G172" t="inlineStr">
        <is>
          <t>catch_composition</t>
        </is>
      </c>
      <c r="H172" t="inlineStr">
        <is>
          <t>medium</t>
        </is>
      </c>
      <c r="I172" t="inlineStr">
        <is>
          <t>composite_split</t>
        </is>
      </c>
      <c r="J172" t="n">
        <v>27930.81</v>
      </c>
      <c r="K172" t="n">
        <v>0.0167</v>
      </c>
      <c r="L172" s="6" t="inlineStr">
        <is>
          <t>Genus-level catch spans exactly the Table 6 groups containing its documented species. No habitat class overrides those placements.</t>
        </is>
      </c>
    </row>
    <row r="173">
      <c r="A173" t="inlineStr">
        <is>
          <t>Pomatomus saltatrix</t>
        </is>
      </c>
      <c r="B173" t="inlineStr">
        <is>
          <t>Bluefish</t>
        </is>
      </c>
      <c r="C173" t="inlineStr">
        <is>
          <t>Large pelagics (&gt;=90 cm)</t>
        </is>
      </c>
      <c r="D173" t="inlineStr">
        <is>
          <t>Perch-likes</t>
        </is>
      </c>
      <c r="E173" s="7" t="inlineStr">
        <is>
          <t>Côtier pel L pred</t>
        </is>
      </c>
      <c r="F173" t="inlineStr"/>
      <c r="G173" t="inlineStr"/>
      <c r="H173" t="inlineStr">
        <is>
          <t>high</t>
        </is>
      </c>
      <c r="I173" t="inlineStr">
        <is>
          <t>explicit_member</t>
        </is>
      </c>
      <c r="J173" t="n">
        <v>27567.242</v>
      </c>
      <c r="K173" t="n">
        <v>0.0164</v>
      </c>
      <c r="L173" s="6" t="inlineStr">
        <is>
          <t>Guénette &amp; Diallo 2004 Table 6 p.131 explicitly lists this taxon in the named group(s); printed and accepted names checked against WoRMS.</t>
        </is>
      </c>
    </row>
    <row r="174">
      <c r="A174" t="inlineStr">
        <is>
          <t>Parapenaeopsis atlantica</t>
        </is>
      </c>
      <c r="B174" t="inlineStr">
        <is>
          <t>Guinea shrimp</t>
        </is>
      </c>
      <c r="C174" t="inlineStr">
        <is>
          <t>Shrimps</t>
        </is>
      </c>
      <c r="D174" t="inlineStr">
        <is>
          <t>Crustaceans</t>
        </is>
      </c>
      <c r="E174" s="7" t="inlineStr">
        <is>
          <t>Crustacés</t>
        </is>
      </c>
      <c r="F174" t="inlineStr"/>
      <c r="G174" t="inlineStr"/>
      <c r="H174" t="inlineStr">
        <is>
          <t>high</t>
        </is>
      </c>
      <c r="I174" t="inlineStr">
        <is>
          <t>taxonomic_containment</t>
        </is>
      </c>
      <c r="J174" t="n">
        <v>24645.831</v>
      </c>
      <c r="K174" t="n">
        <v>0.0147</v>
      </c>
      <c r="L174" s="6" t="inlineStr">
        <is>
          <t>WoRMS crustacean taxonomy and SAU shrimp/crab/lobster class agree with the source Crustacés definition on p.125.</t>
        </is>
      </c>
    </row>
    <row r="175">
      <c r="A175" t="inlineStr">
        <is>
          <t>Hemiramphus brasiliensis</t>
        </is>
      </c>
      <c r="B175" t="inlineStr">
        <is>
          <t>Ballyhoo halfbeak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s="7" t="inlineStr">
        <is>
          <t>Côtier pel S inv</t>
        </is>
      </c>
      <c r="F175" t="inlineStr"/>
      <c r="G175" t="inlineStr"/>
      <c r="H175" t="inlineStr">
        <is>
          <t>high</t>
        </is>
      </c>
      <c r="I175" t="inlineStr">
        <is>
          <t>explicit_member</t>
        </is>
      </c>
      <c r="J175" t="n">
        <v>24638.482</v>
      </c>
      <c r="K175" t="n">
        <v>0.0147</v>
      </c>
      <c r="L175" s="6" t="inlineStr">
        <is>
          <t>Guénette &amp; Diallo 2004 Table 6 p.131 explicitly lists this taxon in the named group(s); printed and accepted names checked against WoRMS.</t>
        </is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s="7" t="inlineStr">
        <is>
          <t>Thons majeurs</t>
        </is>
      </c>
      <c r="F176" t="inlineStr"/>
      <c r="G176" t="inlineStr"/>
      <c r="H176" t="inlineStr">
        <is>
          <t>high</t>
        </is>
      </c>
      <c r="I176" t="inlineStr">
        <is>
          <t>explicit_member</t>
        </is>
      </c>
      <c r="J176" t="n">
        <v>24175.695</v>
      </c>
      <c r="K176" t="n">
        <v>0.0144</v>
      </c>
      <c r="L176" s="6" t="inlineStr">
        <is>
          <t>Guénette &amp; Diallo 2004 Table 6 p.131 explicitly lists this taxon in the named group(s); printed and accepted names checked against WoRMS.</t>
        </is>
      </c>
    </row>
    <row r="177">
      <c r="A177" t="inlineStr">
        <is>
          <t>Trichiurus</t>
        </is>
      </c>
      <c r="B177" t="inlineStr">
        <is>
          <t>Hairtails</t>
        </is>
      </c>
      <c r="C177" t="inlineStr">
        <is>
          <t>Large benthopelagics (&gt;=90 cm)</t>
        </is>
      </c>
      <c r="D177" t="inlineStr">
        <is>
          <t>Perch-likes</t>
        </is>
      </c>
      <c r="E177" s="8" t="inlineStr">
        <is>
          <t>Côtier L pred</t>
        </is>
      </c>
      <c r="F177" t="inlineStr"/>
      <c r="G177" t="inlineStr"/>
      <c r="H177" t="inlineStr">
        <is>
          <t>medium</t>
        </is>
      </c>
      <c r="I177" t="inlineStr">
        <is>
          <t>taxonomic_containment</t>
        </is>
      </c>
      <c r="J177" t="n">
        <v>23850.236</v>
      </c>
      <c r="K177" t="n">
        <v>0.0142</v>
      </c>
      <c r="L177" s="6" t="inlineStr">
        <is>
          <t>Genus-level catch spans exactly the Table 6 groups containing its documented species. No habitat class overrides those placements.</t>
        </is>
      </c>
    </row>
    <row r="178">
      <c r="A178" t="inlineStr">
        <is>
          <t>Brama brama</t>
        </is>
      </c>
      <c r="B178" t="inlineStr">
        <is>
          <t>Atlantic pomfret</t>
        </is>
      </c>
      <c r="C178" t="inlineStr">
        <is>
          <t>Medium bathypelagics (30 - 89 cm)</t>
        </is>
      </c>
      <c r="D178" t="inlineStr">
        <is>
          <t>Perch-likes</t>
        </is>
      </c>
      <c r="E178" s="9" t="inlineStr">
        <is>
          <t>Unresolved</t>
        </is>
      </c>
      <c r="F178" t="inlineStr"/>
      <c r="G178" t="inlineStr"/>
      <c r="H178" t="inlineStr">
        <is>
          <t>unresolved</t>
        </is>
      </c>
      <c r="I178" t="inlineStr">
        <is>
          <t>none</t>
        </is>
      </c>
      <c r="J178" t="n">
        <v>23313.008</v>
      </c>
      <c r="K178" t="n">
        <v>0.0139</v>
      </c>
      <c r="L17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79">
      <c r="A179" t="inlineStr">
        <is>
          <t>Pagrus caeruleostictus</t>
        </is>
      </c>
      <c r="B179" t="inlineStr">
        <is>
          <t>Bluespotted seabream</t>
        </is>
      </c>
      <c r="C179" t="inlineStr">
        <is>
          <t>Large benthopelagics (&gt;=90 cm)</t>
        </is>
      </c>
      <c r="D179" t="inlineStr">
        <is>
          <t>Perch-likes</t>
        </is>
      </c>
      <c r="E179" s="7" t="inlineStr">
        <is>
          <t>Dem L pred</t>
        </is>
      </c>
      <c r="F179" t="inlineStr"/>
      <c r="G179" t="inlineStr"/>
      <c r="H179" t="inlineStr">
        <is>
          <t>high</t>
        </is>
      </c>
      <c r="I179" t="inlineStr">
        <is>
          <t>explicit_member</t>
        </is>
      </c>
      <c r="J179" t="n">
        <v>22192.926</v>
      </c>
      <c r="K179" t="n">
        <v>0.0132</v>
      </c>
      <c r="L179" s="6" t="inlineStr">
        <is>
          <t>Guénette &amp; Diallo 2004 Table 6 p.131 explicitly lists this taxon in the named group(s); printed and accepted names checked against WoRMS.</t>
        </is>
      </c>
    </row>
    <row r="180">
      <c r="A180" t="inlineStr">
        <is>
          <t>Gerres</t>
        </is>
      </c>
      <c r="B180" t="inlineStr">
        <is>
          <t>Silver biddies</t>
        </is>
      </c>
      <c r="C180" t="inlineStr">
        <is>
          <t>Small benthopelagics (&lt;30 cm)</t>
        </is>
      </c>
      <c r="D180" t="inlineStr">
        <is>
          <t>Perch-likes</t>
        </is>
      </c>
      <c r="E180" s="8" t="inlineStr">
        <is>
          <t>Côtier S inv</t>
        </is>
      </c>
      <c r="F180" t="inlineStr"/>
      <c r="G180" t="inlineStr"/>
      <c r="H180" t="inlineStr">
        <is>
          <t>medium</t>
        </is>
      </c>
      <c r="I180" t="inlineStr">
        <is>
          <t>taxonomic_containment</t>
        </is>
      </c>
      <c r="J180" t="n">
        <v>22142.745</v>
      </c>
      <c r="K180" t="n">
        <v>0.0132</v>
      </c>
      <c r="L180" s="6" t="inlineStr">
        <is>
          <t>Genus-level catch spans exactly the Table 6 groups containing its documented species. No habitat class overrides those placements.</t>
        </is>
      </c>
    </row>
    <row r="181">
      <c r="A181" t="inlineStr">
        <is>
          <t>Carcharhinus limbatus</t>
        </is>
      </c>
      <c r="B181" t="inlineStr">
        <is>
          <t>Blacktip shark</t>
        </is>
      </c>
      <c r="C181" t="inlineStr">
        <is>
          <t>Large sharks (&gt;=90 cm)</t>
        </is>
      </c>
      <c r="D181" t="inlineStr">
        <is>
          <t>Sharks &amp; rays</t>
        </is>
      </c>
      <c r="E181" s="7" t="inlineStr">
        <is>
          <t>Sélaciens L côtiers</t>
        </is>
      </c>
      <c r="F181" t="inlineStr"/>
      <c r="G181" t="inlineStr"/>
      <c r="H181" t="inlineStr">
        <is>
          <t>high</t>
        </is>
      </c>
      <c r="I181" t="inlineStr">
        <is>
          <t>explicit_member</t>
        </is>
      </c>
      <c r="J181" t="n">
        <v>21586.935</v>
      </c>
      <c r="K181" t="n">
        <v>0.0129</v>
      </c>
      <c r="L181" s="6" t="inlineStr">
        <is>
          <t>Guénette &amp; Diallo 2004 Table 6 p.131 explicitly lists this taxon in the named group(s); printed and accepted names checked against WoRMS.</t>
        </is>
      </c>
    </row>
    <row r="182">
      <c r="A182" t="inlineStr">
        <is>
          <t>Merluccius</t>
        </is>
      </c>
      <c r="B182" t="inlineStr">
        <is>
          <t>Hakes</t>
        </is>
      </c>
      <c r="C182" t="inlineStr">
        <is>
          <t>Medium bathydemersals (30 - 89 cm)</t>
        </is>
      </c>
      <c r="D182" t="inlineStr">
        <is>
          <t>Cod-likes</t>
        </is>
      </c>
      <c r="E182" s="8" t="inlineStr">
        <is>
          <t>Dem L pred</t>
        </is>
      </c>
      <c r="F182" t="inlineStr"/>
      <c r="G182" t="inlineStr"/>
      <c r="H182" t="inlineStr">
        <is>
          <t>medium</t>
        </is>
      </c>
      <c r="I182" t="inlineStr">
        <is>
          <t>taxonomic_containment</t>
        </is>
      </c>
      <c r="J182" t="n">
        <v>20505.902</v>
      </c>
      <c r="K182" t="n">
        <v>0.0122</v>
      </c>
      <c r="L182" s="6" t="inlineStr">
        <is>
          <t>Genus-level catch spans exactly the Table 6 groups containing its documented species. No habitat class overrides those placements.</t>
        </is>
      </c>
    </row>
    <row r="183">
      <c r="A183" t="inlineStr">
        <is>
          <t>Torpedinidae</t>
        </is>
      </c>
      <c r="B183" t="inlineStr">
        <is>
          <t>Electric rays</t>
        </is>
      </c>
      <c r="C183" t="inlineStr">
        <is>
          <t>Small to medium rays (&lt;90 cm)</t>
        </is>
      </c>
      <c r="D183" t="inlineStr">
        <is>
          <t>Sharks &amp; rays</t>
        </is>
      </c>
      <c r="E183" s="8" t="inlineStr">
        <is>
          <t>Sélaciens L côtiers | Sélaciens L prof | Sélaciens M côtiers</t>
        </is>
      </c>
      <c r="F183" t="inlineStr">
        <is>
          <t>0.109 | 0.883 | 0.008</t>
        </is>
      </c>
      <c r="G183" t="inlineStr">
        <is>
          <t>catch_composition</t>
        </is>
      </c>
      <c r="H183" t="inlineStr">
        <is>
          <t>medium</t>
        </is>
      </c>
      <c r="I183" t="inlineStr">
        <is>
          <t>composite_split</t>
        </is>
      </c>
      <c r="J183" t="n">
        <v>19797.249</v>
      </c>
      <c r="K183" t="n">
        <v>0.0118</v>
      </c>
      <c r="L183" s="6" t="inlineStr">
        <is>
          <t>Family catch spans the union of all Table 6 member groups belonging to Torpedinidae under WoRMS. Every candidate is supported by a source member; source placement outranks SAU habitat class.</t>
        </is>
      </c>
    </row>
    <row r="184">
      <c r="A184" t="inlineStr">
        <is>
          <t>Peristediidae</t>
        </is>
      </c>
      <c r="B184" t="inlineStr">
        <is>
          <t>Armored searobins, gurnards</t>
        </is>
      </c>
      <c r="C184" t="inlineStr">
        <is>
          <t>Medium bathydemersals (30 - 89 cm)</t>
        </is>
      </c>
      <c r="D184" t="inlineStr">
        <is>
          <t>Scorpionfishes</t>
        </is>
      </c>
      <c r="E184" s="9" t="inlineStr">
        <is>
          <t>Unresolved</t>
        </is>
      </c>
      <c r="F184" t="inlineStr"/>
      <c r="G184" t="inlineStr"/>
      <c r="H184" t="inlineStr">
        <is>
          <t>unresolved</t>
        </is>
      </c>
      <c r="I184" t="inlineStr">
        <is>
          <t>none</t>
        </is>
      </c>
      <c r="J184" t="n">
        <v>18606.44</v>
      </c>
      <c r="K184" t="n">
        <v>0.0111</v>
      </c>
      <c r="L18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85">
      <c r="A185" t="inlineStr">
        <is>
          <t>Eucinostomus melanopterus</t>
        </is>
      </c>
      <c r="B185" t="inlineStr">
        <is>
          <t>Flagfin mojarra</t>
        </is>
      </c>
      <c r="C185" t="inlineStr">
        <is>
          <t>Large reef assoc. fish (&gt;=90 cm)</t>
        </is>
      </c>
      <c r="D185" t="inlineStr">
        <is>
          <t>Perch-likes</t>
        </is>
      </c>
      <c r="E185" s="7" t="inlineStr">
        <is>
          <t>Côtier S pred</t>
        </is>
      </c>
      <c r="F185" t="inlineStr"/>
      <c r="G185" t="inlineStr"/>
      <c r="H185" t="inlineStr">
        <is>
          <t>high</t>
        </is>
      </c>
      <c r="I185" t="inlineStr">
        <is>
          <t>explicit_member</t>
        </is>
      </c>
      <c r="J185" t="n">
        <v>18526.987</v>
      </c>
      <c r="K185" t="n">
        <v>0.0111</v>
      </c>
      <c r="L185" s="6" t="inlineStr">
        <is>
          <t>Guénette &amp; Diallo 2004 Table 6 p.131 explicitly lists this taxon in the named group(s); printed and accepted names checked against WoRMS.</t>
        </is>
      </c>
    </row>
    <row r="186">
      <c r="A186" t="inlineStr">
        <is>
          <t>Hemiramphidae</t>
        </is>
      </c>
      <c r="B186" t="inlineStr">
        <is>
          <t>Halfbeaks, garfishes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s="8" t="inlineStr">
        <is>
          <t>Côtier pel S inv</t>
        </is>
      </c>
      <c r="F186" t="inlineStr"/>
      <c r="G186" t="inlineStr"/>
      <c r="H186" t="inlineStr">
        <is>
          <t>medium</t>
        </is>
      </c>
      <c r="I186" t="inlineStr">
        <is>
          <t>taxonomic_containment</t>
        </is>
      </c>
      <c r="J186" t="n">
        <v>18318.036</v>
      </c>
      <c r="K186" t="n">
        <v>0.0109</v>
      </c>
      <c r="L186" s="6" t="inlineStr">
        <is>
          <t>Family catch spans the union of all Table 6 member groups belonging to Hemiramphidae under WoRMS. Every candidate is supported by a source member; source placement outranks SAU habitat class.</t>
        </is>
      </c>
    </row>
    <row r="187">
      <c r="A187" t="inlineStr">
        <is>
          <t>Sphyraena barracuda</t>
        </is>
      </c>
      <c r="B187" t="inlineStr">
        <is>
          <t>Great barracuda</t>
        </is>
      </c>
      <c r="C187" t="inlineStr">
        <is>
          <t>Large pelagics (&gt;=90 cm)</t>
        </is>
      </c>
      <c r="D187" t="inlineStr">
        <is>
          <t>Perch-likes</t>
        </is>
      </c>
      <c r="E187" s="8" t="inlineStr">
        <is>
          <t>Côtier pel L pred</t>
        </is>
      </c>
      <c r="F187" t="inlineStr"/>
      <c r="G187" t="inlineStr"/>
      <c r="H187" t="inlineStr">
        <is>
          <t>medium</t>
        </is>
      </c>
      <c r="I187" t="inlineStr">
        <is>
          <t>analogue</t>
        </is>
      </c>
      <c r="J187" t="n">
        <v>17460.557</v>
      </c>
      <c r="K187" t="n">
        <v>0.0104</v>
      </c>
      <c r="L187" s="6" t="inlineStr">
        <is>
          <t>Species not individually listed: its genus has one documented Table 6 group, supported by the catch's Large pelagics (&gt;=90 cm) class. Congeneric extension is inference.</t>
        </is>
      </c>
    </row>
    <row r="188">
      <c r="A188" t="inlineStr">
        <is>
          <t>Decapoda</t>
        </is>
      </c>
      <c r="B188" t="inlineStr">
        <is>
          <t>Crabs, lobsters, shrimps</t>
        </is>
      </c>
      <c r="C188" t="inlineStr">
        <is>
          <t>Lobsters, crabs</t>
        </is>
      </c>
      <c r="D188" t="inlineStr">
        <is>
          <t>Crustaceans</t>
        </is>
      </c>
      <c r="E188" s="7" t="inlineStr">
        <is>
          <t>Crustacés</t>
        </is>
      </c>
      <c r="F188" t="inlineStr"/>
      <c r="G188" t="inlineStr"/>
      <c r="H188" t="inlineStr">
        <is>
          <t>high</t>
        </is>
      </c>
      <c r="I188" t="inlineStr">
        <is>
          <t>taxonomic_containment</t>
        </is>
      </c>
      <c r="J188" t="n">
        <v>16525.58</v>
      </c>
      <c r="K188" t="n">
        <v>0.009900000000000001</v>
      </c>
      <c r="L188" s="6" t="inlineStr">
        <is>
          <t>Source p.125 explicitly includes commercial/noncommercial shrimp, lobsters and crabs in Crustacés.</t>
        </is>
      </c>
    </row>
    <row r="189">
      <c r="A189" t="inlineStr">
        <is>
          <t>Tetraodontidae</t>
        </is>
      </c>
      <c r="B189" t="inlineStr">
        <is>
          <t>Puffers, tobies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s="8" t="inlineStr">
        <is>
          <t>Côtier L pred | Dem M pred | Dem S inv</t>
        </is>
      </c>
      <c r="F189" t="inlineStr">
        <is>
          <t>0.950 | 0.047 | 0.003</t>
        </is>
      </c>
      <c r="G189" t="inlineStr">
        <is>
          <t>catch_composition</t>
        </is>
      </c>
      <c r="H189" t="inlineStr">
        <is>
          <t>medium</t>
        </is>
      </c>
      <c r="I189" t="inlineStr">
        <is>
          <t>composite_split</t>
        </is>
      </c>
      <c r="J189" t="n">
        <v>16070.431</v>
      </c>
      <c r="K189" t="n">
        <v>0.009599999999999999</v>
      </c>
      <c r="L189" s="6" t="inlineStr">
        <is>
          <t>Family catch spans the union of all Table 6 member groups belonging to Tetraodontidae under WoRMS. Every candidate is supported by a source member; source placement outranks SAU habitat class.</t>
        </is>
      </c>
    </row>
    <row r="190">
      <c r="A190" t="inlineStr">
        <is>
          <t>Dentex congoensis</t>
        </is>
      </c>
      <c r="B190" t="inlineStr">
        <is>
          <t>Congo dentex</t>
        </is>
      </c>
      <c r="C190" t="inlineStr">
        <is>
          <t>Medium demersals (30 - 89 cm)</t>
        </is>
      </c>
      <c r="D190" t="inlineStr">
        <is>
          <t>Perch-likes</t>
        </is>
      </c>
      <c r="E190" s="9" t="inlineStr">
        <is>
          <t>Unresolved</t>
        </is>
      </c>
      <c r="F190" t="inlineStr"/>
      <c r="G190" t="inlineStr"/>
      <c r="H190" t="inlineStr">
        <is>
          <t>unresolved</t>
        </is>
      </c>
      <c r="I190" t="inlineStr">
        <is>
          <t>none</t>
        </is>
      </c>
      <c r="J190" t="n">
        <v>14469.685</v>
      </c>
      <c r="K190" t="n">
        <v>0.0086</v>
      </c>
      <c r="L19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91">
      <c r="A191" t="inlineStr">
        <is>
          <t>Triglidae</t>
        </is>
      </c>
      <c r="B191" t="inlineStr">
        <is>
          <t>Searobins, gurnards</t>
        </is>
      </c>
      <c r="C191" t="inlineStr">
        <is>
          <t>Medium demersals (30 - 89 cm)</t>
        </is>
      </c>
      <c r="D191" t="inlineStr">
        <is>
          <t>Scorpionfishes</t>
        </is>
      </c>
      <c r="E191" s="8" t="inlineStr">
        <is>
          <t>Bathy SM inv | Dem M inv | Dem M pred</t>
        </is>
      </c>
      <c r="F191" t="inlineStr">
        <is>
          <t>0.000 | 0.927 | 0.073</t>
        </is>
      </c>
      <c r="G191" t="inlineStr">
        <is>
          <t>catch_composition</t>
        </is>
      </c>
      <c r="H191" t="inlineStr">
        <is>
          <t>medium</t>
        </is>
      </c>
      <c r="I191" t="inlineStr">
        <is>
          <t>composite_split</t>
        </is>
      </c>
      <c r="J191" t="n">
        <v>13809.254</v>
      </c>
      <c r="K191" t="n">
        <v>0.008200000000000001</v>
      </c>
      <c r="L191" s="6" t="inlineStr">
        <is>
          <t>Family catch spans the union of all Table 6 member groups belonging to Triglidae under WoRMS. Every candidate is supported by a source member; source placement outranks SAU habitat class.</t>
        </is>
      </c>
    </row>
    <row r="192">
      <c r="A192" t="inlineStr">
        <is>
          <t>Muraenidae</t>
        </is>
      </c>
      <c r="B192" t="inlineStr">
        <is>
          <t>Moray eels</t>
        </is>
      </c>
      <c r="C192" t="inlineStr">
        <is>
          <t>Large reef assoc. fish (&gt;=90 cm)</t>
        </is>
      </c>
      <c r="D192" t="inlineStr">
        <is>
          <t>Other fishes &amp; inverts</t>
        </is>
      </c>
      <c r="E192" s="8" t="inlineStr">
        <is>
          <t>Côtier L pred | Côtier M pred</t>
        </is>
      </c>
      <c r="F192" t="inlineStr">
        <is>
          <t>1.000 | 0.000</t>
        </is>
      </c>
      <c r="G192" t="inlineStr">
        <is>
          <t>catch_composition</t>
        </is>
      </c>
      <c r="H192" t="inlineStr">
        <is>
          <t>medium</t>
        </is>
      </c>
      <c r="I192" t="inlineStr">
        <is>
          <t>composite_split</t>
        </is>
      </c>
      <c r="J192" t="n">
        <v>12023.983</v>
      </c>
      <c r="K192" t="n">
        <v>0.0072</v>
      </c>
      <c r="L192" s="6" t="inlineStr">
        <is>
          <t>Family catch spans the union of all Table 6 member groups belonging to Muraenidae under WoRMS. Every candidate is supported by a source member; source placement outranks SAU habitat class.</t>
        </is>
      </c>
    </row>
    <row r="193">
      <c r="A193" t="inlineStr">
        <is>
          <t>Penaeus kerathurus</t>
        </is>
      </c>
      <c r="B193" t="inlineStr">
        <is>
          <t>Caramote prawn</t>
        </is>
      </c>
      <c r="C193" t="inlineStr">
        <is>
          <t>Shrimps</t>
        </is>
      </c>
      <c r="D193" t="inlineStr">
        <is>
          <t>Crustaceans</t>
        </is>
      </c>
      <c r="E193" s="7" t="inlineStr">
        <is>
          <t>Crustacés</t>
        </is>
      </c>
      <c r="F193" t="inlineStr"/>
      <c r="G193" t="inlineStr"/>
      <c r="H193" t="inlineStr">
        <is>
          <t>high</t>
        </is>
      </c>
      <c r="I193" t="inlineStr">
        <is>
          <t>taxonomic_containment</t>
        </is>
      </c>
      <c r="J193" t="n">
        <v>11713.135</v>
      </c>
      <c r="K193" t="n">
        <v>0.007</v>
      </c>
      <c r="L193" s="6" t="inlineStr">
        <is>
          <t>WoRMS crustacean taxonomy and SAU shrimp/crab/lobster class agree with the source Crustacés definition on p.125.</t>
        </is>
      </c>
    </row>
    <row r="194">
      <c r="A194" t="inlineStr">
        <is>
          <t>Lichia amia</t>
        </is>
      </c>
      <c r="B194" t="inlineStr">
        <is>
          <t>Leerfish</t>
        </is>
      </c>
      <c r="C194" t="inlineStr">
        <is>
          <t>Large pelagics (&gt;=90 cm)</t>
        </is>
      </c>
      <c r="D194" t="inlineStr">
        <is>
          <t>Perch-likes</t>
        </is>
      </c>
      <c r="E194" s="7" t="inlineStr">
        <is>
          <t>Côtier pel L pred</t>
        </is>
      </c>
      <c r="F194" t="inlineStr"/>
      <c r="G194" t="inlineStr"/>
      <c r="H194" t="inlineStr">
        <is>
          <t>high</t>
        </is>
      </c>
      <c r="I194" t="inlineStr">
        <is>
          <t>explicit_member</t>
        </is>
      </c>
      <c r="J194" t="n">
        <v>11571.547</v>
      </c>
      <c r="K194" t="n">
        <v>0.0069</v>
      </c>
      <c r="L194" s="6" t="inlineStr">
        <is>
          <t>Guénette &amp; Diallo 2004 Table 6 p.131 explicitly lists this taxon in the named group(s); printed and accepted names checked against WoRMS.</t>
        </is>
      </c>
    </row>
    <row r="195">
      <c r="A195" t="inlineStr">
        <is>
          <t>Pomadasys rogerii</t>
        </is>
      </c>
      <c r="B195" t="inlineStr">
        <is>
          <t>Pigsnout grunt</t>
        </is>
      </c>
      <c r="C195" t="inlineStr">
        <is>
          <t>Medium benthopelagics (30 - 89 cm)</t>
        </is>
      </c>
      <c r="D195" t="inlineStr">
        <is>
          <t>Perch-likes</t>
        </is>
      </c>
      <c r="E195" s="7" t="inlineStr">
        <is>
          <t>Côtier M inv</t>
        </is>
      </c>
      <c r="F195" t="inlineStr"/>
      <c r="G195" t="inlineStr"/>
      <c r="H195" t="inlineStr">
        <is>
          <t>high</t>
        </is>
      </c>
      <c r="I195" t="inlineStr">
        <is>
          <t>explicit_member</t>
        </is>
      </c>
      <c r="J195" t="n">
        <v>11378.707</v>
      </c>
      <c r="K195" t="n">
        <v>0.0068</v>
      </c>
      <c r="L195" s="6" t="inlineStr">
        <is>
          <t>Guénette &amp; Diallo 2004 Table 6 p.131 explicitly lists this taxon in the named group(s); printed and accepted names checked against WoRMS.</t>
        </is>
      </c>
    </row>
    <row r="196">
      <c r="A196" t="inlineStr">
        <is>
          <t>Sphyrna mokarran</t>
        </is>
      </c>
      <c r="B196" t="inlineStr">
        <is>
          <t>Great hammerhead</t>
        </is>
      </c>
      <c r="C196" t="inlineStr">
        <is>
          <t>Large sharks (&gt;=90 cm)</t>
        </is>
      </c>
      <c r="D196" t="inlineStr">
        <is>
          <t>Sharks &amp; rays</t>
        </is>
      </c>
      <c r="E196" s="8" t="inlineStr">
        <is>
          <t>Sélaciens L prof</t>
        </is>
      </c>
      <c r="F196" t="inlineStr"/>
      <c r="G196" t="inlineStr"/>
      <c r="H196" t="inlineStr">
        <is>
          <t>medium</t>
        </is>
      </c>
      <c r="I196" t="inlineStr">
        <is>
          <t>analogue</t>
        </is>
      </c>
      <c r="J196" t="n">
        <v>11241.295</v>
      </c>
      <c r="K196" t="n">
        <v>0.0067</v>
      </c>
      <c r="L196" s="6" t="inlineStr">
        <is>
          <t>Species not individually listed: its genus has one documented Table 6 group, supported by the catch's Large sharks (&gt;=90 cm) class. Congeneric extension is inference.</t>
        </is>
      </c>
    </row>
    <row r="197">
      <c r="A197" t="inlineStr">
        <is>
          <t>Holocentridae</t>
        </is>
      </c>
      <c r="B197" t="inlineStr">
        <is>
          <t>Squirrel-, soldierfishes</t>
        </is>
      </c>
      <c r="C197" t="inlineStr">
        <is>
          <t>Small reef assoc. fish (&lt;30 cm)</t>
        </is>
      </c>
      <c r="D197" t="inlineStr">
        <is>
          <t>Other fishes &amp; inverts</t>
        </is>
      </c>
      <c r="E197" s="8" t="inlineStr">
        <is>
          <t>Dem S inv</t>
        </is>
      </c>
      <c r="F197" t="inlineStr"/>
      <c r="G197" t="inlineStr"/>
      <c r="H197" t="inlineStr">
        <is>
          <t>medium</t>
        </is>
      </c>
      <c r="I197" t="inlineStr">
        <is>
          <t>taxonomic_containment</t>
        </is>
      </c>
      <c r="J197" t="n">
        <v>10765.964</v>
      </c>
      <c r="K197" t="n">
        <v>0.0064</v>
      </c>
      <c r="L197" s="6" t="inlineStr">
        <is>
          <t>Family catch spans the union of all Table 6 member groups belonging to Holocentridae under WoRMS. Every candidate is supported by a source member; source placement outranks SAU habitat class.</t>
        </is>
      </c>
    </row>
    <row r="198">
      <c r="A198" t="inlineStr">
        <is>
          <t>Pellonula leonensis</t>
        </is>
      </c>
      <c r="B198" t="inlineStr">
        <is>
          <t>Smalltoothed pellonula</t>
        </is>
      </c>
      <c r="C198" t="inlineStr">
        <is>
          <t>Small pelagics (&lt;30 cm)</t>
        </is>
      </c>
      <c r="D198" t="inlineStr">
        <is>
          <t>Herring-likes</t>
        </is>
      </c>
      <c r="E198" s="9" t="inlineStr">
        <is>
          <t>Unresolved</t>
        </is>
      </c>
      <c r="F198" t="inlineStr"/>
      <c r="G198" t="inlineStr"/>
      <c r="H198" t="inlineStr">
        <is>
          <t>unresolved</t>
        </is>
      </c>
      <c r="I198" t="inlineStr">
        <is>
          <t>none</t>
        </is>
      </c>
      <c r="J198" t="n">
        <v>10729.87</v>
      </c>
      <c r="K198" t="n">
        <v>0.0064</v>
      </c>
      <c r="L19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99">
      <c r="A199" t="inlineStr">
        <is>
          <t>Plectorhinchus macrolepis</t>
        </is>
      </c>
      <c r="B199" t="inlineStr">
        <is>
          <t>Biglip grunt</t>
        </is>
      </c>
      <c r="C199" t="inlineStr">
        <is>
          <t>Medium benthopelagics (30 - 89 cm)</t>
        </is>
      </c>
      <c r="D199" t="inlineStr">
        <is>
          <t>Perch-likes</t>
        </is>
      </c>
      <c r="E199" s="7" t="inlineStr">
        <is>
          <t>Côtier M inv</t>
        </is>
      </c>
      <c r="F199" t="inlineStr"/>
      <c r="G199" t="inlineStr"/>
      <c r="H199" t="inlineStr">
        <is>
          <t>high</t>
        </is>
      </c>
      <c r="I199" t="inlineStr">
        <is>
          <t>explicit_member</t>
        </is>
      </c>
      <c r="J199" t="n">
        <v>10665.671</v>
      </c>
      <c r="K199" t="n">
        <v>0.0064</v>
      </c>
      <c r="L199" s="6" t="inlineStr">
        <is>
          <t>Guénette &amp; Diallo 2004 Table 6 p.131 explicitly lists this taxon in the named group(s); printed and accepted names checked against WoRMS.</t>
        </is>
      </c>
    </row>
    <row r="200">
      <c r="A200" t="inlineStr">
        <is>
          <t>Makaira</t>
        </is>
      </c>
      <c r="B200" t="inlineStr">
        <is>
          <t>Blue marlins</t>
        </is>
      </c>
      <c r="C200" t="inlineStr">
        <is>
          <t>Large pelagics (&gt;=90 cm)</t>
        </is>
      </c>
      <c r="D200" t="inlineStr">
        <is>
          <t>Tuna &amp; billfishes</t>
        </is>
      </c>
      <c r="E200" s="8" t="inlineStr">
        <is>
          <t>Thons majeurs</t>
        </is>
      </c>
      <c r="F200" t="inlineStr"/>
      <c r="G200" t="inlineStr"/>
      <c r="H200" t="inlineStr">
        <is>
          <t>medium</t>
        </is>
      </c>
      <c r="I200" t="inlineStr">
        <is>
          <t>taxonomic_containment</t>
        </is>
      </c>
      <c r="J200" t="n">
        <v>10628.089</v>
      </c>
      <c r="K200" t="n">
        <v>0.0063</v>
      </c>
      <c r="L200" s="6" t="inlineStr">
        <is>
          <t>Genus-level catch spans exactly the Table 6 groups containing its documented species. No habitat class overrides those placements.</t>
        </is>
      </c>
    </row>
    <row r="201">
      <c r="A201" t="inlineStr">
        <is>
          <t>Albulidae</t>
        </is>
      </c>
      <c r="B201" t="inlineStr">
        <is>
          <t>Bonefishes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s="8" t="inlineStr">
        <is>
          <t>Côtier pel L pred</t>
        </is>
      </c>
      <c r="F201" t="inlineStr"/>
      <c r="G201" t="inlineStr"/>
      <c r="H201" t="inlineStr">
        <is>
          <t>medium</t>
        </is>
      </c>
      <c r="I201" t="inlineStr">
        <is>
          <t>taxonomic_containment</t>
        </is>
      </c>
      <c r="J201" t="n">
        <v>10490.749</v>
      </c>
      <c r="K201" t="n">
        <v>0.0063</v>
      </c>
      <c r="L201" s="6" t="inlineStr">
        <is>
          <t>Family catch spans the union of all Table 6 member groups belonging to Albulidae under WoRMS. Every candidate is supported by a source member; source placement outranks SAU habitat class.</t>
        </is>
      </c>
    </row>
    <row r="202">
      <c r="A202" t="inlineStr">
        <is>
          <t>Epinephelus marginatus</t>
        </is>
      </c>
      <c r="B202" t="inlineStr">
        <is>
          <t>Dusky grouper</t>
        </is>
      </c>
      <c r="C202" t="inlineStr">
        <is>
          <t>Large reef assoc. fish (&gt;=90 cm)</t>
        </is>
      </c>
      <c r="D202" t="inlineStr">
        <is>
          <t>Perch-likes</t>
        </is>
      </c>
      <c r="E202" s="7" t="inlineStr">
        <is>
          <t>Dem L pred</t>
        </is>
      </c>
      <c r="F202" t="inlineStr"/>
      <c r="G202" t="inlineStr"/>
      <c r="H202" t="inlineStr">
        <is>
          <t>high</t>
        </is>
      </c>
      <c r="I202" t="inlineStr">
        <is>
          <t>explicit_member</t>
        </is>
      </c>
      <c r="J202" t="n">
        <v>10340.518</v>
      </c>
      <c r="K202" t="n">
        <v>0.0062</v>
      </c>
      <c r="L202" s="6" t="inlineStr">
        <is>
          <t>Guénette &amp; Diallo 2004 Table 6 p.131 explicitly lists this taxon in the named group(s); printed and accepted names checked against WoRMS.</t>
        </is>
      </c>
    </row>
    <row r="203">
      <c r="A203" t="inlineStr">
        <is>
          <t>Epinephelus goreensis</t>
        </is>
      </c>
      <c r="B203" t="inlineStr">
        <is>
          <t>Dungat grouper</t>
        </is>
      </c>
      <c r="C203" t="inlineStr">
        <is>
          <t>Large demersals (&gt;=90 cm)</t>
        </is>
      </c>
      <c r="D203" t="inlineStr">
        <is>
          <t>Perch-likes</t>
        </is>
      </c>
      <c r="E203" s="7" t="inlineStr">
        <is>
          <t>Dem L pred</t>
        </is>
      </c>
      <c r="F203" t="inlineStr"/>
      <c r="G203" t="inlineStr"/>
      <c r="H203" t="inlineStr">
        <is>
          <t>high</t>
        </is>
      </c>
      <c r="I203" t="inlineStr">
        <is>
          <t>explicit_member</t>
        </is>
      </c>
      <c r="J203" t="n">
        <v>10264.459</v>
      </c>
      <c r="K203" t="n">
        <v>0.0061</v>
      </c>
      <c r="L203" s="6" t="inlineStr">
        <is>
          <t>Guénette &amp; Diallo 2004 Table 6 p.131 explicitly lists this taxon in the named group(s); printed and accepted names checked against WoRMS.</t>
        </is>
      </c>
    </row>
    <row r="204">
      <c r="A204" t="inlineStr">
        <is>
          <t>Abudefduf</t>
        </is>
      </c>
      <c r="B204" t="inlineStr">
        <is>
          <t>Sergeants</t>
        </is>
      </c>
      <c r="C204" t="inlineStr">
        <is>
          <t>Small reef assoc. fish (&lt;30 cm)</t>
        </is>
      </c>
      <c r="D204" t="inlineStr">
        <is>
          <t>Perch-likes</t>
        </is>
      </c>
      <c r="E204" s="8" t="inlineStr">
        <is>
          <t>Côtier S inv</t>
        </is>
      </c>
      <c r="F204" t="inlineStr"/>
      <c r="G204" t="inlineStr"/>
      <c r="H204" t="inlineStr">
        <is>
          <t>medium</t>
        </is>
      </c>
      <c r="I204" t="inlineStr">
        <is>
          <t>taxonomic_containment</t>
        </is>
      </c>
      <c r="J204" t="n">
        <v>10184.75</v>
      </c>
      <c r="K204" t="n">
        <v>0.0061</v>
      </c>
      <c r="L204" s="6" t="inlineStr">
        <is>
          <t>Genus-level catch spans exactly the Table 6 groups containing its documented species. No habitat class overrides those placements.</t>
        </is>
      </c>
    </row>
    <row r="205">
      <c r="A205" t="inlineStr">
        <is>
          <t>Priacanthus</t>
        </is>
      </c>
      <c r="B205" t="inlineStr">
        <is>
          <t>Bigeyes</t>
        </is>
      </c>
      <c r="C205" t="inlineStr">
        <is>
          <t>Medium reef assoc. fish (30 - 89 cm)</t>
        </is>
      </c>
      <c r="D205" t="inlineStr">
        <is>
          <t>Perch-likes</t>
        </is>
      </c>
      <c r="E205" s="8" t="inlineStr">
        <is>
          <t>Dem M pred</t>
        </is>
      </c>
      <c r="F205" t="inlineStr"/>
      <c r="G205" t="inlineStr"/>
      <c r="H205" t="inlineStr">
        <is>
          <t>medium</t>
        </is>
      </c>
      <c r="I205" t="inlineStr">
        <is>
          <t>taxonomic_containment</t>
        </is>
      </c>
      <c r="J205" t="n">
        <v>9934.699000000001</v>
      </c>
      <c r="K205" t="n">
        <v>0.0059</v>
      </c>
      <c r="L205" s="6" t="inlineStr">
        <is>
          <t>Genus-level catch spans exactly the Table 6 groups containing its documented species. No habitat class overrides those placements.</t>
        </is>
      </c>
    </row>
    <row r="206">
      <c r="A206" t="inlineStr">
        <is>
          <t>Octopodidae</t>
        </is>
      </c>
      <c r="B206" t="inlineStr">
        <is>
          <t>Octopuses</t>
        </is>
      </c>
      <c r="C206" t="inlineStr">
        <is>
          <t>Cephalopods</t>
        </is>
      </c>
      <c r="D206" t="inlineStr">
        <is>
          <t>Other fishes &amp; inverts</t>
        </is>
      </c>
      <c r="E206" s="7" t="inlineStr">
        <is>
          <t>Céphalopodes</t>
        </is>
      </c>
      <c r="F206" t="inlineStr"/>
      <c r="G206" t="inlineStr"/>
      <c r="H206" t="inlineStr">
        <is>
          <t>high</t>
        </is>
      </c>
      <c r="I206" t="inlineStr">
        <is>
          <t>taxonomic_containment</t>
        </is>
      </c>
      <c r="J206" t="n">
        <v>9248.424000000001</v>
      </c>
      <c r="K206" t="n">
        <v>0.0055</v>
      </c>
      <c r="L206" s="6" t="inlineStr">
        <is>
          <t>Source p.125 explicitly includes all cephalopods, including octopus, cuttlefish and squid.</t>
        </is>
      </c>
    </row>
    <row r="207">
      <c r="A207" t="inlineStr">
        <is>
          <t>Boops boops</t>
        </is>
      </c>
      <c r="B207" t="inlineStr">
        <is>
          <t>Bogue</t>
        </is>
      </c>
      <c r="C207" t="inlineStr">
        <is>
          <t>Medium demersals (30 - 89 cm)</t>
        </is>
      </c>
      <c r="D207" t="inlineStr">
        <is>
          <t>Perch-likes</t>
        </is>
      </c>
      <c r="E207" s="7" t="inlineStr">
        <is>
          <t>Dem M inv</t>
        </is>
      </c>
      <c r="F207" t="inlineStr"/>
      <c r="G207" t="inlineStr"/>
      <c r="H207" t="inlineStr">
        <is>
          <t>high</t>
        </is>
      </c>
      <c r="I207" t="inlineStr">
        <is>
          <t>explicit_member</t>
        </is>
      </c>
      <c r="J207" t="n">
        <v>9138.450000000001</v>
      </c>
      <c r="K207" t="n">
        <v>0.0055</v>
      </c>
      <c r="L207" s="6" t="inlineStr">
        <is>
          <t>Guénette &amp; Diallo 2004 Table 6 p.131 explicitly lists this taxon in the named group(s); printed and accepted names checked against WoRMS.</t>
        </is>
      </c>
    </row>
    <row r="208">
      <c r="A208" t="inlineStr">
        <is>
          <t>Ginglymostoma cirratum</t>
        </is>
      </c>
      <c r="B208" t="inlineStr">
        <is>
          <t>Nurse shark</t>
        </is>
      </c>
      <c r="C208" t="inlineStr">
        <is>
          <t>Large sharks (&gt;=90 cm)</t>
        </is>
      </c>
      <c r="D208" t="inlineStr">
        <is>
          <t>Sharks &amp; rays</t>
        </is>
      </c>
      <c r="E208" s="9" t="inlineStr">
        <is>
          <t>Unresolved</t>
        </is>
      </c>
      <c r="F208" t="inlineStr"/>
      <c r="G208" t="inlineStr"/>
      <c r="H208" t="inlineStr">
        <is>
          <t>unresolved</t>
        </is>
      </c>
      <c r="I208" t="inlineStr">
        <is>
          <t>none</t>
        </is>
      </c>
      <c r="J208" t="n">
        <v>8784.412</v>
      </c>
      <c r="K208" t="n">
        <v>0.0052</v>
      </c>
      <c r="L20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09">
      <c r="A209" t="inlineStr">
        <is>
          <t>Galeocerdo cuvier</t>
        </is>
      </c>
      <c r="B209" t="inlineStr">
        <is>
          <t>Tiger shark</t>
        </is>
      </c>
      <c r="C209" t="inlineStr">
        <is>
          <t>Large sharks (&gt;=90 cm)</t>
        </is>
      </c>
      <c r="D209" t="inlineStr">
        <is>
          <t>Sharks &amp; rays</t>
        </is>
      </c>
      <c r="E209" s="7" t="inlineStr">
        <is>
          <t>Sélaciens L côtiers</t>
        </is>
      </c>
      <c r="F209" t="inlineStr"/>
      <c r="G209" t="inlineStr"/>
      <c r="H209" t="inlineStr">
        <is>
          <t>high</t>
        </is>
      </c>
      <c r="I209" t="inlineStr">
        <is>
          <t>explicit_member</t>
        </is>
      </c>
      <c r="J209" t="n">
        <v>8733.236000000001</v>
      </c>
      <c r="K209" t="n">
        <v>0.0052</v>
      </c>
      <c r="L209" s="6" t="inlineStr">
        <is>
          <t>Guénette &amp; Diallo 2004 Table 6 p.131 explicitly lists this taxon in the named group(s); printed and accepted names checked against WoRMS.</t>
        </is>
      </c>
    </row>
    <row r="210">
      <c r="A210" t="inlineStr">
        <is>
          <t>Gempylidae</t>
        </is>
      </c>
      <c r="B210" t="inlineStr">
        <is>
          <t>Snake mackerels</t>
        </is>
      </c>
      <c r="C210" t="inlineStr">
        <is>
          <t>Large benthopelagics (&gt;=90 cm)</t>
        </is>
      </c>
      <c r="D210" t="inlineStr">
        <is>
          <t>Perch-likes</t>
        </is>
      </c>
      <c r="E210" s="8" t="inlineStr">
        <is>
          <t>Bathy L pred</t>
        </is>
      </c>
      <c r="F210" t="inlineStr"/>
      <c r="G210" t="inlineStr"/>
      <c r="H210" t="inlineStr">
        <is>
          <t>medium</t>
        </is>
      </c>
      <c r="I210" t="inlineStr">
        <is>
          <t>taxonomic_containment</t>
        </is>
      </c>
      <c r="J210" t="n">
        <v>8329.102999999999</v>
      </c>
      <c r="K210" t="n">
        <v>0.005</v>
      </c>
      <c r="L210" s="6" t="inlineStr">
        <is>
          <t>Family catch spans the union of all Table 6 member groups belonging to Gempylidae under WoRMS. Every candidate is supported by a source member; source placement outranks SAU habitat class.</t>
        </is>
      </c>
    </row>
    <row r="211">
      <c r="A211" t="inlineStr">
        <is>
          <t>Xiphiidae</t>
        </is>
      </c>
      <c r="B211" t="inlineStr">
        <is>
          <t>Swordfishes</t>
        </is>
      </c>
      <c r="C211" t="inlineStr">
        <is>
          <t>Large pelagics (&gt;=90 cm)</t>
        </is>
      </c>
      <c r="D211" t="inlineStr">
        <is>
          <t>Tuna &amp; billfishes</t>
        </is>
      </c>
      <c r="E211" s="8" t="inlineStr">
        <is>
          <t>Thons majeurs</t>
        </is>
      </c>
      <c r="F211" t="inlineStr"/>
      <c r="G211" t="inlineStr"/>
      <c r="H211" t="inlineStr">
        <is>
          <t>medium</t>
        </is>
      </c>
      <c r="I211" t="inlineStr">
        <is>
          <t>taxonomic_containment</t>
        </is>
      </c>
      <c r="J211" t="n">
        <v>8182.409</v>
      </c>
      <c r="K211" t="n">
        <v>0.0049</v>
      </c>
      <c r="L211" s="6" t="inlineStr">
        <is>
          <t>Family catch spans the union of all Table 6 member groups belonging to Xiphiidae under WoRMS. Every candidate is supported by a source member; source placement outranks SAU habitat class.</t>
        </is>
      </c>
    </row>
    <row r="212">
      <c r="A212" t="inlineStr">
        <is>
          <t>Spondyliosoma cantharus</t>
        </is>
      </c>
      <c r="B212" t="inlineStr">
        <is>
          <t>Black seabream</t>
        </is>
      </c>
      <c r="C212" t="inlineStr">
        <is>
          <t>Medium benthopelagics (30 - 89 cm)</t>
        </is>
      </c>
      <c r="D212" t="inlineStr">
        <is>
          <t>Perch-likes</t>
        </is>
      </c>
      <c r="E212" s="9" t="inlineStr">
        <is>
          <t>Unresolved</t>
        </is>
      </c>
      <c r="F212" t="inlineStr"/>
      <c r="G212" t="inlineStr"/>
      <c r="H212" t="inlineStr">
        <is>
          <t>unresolved</t>
        </is>
      </c>
      <c r="I212" t="inlineStr">
        <is>
          <t>none</t>
        </is>
      </c>
      <c r="J212" t="n">
        <v>8158.495</v>
      </c>
      <c r="K212" t="n">
        <v>0.0049</v>
      </c>
      <c r="L21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13">
      <c r="A213" t="inlineStr">
        <is>
          <t>Batoidea</t>
        </is>
      </c>
      <c r="B213" t="inlineStr">
        <is>
          <t>Batoids, skates, rays, sawfishes</t>
        </is>
      </c>
      <c r="C213" t="inlineStr">
        <is>
          <t>Large rays (&gt;=90 cm)</t>
        </is>
      </c>
      <c r="D213" t="inlineStr">
        <is>
          <t>Sharks &amp; rays</t>
        </is>
      </c>
      <c r="E213" s="8" t="inlineStr">
        <is>
          <t>Sélaciens L prof | Sélaciens L côtiers | Sélaciens M prof | Sélaciens M côtiers</t>
        </is>
      </c>
      <c r="F213" t="inlineStr">
        <is>
          <t>0.731 | 0.091 | 0.172 | 0.006</t>
        </is>
      </c>
      <c r="G213" t="inlineStr">
        <is>
          <t>catch_composition</t>
        </is>
      </c>
      <c r="H213" t="inlineStr">
        <is>
          <t>medium</t>
        </is>
      </c>
      <c r="I213" t="inlineStr">
        <is>
          <t>composite_split</t>
        </is>
      </c>
      <c r="J213" t="n">
        <v>7964.928</v>
      </c>
      <c r="K213" t="n">
        <v>0.0048</v>
      </c>
      <c r="L213" s="6" t="inlineStr">
        <is>
          <t>Ray members occur in all four selacian groups in Table 6; coastal and depth size classes all have explicit ray representatives.</t>
        </is>
      </c>
    </row>
    <row r="214">
      <c r="A214" t="inlineStr">
        <is>
          <t>Caranx senegallus</t>
        </is>
      </c>
      <c r="B214" t="inlineStr">
        <is>
          <t>Senegal jack</t>
        </is>
      </c>
      <c r="C214" t="inlineStr">
        <is>
          <t>Medium benthopelagics (30 - 89 cm)</t>
        </is>
      </c>
      <c r="D214" t="inlineStr">
        <is>
          <t>Perch-likes</t>
        </is>
      </c>
      <c r="E214" s="7" t="inlineStr">
        <is>
          <t>Côtier pel L pred</t>
        </is>
      </c>
      <c r="F214" t="inlineStr"/>
      <c r="G214" t="inlineStr"/>
      <c r="H214" t="inlineStr">
        <is>
          <t>high</t>
        </is>
      </c>
      <c r="I214" t="inlineStr">
        <is>
          <t>explicit_member</t>
        </is>
      </c>
      <c r="J214" t="n">
        <v>7900.316</v>
      </c>
      <c r="K214" t="n">
        <v>0.0047</v>
      </c>
      <c r="L214" s="6" t="inlineStr">
        <is>
          <t>Guénette &amp; Diallo 2004 Table 6 p.131 explicitly lists this taxon in the named group(s); printed and accepted names checked against WoRMS.</t>
        </is>
      </c>
    </row>
    <row r="215">
      <c r="A215" t="inlineStr">
        <is>
          <t>Rhinobatidae</t>
        </is>
      </c>
      <c r="B215" t="inlineStr">
        <is>
          <t>Guitarfishes, fanrays</t>
        </is>
      </c>
      <c r="C215" t="inlineStr">
        <is>
          <t>Large rays (&gt;=90 cm)</t>
        </is>
      </c>
      <c r="D215" t="inlineStr">
        <is>
          <t>Sharks &amp; rays</t>
        </is>
      </c>
      <c r="E215" s="8" t="inlineStr">
        <is>
          <t>Sélaciens L côtiers | Sélaciens M côtiers</t>
        </is>
      </c>
      <c r="F215" t="inlineStr">
        <is>
          <t>0.934 | 0.066</t>
        </is>
      </c>
      <c r="G215" t="inlineStr">
        <is>
          <t>catch_composition</t>
        </is>
      </c>
      <c r="H215" t="inlineStr">
        <is>
          <t>medium</t>
        </is>
      </c>
      <c r="I215" t="inlineStr">
        <is>
          <t>composite_split</t>
        </is>
      </c>
      <c r="J215" t="n">
        <v>7868.545</v>
      </c>
      <c r="K215" t="n">
        <v>0.0047</v>
      </c>
      <c r="L215" s="6" t="inlineStr">
        <is>
          <t>Family catch spans the union of all Table 6 member groups belonging to Rhinobatidae under WoRMS. Every candidate is supported by a source member; source placement outranks SAU habitat class.</t>
        </is>
      </c>
    </row>
    <row r="216">
      <c r="A216" t="inlineStr">
        <is>
          <t>Lophiidae</t>
        </is>
      </c>
      <c r="B216" t="inlineStr">
        <is>
          <t>Goosefishes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s="8" t="inlineStr">
        <is>
          <t>Bathy L pred | Dem M pred</t>
        </is>
      </c>
      <c r="F216" t="inlineStr">
        <is>
          <t>0.083 | 0.917</t>
        </is>
      </c>
      <c r="G216" t="inlineStr">
        <is>
          <t>catch_composition</t>
        </is>
      </c>
      <c r="H216" t="inlineStr">
        <is>
          <t>medium</t>
        </is>
      </c>
      <c r="I216" t="inlineStr">
        <is>
          <t>composite_split</t>
        </is>
      </c>
      <c r="J216" t="n">
        <v>7439.708</v>
      </c>
      <c r="K216" t="n">
        <v>0.0044</v>
      </c>
      <c r="L216" s="6" t="inlineStr">
        <is>
          <t>Family catch spans the union of all Table 6 member groups belonging to Lophiidae under WoRMS. Every candidate is supported by a source member; source placement outranks SAU habitat class.</t>
        </is>
      </c>
    </row>
    <row r="217">
      <c r="A217" t="inlineStr">
        <is>
          <t>Tetrapturus pfluegeri</t>
        </is>
      </c>
      <c r="B217" t="inlineStr">
        <is>
          <t>Longbill spearfish</t>
        </is>
      </c>
      <c r="C217" t="inlineStr">
        <is>
          <t>Large pelagics (&gt;=90 cm)</t>
        </is>
      </c>
      <c r="D217" t="inlineStr">
        <is>
          <t>Tuna &amp; billfishes</t>
        </is>
      </c>
      <c r="E217" s="8" t="inlineStr">
        <is>
          <t>Thons majeurs</t>
        </is>
      </c>
      <c r="F217" t="inlineStr"/>
      <c r="G217" t="inlineStr"/>
      <c r="H217" t="inlineStr">
        <is>
          <t>medium</t>
        </is>
      </c>
      <c r="I217" t="inlineStr">
        <is>
          <t>analogue</t>
        </is>
      </c>
      <c r="J217" t="n">
        <v>7357.842</v>
      </c>
      <c r="K217" t="n">
        <v>0.0044</v>
      </c>
      <c r="L217" s="6" t="inlineStr">
        <is>
          <t>Species not individually listed: its genus has one documented Table 6 group, supported by the catch's Large pelagics (&gt;=90 cm) class. Congeneric extension is inference.</t>
        </is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s="9" t="inlineStr">
        <is>
          <t>Unresolved</t>
        </is>
      </c>
      <c r="F218" t="inlineStr"/>
      <c r="G218" t="inlineStr"/>
      <c r="H218" t="inlineStr">
        <is>
          <t>unresolved</t>
        </is>
      </c>
      <c r="I218" t="inlineStr">
        <is>
          <t>none</t>
        </is>
      </c>
      <c r="J218" t="n">
        <v>7288.103</v>
      </c>
      <c r="K218" t="n">
        <v>0.0043</v>
      </c>
      <c r="L21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19">
      <c r="A219" t="inlineStr">
        <is>
          <t>Pagrus africanus</t>
        </is>
      </c>
      <c r="B219" t="inlineStr">
        <is>
          <t>Southern common seabream</t>
        </is>
      </c>
      <c r="C219" t="inlineStr">
        <is>
          <t>Medium benthopelagics (30 - 89 cm)</t>
        </is>
      </c>
      <c r="D219" t="inlineStr">
        <is>
          <t>Perch-likes</t>
        </is>
      </c>
      <c r="E219" s="8" t="inlineStr">
        <is>
          <t>Dem L pred</t>
        </is>
      </c>
      <c r="F219" t="inlineStr"/>
      <c r="G219" t="inlineStr"/>
      <c r="H219" t="inlineStr">
        <is>
          <t>medium</t>
        </is>
      </c>
      <c r="I219" t="inlineStr">
        <is>
          <t>analogue</t>
        </is>
      </c>
      <c r="J219" t="n">
        <v>6905.167</v>
      </c>
      <c r="K219" t="n">
        <v>0.0041</v>
      </c>
      <c r="L219" s="6" t="inlineStr">
        <is>
          <t>Species not individually listed: its genus has one documented Table 6 group, supported by the catch's Medium benthopelagics (30 - 89 cm) class. Congeneric extension is inference.</t>
        </is>
      </c>
    </row>
    <row r="220">
      <c r="A220" t="inlineStr">
        <is>
          <t>Loliginidae</t>
        </is>
      </c>
      <c r="B220" t="inlineStr">
        <is>
          <t>Common pencil squids</t>
        </is>
      </c>
      <c r="C220" t="inlineStr">
        <is>
          <t>Cephalopods</t>
        </is>
      </c>
      <c r="D220" t="inlineStr">
        <is>
          <t>Other fishes &amp; inverts</t>
        </is>
      </c>
      <c r="E220" s="7" t="inlineStr">
        <is>
          <t>Céphalopodes</t>
        </is>
      </c>
      <c r="F220" t="inlineStr"/>
      <c r="G220" t="inlineStr"/>
      <c r="H220" t="inlineStr">
        <is>
          <t>high</t>
        </is>
      </c>
      <c r="I220" t="inlineStr">
        <is>
          <t>taxonomic_containment</t>
        </is>
      </c>
      <c r="J220" t="n">
        <v>6640.276</v>
      </c>
      <c r="K220" t="n">
        <v>0.004</v>
      </c>
      <c r="L220" s="6" t="inlineStr">
        <is>
          <t>Source p.125 explicitly includes all cephalopods, including octopus, cuttlefish and squid.</t>
        </is>
      </c>
    </row>
    <row r="221">
      <c r="A221" t="inlineStr">
        <is>
          <t>Actinopterygii</t>
        </is>
      </c>
      <c r="B221" t="inlineStr">
        <is>
          <t>Ray-finned 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s="5" t="inlineStr">
        <is>
          <t>Côtier L pred | Côtier M pred | Côtier M inv | Côtier S pred | Côtier S inv | Dem L pred | Dem L inv | Dem M pred | Dem M inv | Dem S pred | Dem S inv</t>
        </is>
      </c>
      <c r="F221" t="inlineStr">
        <is>
          <t>0.239 | 0.000 | 0.231 | 0.051 | 0.264 | 0.047 | 0.006 | 0.012 | 0.149 | 0.000 | 0.001</t>
        </is>
      </c>
      <c r="G221" t="inlineStr">
        <is>
          <t>catch_composition</t>
        </is>
      </c>
      <c r="H221" t="inlineStr">
        <is>
          <t>low</t>
        </is>
      </c>
      <c r="I221" t="inlineStr">
        <is>
          <t>composite_split</t>
        </is>
      </c>
      <c r="J221" t="n">
        <v>6564.842</v>
      </c>
      <c r="K221" t="n">
        <v>0.0039</v>
      </c>
      <c r="L221" s="6" t="inlineStr">
        <is>
          <t>Broad ray-finned fish centred on the SAU medium-demersal class; restrict to broad coastal and shelf guilds with adjacent sizes, excluding named single stocks and offshore/bathyal pools.</t>
        </is>
      </c>
    </row>
    <row r="222">
      <c r="A222" t="inlineStr">
        <is>
          <t>Trachurus capensis</t>
        </is>
      </c>
      <c r="B222" t="inlineStr">
        <is>
          <t>Cape horse mackerel</t>
        </is>
      </c>
      <c r="C222" t="inlineStr">
        <is>
          <t>Medium pelagics (30 - 89 cm)</t>
        </is>
      </c>
      <c r="D222" t="inlineStr">
        <is>
          <t>Perch-likes</t>
        </is>
      </c>
      <c r="E222" s="7" t="inlineStr">
        <is>
          <t>Pel S inv</t>
        </is>
      </c>
      <c r="F222" t="inlineStr"/>
      <c r="G222" t="inlineStr"/>
      <c r="H222" t="inlineStr">
        <is>
          <t>high</t>
        </is>
      </c>
      <c r="I222" t="inlineStr">
        <is>
          <t>explicit_member</t>
        </is>
      </c>
      <c r="J222" t="n">
        <v>6045.723</v>
      </c>
      <c r="K222" t="n">
        <v>0.0036</v>
      </c>
      <c r="L222" s="6" t="inlineStr">
        <is>
          <t>Guénette &amp; Diallo 2004 Table 6 p.131 explicitly lists this taxon in the named group(s); printed and accepted names checked against WoRMS.</t>
        </is>
      </c>
    </row>
    <row r="223">
      <c r="A223" t="inlineStr">
        <is>
          <t>Gerreidae</t>
        </is>
      </c>
      <c r="B223" t="inlineStr">
        <is>
          <t>Mojarras, silverbellies</t>
        </is>
      </c>
      <c r="C223" t="inlineStr">
        <is>
          <t>Small benthopelagics (&lt;30 cm)</t>
        </is>
      </c>
      <c r="D223" t="inlineStr">
        <is>
          <t>Perch-likes</t>
        </is>
      </c>
      <c r="E223" s="8" t="inlineStr">
        <is>
          <t>Côtier S inv | Côtier S pred</t>
        </is>
      </c>
      <c r="F223" t="inlineStr">
        <is>
          <t>0.839 | 0.161</t>
        </is>
      </c>
      <c r="G223" t="inlineStr">
        <is>
          <t>catch_composition</t>
        </is>
      </c>
      <c r="H223" t="inlineStr">
        <is>
          <t>medium</t>
        </is>
      </c>
      <c r="I223" t="inlineStr">
        <is>
          <t>composite_split</t>
        </is>
      </c>
      <c r="J223" t="n">
        <v>6037.437</v>
      </c>
      <c r="K223" t="n">
        <v>0.0036</v>
      </c>
      <c r="L223" s="6" t="inlineStr">
        <is>
          <t>Family catch spans the union of all Table 6 member groups belonging to Gerreidae under WoRMS. Every candidate is supported by a source member; source placement outranks SAU habitat class.</t>
        </is>
      </c>
    </row>
    <row r="224">
      <c r="A224" t="inlineStr">
        <is>
          <t>Sphyraena guachancho</t>
        </is>
      </c>
      <c r="B224" t="inlineStr">
        <is>
          <t>Guachanche barracuda</t>
        </is>
      </c>
      <c r="C224" t="inlineStr">
        <is>
          <t>Large pelagics (&gt;=90 cm)</t>
        </is>
      </c>
      <c r="D224" t="inlineStr">
        <is>
          <t>Perch-likes</t>
        </is>
      </c>
      <c r="E224" s="7" t="inlineStr">
        <is>
          <t>Côtier pel L pred</t>
        </is>
      </c>
      <c r="F224" t="inlineStr"/>
      <c r="G224" t="inlineStr"/>
      <c r="H224" t="inlineStr">
        <is>
          <t>high</t>
        </is>
      </c>
      <c r="I224" t="inlineStr">
        <is>
          <t>explicit_member</t>
        </is>
      </c>
      <c r="J224" t="n">
        <v>6016.86</v>
      </c>
      <c r="K224" t="n">
        <v>0.0036</v>
      </c>
      <c r="L224" s="6" t="inlineStr">
        <is>
          <t>Guénette &amp; Diallo 2004 Table 6 p.131 explicitly lists this taxon in the named group(s); printed and accepted names checked against WoRMS.</t>
        </is>
      </c>
    </row>
    <row r="225">
      <c r="A225" t="inlineStr">
        <is>
          <t>Calappa rubroguttata</t>
        </is>
      </c>
      <c r="B225" t="inlineStr">
        <is>
          <t>Spotted box crab</t>
        </is>
      </c>
      <c r="C225" t="inlineStr">
        <is>
          <t>Lobsters, crabs</t>
        </is>
      </c>
      <c r="D225" t="inlineStr">
        <is>
          <t>Crustaceans</t>
        </is>
      </c>
      <c r="E225" s="7" t="inlineStr">
        <is>
          <t>Crustacés</t>
        </is>
      </c>
      <c r="F225" t="inlineStr"/>
      <c r="G225" t="inlineStr"/>
      <c r="H225" t="inlineStr">
        <is>
          <t>high</t>
        </is>
      </c>
      <c r="I225" t="inlineStr">
        <is>
          <t>taxonomic_containment</t>
        </is>
      </c>
      <c r="J225" t="n">
        <v>5711.212</v>
      </c>
      <c r="K225" t="n">
        <v>0.0034</v>
      </c>
      <c r="L225" s="6" t="inlineStr">
        <is>
          <t>WoRMS crustacean taxonomy and SAU shrimp/crab/lobster class agree with the source Crustacés definition on p.125.</t>
        </is>
      </c>
    </row>
    <row r="226">
      <c r="A226" t="inlineStr">
        <is>
          <t>Abudefduf saxatilis</t>
        </is>
      </c>
      <c r="B226" t="inlineStr">
        <is>
          <t>Sergeant-major</t>
        </is>
      </c>
      <c r="C226" t="inlineStr">
        <is>
          <t>Small reef assoc. fish (&lt;30 cm)</t>
        </is>
      </c>
      <c r="D226" t="inlineStr">
        <is>
          <t>Perch-likes</t>
        </is>
      </c>
      <c r="E226" s="7" t="inlineStr">
        <is>
          <t>Côtier S inv</t>
        </is>
      </c>
      <c r="F226" t="inlineStr"/>
      <c r="G226" t="inlineStr"/>
      <c r="H226" t="inlineStr">
        <is>
          <t>high</t>
        </is>
      </c>
      <c r="I226" t="inlineStr">
        <is>
          <t>explicit_member</t>
        </is>
      </c>
      <c r="J226" t="n">
        <v>5677.769</v>
      </c>
      <c r="K226" t="n">
        <v>0.0034</v>
      </c>
      <c r="L226" s="6" t="inlineStr">
        <is>
          <t>Guénette &amp; Diallo 2004 Table 6 p.131 explicitly lists this taxon in the named group(s); printed and accepted names checked against WoRMS.</t>
        </is>
      </c>
    </row>
    <row r="227">
      <c r="A227" t="inlineStr">
        <is>
          <t>Callinectes pallidus</t>
        </is>
      </c>
      <c r="B227" t="inlineStr">
        <is>
          <t>Gladiator swimcrab</t>
        </is>
      </c>
      <c r="C227" t="inlineStr">
        <is>
          <t>Lobsters, crabs</t>
        </is>
      </c>
      <c r="D227" t="inlineStr">
        <is>
          <t>Crustaceans</t>
        </is>
      </c>
      <c r="E227" s="7" t="inlineStr">
        <is>
          <t>Crustacés</t>
        </is>
      </c>
      <c r="F227" t="inlineStr"/>
      <c r="G227" t="inlineStr"/>
      <c r="H227" t="inlineStr">
        <is>
          <t>high</t>
        </is>
      </c>
      <c r="I227" t="inlineStr">
        <is>
          <t>taxonomic_containment</t>
        </is>
      </c>
      <c r="J227" t="n">
        <v>5509.457</v>
      </c>
      <c r="K227" t="n">
        <v>0.0033</v>
      </c>
      <c r="L227" s="6" t="inlineStr">
        <is>
          <t>WoRMS crustacean taxonomy and SAU shrimp/crab/lobster class agree with the source Crustacés definition on p.125.</t>
        </is>
      </c>
    </row>
    <row r="228">
      <c r="A228" t="inlineStr">
        <is>
          <t>Stromateidae</t>
        </is>
      </c>
      <c r="B228" t="inlineStr">
        <is>
          <t>Butterfishes</t>
        </is>
      </c>
      <c r="C228" t="inlineStr">
        <is>
          <t>Small benthopelagics (&lt;30 cm)</t>
        </is>
      </c>
      <c r="D228" t="inlineStr">
        <is>
          <t>Perch-likes</t>
        </is>
      </c>
      <c r="E228" s="8" t="inlineStr">
        <is>
          <t>Côtier S pred</t>
        </is>
      </c>
      <c r="F228" t="inlineStr"/>
      <c r="G228" t="inlineStr"/>
      <c r="H228" t="inlineStr">
        <is>
          <t>medium</t>
        </is>
      </c>
      <c r="I228" t="inlineStr">
        <is>
          <t>taxonomic_containment</t>
        </is>
      </c>
      <c r="J228" t="n">
        <v>5344.279</v>
      </c>
      <c r="K228" t="n">
        <v>0.0032</v>
      </c>
      <c r="L228" s="6" t="inlineStr">
        <is>
          <t>Family catch spans the union of all Table 6 member groups belonging to Stromateidae under WoRMS. Every candidate is supported by a source member; source placement outranks SAU habitat class.</t>
        </is>
      </c>
    </row>
    <row r="229">
      <c r="A229" t="inlineStr">
        <is>
          <t>Myliobatidae</t>
        </is>
      </c>
      <c r="B229" t="inlineStr">
        <is>
          <t>Eagle/manta rays</t>
        </is>
      </c>
      <c r="C229" t="inlineStr">
        <is>
          <t>Large rays (&gt;=90 cm)</t>
        </is>
      </c>
      <c r="D229" t="inlineStr">
        <is>
          <t>Sharks &amp; rays</t>
        </is>
      </c>
      <c r="E229" s="8" t="inlineStr">
        <is>
          <t>Sélaciens L côtiers</t>
        </is>
      </c>
      <c r="F229" t="inlineStr"/>
      <c r="G229" t="inlineStr"/>
      <c r="H229" t="inlineStr">
        <is>
          <t>medium</t>
        </is>
      </c>
      <c r="I229" t="inlineStr">
        <is>
          <t>taxonomic_containment</t>
        </is>
      </c>
      <c r="J229" t="n">
        <v>4801.056</v>
      </c>
      <c r="K229" t="n">
        <v>0.0029</v>
      </c>
      <c r="L229" s="6" t="inlineStr">
        <is>
          <t>Family catch spans the union of all Table 6 member groups belonging to Myliobatidae under WoRMS. Every candidate is supported by a source member; source placement outranks SAU habitat class.</t>
        </is>
      </c>
    </row>
    <row r="230">
      <c r="A230" t="inlineStr">
        <is>
          <t>Lagocephalus laevigatus</t>
        </is>
      </c>
      <c r="B230" t="inlineStr">
        <is>
          <t>Smooth puffer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s="9" t="inlineStr">
        <is>
          <t>Unresolved</t>
        </is>
      </c>
      <c r="F230" t="inlineStr"/>
      <c r="G230" t="inlineStr"/>
      <c r="H230" t="inlineStr">
        <is>
          <t>unresolved</t>
        </is>
      </c>
      <c r="I230" t="inlineStr">
        <is>
          <t>none</t>
        </is>
      </c>
      <c r="J230" t="n">
        <v>4539.023</v>
      </c>
      <c r="K230" t="n">
        <v>0.0027</v>
      </c>
      <c r="L23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31">
      <c r="A231" t="inlineStr">
        <is>
          <t>Bathygobius soporator</t>
        </is>
      </c>
      <c r="B231" t="inlineStr">
        <is>
          <t>Frillfin goby</t>
        </is>
      </c>
      <c r="C231" t="inlineStr">
        <is>
          <t>Large reef assoc. fish (&gt;=90 cm)</t>
        </is>
      </c>
      <c r="D231" t="inlineStr">
        <is>
          <t>Perch-likes</t>
        </is>
      </c>
      <c r="E231" s="9" t="inlineStr">
        <is>
          <t>Unresolved</t>
        </is>
      </c>
      <c r="F231" t="inlineStr"/>
      <c r="G231" t="inlineStr"/>
      <c r="H231" t="inlineStr">
        <is>
          <t>unresolved</t>
        </is>
      </c>
      <c r="I231" t="inlineStr">
        <is>
          <t>none</t>
        </is>
      </c>
      <c r="J231" t="n">
        <v>4415.61</v>
      </c>
      <c r="K231" t="n">
        <v>0.0026</v>
      </c>
      <c r="L23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32">
      <c r="A232" t="inlineStr">
        <is>
          <t>Dicologlossa cuneata</t>
        </is>
      </c>
      <c r="B232" t="inlineStr">
        <is>
          <t>Wedge sole</t>
        </is>
      </c>
      <c r="C232" t="inlineStr">
        <is>
          <t>Small to medium flatfishes (&lt;90 cm)</t>
        </is>
      </c>
      <c r="D232" t="inlineStr">
        <is>
          <t>Flatfishes</t>
        </is>
      </c>
      <c r="E232" s="7" t="inlineStr">
        <is>
          <t>Côtier S inv</t>
        </is>
      </c>
      <c r="F232" t="inlineStr"/>
      <c r="G232" t="inlineStr"/>
      <c r="H232" t="inlineStr">
        <is>
          <t>high</t>
        </is>
      </c>
      <c r="I232" t="inlineStr">
        <is>
          <t>explicit_member</t>
        </is>
      </c>
      <c r="J232" t="n">
        <v>4126.444</v>
      </c>
      <c r="K232" t="n">
        <v>0.0025</v>
      </c>
      <c r="L232" s="6" t="inlineStr">
        <is>
          <t>Guénette &amp; Diallo 2004 Table 6 p.131 explicitly lists this taxon in the named group(s); printed and accepted names checked against WoRMS.</t>
        </is>
      </c>
    </row>
    <row r="233">
      <c r="A233" t="inlineStr">
        <is>
          <t>Lutjanus agennes</t>
        </is>
      </c>
      <c r="B233" t="inlineStr">
        <is>
          <t>African red snapper</t>
        </is>
      </c>
      <c r="C233" t="inlineStr">
        <is>
          <t>Large reef assoc. fish (&gt;=90 cm)</t>
        </is>
      </c>
      <c r="D233" t="inlineStr">
        <is>
          <t>Perch-likes</t>
        </is>
      </c>
      <c r="E233" s="7" t="inlineStr">
        <is>
          <t>Côtier L pred</t>
        </is>
      </c>
      <c r="F233" t="inlineStr"/>
      <c r="G233" t="inlineStr"/>
      <c r="H233" t="inlineStr">
        <is>
          <t>high</t>
        </is>
      </c>
      <c r="I233" t="inlineStr">
        <is>
          <t>explicit_member</t>
        </is>
      </c>
      <c r="J233" t="n">
        <v>4123.826</v>
      </c>
      <c r="K233" t="n">
        <v>0.0025</v>
      </c>
      <c r="L233" s="6" t="inlineStr">
        <is>
          <t>Guénette &amp; Diallo 2004 Table 6 p.131 explicitly lists this taxon in the named group(s); printed and accepted names checked against WoRMS.</t>
        </is>
      </c>
    </row>
    <row r="234">
      <c r="A234" t="inlineStr">
        <is>
          <t>Loligo</t>
        </is>
      </c>
      <c r="B234" t="inlineStr">
        <is>
          <t>Common squids</t>
        </is>
      </c>
      <c r="C234" t="inlineStr">
        <is>
          <t>Cephalopods</t>
        </is>
      </c>
      <c r="D234" t="inlineStr">
        <is>
          <t>Other fishes &amp; inverts</t>
        </is>
      </c>
      <c r="E234" s="7" t="inlineStr">
        <is>
          <t>Céphalopodes</t>
        </is>
      </c>
      <c r="F234" t="inlineStr"/>
      <c r="G234" t="inlineStr"/>
      <c r="H234" t="inlineStr">
        <is>
          <t>high</t>
        </is>
      </c>
      <c r="I234" t="inlineStr">
        <is>
          <t>taxonomic_containment</t>
        </is>
      </c>
      <c r="J234" t="n">
        <v>3838.002</v>
      </c>
      <c r="K234" t="n">
        <v>0.0023</v>
      </c>
      <c r="L234" s="6" t="inlineStr">
        <is>
          <t>Source p.125 explicitly includes all cephalopods, including octopus, cuttlefish and squid.</t>
        </is>
      </c>
    </row>
    <row r="235">
      <c r="A235" t="inlineStr">
        <is>
          <t>Istiophorus</t>
        </is>
      </c>
      <c r="B235" t="inlineStr">
        <is>
          <t>Sailfishes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s="8" t="inlineStr">
        <is>
          <t>Thons majeurs</t>
        </is>
      </c>
      <c r="F235" t="inlineStr"/>
      <c r="G235" t="inlineStr"/>
      <c r="H235" t="inlineStr">
        <is>
          <t>medium</t>
        </is>
      </c>
      <c r="I235" t="inlineStr">
        <is>
          <t>taxonomic_containment</t>
        </is>
      </c>
      <c r="J235" t="n">
        <v>3681.983</v>
      </c>
      <c r="K235" t="n">
        <v>0.0022</v>
      </c>
      <c r="L235" s="6" t="inlineStr">
        <is>
          <t>Genus-level catch spans exactly the Table 6 groups containing its documented species. No habitat class overrides those placements.</t>
        </is>
      </c>
    </row>
    <row r="236">
      <c r="A236" t="inlineStr">
        <is>
          <t>Carcharhinus brevipinna</t>
        </is>
      </c>
      <c r="B236" t="inlineStr">
        <is>
          <t>Spinner shark</t>
        </is>
      </c>
      <c r="C236" t="inlineStr">
        <is>
          <t>Large sharks (&gt;=90 cm)</t>
        </is>
      </c>
      <c r="D236" t="inlineStr">
        <is>
          <t>Sharks &amp; rays</t>
        </is>
      </c>
      <c r="E236" s="9" t="inlineStr">
        <is>
          <t>Unresolved</t>
        </is>
      </c>
      <c r="F236" t="inlineStr"/>
      <c r="G236" t="inlineStr"/>
      <c r="H236" t="inlineStr">
        <is>
          <t>unresolved</t>
        </is>
      </c>
      <c r="I236" t="inlineStr">
        <is>
          <t>none</t>
        </is>
      </c>
      <c r="J236" t="n">
        <v>3178.433</v>
      </c>
      <c r="K236" t="n">
        <v>0.0019</v>
      </c>
      <c r="L23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37">
      <c r="A237" t="inlineStr">
        <is>
          <t>Congridae</t>
        </is>
      </c>
      <c r="B237" t="inlineStr">
        <is>
          <t>Conger, garden eels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s="7" t="inlineStr">
        <is>
          <t>Dem L pred</t>
        </is>
      </c>
      <c r="F237" t="inlineStr"/>
      <c r="G237" t="inlineStr"/>
      <c r="H237" t="inlineStr">
        <is>
          <t>high</t>
        </is>
      </c>
      <c r="I237" t="inlineStr">
        <is>
          <t>explicit_member</t>
        </is>
      </c>
      <c r="J237" t="n">
        <v>3078.289</v>
      </c>
      <c r="K237" t="n">
        <v>0.0018</v>
      </c>
      <c r="L237" s="6" t="inlineStr">
        <is>
          <t>Guénette &amp; Diallo 2004 Table 6 p.131 explicitly lists this taxon in the named group(s); printed and accepted names checked against WoRMS.</t>
        </is>
      </c>
    </row>
    <row r="238">
      <c r="A238" t="inlineStr">
        <is>
          <t>Scorpaena</t>
        </is>
      </c>
      <c r="B238" t="inlineStr">
        <is>
          <t>Scorpionfishes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s="8" t="inlineStr">
        <is>
          <t>Dem M pred</t>
        </is>
      </c>
      <c r="F238" t="inlineStr"/>
      <c r="G238" t="inlineStr"/>
      <c r="H238" t="inlineStr">
        <is>
          <t>medium</t>
        </is>
      </c>
      <c r="I238" t="inlineStr">
        <is>
          <t>taxonomic_containment</t>
        </is>
      </c>
      <c r="J238" t="n">
        <v>3037.942</v>
      </c>
      <c r="K238" t="n">
        <v>0.0018</v>
      </c>
      <c r="L238" s="6" t="inlineStr">
        <is>
          <t>Genus-level catch spans exactly the Table 6 groups containing its documented species. No habitat class overrides those placements.</t>
        </is>
      </c>
    </row>
    <row r="239">
      <c r="A239" t="inlineStr">
        <is>
          <t>Dasyatis pastinaca</t>
        </is>
      </c>
      <c r="B239" t="inlineStr">
        <is>
          <t>Common stingray</t>
        </is>
      </c>
      <c r="C239" t="inlineStr">
        <is>
          <t>Large rays (&gt;=90 cm)</t>
        </is>
      </c>
      <c r="D239" t="inlineStr">
        <is>
          <t>Sharks &amp; rays</t>
        </is>
      </c>
      <c r="E239" s="7" t="inlineStr">
        <is>
          <t>Sélaciens M côtiers</t>
        </is>
      </c>
      <c r="F239" t="inlineStr"/>
      <c r="G239" t="inlineStr"/>
      <c r="H239" t="inlineStr">
        <is>
          <t>high</t>
        </is>
      </c>
      <c r="I239" t="inlineStr">
        <is>
          <t>explicit_member</t>
        </is>
      </c>
      <c r="J239" t="n">
        <v>2987.573</v>
      </c>
      <c r="K239" t="n">
        <v>0.0018</v>
      </c>
      <c r="L239" s="6" t="inlineStr">
        <is>
          <t>Guénette &amp; Diallo 2004 Table 6 p.131 explicitly lists this taxon in the named group(s); printed and accepted names checked against WoRMS.</t>
        </is>
      </c>
    </row>
    <row r="240">
      <c r="A240" t="inlineStr">
        <is>
          <t>Berycidae</t>
        </is>
      </c>
      <c r="B240" t="inlineStr">
        <is>
          <t>Alfonsinos, redfishes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s="9" t="inlineStr">
        <is>
          <t>Unresolved</t>
        </is>
      </c>
      <c r="F240" t="inlineStr"/>
      <c r="G240" t="inlineStr"/>
      <c r="H240" t="inlineStr">
        <is>
          <t>unresolved</t>
        </is>
      </c>
      <c r="I240" t="inlineStr">
        <is>
          <t>none</t>
        </is>
      </c>
      <c r="J240" t="n">
        <v>2932.604</v>
      </c>
      <c r="K240" t="n">
        <v>0.0017</v>
      </c>
      <c r="L24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41">
      <c r="A241" t="inlineStr">
        <is>
          <t>Elagatis bipinnulata</t>
        </is>
      </c>
      <c r="B241" t="inlineStr">
        <is>
          <t>Rainbow runner</t>
        </is>
      </c>
      <c r="C241" t="inlineStr">
        <is>
          <t>Large pelagics (&gt;=90 cm)</t>
        </is>
      </c>
      <c r="D241" t="inlineStr">
        <is>
          <t>Perch-likes</t>
        </is>
      </c>
      <c r="E241" s="9" t="inlineStr">
        <is>
          <t>Unresolved</t>
        </is>
      </c>
      <c r="F241" t="inlineStr"/>
      <c r="G241" t="inlineStr"/>
      <c r="H241" t="inlineStr">
        <is>
          <t>unresolved</t>
        </is>
      </c>
      <c r="I241" t="inlineStr">
        <is>
          <t>none</t>
        </is>
      </c>
      <c r="J241" t="n">
        <v>2920.22</v>
      </c>
      <c r="K241" t="n">
        <v>0.0017</v>
      </c>
      <c r="L24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42">
      <c r="A242" t="inlineStr">
        <is>
          <t>Gerres nigri</t>
        </is>
      </c>
      <c r="B242" t="inlineStr">
        <is>
          <t>Guinean striped mojarra</t>
        </is>
      </c>
      <c r="C242" t="inlineStr">
        <is>
          <t>Small benthopelagics (&lt;30 cm)</t>
        </is>
      </c>
      <c r="D242" t="inlineStr">
        <is>
          <t>Perch-likes</t>
        </is>
      </c>
      <c r="E242" s="7" t="inlineStr">
        <is>
          <t>Côtier S inv</t>
        </is>
      </c>
      <c r="F242" t="inlineStr"/>
      <c r="G242" t="inlineStr"/>
      <c r="H242" t="inlineStr">
        <is>
          <t>high</t>
        </is>
      </c>
      <c r="I242" t="inlineStr">
        <is>
          <t>explicit_member</t>
        </is>
      </c>
      <c r="J242" t="n">
        <v>2840.96</v>
      </c>
      <c r="K242" t="n">
        <v>0.0017</v>
      </c>
      <c r="L242" s="6" t="inlineStr">
        <is>
          <t>Guénette &amp; Diallo 2004 Table 6 p.131 explicitly lists this taxon in the named group(s); printed and accepted names checked against WoRMS.</t>
        </is>
      </c>
    </row>
    <row r="243">
      <c r="A243" t="inlineStr">
        <is>
          <t>Rhinobatos rhinobatos</t>
        </is>
      </c>
      <c r="B243" t="inlineStr">
        <is>
          <t>Common guitarfish</t>
        </is>
      </c>
      <c r="C243" t="inlineStr">
        <is>
          <t>Large rays (&gt;=90 cm)</t>
        </is>
      </c>
      <c r="D243" t="inlineStr">
        <is>
          <t>Sharks &amp; rays</t>
        </is>
      </c>
      <c r="E243" s="7" t="inlineStr">
        <is>
          <t>Sélaciens L côtiers</t>
        </is>
      </c>
      <c r="F243" t="inlineStr"/>
      <c r="G243" t="inlineStr"/>
      <c r="H243" t="inlineStr">
        <is>
          <t>high</t>
        </is>
      </c>
      <c r="I243" t="inlineStr">
        <is>
          <t>explicit_member</t>
        </is>
      </c>
      <c r="J243" t="n">
        <v>2531.523</v>
      </c>
      <c r="K243" t="n">
        <v>0.0015</v>
      </c>
      <c r="L243" s="6" t="inlineStr">
        <is>
          <t>Guénette &amp; Diallo 2004 Table 6 p.131 explicitly lists this taxon in the named group(s); printed and accepted names checked against WoRMS.</t>
        </is>
      </c>
    </row>
    <row r="244">
      <c r="A244" t="inlineStr">
        <is>
          <t>Carcharhinus signatus</t>
        </is>
      </c>
      <c r="B244" t="inlineStr">
        <is>
          <t>Night shark</t>
        </is>
      </c>
      <c r="C244" t="inlineStr">
        <is>
          <t>Large sharks (&gt;=90 cm)</t>
        </is>
      </c>
      <c r="D244" t="inlineStr">
        <is>
          <t>Sharks &amp; rays</t>
        </is>
      </c>
      <c r="E244" s="9" t="inlineStr">
        <is>
          <t>Unresolved</t>
        </is>
      </c>
      <c r="F244" t="inlineStr"/>
      <c r="G244" t="inlineStr"/>
      <c r="H244" t="inlineStr">
        <is>
          <t>unresolved</t>
        </is>
      </c>
      <c r="I244" t="inlineStr">
        <is>
          <t>none</t>
        </is>
      </c>
      <c r="J244" t="n">
        <v>2510.4</v>
      </c>
      <c r="K244" t="n">
        <v>0.0015</v>
      </c>
      <c r="L24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45">
      <c r="A245" t="inlineStr">
        <is>
          <t>Alectis ciliaris</t>
        </is>
      </c>
      <c r="B245" t="inlineStr">
        <is>
          <t>African pompano</t>
        </is>
      </c>
      <c r="C245" t="inlineStr">
        <is>
          <t>Large pelagics (&gt;=90 cm)</t>
        </is>
      </c>
      <c r="D245" t="inlineStr">
        <is>
          <t>Perch-likes</t>
        </is>
      </c>
      <c r="E245" s="7" t="inlineStr">
        <is>
          <t>Pel L pred</t>
        </is>
      </c>
      <c r="F245" t="inlineStr"/>
      <c r="G245" t="inlineStr"/>
      <c r="H245" t="inlineStr">
        <is>
          <t>high</t>
        </is>
      </c>
      <c r="I245" t="inlineStr">
        <is>
          <t>explicit_member</t>
        </is>
      </c>
      <c r="J245" t="n">
        <v>2454.235</v>
      </c>
      <c r="K245" t="n">
        <v>0.0015</v>
      </c>
      <c r="L245" s="6" t="inlineStr">
        <is>
          <t>Guénette &amp; Diallo 2004 Table 6 p.131 explicitly lists this taxon in the named group(s); printed and accepted names checked against WoRMS.</t>
        </is>
      </c>
    </row>
    <row r="246">
      <c r="A246" t="inlineStr">
        <is>
          <t>Glaucostegus cemiculus</t>
        </is>
      </c>
      <c r="B246" t="inlineStr">
        <is>
          <t>Blackchin guitarfish</t>
        </is>
      </c>
      <c r="C246" t="inlineStr">
        <is>
          <t>Large rays (&gt;=90 cm)</t>
        </is>
      </c>
      <c r="D246" t="inlineStr">
        <is>
          <t>Sharks &amp; rays</t>
        </is>
      </c>
      <c r="E246" s="9" t="inlineStr">
        <is>
          <t>Unresolved</t>
        </is>
      </c>
      <c r="F246" t="inlineStr"/>
      <c r="G246" t="inlineStr"/>
      <c r="H246" t="inlineStr">
        <is>
          <t>unresolved</t>
        </is>
      </c>
      <c r="I246" t="inlineStr">
        <is>
          <t>none</t>
        </is>
      </c>
      <c r="J246" t="n">
        <v>2416.955</v>
      </c>
      <c r="K246" t="n">
        <v>0.0014</v>
      </c>
      <c r="L24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47">
      <c r="A247" t="inlineStr">
        <is>
          <t>Bothidae</t>
        </is>
      </c>
      <c r="B247" t="inlineStr">
        <is>
          <t>Lefteye flounders</t>
        </is>
      </c>
      <c r="C247" t="inlineStr">
        <is>
          <t>Small to medium flatfishes (&lt;90 cm)</t>
        </is>
      </c>
      <c r="D247" t="inlineStr">
        <is>
          <t>Flatfishes</t>
        </is>
      </c>
      <c r="E247" s="8" t="inlineStr">
        <is>
          <t>Côtier M inv | Dem S pred</t>
        </is>
      </c>
      <c r="F247" t="inlineStr">
        <is>
          <t>1.000 | 0.000</t>
        </is>
      </c>
      <c r="G247" t="inlineStr">
        <is>
          <t>catch_composition</t>
        </is>
      </c>
      <c r="H247" t="inlineStr">
        <is>
          <t>medium</t>
        </is>
      </c>
      <c r="I247" t="inlineStr">
        <is>
          <t>composite_split</t>
        </is>
      </c>
      <c r="J247" t="n">
        <v>2108.759</v>
      </c>
      <c r="K247" t="n">
        <v>0.0013</v>
      </c>
      <c r="L247" s="6" t="inlineStr">
        <is>
          <t>Family catch spans the union of all Table 6 member groups belonging to Bothidae under WoRMS. Every candidate is supported by a source member; source placement outranks SAU habitat class.</t>
        </is>
      </c>
    </row>
    <row r="248">
      <c r="A248" t="inlineStr">
        <is>
          <t>Triakidae</t>
        </is>
      </c>
      <c r="B248" t="inlineStr">
        <is>
          <t>Houndsharks</t>
        </is>
      </c>
      <c r="C248" t="inlineStr">
        <is>
          <t>Large sharks (&gt;=90 cm)</t>
        </is>
      </c>
      <c r="D248" t="inlineStr">
        <is>
          <t>Sharks &amp; rays</t>
        </is>
      </c>
      <c r="E248" s="8" t="inlineStr">
        <is>
          <t>Sélaciens L côtiers</t>
        </is>
      </c>
      <c r="F248" t="inlineStr"/>
      <c r="G248" t="inlineStr"/>
      <c r="H248" t="inlineStr">
        <is>
          <t>medium</t>
        </is>
      </c>
      <c r="I248" t="inlineStr">
        <is>
          <t>taxonomic_containment</t>
        </is>
      </c>
      <c r="J248" t="n">
        <v>2022.063</v>
      </c>
      <c r="K248" t="n">
        <v>0.0012</v>
      </c>
      <c r="L248" s="6" t="inlineStr">
        <is>
          <t>Family catch spans the union of all Table 6 member groups belonging to Triakidae under WoRMS. Every candidate is supported by a source member; source placement outranks SAU habitat class.</t>
        </is>
      </c>
    </row>
    <row r="249">
      <c r="A249" t="inlineStr">
        <is>
          <t>Rostroraja alba</t>
        </is>
      </c>
      <c r="B249" t="inlineStr">
        <is>
          <t>White skate</t>
        </is>
      </c>
      <c r="C249" t="inlineStr">
        <is>
          <t>Large rays (&gt;=90 cm)</t>
        </is>
      </c>
      <c r="D249" t="inlineStr">
        <is>
          <t>Sharks &amp; rays</t>
        </is>
      </c>
      <c r="E249" s="9" t="inlineStr">
        <is>
          <t>Unresolved</t>
        </is>
      </c>
      <c r="F249" t="inlineStr"/>
      <c r="G249" t="inlineStr"/>
      <c r="H249" t="inlineStr">
        <is>
          <t>unresolved</t>
        </is>
      </c>
      <c r="I249" t="inlineStr">
        <is>
          <t>none</t>
        </is>
      </c>
      <c r="J249" t="n">
        <v>1998.069</v>
      </c>
      <c r="K249" t="n">
        <v>0.0012</v>
      </c>
      <c r="L24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50">
      <c r="A250" t="inlineStr">
        <is>
          <t>Tylosurus crocodilus</t>
        </is>
      </c>
      <c r="B250" t="inlineStr">
        <is>
          <t>Hound needlefish</t>
        </is>
      </c>
      <c r="C250" t="inlineStr">
        <is>
          <t>Large pelagics (&gt;=90 cm)</t>
        </is>
      </c>
      <c r="D250" t="inlineStr">
        <is>
          <t>Other fishes &amp; inverts</t>
        </is>
      </c>
      <c r="E250" s="9" t="inlineStr">
        <is>
          <t>Unresolved</t>
        </is>
      </c>
      <c r="F250" t="inlineStr"/>
      <c r="G250" t="inlineStr"/>
      <c r="H250" t="inlineStr">
        <is>
          <t>unresolved</t>
        </is>
      </c>
      <c r="I250" t="inlineStr">
        <is>
          <t>none</t>
        </is>
      </c>
      <c r="J250" t="n">
        <v>1633.281</v>
      </c>
      <c r="K250" t="n">
        <v>0.001</v>
      </c>
      <c r="L25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1">
      <c r="A251" t="inlineStr">
        <is>
          <t>Uraspis secunda</t>
        </is>
      </c>
      <c r="B251" t="inlineStr">
        <is>
          <t>Cottonmouth jack</t>
        </is>
      </c>
      <c r="C251" t="inlineStr">
        <is>
          <t>Medium pelagics (30 - 89 cm)</t>
        </is>
      </c>
      <c r="D251" t="inlineStr">
        <is>
          <t>Perch-likes</t>
        </is>
      </c>
      <c r="E251" s="9" t="inlineStr">
        <is>
          <t>Unresolved</t>
        </is>
      </c>
      <c r="F251" t="inlineStr"/>
      <c r="G251" t="inlineStr"/>
      <c r="H251" t="inlineStr">
        <is>
          <t>unresolved</t>
        </is>
      </c>
      <c r="I251" t="inlineStr">
        <is>
          <t>none</t>
        </is>
      </c>
      <c r="J251" t="n">
        <v>1614.67</v>
      </c>
      <c r="K251" t="n">
        <v>0.001</v>
      </c>
      <c r="L25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2">
      <c r="A252" t="inlineStr">
        <is>
          <t>Polyprion americanus</t>
        </is>
      </c>
      <c r="B252" t="inlineStr">
        <is>
          <t>Wreckfish</t>
        </is>
      </c>
      <c r="C252" t="inlineStr">
        <is>
          <t>Large bathydemersals (&gt;=90 cm)</t>
        </is>
      </c>
      <c r="D252" t="inlineStr">
        <is>
          <t>Perch-likes</t>
        </is>
      </c>
      <c r="E252" s="7" t="inlineStr">
        <is>
          <t>Bathy L pred</t>
        </is>
      </c>
      <c r="F252" t="inlineStr"/>
      <c r="G252" t="inlineStr"/>
      <c r="H252" t="inlineStr">
        <is>
          <t>high</t>
        </is>
      </c>
      <c r="I252" t="inlineStr">
        <is>
          <t>explicit_member</t>
        </is>
      </c>
      <c r="J252" t="n">
        <v>1530.274</v>
      </c>
      <c r="K252" t="n">
        <v>0.0009</v>
      </c>
      <c r="L252" s="6" t="inlineStr">
        <is>
          <t>Guénette &amp; Diallo 2004 Table 6 p.131 explicitly lists this taxon in the named group(s); printed and accepted names checked against WoRMS.</t>
        </is>
      </c>
    </row>
    <row r="253">
      <c r="A253" t="inlineStr">
        <is>
          <t>Bathysaurus ferox</t>
        </is>
      </c>
      <c r="B253" t="inlineStr">
        <is>
          <t>Deep-sea lizardfish</t>
        </is>
      </c>
      <c r="C253" t="inlineStr">
        <is>
          <t>Medium bathydemersals (30 - 89 cm)</t>
        </is>
      </c>
      <c r="D253" t="inlineStr">
        <is>
          <t>Other fishes &amp; inverts</t>
        </is>
      </c>
      <c r="E253" s="7" t="inlineStr">
        <is>
          <t>Bathy L pred</t>
        </is>
      </c>
      <c r="F253" t="inlineStr"/>
      <c r="G253" t="inlineStr"/>
      <c r="H253" t="inlineStr">
        <is>
          <t>high</t>
        </is>
      </c>
      <c r="I253" t="inlineStr">
        <is>
          <t>explicit_member</t>
        </is>
      </c>
      <c r="J253" t="n">
        <v>1523.205</v>
      </c>
      <c r="K253" t="n">
        <v>0.0009</v>
      </c>
      <c r="L253" s="6" t="inlineStr">
        <is>
          <t>Guénette &amp; Diallo 2004 Table 6 p.131 explicitly lists this taxon in the named group(s); printed and accepted names checked against WoRMS.</t>
        </is>
      </c>
    </row>
    <row r="254">
      <c r="A254" t="inlineStr">
        <is>
          <t>Coryphaena</t>
        </is>
      </c>
      <c r="B254" t="inlineStr">
        <is>
          <t>Dolphinfishes</t>
        </is>
      </c>
      <c r="C254" t="inlineStr">
        <is>
          <t>Large pelagics (&gt;=90 cm)</t>
        </is>
      </c>
      <c r="D254" t="inlineStr">
        <is>
          <t>Perch-likes</t>
        </is>
      </c>
      <c r="E254" s="8" t="inlineStr">
        <is>
          <t>Pel L pred</t>
        </is>
      </c>
      <c r="F254" t="inlineStr"/>
      <c r="G254" t="inlineStr"/>
      <c r="H254" t="inlineStr">
        <is>
          <t>medium</t>
        </is>
      </c>
      <c r="I254" t="inlineStr">
        <is>
          <t>taxonomic_containment</t>
        </is>
      </c>
      <c r="J254" t="n">
        <v>1481.011</v>
      </c>
      <c r="K254" t="n">
        <v>0.0009</v>
      </c>
      <c r="L254" s="6" t="inlineStr">
        <is>
          <t>Genus-level catch spans exactly the Table 6 groups containing its documented species. No habitat class overrides those placements.</t>
        </is>
      </c>
    </row>
    <row r="255">
      <c r="A255" t="inlineStr">
        <is>
          <t>Myctophidae</t>
        </is>
      </c>
      <c r="B255" t="inlineStr">
        <is>
          <t>Lanternfishes</t>
        </is>
      </c>
      <c r="C255" t="inlineStr">
        <is>
          <t>Small pelagics (&lt;30 cm)</t>
        </is>
      </c>
      <c r="D255" t="inlineStr">
        <is>
          <t>Other fishes &amp; inverts</t>
        </is>
      </c>
      <c r="E255" s="7" t="inlineStr">
        <is>
          <t>Mésopélagiques</t>
        </is>
      </c>
      <c r="F255" t="inlineStr"/>
      <c r="G255" t="inlineStr"/>
      <c r="H255" t="inlineStr">
        <is>
          <t>high</t>
        </is>
      </c>
      <c r="I255" t="inlineStr">
        <is>
          <t>explicit_member</t>
        </is>
      </c>
      <c r="J255" t="n">
        <v>1443.208</v>
      </c>
      <c r="K255" t="n">
        <v>0.0009</v>
      </c>
      <c r="L255" s="6" t="inlineStr">
        <is>
          <t>Guénette &amp; Diallo 2004 Table 6 p.131 explicitly lists this taxon in the named group(s); printed and accepted names checked against WoRMS.</t>
        </is>
      </c>
    </row>
    <row r="256">
      <c r="A256" t="inlineStr">
        <is>
          <t>Acanthurus monroviae</t>
        </is>
      </c>
      <c r="B256" t="inlineStr">
        <is>
          <t>Monrovia doctorfish</t>
        </is>
      </c>
      <c r="C256" t="inlineStr">
        <is>
          <t>Medium demersals (30 - 89 cm)</t>
        </is>
      </c>
      <c r="D256" t="inlineStr">
        <is>
          <t>Perch-likes</t>
        </is>
      </c>
      <c r="E256" s="7" t="inlineStr">
        <is>
          <t>Mulets</t>
        </is>
      </c>
      <c r="F256" t="inlineStr"/>
      <c r="G256" t="inlineStr"/>
      <c r="H256" t="inlineStr">
        <is>
          <t>high</t>
        </is>
      </c>
      <c r="I256" t="inlineStr">
        <is>
          <t>explicit_member</t>
        </is>
      </c>
      <c r="J256" t="n">
        <v>1401.667</v>
      </c>
      <c r="K256" t="n">
        <v>0.0008</v>
      </c>
      <c r="L256" s="6" t="inlineStr">
        <is>
          <t>Guénette &amp; Diallo 2004 Table 6 p.131 explicitly lists this taxon in the named group(s); printed and accepted names checked against WoRMS.</t>
        </is>
      </c>
    </row>
    <row r="257">
      <c r="A257" t="inlineStr">
        <is>
          <t>Scaridae</t>
        </is>
      </c>
      <c r="B257" t="inlineStr">
        <is>
          <t>Parrotfishes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s="9" t="inlineStr">
        <is>
          <t>Unresolved</t>
        </is>
      </c>
      <c r="F257" t="inlineStr"/>
      <c r="G257" t="inlineStr"/>
      <c r="H257" t="inlineStr">
        <is>
          <t>unresolved</t>
        </is>
      </c>
      <c r="I257" t="inlineStr">
        <is>
          <t>none</t>
        </is>
      </c>
      <c r="J257" t="n">
        <v>1304.318</v>
      </c>
      <c r="K257" t="n">
        <v>0.0008</v>
      </c>
      <c r="L25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8">
      <c r="A258" t="inlineStr">
        <is>
          <t>Pontinus kuhlii</t>
        </is>
      </c>
      <c r="B258" t="inlineStr">
        <is>
          <t>Offshore rockfish</t>
        </is>
      </c>
      <c r="C258" t="inlineStr">
        <is>
          <t>Medium bathydemersals (30 - 89 cm)</t>
        </is>
      </c>
      <c r="D258" t="inlineStr">
        <is>
          <t>Scorpionfishes</t>
        </is>
      </c>
      <c r="E258" s="7" t="inlineStr">
        <is>
          <t>Bathy L pred</t>
        </is>
      </c>
      <c r="F258" t="inlineStr"/>
      <c r="G258" t="inlineStr"/>
      <c r="H258" t="inlineStr">
        <is>
          <t>high</t>
        </is>
      </c>
      <c r="I258" t="inlineStr">
        <is>
          <t>explicit_member</t>
        </is>
      </c>
      <c r="J258" t="n">
        <v>1273.606</v>
      </c>
      <c r="K258" t="n">
        <v>0.0008</v>
      </c>
      <c r="L258" s="6" t="inlineStr">
        <is>
          <t>Guénette &amp; Diallo 2004 Table 6 p.131 explicitly lists this taxon in the named group(s); printed and accepted names checked against WoRMS.</t>
        </is>
      </c>
    </row>
    <row r="259">
      <c r="A259" t="inlineStr">
        <is>
          <t>Solenocera africana</t>
        </is>
      </c>
      <c r="B259" t="inlineStr">
        <is>
          <t>African mud shrimp</t>
        </is>
      </c>
      <c r="C259" t="inlineStr">
        <is>
          <t>Shrimps</t>
        </is>
      </c>
      <c r="D259" t="inlineStr">
        <is>
          <t>Crustaceans</t>
        </is>
      </c>
      <c r="E259" s="7" t="inlineStr">
        <is>
          <t>Crustacés</t>
        </is>
      </c>
      <c r="F259" t="inlineStr"/>
      <c r="G259" t="inlineStr"/>
      <c r="H259" t="inlineStr">
        <is>
          <t>high</t>
        </is>
      </c>
      <c r="I259" t="inlineStr">
        <is>
          <t>taxonomic_containment</t>
        </is>
      </c>
      <c r="J259" t="n">
        <v>1234.062</v>
      </c>
      <c r="K259" t="n">
        <v>0.0007</v>
      </c>
      <c r="L259" s="6" t="inlineStr">
        <is>
          <t>WoRMS crustacean taxonomy and SAU shrimp/crab/lobster class agree with the source Crustacés definition on p.125.</t>
        </is>
      </c>
    </row>
    <row r="260">
      <c r="A260" t="inlineStr">
        <is>
          <t>Squaliformes</t>
        </is>
      </c>
      <c r="B260" t="inlineStr">
        <is>
          <t>Bramble, sleeper, dogfish sharks</t>
        </is>
      </c>
      <c r="C260" t="inlineStr">
        <is>
          <t>Large sharks (&gt;=90 cm)</t>
        </is>
      </c>
      <c r="D260" t="inlineStr">
        <is>
          <t>Sharks &amp; rays</t>
        </is>
      </c>
      <c r="E260" s="9" t="inlineStr">
        <is>
          <t>Unresolved</t>
        </is>
      </c>
      <c r="F260" t="inlineStr"/>
      <c r="G260" t="inlineStr"/>
      <c r="H260" t="inlineStr">
        <is>
          <t>unresolved</t>
        </is>
      </c>
      <c r="I260" t="inlineStr">
        <is>
          <t>none</t>
        </is>
      </c>
      <c r="J260" t="n">
        <v>1232.563</v>
      </c>
      <c r="K260" t="n">
        <v>0.0007</v>
      </c>
      <c r="L26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1">
      <c r="A261" t="inlineStr">
        <is>
          <t>Psettodes belcheri</t>
        </is>
      </c>
      <c r="B261" t="inlineStr">
        <is>
          <t>Spottail spiny turbot</t>
        </is>
      </c>
      <c r="C261" t="inlineStr">
        <is>
          <t>Small to medium flatfishes (&lt;90 cm)</t>
        </is>
      </c>
      <c r="D261" t="inlineStr">
        <is>
          <t>Flatfishes</t>
        </is>
      </c>
      <c r="E261" s="7" t="inlineStr">
        <is>
          <t>Côtier L pred</t>
        </is>
      </c>
      <c r="F261" t="inlineStr"/>
      <c r="G261" t="inlineStr"/>
      <c r="H261" t="inlineStr">
        <is>
          <t>high</t>
        </is>
      </c>
      <c r="I261" t="inlineStr">
        <is>
          <t>explicit_member</t>
        </is>
      </c>
      <c r="J261" t="n">
        <v>1104.206</v>
      </c>
      <c r="K261" t="n">
        <v>0.0007</v>
      </c>
      <c r="L261" s="6" t="inlineStr">
        <is>
          <t>Guénette &amp; Diallo 2004 Table 6 p.131 explicitly lists this taxon in the named group(s); printed and accepted names checked against WoRMS.</t>
        </is>
      </c>
    </row>
    <row r="262">
      <c r="A262" t="inlineStr">
        <is>
          <t>Carcharhinus leucas</t>
        </is>
      </c>
      <c r="B262" t="inlineStr">
        <is>
          <t>Bull shark</t>
        </is>
      </c>
      <c r="C262" t="inlineStr">
        <is>
          <t>Large sharks (&gt;=90 cm)</t>
        </is>
      </c>
      <c r="D262" t="inlineStr">
        <is>
          <t>Sharks &amp; rays</t>
        </is>
      </c>
      <c r="E262" s="9" t="inlineStr">
        <is>
          <t>Unresolved</t>
        </is>
      </c>
      <c r="F262" t="inlineStr"/>
      <c r="G262" t="inlineStr"/>
      <c r="H262" t="inlineStr">
        <is>
          <t>unresolved</t>
        </is>
      </c>
      <c r="I262" t="inlineStr">
        <is>
          <t>none</t>
        </is>
      </c>
      <c r="J262" t="n">
        <v>1101.745</v>
      </c>
      <c r="K262" t="n">
        <v>0.0007</v>
      </c>
      <c r="L26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3">
      <c r="A263" t="inlineStr">
        <is>
          <t>Apsilus fuscus</t>
        </is>
      </c>
      <c r="B263" t="inlineStr">
        <is>
          <t>African forktail snapper</t>
        </is>
      </c>
      <c r="C263" t="inlineStr">
        <is>
          <t>Medium demersals (30 - 89 cm)</t>
        </is>
      </c>
      <c r="D263" t="inlineStr">
        <is>
          <t>Perch-likes</t>
        </is>
      </c>
      <c r="E263" s="9" t="inlineStr">
        <is>
          <t>Unresolved</t>
        </is>
      </c>
      <c r="F263" t="inlineStr"/>
      <c r="G263" t="inlineStr"/>
      <c r="H263" t="inlineStr">
        <is>
          <t>unresolved</t>
        </is>
      </c>
      <c r="I263" t="inlineStr">
        <is>
          <t>none</t>
        </is>
      </c>
      <c r="J263" t="n">
        <v>1079.881</v>
      </c>
      <c r="K263" t="n">
        <v>0.0005999999999999999</v>
      </c>
      <c r="L26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64">
      <c r="A264" t="inlineStr">
        <is>
          <t>Carcharhinus falciformis</t>
        </is>
      </c>
      <c r="B264" t="inlineStr">
        <is>
          <t>Silky shark</t>
        </is>
      </c>
      <c r="C264" t="inlineStr">
        <is>
          <t>Large sharks (&gt;=90 cm)</t>
        </is>
      </c>
      <c r="D264" t="inlineStr">
        <is>
          <t>Sharks &amp; rays</t>
        </is>
      </c>
      <c r="E264" s="9" t="inlineStr">
        <is>
          <t>Unresolved</t>
        </is>
      </c>
      <c r="F264" t="inlineStr"/>
      <c r="G264" t="inlineStr"/>
      <c r="H264" t="inlineStr">
        <is>
          <t>unresolved</t>
        </is>
      </c>
      <c r="I264" t="inlineStr">
        <is>
          <t>none</t>
        </is>
      </c>
      <c r="J264" t="n">
        <v>1019.413</v>
      </c>
      <c r="K264" t="n">
        <v>0.0005999999999999999</v>
      </c>
      <c r="L26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5">
      <c r="A265" t="inlineStr">
        <is>
          <t>Alopias</t>
        </is>
      </c>
      <c r="B265" t="inlineStr">
        <is>
          <t>Thresher sharks</t>
        </is>
      </c>
      <c r="C265" t="inlineStr">
        <is>
          <t>Large sharks (&gt;=90 cm)</t>
        </is>
      </c>
      <c r="D265" t="inlineStr">
        <is>
          <t>Sharks &amp; rays</t>
        </is>
      </c>
      <c r="E265" s="8" t="inlineStr">
        <is>
          <t>Sélaciens L côtiers</t>
        </is>
      </c>
      <c r="F265" t="inlineStr"/>
      <c r="G265" t="inlineStr"/>
      <c r="H265" t="inlineStr">
        <is>
          <t>medium</t>
        </is>
      </c>
      <c r="I265" t="inlineStr">
        <is>
          <t>taxonomic_containment</t>
        </is>
      </c>
      <c r="J265" t="n">
        <v>984.3200000000001</v>
      </c>
      <c r="K265" t="n">
        <v>0.0005999999999999999</v>
      </c>
      <c r="L265" s="6" t="inlineStr">
        <is>
          <t>Genus-level catch spans exactly the Table 6 groups containing its documented species. No habitat class overrides those placements.</t>
        </is>
      </c>
    </row>
    <row r="266">
      <c r="A266" t="inlineStr">
        <is>
          <t>Stomias affinis</t>
        </is>
      </c>
      <c r="B266" t="inlineStr">
        <is>
          <t>Gunther's boafish</t>
        </is>
      </c>
      <c r="C266" t="inlineStr">
        <is>
          <t>Small bathypelagics (&lt;30 cm)</t>
        </is>
      </c>
      <c r="D266" t="inlineStr">
        <is>
          <t>Other fishes &amp; inverts</t>
        </is>
      </c>
      <c r="E266" s="7" t="inlineStr">
        <is>
          <t>Bathy S pred</t>
        </is>
      </c>
      <c r="F266" t="inlineStr"/>
      <c r="G266" t="inlineStr"/>
      <c r="H266" t="inlineStr">
        <is>
          <t>high</t>
        </is>
      </c>
      <c r="I266" t="inlineStr">
        <is>
          <t>explicit_member</t>
        </is>
      </c>
      <c r="J266" t="n">
        <v>887.537</v>
      </c>
      <c r="K266" t="n">
        <v>0.0005</v>
      </c>
      <c r="L266" s="6" t="inlineStr">
        <is>
          <t>Guénette &amp; Diallo 2004 Table 6 p.131 explicitly lists this taxon in the named group(s); printed and accepted names checked against WoRMS.</t>
        </is>
      </c>
    </row>
    <row r="267">
      <c r="A267" t="inlineStr">
        <is>
          <t>Fistularia tabacaria</t>
        </is>
      </c>
      <c r="B267" t="inlineStr">
        <is>
          <t>Cornetfish</t>
        </is>
      </c>
      <c r="C267" t="inlineStr">
        <is>
          <t>Large reef assoc. fish (&gt;=90 cm)</t>
        </is>
      </c>
      <c r="D267" t="inlineStr">
        <is>
          <t>Other fishes &amp; inverts</t>
        </is>
      </c>
      <c r="E267" s="7" t="inlineStr">
        <is>
          <t>Côtier L pred</t>
        </is>
      </c>
      <c r="F267" t="inlineStr"/>
      <c r="G267" t="inlineStr"/>
      <c r="H267" t="inlineStr">
        <is>
          <t>high</t>
        </is>
      </c>
      <c r="I267" t="inlineStr">
        <is>
          <t>explicit_member</t>
        </is>
      </c>
      <c r="J267" t="n">
        <v>857.146</v>
      </c>
      <c r="K267" t="n">
        <v>0.0005</v>
      </c>
      <c r="L267" s="6" t="inlineStr">
        <is>
          <t>Guénette &amp; Diallo 2004 Table 6 p.131 explicitly lists this taxon in the named group(s); printed and accepted names checked against WoRMS.</t>
        </is>
      </c>
    </row>
    <row r="268">
      <c r="A268" t="inlineStr">
        <is>
          <t>Sphyrna lewini</t>
        </is>
      </c>
      <c r="B268" t="inlineStr">
        <is>
          <t>Scalloped hammerhead</t>
        </is>
      </c>
      <c r="C268" t="inlineStr">
        <is>
          <t>Large sharks (&gt;=90 cm)</t>
        </is>
      </c>
      <c r="D268" t="inlineStr">
        <is>
          <t>Sharks &amp; rays</t>
        </is>
      </c>
      <c r="E268" s="8" t="inlineStr">
        <is>
          <t>Sélaciens L prof</t>
        </is>
      </c>
      <c r="F268" t="inlineStr"/>
      <c r="G268" t="inlineStr"/>
      <c r="H268" t="inlineStr">
        <is>
          <t>medium</t>
        </is>
      </c>
      <c r="I268" t="inlineStr">
        <is>
          <t>analogue</t>
        </is>
      </c>
      <c r="J268" t="n">
        <v>853.194</v>
      </c>
      <c r="K268" t="n">
        <v>0.0005</v>
      </c>
      <c r="L268" s="6" t="inlineStr">
        <is>
          <t>Species not individually listed: its genus has one documented Table 6 group, supported by the catch's Large sharks (&gt;=90 cm) class. Congeneric extension is inference.</t>
        </is>
      </c>
    </row>
    <row r="269">
      <c r="A269" t="inlineStr">
        <is>
          <t>Panulirus</t>
        </is>
      </c>
      <c r="B269" t="inlineStr">
        <is>
          <t>Spiny lobsters</t>
        </is>
      </c>
      <c r="C269" t="inlineStr">
        <is>
          <t>Lobsters, crabs</t>
        </is>
      </c>
      <c r="D269" t="inlineStr">
        <is>
          <t>Crustaceans</t>
        </is>
      </c>
      <c r="E269" s="7" t="inlineStr">
        <is>
          <t>Crustacés</t>
        </is>
      </c>
      <c r="F269" t="inlineStr"/>
      <c r="G269" t="inlineStr"/>
      <c r="H269" t="inlineStr">
        <is>
          <t>high</t>
        </is>
      </c>
      <c r="I269" t="inlineStr">
        <is>
          <t>taxonomic_containment</t>
        </is>
      </c>
      <c r="J269" t="n">
        <v>832.082</v>
      </c>
      <c r="K269" t="n">
        <v>0.0005</v>
      </c>
      <c r="L269" s="6" t="inlineStr">
        <is>
          <t>WoRMS crustacean taxonomy and SAU shrimp/crab/lobster class agree with the source Crustacés definition on p.125.</t>
        </is>
      </c>
    </row>
    <row r="270">
      <c r="A270" t="inlineStr">
        <is>
          <t>Alopias vulpinus</t>
        </is>
      </c>
      <c r="B270" t="inlineStr">
        <is>
          <t>Thresher</t>
        </is>
      </c>
      <c r="C270" t="inlineStr">
        <is>
          <t>Large sharks (&gt;=90 cm)</t>
        </is>
      </c>
      <c r="D270" t="inlineStr">
        <is>
          <t>Sharks &amp; rays</t>
        </is>
      </c>
      <c r="E270" s="7" t="inlineStr">
        <is>
          <t>Sélaciens L côtiers</t>
        </is>
      </c>
      <c r="F270" t="inlineStr"/>
      <c r="G270" t="inlineStr"/>
      <c r="H270" t="inlineStr">
        <is>
          <t>high</t>
        </is>
      </c>
      <c r="I270" t="inlineStr">
        <is>
          <t>explicit_member</t>
        </is>
      </c>
      <c r="J270" t="n">
        <v>722.502</v>
      </c>
      <c r="K270" t="n">
        <v>0.0004</v>
      </c>
      <c r="L270" s="6" t="inlineStr">
        <is>
          <t>Guénette &amp; Diallo 2004 Table 6 p.131 explicitly lists this taxon in the named group(s); printed and accepted names checked against WoRMS.</t>
        </is>
      </c>
    </row>
    <row r="271">
      <c r="A271" t="inlineStr">
        <is>
          <t>Helicolenus dactylopterus</t>
        </is>
      </c>
      <c r="B271" t="inlineStr">
        <is>
          <t>Blackbelly rosefish</t>
        </is>
      </c>
      <c r="C271" t="inlineStr">
        <is>
          <t>Medium bathydemersals (30 - 89 cm)</t>
        </is>
      </c>
      <c r="D271" t="inlineStr">
        <is>
          <t>Scorpionfishes</t>
        </is>
      </c>
      <c r="E271" s="7" t="inlineStr">
        <is>
          <t>Bathy L pred</t>
        </is>
      </c>
      <c r="F271" t="inlineStr"/>
      <c r="G271" t="inlineStr"/>
      <c r="H271" t="inlineStr">
        <is>
          <t>high</t>
        </is>
      </c>
      <c r="I271" t="inlineStr">
        <is>
          <t>explicit_member</t>
        </is>
      </c>
      <c r="J271" t="n">
        <v>682.806</v>
      </c>
      <c r="K271" t="n">
        <v>0.0004</v>
      </c>
      <c r="L271" s="6" t="inlineStr">
        <is>
          <t>Guénette &amp; Diallo 2004 Table 6 p.131 explicitly lists this taxon in the named group(s); printed and accepted names checked against WoRMS.</t>
        </is>
      </c>
    </row>
    <row r="272">
      <c r="A272" t="inlineStr">
        <is>
          <t>Marine finfishes not identified</t>
        </is>
      </c>
      <c r="B272" t="inlineStr">
        <is>
          <t>Finfishes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s="5" t="inlineStr">
        <is>
          <t>Côtier L pred | Côtier M pred | Côtier M inv | Côtier S pred | Côtier S inv | Dem L pred | Dem L inv | Dem M pred | Dem M inv | Dem S pred | Dem S inv</t>
        </is>
      </c>
      <c r="F272" t="inlineStr">
        <is>
          <t>0.239 | 0.000 | 0.231 | 0.051 | 0.264 | 0.047 | 0.006 | 0.012 | 0.149 | 0.000 | 0.001</t>
        </is>
      </c>
      <c r="G272" t="inlineStr">
        <is>
          <t>catch_composition</t>
        </is>
      </c>
      <c r="H272" t="inlineStr">
        <is>
          <t>low</t>
        </is>
      </c>
      <c r="I272" t="inlineStr">
        <is>
          <t>composite_split</t>
        </is>
      </c>
      <c r="J272" t="n">
        <v>672.39</v>
      </c>
      <c r="K272" t="n">
        <v>0.0004</v>
      </c>
      <c r="L272" s="6" t="inlineStr">
        <is>
          <t>Same medium-demersal catch class as Marine fishes not identified; broad coastal and shelf guilds, excluding named single stocks and offshore/bathyal pools.</t>
        </is>
      </c>
    </row>
    <row r="273">
      <c r="A273" t="inlineStr">
        <is>
          <t>Holocentrus adscensionis</t>
        </is>
      </c>
      <c r="B273" t="inlineStr">
        <is>
          <t>Squirrelfish</t>
        </is>
      </c>
      <c r="C273" t="inlineStr">
        <is>
          <t>Medium reef assoc. fish (30 - 89 cm)</t>
        </is>
      </c>
      <c r="D273" t="inlineStr">
        <is>
          <t>Other fishes &amp; inverts</t>
        </is>
      </c>
      <c r="E273" s="9" t="inlineStr">
        <is>
          <t>Unresolved</t>
        </is>
      </c>
      <c r="F273" t="inlineStr"/>
      <c r="G273" t="inlineStr"/>
      <c r="H273" t="inlineStr">
        <is>
          <t>unresolved</t>
        </is>
      </c>
      <c r="I273" t="inlineStr">
        <is>
          <t>none</t>
        </is>
      </c>
      <c r="J273" t="n">
        <v>671.748</v>
      </c>
      <c r="K273" t="n">
        <v>0.0004</v>
      </c>
      <c r="L27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74">
      <c r="A274" t="inlineStr">
        <is>
          <t>Centrophorus granulosus</t>
        </is>
      </c>
      <c r="B274" t="inlineStr">
        <is>
          <t>Gulper shark</t>
        </is>
      </c>
      <c r="C274" t="inlineStr">
        <is>
          <t>Large sharks (&gt;=90 cm)</t>
        </is>
      </c>
      <c r="D274" t="inlineStr">
        <is>
          <t>Sharks &amp; rays</t>
        </is>
      </c>
      <c r="E274" s="9" t="inlineStr">
        <is>
          <t>Unresolved</t>
        </is>
      </c>
      <c r="F274" t="inlineStr"/>
      <c r="G274" t="inlineStr"/>
      <c r="H274" t="inlineStr">
        <is>
          <t>unresolved</t>
        </is>
      </c>
      <c r="I274" t="inlineStr">
        <is>
          <t>none</t>
        </is>
      </c>
      <c r="J274" t="n">
        <v>566.607</v>
      </c>
      <c r="K274" t="n">
        <v>0.0003</v>
      </c>
      <c r="L27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75">
      <c r="A275" t="inlineStr">
        <is>
          <t>Galeorhinus galeus</t>
        </is>
      </c>
      <c r="B275" t="inlineStr">
        <is>
          <t>Tope shark</t>
        </is>
      </c>
      <c r="C275" t="inlineStr">
        <is>
          <t>Large sharks (&gt;=90 cm)</t>
        </is>
      </c>
      <c r="D275" t="inlineStr">
        <is>
          <t>Sharks &amp; rays</t>
        </is>
      </c>
      <c r="E275" s="9" t="inlineStr">
        <is>
          <t>Unresolved</t>
        </is>
      </c>
      <c r="F275" t="inlineStr"/>
      <c r="G275" t="inlineStr"/>
      <c r="H275" t="inlineStr">
        <is>
          <t>unresolved</t>
        </is>
      </c>
      <c r="I275" t="inlineStr">
        <is>
          <t>none</t>
        </is>
      </c>
      <c r="J275" t="n">
        <v>552.307</v>
      </c>
      <c r="K275" t="n">
        <v>0.0003</v>
      </c>
      <c r="L27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76">
      <c r="A276" t="inlineStr">
        <is>
          <t>Gymnothorax</t>
        </is>
      </c>
      <c r="B276" t="inlineStr">
        <is>
          <t>Morays</t>
        </is>
      </c>
      <c r="C276" t="inlineStr">
        <is>
          <t>Large reef assoc. fish (&gt;=90 cm)</t>
        </is>
      </c>
      <c r="D276" t="inlineStr">
        <is>
          <t>Other fishes &amp; inverts</t>
        </is>
      </c>
      <c r="E276" s="8" t="inlineStr">
        <is>
          <t>Côtier M pred</t>
        </is>
      </c>
      <c r="F276" t="inlineStr"/>
      <c r="G276" t="inlineStr"/>
      <c r="H276" t="inlineStr">
        <is>
          <t>medium</t>
        </is>
      </c>
      <c r="I276" t="inlineStr">
        <is>
          <t>taxonomic_containment</t>
        </is>
      </c>
      <c r="J276" t="n">
        <v>538.797</v>
      </c>
      <c r="K276" t="n">
        <v>0.0003</v>
      </c>
      <c r="L276" s="6" t="inlineStr">
        <is>
          <t>Genus-level catch spans exactly the Table 6 groups containing its documented species. No habitat class overrides those placements.</t>
        </is>
      </c>
    </row>
    <row r="277">
      <c r="A277" t="inlineStr">
        <is>
          <t>Echeneidae</t>
        </is>
      </c>
      <c r="B277" t="inlineStr">
        <is>
          <t>Remoras</t>
        </is>
      </c>
      <c r="C277" t="inlineStr">
        <is>
          <t>Large pelagics (&gt;=90 cm)</t>
        </is>
      </c>
      <c r="D277" t="inlineStr">
        <is>
          <t>Perch-likes</t>
        </is>
      </c>
      <c r="E277" s="8" t="inlineStr">
        <is>
          <t>Dem L inv</t>
        </is>
      </c>
      <c r="F277" t="inlineStr"/>
      <c r="G277" t="inlineStr"/>
      <c r="H277" t="inlineStr">
        <is>
          <t>medium</t>
        </is>
      </c>
      <c r="I277" t="inlineStr">
        <is>
          <t>taxonomic_containment</t>
        </is>
      </c>
      <c r="J277" t="n">
        <v>529.242</v>
      </c>
      <c r="K277" t="n">
        <v>0.0003</v>
      </c>
      <c r="L277" s="6" t="inlineStr">
        <is>
          <t>Family catch spans the union of all Table 6 member groups belonging to Echeneidae under WoRMS. Every candidate is supported by a source member; source placement outranks SAU habitat class.</t>
        </is>
      </c>
    </row>
    <row r="278">
      <c r="A278" t="inlineStr">
        <is>
          <t>Dicentrarchus punctatus</t>
        </is>
      </c>
      <c r="B278" t="inlineStr">
        <is>
          <t>Spotted seabass</t>
        </is>
      </c>
      <c r="C278" t="inlineStr">
        <is>
          <t>Medium pelagics (30 - 89 cm)</t>
        </is>
      </c>
      <c r="D278" t="inlineStr">
        <is>
          <t>Perch-likes</t>
        </is>
      </c>
      <c r="E278" s="9" t="inlineStr">
        <is>
          <t>Unresolved</t>
        </is>
      </c>
      <c r="F278" t="inlineStr"/>
      <c r="G278" t="inlineStr"/>
      <c r="H278" t="inlineStr">
        <is>
          <t>unresolved</t>
        </is>
      </c>
      <c r="I278" t="inlineStr">
        <is>
          <t>none</t>
        </is>
      </c>
      <c r="J278" t="n">
        <v>528.553</v>
      </c>
      <c r="K278" t="n">
        <v>0.0003</v>
      </c>
      <c r="L27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79">
      <c r="A279" t="inlineStr">
        <is>
          <t>Caranx lugubris</t>
        </is>
      </c>
      <c r="B279" t="inlineStr">
        <is>
          <t>Black jack</t>
        </is>
      </c>
      <c r="C279" t="inlineStr">
        <is>
          <t>Large benthopelagics (&gt;=90 cm)</t>
        </is>
      </c>
      <c r="D279" t="inlineStr">
        <is>
          <t>Perch-likes</t>
        </is>
      </c>
      <c r="E279" s="8" t="inlineStr">
        <is>
          <t>Côtier pel L pred</t>
        </is>
      </c>
      <c r="F279" t="inlineStr"/>
      <c r="G279" t="inlineStr"/>
      <c r="H279" t="inlineStr">
        <is>
          <t>medium</t>
        </is>
      </c>
      <c r="I279" t="inlineStr">
        <is>
          <t>analogue</t>
        </is>
      </c>
      <c r="J279" t="n">
        <v>523.231</v>
      </c>
      <c r="K279" t="n">
        <v>0.0003</v>
      </c>
      <c r="L279" s="6" t="inlineStr">
        <is>
          <t>Species not individually listed: its genus has one documented Table 6 group, supported by the catch's Large benthopelagics (&gt;=90 cm) class. Congeneric extension is inference.</t>
        </is>
      </c>
    </row>
    <row r="280">
      <c r="A280" t="inlineStr">
        <is>
          <t>Holothuriidae</t>
        </is>
      </c>
      <c r="B280" t="inlineStr">
        <is>
          <t>Fleshy sea cucumbers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s="7" t="inlineStr">
        <is>
          <t>Benthos</t>
        </is>
      </c>
      <c r="F280" t="inlineStr"/>
      <c r="G280" t="inlineStr"/>
      <c r="H280" t="inlineStr">
        <is>
          <t>high</t>
        </is>
      </c>
      <c r="I280" t="inlineStr">
        <is>
          <t>taxonomic_containment</t>
        </is>
      </c>
      <c r="J280" t="n">
        <v>461.929</v>
      </c>
      <c r="K280" t="n">
        <v>0.0003</v>
      </c>
      <c r="L280" s="6" t="inlineStr">
        <is>
          <t>Holothuriid sea cucumbers are echinoderms, explicitly included in the Benthos definition on source p.126.</t>
        </is>
      </c>
    </row>
    <row r="281">
      <c r="A281" t="inlineStr">
        <is>
          <t>Centrophorus squamosus</t>
        </is>
      </c>
      <c r="B281" t="inlineStr">
        <is>
          <t>Leafscale gulper shark</t>
        </is>
      </c>
      <c r="C281" t="inlineStr">
        <is>
          <t>Large sharks (&gt;=90 cm)</t>
        </is>
      </c>
      <c r="D281" t="inlineStr">
        <is>
          <t>Sharks &amp; rays</t>
        </is>
      </c>
      <c r="E281" s="9" t="inlineStr">
        <is>
          <t>Unresolved</t>
        </is>
      </c>
      <c r="F281" t="inlineStr"/>
      <c r="G281" t="inlineStr"/>
      <c r="H281" t="inlineStr">
        <is>
          <t>unresolved</t>
        </is>
      </c>
      <c r="I281" t="inlineStr">
        <is>
          <t>none</t>
        </is>
      </c>
      <c r="J281" t="n">
        <v>386.572</v>
      </c>
      <c r="K281" t="n">
        <v>0.0002</v>
      </c>
      <c r="L28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2">
      <c r="A282" t="inlineStr">
        <is>
          <t>Sarpa salpa</t>
        </is>
      </c>
      <c r="B282" t="inlineStr">
        <is>
          <t>Salema</t>
        </is>
      </c>
      <c r="C282" t="inlineStr">
        <is>
          <t>Medium benthopelagics (30 - 89 cm)</t>
        </is>
      </c>
      <c r="D282" t="inlineStr">
        <is>
          <t>Perch-likes</t>
        </is>
      </c>
      <c r="E282" s="7" t="inlineStr">
        <is>
          <t>Mulets</t>
        </is>
      </c>
      <c r="F282" t="inlineStr"/>
      <c r="G282" t="inlineStr"/>
      <c r="H282" t="inlineStr">
        <is>
          <t>high</t>
        </is>
      </c>
      <c r="I282" t="inlineStr">
        <is>
          <t>explicit_member</t>
        </is>
      </c>
      <c r="J282" t="n">
        <v>370.54</v>
      </c>
      <c r="K282" t="n">
        <v>0.0002</v>
      </c>
      <c r="L282" s="6" t="inlineStr">
        <is>
          <t>Guénette &amp; Diallo 2004 Table 6 p.131 explicitly lists this taxon in the named group(s); printed and accepted names checked against WoRMS.</t>
        </is>
      </c>
    </row>
    <row r="283">
      <c r="A283" t="inlineStr">
        <is>
          <t>Chaceon maritae</t>
        </is>
      </c>
      <c r="B283" t="inlineStr">
        <is>
          <t>West African geryon</t>
        </is>
      </c>
      <c r="C283" t="inlineStr">
        <is>
          <t>Lobsters, crabs</t>
        </is>
      </c>
      <c r="D283" t="inlineStr">
        <is>
          <t>Crustaceans</t>
        </is>
      </c>
      <c r="E283" s="7" t="inlineStr">
        <is>
          <t>Crustacés</t>
        </is>
      </c>
      <c r="F283" t="inlineStr"/>
      <c r="G283" t="inlineStr"/>
      <c r="H283" t="inlineStr">
        <is>
          <t>high</t>
        </is>
      </c>
      <c r="I283" t="inlineStr">
        <is>
          <t>taxonomic_containment</t>
        </is>
      </c>
      <c r="J283" t="n">
        <v>358.231</v>
      </c>
      <c r="K283" t="n">
        <v>0.0002</v>
      </c>
      <c r="L283" s="6" t="inlineStr">
        <is>
          <t>WoRMS crustacean taxonomy and SAU shrimp/crab/lobster class agree with the source Crustacés definition on p.125.</t>
        </is>
      </c>
    </row>
    <row r="284">
      <c r="A284" t="inlineStr">
        <is>
          <t>Isurus paucus</t>
        </is>
      </c>
      <c r="B284" t="inlineStr">
        <is>
          <t>Longfin mako</t>
        </is>
      </c>
      <c r="C284" t="inlineStr">
        <is>
          <t>Large sharks (&gt;=90 cm)</t>
        </is>
      </c>
      <c r="D284" t="inlineStr">
        <is>
          <t>Sharks &amp; rays</t>
        </is>
      </c>
      <c r="E284" s="8" t="inlineStr">
        <is>
          <t>Sélaciens L prof</t>
        </is>
      </c>
      <c r="F284" t="inlineStr"/>
      <c r="G284" t="inlineStr"/>
      <c r="H284" t="inlineStr">
        <is>
          <t>medium</t>
        </is>
      </c>
      <c r="I284" t="inlineStr">
        <is>
          <t>analogue</t>
        </is>
      </c>
      <c r="J284" t="n">
        <v>347.986</v>
      </c>
      <c r="K284" t="n">
        <v>0.0002</v>
      </c>
      <c r="L284" s="6" t="inlineStr">
        <is>
          <t>Species not individually listed: its genus has one documented Table 6 group, supported by the catch's Large sharks (&gt;=90 cm) class. Congeneric extension is inference.</t>
        </is>
      </c>
    </row>
    <row r="285">
      <c r="A285" t="inlineStr">
        <is>
          <t>Carcharodon carcharias</t>
        </is>
      </c>
      <c r="B285" t="inlineStr">
        <is>
          <t>Great white shark</t>
        </is>
      </c>
      <c r="C285" t="inlineStr">
        <is>
          <t>Large sharks (&gt;=90 cm)</t>
        </is>
      </c>
      <c r="D285" t="inlineStr">
        <is>
          <t>Sharks &amp; rays</t>
        </is>
      </c>
      <c r="E285" s="9" t="inlineStr">
        <is>
          <t>Unresolved</t>
        </is>
      </c>
      <c r="F285" t="inlineStr"/>
      <c r="G285" t="inlineStr"/>
      <c r="H285" t="inlineStr">
        <is>
          <t>unresolved</t>
        </is>
      </c>
      <c r="I285" t="inlineStr">
        <is>
          <t>none</t>
        </is>
      </c>
      <c r="J285" t="n">
        <v>342.22</v>
      </c>
      <c r="K285" t="n">
        <v>0.0002</v>
      </c>
      <c r="L28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6">
      <c r="A286" t="inlineStr">
        <is>
          <t>Ruvettus pretiosus</t>
        </is>
      </c>
      <c r="B286" t="inlineStr">
        <is>
          <t>Oilfish</t>
        </is>
      </c>
      <c r="C286" t="inlineStr">
        <is>
          <t>Large benthopelagics (&gt;=90 cm)</t>
        </is>
      </c>
      <c r="D286" t="inlineStr">
        <is>
          <t>Perch-likes</t>
        </is>
      </c>
      <c r="E286" s="9" t="inlineStr">
        <is>
          <t>Unresolved</t>
        </is>
      </c>
      <c r="F286" t="inlineStr"/>
      <c r="G286" t="inlineStr"/>
      <c r="H286" t="inlineStr">
        <is>
          <t>unresolved</t>
        </is>
      </c>
      <c r="I286" t="inlineStr">
        <is>
          <t>none</t>
        </is>
      </c>
      <c r="J286" t="n">
        <v>332.463</v>
      </c>
      <c r="K286" t="n">
        <v>0.0002</v>
      </c>
      <c r="L286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87">
      <c r="A287" t="inlineStr">
        <is>
          <t>Centroscymnus coelolepis</t>
        </is>
      </c>
      <c r="B287" t="inlineStr">
        <is>
          <t>Portuguese dogfish</t>
        </is>
      </c>
      <c r="C287" t="inlineStr">
        <is>
          <t>Large sharks (&gt;=90 cm)</t>
        </is>
      </c>
      <c r="D287" t="inlineStr">
        <is>
          <t>Sharks &amp; rays</t>
        </is>
      </c>
      <c r="E287" s="9" t="inlineStr">
        <is>
          <t>Unresolved</t>
        </is>
      </c>
      <c r="F287" t="inlineStr"/>
      <c r="G287" t="inlineStr"/>
      <c r="H287" t="inlineStr">
        <is>
          <t>unresolved</t>
        </is>
      </c>
      <c r="I287" t="inlineStr">
        <is>
          <t>none</t>
        </is>
      </c>
      <c r="J287" t="n">
        <v>330.597</v>
      </c>
      <c r="K287" t="n">
        <v>0.0002</v>
      </c>
      <c r="L287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8">
      <c r="A288" t="inlineStr">
        <is>
          <t>Mustelus</t>
        </is>
      </c>
      <c r="B288" t="inlineStr">
        <is>
          <t>Smoothhounds</t>
        </is>
      </c>
      <c r="C288" t="inlineStr">
        <is>
          <t>Large sharks (&gt;=90 cm)</t>
        </is>
      </c>
      <c r="D288" t="inlineStr">
        <is>
          <t>Sharks &amp; rays</t>
        </is>
      </c>
      <c r="E288" s="8" t="inlineStr">
        <is>
          <t>Sélaciens L côtiers</t>
        </is>
      </c>
      <c r="F288" t="inlineStr"/>
      <c r="G288" t="inlineStr"/>
      <c r="H288" t="inlineStr">
        <is>
          <t>medium</t>
        </is>
      </c>
      <c r="I288" t="inlineStr">
        <is>
          <t>taxonomic_containment</t>
        </is>
      </c>
      <c r="J288" t="n">
        <v>317.865</v>
      </c>
      <c r="K288" t="n">
        <v>0.0002</v>
      </c>
      <c r="L288" s="6" t="inlineStr">
        <is>
          <t>Genus-level catch spans exactly the Table 6 groups containing its documented species. No habitat class overrides those placements.</t>
        </is>
      </c>
    </row>
    <row r="289">
      <c r="A289" t="inlineStr">
        <is>
          <t>Arnoglossus laterna</t>
        </is>
      </c>
      <c r="B289" t="inlineStr">
        <is>
          <t>Mediterranean scaldfish</t>
        </is>
      </c>
      <c r="C289" t="inlineStr">
        <is>
          <t>Small to medium flatfishes (&lt;90 cm)</t>
        </is>
      </c>
      <c r="D289" t="inlineStr">
        <is>
          <t>Flatfishes</t>
        </is>
      </c>
      <c r="E289" s="8" t="inlineStr">
        <is>
          <t>Dem S pred</t>
        </is>
      </c>
      <c r="F289" t="inlineStr"/>
      <c r="G289" t="inlineStr"/>
      <c r="H289" t="inlineStr">
        <is>
          <t>medium</t>
        </is>
      </c>
      <c r="I289" t="inlineStr">
        <is>
          <t>analogue</t>
        </is>
      </c>
      <c r="J289" t="n">
        <v>310.866</v>
      </c>
      <c r="K289" t="n">
        <v>0.0002</v>
      </c>
      <c r="L289" s="6" t="inlineStr">
        <is>
          <t>Species not individually listed: its genus has one documented Table 6 group, supported by the catch's Small to medium flatfishes (&lt;90 cm) class. Congeneric extension is inference.</t>
        </is>
      </c>
    </row>
    <row r="290">
      <c r="A290" t="inlineStr">
        <is>
          <t>Carcharhinus amboinensis</t>
        </is>
      </c>
      <c r="B290" t="inlineStr">
        <is>
          <t>Pigeye shark</t>
        </is>
      </c>
      <c r="C290" t="inlineStr">
        <is>
          <t>Large sharks (&gt;=90 cm)</t>
        </is>
      </c>
      <c r="D290" t="inlineStr">
        <is>
          <t>Sharks &amp; rays</t>
        </is>
      </c>
      <c r="E290" s="9" t="inlineStr">
        <is>
          <t>Unresolved</t>
        </is>
      </c>
      <c r="F290" t="inlineStr"/>
      <c r="G290" t="inlineStr"/>
      <c r="H290" t="inlineStr">
        <is>
          <t>unresolved</t>
        </is>
      </c>
      <c r="I290" t="inlineStr">
        <is>
          <t>none</t>
        </is>
      </c>
      <c r="J290" t="n">
        <v>300.31</v>
      </c>
      <c r="K290" t="n">
        <v>0.0002</v>
      </c>
      <c r="L29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91">
      <c r="A291" t="inlineStr">
        <is>
          <t>Epinephelus caninus</t>
        </is>
      </c>
      <c r="B291" t="inlineStr">
        <is>
          <t>Dogtooth grouper</t>
        </is>
      </c>
      <c r="C291" t="inlineStr">
        <is>
          <t>Large demersals (&gt;=90 cm)</t>
        </is>
      </c>
      <c r="D291" t="inlineStr">
        <is>
          <t>Perch-likes</t>
        </is>
      </c>
      <c r="E291" s="7" t="inlineStr">
        <is>
          <t>Dem L pred</t>
        </is>
      </c>
      <c r="F291" t="inlineStr"/>
      <c r="G291" t="inlineStr"/>
      <c r="H291" t="inlineStr">
        <is>
          <t>high</t>
        </is>
      </c>
      <c r="I291" t="inlineStr">
        <is>
          <t>explicit_member</t>
        </is>
      </c>
      <c r="J291" t="n">
        <v>292.701</v>
      </c>
      <c r="K291" t="n">
        <v>0.0002</v>
      </c>
      <c r="L291" s="6" t="inlineStr">
        <is>
          <t>Guénette &amp; Diallo 2004 Table 6 p.131 explicitly lists this taxon in the named group(s); printed and accepted names checked against WoRMS.</t>
        </is>
      </c>
    </row>
    <row r="292">
      <c r="A292" t="inlineStr">
        <is>
          <t>Beryx</t>
        </is>
      </c>
      <c r="B292" t="inlineStr">
        <is>
          <t>Alfonsinos</t>
        </is>
      </c>
      <c r="C292" t="inlineStr">
        <is>
          <t>Medium benthopelagics (30 - 89 cm)</t>
        </is>
      </c>
      <c r="D292" t="inlineStr">
        <is>
          <t>Other fishes &amp; inverts</t>
        </is>
      </c>
      <c r="E292" s="9" t="inlineStr">
        <is>
          <t>Unresolved</t>
        </is>
      </c>
      <c r="F292" t="inlineStr"/>
      <c r="G292" t="inlineStr"/>
      <c r="H292" t="inlineStr">
        <is>
          <t>unresolved</t>
        </is>
      </c>
      <c r="I292" t="inlineStr">
        <is>
          <t>none</t>
        </is>
      </c>
      <c r="J292" t="n">
        <v>257.635</v>
      </c>
      <c r="K292" t="n">
        <v>0.0002</v>
      </c>
      <c r="L29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93">
      <c r="A293" t="inlineStr">
        <is>
          <t>Mustelus mustelus</t>
        </is>
      </c>
      <c r="B293" t="inlineStr">
        <is>
          <t>Smooth-hound</t>
        </is>
      </c>
      <c r="C293" t="inlineStr">
        <is>
          <t>Large sharks (&gt;=90 cm)</t>
        </is>
      </c>
      <c r="D293" t="inlineStr">
        <is>
          <t>Sharks &amp; rays</t>
        </is>
      </c>
      <c r="E293" s="7" t="inlineStr">
        <is>
          <t>Sélaciens L côtiers</t>
        </is>
      </c>
      <c r="F293" t="inlineStr"/>
      <c r="G293" t="inlineStr"/>
      <c r="H293" t="inlineStr">
        <is>
          <t>high</t>
        </is>
      </c>
      <c r="I293" t="inlineStr">
        <is>
          <t>explicit_member</t>
        </is>
      </c>
      <c r="J293" t="n">
        <v>255.355</v>
      </c>
      <c r="K293" t="n">
        <v>0.0002</v>
      </c>
      <c r="L293" s="6" t="inlineStr">
        <is>
          <t>Guénette &amp; Diallo 2004 Table 6 p.131 explicitly lists this taxon in the named group(s); printed and accepted names checked against WoRMS.</t>
        </is>
      </c>
    </row>
    <row r="294">
      <c r="A294" t="inlineStr">
        <is>
          <t>Alopias superciliosus</t>
        </is>
      </c>
      <c r="B294" t="inlineStr">
        <is>
          <t>Bigeye thresher</t>
        </is>
      </c>
      <c r="C294" t="inlineStr">
        <is>
          <t>Large sharks (&gt;=90 cm)</t>
        </is>
      </c>
      <c r="D294" t="inlineStr">
        <is>
          <t>Sharks &amp; rays</t>
        </is>
      </c>
      <c r="E294" s="8" t="inlineStr">
        <is>
          <t>Sélaciens L côtiers</t>
        </is>
      </c>
      <c r="F294" t="inlineStr"/>
      <c r="G294" t="inlineStr"/>
      <c r="H294" t="inlineStr">
        <is>
          <t>medium</t>
        </is>
      </c>
      <c r="I294" t="inlineStr">
        <is>
          <t>analogue</t>
        </is>
      </c>
      <c r="J294" t="n">
        <v>254.544</v>
      </c>
      <c r="K294" t="n">
        <v>0.0002</v>
      </c>
      <c r="L294" s="6" t="inlineStr">
        <is>
          <t>Species not individually listed: its genus has one documented Table 6 group, supported by the catch's Large sharks (&gt;=90 cm) class. Congeneric extension is inference.</t>
        </is>
      </c>
    </row>
    <row r="295">
      <c r="A295" t="inlineStr">
        <is>
          <t>Maja squinado</t>
        </is>
      </c>
      <c r="B295" t="inlineStr">
        <is>
          <t>Spinous spider crab</t>
        </is>
      </c>
      <c r="C295" t="inlineStr">
        <is>
          <t>Lobsters, crabs</t>
        </is>
      </c>
      <c r="D295" t="inlineStr">
        <is>
          <t>Crustaceans</t>
        </is>
      </c>
      <c r="E295" s="7" t="inlineStr">
        <is>
          <t>Crustacés</t>
        </is>
      </c>
      <c r="F295" t="inlineStr"/>
      <c r="G295" t="inlineStr"/>
      <c r="H295" t="inlineStr">
        <is>
          <t>high</t>
        </is>
      </c>
      <c r="I295" t="inlineStr">
        <is>
          <t>taxonomic_containment</t>
        </is>
      </c>
      <c r="J295" t="n">
        <v>253.532</v>
      </c>
      <c r="K295" t="n">
        <v>0.0002</v>
      </c>
      <c r="L295" s="6" t="inlineStr">
        <is>
          <t>WoRMS crustacean taxonomy and SAU shrimp/crab/lobster class agree with the source Crustacés definition on p.125.</t>
        </is>
      </c>
    </row>
    <row r="296">
      <c r="A296" t="inlineStr">
        <is>
          <t>Cynoglossus senegalensis</t>
        </is>
      </c>
      <c r="B296" t="inlineStr">
        <is>
          <t>Senegalese tonguesole</t>
        </is>
      </c>
      <c r="C296" t="inlineStr">
        <is>
          <t>Small to medium flatfishes (&lt;90 cm)</t>
        </is>
      </c>
      <c r="D296" t="inlineStr">
        <is>
          <t>Flatfishes</t>
        </is>
      </c>
      <c r="E296" s="7" t="inlineStr">
        <is>
          <t>Côtier M inv</t>
        </is>
      </c>
      <c r="F296" t="inlineStr"/>
      <c r="G296" t="inlineStr"/>
      <c r="H296" t="inlineStr">
        <is>
          <t>high</t>
        </is>
      </c>
      <c r="I296" t="inlineStr">
        <is>
          <t>explicit_member</t>
        </is>
      </c>
      <c r="J296" t="n">
        <v>244.316</v>
      </c>
      <c r="K296" t="n">
        <v>0.0001</v>
      </c>
      <c r="L296" s="6" t="inlineStr">
        <is>
          <t>Guénette &amp; Diallo 2004 Table 6 p.131 explicitly lists this taxon in the named group(s); printed and accepted names checked against WoRMS.</t>
        </is>
      </c>
    </row>
    <row r="297">
      <c r="A297" t="inlineStr">
        <is>
          <t>Panulirus regius</t>
        </is>
      </c>
      <c r="B297" t="inlineStr">
        <is>
          <t>Royal spiny lobster</t>
        </is>
      </c>
      <c r="C297" t="inlineStr">
        <is>
          <t>Lobsters, crabs</t>
        </is>
      </c>
      <c r="D297" t="inlineStr">
        <is>
          <t>Crustaceans</t>
        </is>
      </c>
      <c r="E297" s="7" t="inlineStr">
        <is>
          <t>Crustacés</t>
        </is>
      </c>
      <c r="F297" t="inlineStr"/>
      <c r="G297" t="inlineStr"/>
      <c r="H297" t="inlineStr">
        <is>
          <t>high</t>
        </is>
      </c>
      <c r="I297" t="inlineStr">
        <is>
          <t>taxonomic_containment</t>
        </is>
      </c>
      <c r="J297" t="n">
        <v>219.327</v>
      </c>
      <c r="K297" t="n">
        <v>0.0001</v>
      </c>
      <c r="L297" s="6" t="inlineStr">
        <is>
          <t>WoRMS crustacean taxonomy and SAU shrimp/crab/lobster class agree with the source Crustacés definition on p.125.</t>
        </is>
      </c>
    </row>
    <row r="298">
      <c r="A298" t="inlineStr">
        <is>
          <t>Trachichthyidae</t>
        </is>
      </c>
      <c r="B298" t="inlineStr">
        <is>
          <t>Slimeheads</t>
        </is>
      </c>
      <c r="C298" t="inlineStr">
        <is>
          <t>Medium bathypelagics (30 - 89 cm)</t>
        </is>
      </c>
      <c r="D298" t="inlineStr">
        <is>
          <t>Other fishes &amp; inverts</t>
        </is>
      </c>
      <c r="E298" s="8" t="inlineStr">
        <is>
          <t>Bathy L pred</t>
        </is>
      </c>
      <c r="F298" t="inlineStr"/>
      <c r="G298" t="inlineStr"/>
      <c r="H298" t="inlineStr">
        <is>
          <t>medium</t>
        </is>
      </c>
      <c r="I298" t="inlineStr">
        <is>
          <t>taxonomic_containment</t>
        </is>
      </c>
      <c r="J298" t="n">
        <v>167.948</v>
      </c>
      <c r="K298" t="n">
        <v>0.0001</v>
      </c>
      <c r="L298" s="6" t="inlineStr">
        <is>
          <t>Family catch spans the union of all Table 6 member groups belonging to Trachichthyidae under WoRMS. Every candidate is supported by a source member; source placement outranks SAU habitat class.</t>
        </is>
      </c>
    </row>
    <row r="299">
      <c r="A299" t="inlineStr">
        <is>
          <t>Leptocharias smithii</t>
        </is>
      </c>
      <c r="B299" t="inlineStr">
        <is>
          <t>Barbeled houndshark</t>
        </is>
      </c>
      <c r="C299" t="inlineStr">
        <is>
          <t>Small to medium sharks (&lt;90 cm)</t>
        </is>
      </c>
      <c r="D299" t="inlineStr">
        <is>
          <t>Sharks &amp; rays</t>
        </is>
      </c>
      <c r="E299" s="7" t="inlineStr">
        <is>
          <t>Sélaciens L côtiers</t>
        </is>
      </c>
      <c r="F299" t="inlineStr"/>
      <c r="G299" t="inlineStr"/>
      <c r="H299" t="inlineStr">
        <is>
          <t>high</t>
        </is>
      </c>
      <c r="I299" t="inlineStr">
        <is>
          <t>explicit_member</t>
        </is>
      </c>
      <c r="J299" t="n">
        <v>167.706</v>
      </c>
      <c r="K299" t="n">
        <v>0.0001</v>
      </c>
      <c r="L299" s="6" t="inlineStr">
        <is>
          <t>Guénette &amp; Diallo 2004 Table 6 p.131 explicitly lists this taxon in the named group(s); printed and accepted names checked against WoRMS.</t>
        </is>
      </c>
    </row>
    <row r="300">
      <c r="A300" t="inlineStr">
        <is>
          <t>Lophius vaillanti</t>
        </is>
      </c>
      <c r="B300" t="inlineStr">
        <is>
          <t>Shortspine African angler</t>
        </is>
      </c>
      <c r="C300" t="inlineStr">
        <is>
          <t>Medium bathydemersals (30 - 89 cm)</t>
        </is>
      </c>
      <c r="D300" t="inlineStr">
        <is>
          <t>Other fishes &amp; inverts</t>
        </is>
      </c>
      <c r="E300" s="7" t="inlineStr">
        <is>
          <t>Bathy L pred</t>
        </is>
      </c>
      <c r="F300" t="inlineStr"/>
      <c r="G300" t="inlineStr"/>
      <c r="H300" t="inlineStr">
        <is>
          <t>high</t>
        </is>
      </c>
      <c r="I300" t="inlineStr">
        <is>
          <t>explicit_member</t>
        </is>
      </c>
      <c r="J300" t="n">
        <v>158.193</v>
      </c>
      <c r="K300" t="n">
        <v>0.0001</v>
      </c>
      <c r="L300" s="6" t="inlineStr">
        <is>
          <t>Guénette &amp; Diallo 2004 Table 6 p.131 explicitly lists this taxon in the named group(s); printed and accepted names checked against WoRMS.</t>
        </is>
      </c>
    </row>
    <row r="301">
      <c r="A301" t="inlineStr">
        <is>
          <t>Zenopsis conchifer</t>
        </is>
      </c>
      <c r="B301" t="inlineStr">
        <is>
          <t>Silvery John dory</t>
        </is>
      </c>
      <c r="C301" t="inlineStr">
        <is>
          <t>Medium benthopelagics (30 - 89 cm)</t>
        </is>
      </c>
      <c r="D301" t="inlineStr">
        <is>
          <t>Other fishes &amp; inverts</t>
        </is>
      </c>
      <c r="E301" s="7" t="inlineStr">
        <is>
          <t>Dem M pred</t>
        </is>
      </c>
      <c r="F301" t="inlineStr"/>
      <c r="G301" t="inlineStr"/>
      <c r="H301" t="inlineStr">
        <is>
          <t>high</t>
        </is>
      </c>
      <c r="I301" t="inlineStr">
        <is>
          <t>explicit_member</t>
        </is>
      </c>
      <c r="J301" t="n">
        <v>148.915</v>
      </c>
      <c r="K301" t="n">
        <v>0.0001</v>
      </c>
      <c r="L301" s="6" t="inlineStr">
        <is>
          <t>Guénette &amp; Diallo 2004 Table 6 p.131 explicitly lists this taxon in the named group(s); printed and accepted names checked against WoRMS.</t>
        </is>
      </c>
    </row>
    <row r="302">
      <c r="A302" t="inlineStr">
        <is>
          <t>Cyprinidae</t>
        </is>
      </c>
      <c r="B302" t="inlineStr">
        <is>
          <t>Carps, barbels, other cyprinids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s="9" t="inlineStr">
        <is>
          <t>Unresolved</t>
        </is>
      </c>
      <c r="F302" t="inlineStr"/>
      <c r="G302" t="inlineStr"/>
      <c r="H302" t="inlineStr">
        <is>
          <t>unresolved</t>
        </is>
      </c>
      <c r="I302" t="inlineStr">
        <is>
          <t>none</t>
        </is>
      </c>
      <c r="J302" t="n">
        <v>148.272</v>
      </c>
      <c r="K302" t="n">
        <v>0.0001</v>
      </c>
      <c r="L302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303">
      <c r="A303" t="inlineStr">
        <is>
          <t>Inermiidae</t>
        </is>
      </c>
      <c r="B303" t="inlineStr">
        <is>
          <t>Bonnetmouths</t>
        </is>
      </c>
      <c r="C303" t="inlineStr">
        <is>
          <t>Small pelagics (&lt;30 cm)</t>
        </is>
      </c>
      <c r="D303" t="inlineStr">
        <is>
          <t>Perch-likes</t>
        </is>
      </c>
      <c r="E303" s="9" t="inlineStr">
        <is>
          <t>Unresolved</t>
        </is>
      </c>
      <c r="F303" t="inlineStr"/>
      <c r="G303" t="inlineStr"/>
      <c r="H303" t="inlineStr">
        <is>
          <t>unresolved</t>
        </is>
      </c>
      <c r="I303" t="inlineStr">
        <is>
          <t>none</t>
        </is>
      </c>
      <c r="J303" t="n">
        <v>136.766</v>
      </c>
      <c r="K303" t="n">
        <v>0.0001</v>
      </c>
      <c r="L30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4">
      <c r="A304" t="inlineStr">
        <is>
          <t>Pristidae</t>
        </is>
      </c>
      <c r="B304" t="inlineStr">
        <is>
          <t>Sawfishes</t>
        </is>
      </c>
      <c r="C304" t="inlineStr">
        <is>
          <t>Large rays (&gt;=90 cm)</t>
        </is>
      </c>
      <c r="D304" t="inlineStr">
        <is>
          <t>Sharks &amp; rays</t>
        </is>
      </c>
      <c r="E304" s="9" t="inlineStr">
        <is>
          <t>Unresolved</t>
        </is>
      </c>
      <c r="F304" t="inlineStr"/>
      <c r="G304" t="inlineStr"/>
      <c r="H304" t="inlineStr">
        <is>
          <t>unresolved</t>
        </is>
      </c>
      <c r="I304" t="inlineStr">
        <is>
          <t>none</t>
        </is>
      </c>
      <c r="J304" t="n">
        <v>135.992</v>
      </c>
      <c r="K304" t="n">
        <v>0.0001</v>
      </c>
      <c r="L30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05">
      <c r="A305" t="inlineStr">
        <is>
          <t>Beryx splendens</t>
        </is>
      </c>
      <c r="B305" t="inlineStr">
        <is>
          <t>Splendid alfonsino</t>
        </is>
      </c>
      <c r="C305" t="inlineStr">
        <is>
          <t>Medium benthopelagics (30 - 89 cm)</t>
        </is>
      </c>
      <c r="D305" t="inlineStr">
        <is>
          <t>Other fishes &amp; inverts</t>
        </is>
      </c>
      <c r="E305" s="9" t="inlineStr">
        <is>
          <t>Unresolved</t>
        </is>
      </c>
      <c r="F305" t="inlineStr"/>
      <c r="G305" t="inlineStr"/>
      <c r="H305" t="inlineStr">
        <is>
          <t>unresolved</t>
        </is>
      </c>
      <c r="I305" t="inlineStr">
        <is>
          <t>none</t>
        </is>
      </c>
      <c r="J305" t="n">
        <v>135.787</v>
      </c>
      <c r="K305" t="n">
        <v>0.0001</v>
      </c>
      <c r="L30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6">
      <c r="A306" t="inlineStr">
        <is>
          <t>Aetobatus narinari</t>
        </is>
      </c>
      <c r="B306" t="inlineStr">
        <is>
          <t>Spotted eagle ray</t>
        </is>
      </c>
      <c r="C306" t="inlineStr">
        <is>
          <t>Large rays (&gt;=90 cm)</t>
        </is>
      </c>
      <c r="D306" t="inlineStr">
        <is>
          <t>Sharks &amp; rays</t>
        </is>
      </c>
      <c r="E306" s="9" t="inlineStr">
        <is>
          <t>Unresolved</t>
        </is>
      </c>
      <c r="F306" t="inlineStr"/>
      <c r="G306" t="inlineStr"/>
      <c r="H306" t="inlineStr">
        <is>
          <t>unresolved</t>
        </is>
      </c>
      <c r="I306" t="inlineStr">
        <is>
          <t>none</t>
        </is>
      </c>
      <c r="J306" t="n">
        <v>126.286</v>
      </c>
      <c r="K306" t="n">
        <v>0.0001</v>
      </c>
      <c r="L30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07">
      <c r="A307" t="inlineStr">
        <is>
          <t>Alloteuthis</t>
        </is>
      </c>
      <c r="B307" t="inlineStr">
        <is>
          <t>Atlantic common squids</t>
        </is>
      </c>
      <c r="C307" t="inlineStr">
        <is>
          <t>Cephalopods</t>
        </is>
      </c>
      <c r="D307" t="inlineStr">
        <is>
          <t>Other fishes &amp; inverts</t>
        </is>
      </c>
      <c r="E307" s="7" t="inlineStr">
        <is>
          <t>Céphalopodes</t>
        </is>
      </c>
      <c r="F307" t="inlineStr"/>
      <c r="G307" t="inlineStr"/>
      <c r="H307" t="inlineStr">
        <is>
          <t>high</t>
        </is>
      </c>
      <c r="I307" t="inlineStr">
        <is>
          <t>taxonomic_containment</t>
        </is>
      </c>
      <c r="J307" t="n">
        <v>121.114</v>
      </c>
      <c r="K307" t="n">
        <v>0.0001</v>
      </c>
      <c r="L307" s="6" t="inlineStr">
        <is>
          <t>Source p.125 explicitly includes all cephalopods, including octopus, cuttlefish and squid.</t>
        </is>
      </c>
    </row>
    <row r="308">
      <c r="A308" t="inlineStr">
        <is>
          <t>Schedophilus pemarco</t>
        </is>
      </c>
      <c r="B308" t="inlineStr">
        <is>
          <t>Pemarco blackfish</t>
        </is>
      </c>
      <c r="C308" t="inlineStr">
        <is>
          <t>Medium benthopelagics (30 - 89 cm)</t>
        </is>
      </c>
      <c r="D308" t="inlineStr">
        <is>
          <t>Perch-likes</t>
        </is>
      </c>
      <c r="E308" s="9" t="inlineStr">
        <is>
          <t>Unresolved</t>
        </is>
      </c>
      <c r="F308" t="inlineStr"/>
      <c r="G308" t="inlineStr"/>
      <c r="H308" t="inlineStr">
        <is>
          <t>unresolved</t>
        </is>
      </c>
      <c r="I308" t="inlineStr">
        <is>
          <t>none</t>
        </is>
      </c>
      <c r="J308" t="n">
        <v>120.25</v>
      </c>
      <c r="K308" t="n">
        <v>0.0001</v>
      </c>
      <c r="L30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9">
      <c r="A309" t="inlineStr">
        <is>
          <t>Pagrus auriga</t>
        </is>
      </c>
      <c r="B309" t="inlineStr">
        <is>
          <t>Redbanded seabream</t>
        </is>
      </c>
      <c r="C309" t="inlineStr">
        <is>
          <t>Medium benthopelagics (30 - 89 cm)</t>
        </is>
      </c>
      <c r="D309" t="inlineStr">
        <is>
          <t>Perch-likes</t>
        </is>
      </c>
      <c r="E309" s="8" t="inlineStr">
        <is>
          <t>Dem L pred</t>
        </is>
      </c>
      <c r="F309" t="inlineStr"/>
      <c r="G309" t="inlineStr"/>
      <c r="H309" t="inlineStr">
        <is>
          <t>medium</t>
        </is>
      </c>
      <c r="I309" t="inlineStr">
        <is>
          <t>analogue</t>
        </is>
      </c>
      <c r="J309" t="n">
        <v>115.393</v>
      </c>
      <c r="K309" t="n">
        <v>0.0001</v>
      </c>
      <c r="L309" s="6" t="inlineStr">
        <is>
          <t>Species not individually listed: its genus has one documented Table 6 group, supported by the catch's Medium benthopelagics (30 - 89 cm) class. Congeneric extension is inference.</t>
        </is>
      </c>
    </row>
    <row r="310">
      <c r="A310" t="inlineStr">
        <is>
          <t>Megalops atlanticus</t>
        </is>
      </c>
      <c r="B310" t="inlineStr">
        <is>
          <t>Tarpon</t>
        </is>
      </c>
      <c r="C310" t="inlineStr">
        <is>
          <t>Large pelagics (&gt;=90 cm)</t>
        </is>
      </c>
      <c r="D310" t="inlineStr">
        <is>
          <t>Other fishes &amp; inverts</t>
        </is>
      </c>
      <c r="E310" s="7" t="inlineStr">
        <is>
          <t>Pel L pred</t>
        </is>
      </c>
      <c r="F310" t="inlineStr"/>
      <c r="G310" t="inlineStr"/>
      <c r="H310" t="inlineStr">
        <is>
          <t>high</t>
        </is>
      </c>
      <c r="I310" t="inlineStr">
        <is>
          <t>explicit_member</t>
        </is>
      </c>
      <c r="J310" t="n">
        <v>109.562</v>
      </c>
      <c r="K310" t="n">
        <v>0.0001</v>
      </c>
      <c r="L310" s="6" t="inlineStr">
        <is>
          <t>Guénette &amp; Diallo 2004 Table 6 p.131 explicitly lists this taxon in the named group(s); printed and accepted names checked against WoRMS.</t>
        </is>
      </c>
    </row>
    <row r="311">
      <c r="A311" t="inlineStr">
        <is>
          <t>Hexanchus griseus</t>
        </is>
      </c>
      <c r="B311" t="inlineStr">
        <is>
          <t>Bluntnose sixgill shark</t>
        </is>
      </c>
      <c r="C311" t="inlineStr">
        <is>
          <t>Large sharks (&gt;=90 cm)</t>
        </is>
      </c>
      <c r="D311" t="inlineStr">
        <is>
          <t>Sharks &amp; rays</t>
        </is>
      </c>
      <c r="E311" s="9" t="inlineStr">
        <is>
          <t>Unresolved</t>
        </is>
      </c>
      <c r="F311" t="inlineStr"/>
      <c r="G311" t="inlineStr"/>
      <c r="H311" t="inlineStr">
        <is>
          <t>unresolved</t>
        </is>
      </c>
      <c r="I311" t="inlineStr">
        <is>
          <t>none</t>
        </is>
      </c>
      <c r="J311" t="n">
        <v>107.896</v>
      </c>
      <c r="K311" t="n">
        <v>0.0001</v>
      </c>
      <c r="L31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2">
      <c r="A312" t="inlineStr">
        <is>
          <t>Sphyrnidae</t>
        </is>
      </c>
      <c r="B312" t="inlineStr">
        <is>
          <t>Hammer, bonnet, scoophead sharks</t>
        </is>
      </c>
      <c r="C312" t="inlineStr">
        <is>
          <t>Large sharks (&gt;=90 cm)</t>
        </is>
      </c>
      <c r="D312" t="inlineStr">
        <is>
          <t>Sharks &amp; rays</t>
        </is>
      </c>
      <c r="E312" s="8" t="inlineStr">
        <is>
          <t>Sélaciens L prof</t>
        </is>
      </c>
      <c r="F312" t="inlineStr"/>
      <c r="G312" t="inlineStr"/>
      <c r="H312" t="inlineStr">
        <is>
          <t>medium</t>
        </is>
      </c>
      <c r="I312" t="inlineStr">
        <is>
          <t>taxonomic_containment</t>
        </is>
      </c>
      <c r="J312" t="n">
        <v>92.923</v>
      </c>
      <c r="K312" t="n">
        <v>0.0001</v>
      </c>
      <c r="L312" s="6" t="inlineStr">
        <is>
          <t>Family catch spans the union of all Table 6 member groups belonging to Sphyrnidae under WoRMS. Every candidate is supported by a source member; source placement outranks SAU habitat class.</t>
        </is>
      </c>
    </row>
    <row r="313">
      <c r="A313" t="inlineStr">
        <is>
          <t>Lepidocybium flavobrunneum</t>
        </is>
      </c>
      <c r="B313" t="inlineStr">
        <is>
          <t>Escolar</t>
        </is>
      </c>
      <c r="C313" t="inlineStr">
        <is>
          <t>Large bathypelagics (&gt;=90 cm)</t>
        </is>
      </c>
      <c r="D313" t="inlineStr">
        <is>
          <t>Perch-likes</t>
        </is>
      </c>
      <c r="E313" s="7" t="inlineStr">
        <is>
          <t>Bathy L pred</t>
        </is>
      </c>
      <c r="F313" t="inlineStr"/>
      <c r="G313" t="inlineStr"/>
      <c r="H313" t="inlineStr">
        <is>
          <t>high</t>
        </is>
      </c>
      <c r="I313" t="inlineStr">
        <is>
          <t>explicit_member</t>
        </is>
      </c>
      <c r="J313" t="n">
        <v>80.408</v>
      </c>
      <c r="K313" t="n">
        <v>0</v>
      </c>
      <c r="L313" s="6" t="inlineStr">
        <is>
          <t>Guénette &amp; Diallo 2004 Table 6 p.131 explicitly lists this taxon in the named group(s); printed and accepted names checked against WoRMS.</t>
        </is>
      </c>
    </row>
    <row r="314">
      <c r="A314" t="inlineStr">
        <is>
          <t>Centrophorus lusitanicus</t>
        </is>
      </c>
      <c r="B314" t="inlineStr">
        <is>
          <t>Lowfin gulper shark</t>
        </is>
      </c>
      <c r="C314" t="inlineStr">
        <is>
          <t>Large sharks (&gt;=90 cm)</t>
        </is>
      </c>
      <c r="D314" t="inlineStr">
        <is>
          <t>Sharks &amp; rays</t>
        </is>
      </c>
      <c r="E314" s="9" t="inlineStr">
        <is>
          <t>Unresolved</t>
        </is>
      </c>
      <c r="F314" t="inlineStr"/>
      <c r="G314" t="inlineStr"/>
      <c r="H314" t="inlineStr">
        <is>
          <t>unresolved</t>
        </is>
      </c>
      <c r="I314" t="inlineStr">
        <is>
          <t>none</t>
        </is>
      </c>
      <c r="J314" t="n">
        <v>78.874</v>
      </c>
      <c r="K314" t="n">
        <v>0</v>
      </c>
      <c r="L31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5">
      <c r="A315" t="inlineStr">
        <is>
          <t>Branchiostegus</t>
        </is>
      </c>
      <c r="B315" t="inlineStr">
        <is>
          <t>Indian and Pacific tilefishes</t>
        </is>
      </c>
      <c r="C315" t="inlineStr">
        <is>
          <t>Medium demersals (30 - 89 cm)</t>
        </is>
      </c>
      <c r="D315" t="inlineStr">
        <is>
          <t>Perch-likes</t>
        </is>
      </c>
      <c r="E315" s="9" t="inlineStr">
        <is>
          <t>Unresolved</t>
        </is>
      </c>
      <c r="F315" t="inlineStr"/>
      <c r="G315" t="inlineStr"/>
      <c r="H315" t="inlineStr">
        <is>
          <t>unresolved</t>
        </is>
      </c>
      <c r="I315" t="inlineStr">
        <is>
          <t>none</t>
        </is>
      </c>
      <c r="J315" t="n">
        <v>68.095</v>
      </c>
      <c r="K315" t="n">
        <v>0</v>
      </c>
      <c r="L31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16">
      <c r="A316" t="inlineStr">
        <is>
          <t>Dalatias licha</t>
        </is>
      </c>
      <c r="B316" t="inlineStr">
        <is>
          <t>Kitefin shark</t>
        </is>
      </c>
      <c r="C316" t="inlineStr">
        <is>
          <t>Large sharks (&gt;=90 cm)</t>
        </is>
      </c>
      <c r="D316" t="inlineStr">
        <is>
          <t>Sharks &amp; rays</t>
        </is>
      </c>
      <c r="E316" s="9" t="inlineStr">
        <is>
          <t>Unresolved</t>
        </is>
      </c>
      <c r="F316" t="inlineStr"/>
      <c r="G316" t="inlineStr"/>
      <c r="H316" t="inlineStr">
        <is>
          <t>unresolved</t>
        </is>
      </c>
      <c r="I316" t="inlineStr">
        <is>
          <t>none</t>
        </is>
      </c>
      <c r="J316" t="n">
        <v>65.389</v>
      </c>
      <c r="K316" t="n">
        <v>0</v>
      </c>
      <c r="L31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7">
      <c r="A317" t="inlineStr">
        <is>
          <t>Centrolophidae</t>
        </is>
      </c>
      <c r="B317" t="inlineStr">
        <is>
          <t>Medusafishes</t>
        </is>
      </c>
      <c r="C317" t="inlineStr">
        <is>
          <t>Medium benthopelagics (30 - 89 cm)</t>
        </is>
      </c>
      <c r="D317" t="inlineStr">
        <is>
          <t>Perch-likes</t>
        </is>
      </c>
      <c r="E317" s="9" t="inlineStr">
        <is>
          <t>Unresolved</t>
        </is>
      </c>
      <c r="F317" t="inlineStr"/>
      <c r="G317" t="inlineStr"/>
      <c r="H317" t="inlineStr">
        <is>
          <t>unresolved</t>
        </is>
      </c>
      <c r="I317" t="inlineStr">
        <is>
          <t>none</t>
        </is>
      </c>
      <c r="J317" t="n">
        <v>63.2</v>
      </c>
      <c r="K317" t="n">
        <v>0</v>
      </c>
      <c r="L31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18">
      <c r="A318" t="inlineStr">
        <is>
          <t>Squalus blainville</t>
        </is>
      </c>
      <c r="B318" t="inlineStr">
        <is>
          <t>Longnose spurdog</t>
        </is>
      </c>
      <c r="C318" t="inlineStr">
        <is>
          <t>Small to medium sharks (&lt;90 cm)</t>
        </is>
      </c>
      <c r="D318" t="inlineStr">
        <is>
          <t>Sharks &amp; rays</t>
        </is>
      </c>
      <c r="E318" s="7" t="inlineStr">
        <is>
          <t>Sélaciens L prof</t>
        </is>
      </c>
      <c r="F318" t="inlineStr"/>
      <c r="G318" t="inlineStr"/>
      <c r="H318" t="inlineStr">
        <is>
          <t>high</t>
        </is>
      </c>
      <c r="I318" t="inlineStr">
        <is>
          <t>explicit_member</t>
        </is>
      </c>
      <c r="J318" t="n">
        <v>57.333</v>
      </c>
      <c r="K318" t="n">
        <v>0</v>
      </c>
      <c r="L318" s="6" t="inlineStr">
        <is>
          <t>Guénette &amp; Diallo 2004 Table 6 p.131 explicitly lists this taxon in the named group(s); printed and accepted names checked against WoRMS.</t>
        </is>
      </c>
    </row>
    <row r="319">
      <c r="A319" t="inlineStr">
        <is>
          <t>Bivalvia</t>
        </is>
      </c>
      <c r="B319" t="inlineStr">
        <is>
          <t>Clams</t>
        </is>
      </c>
      <c r="C319" t="inlineStr">
        <is>
          <t>Other demersal invertebrates</t>
        </is>
      </c>
      <c r="D319" t="inlineStr">
        <is>
          <t>Molluscs</t>
        </is>
      </c>
      <c r="E319" s="7" t="inlineStr">
        <is>
          <t>Benthos</t>
        </is>
      </c>
      <c r="F319" t="inlineStr"/>
      <c r="G319" t="inlineStr"/>
      <c r="H319" t="inlineStr">
        <is>
          <t>high</t>
        </is>
      </c>
      <c r="I319" t="inlineStr">
        <is>
          <t>taxonomic_containment</t>
        </is>
      </c>
      <c r="J319" t="n">
        <v>57.224</v>
      </c>
      <c r="K319" t="n">
        <v>0</v>
      </c>
      <c r="L319" s="6" t="inlineStr">
        <is>
          <t>Non-cephalopod benthic molluscs and echinoderms are explicitly included in Benthos on p.126.</t>
        </is>
      </c>
    </row>
    <row r="320">
      <c r="A320" t="inlineStr">
        <is>
          <t>Caranx bartholomaei</t>
        </is>
      </c>
      <c r="B320" t="inlineStr">
        <is>
          <t>Yellow jack</t>
        </is>
      </c>
      <c r="C320" t="inlineStr">
        <is>
          <t>Medium reef assoc. fish (30 - 89 cm)</t>
        </is>
      </c>
      <c r="D320" t="inlineStr">
        <is>
          <t>Perch-likes</t>
        </is>
      </c>
      <c r="E320" s="8" t="inlineStr">
        <is>
          <t>Côtier pel L pred</t>
        </is>
      </c>
      <c r="F320" t="inlineStr"/>
      <c r="G320" t="inlineStr"/>
      <c r="H320" t="inlineStr">
        <is>
          <t>medium</t>
        </is>
      </c>
      <c r="I320" t="inlineStr">
        <is>
          <t>analogue</t>
        </is>
      </c>
      <c r="J320" t="n">
        <v>55.955</v>
      </c>
      <c r="K320" t="n">
        <v>0</v>
      </c>
      <c r="L320" s="6" t="inlineStr">
        <is>
          <t>Species not individually listed: its genus has one documented Table 6 group, supported by the catch's Medium reef assoc. fish (30 - 89 cm) class. Congeneric extension is inference.</t>
        </is>
      </c>
    </row>
    <row r="321">
      <c r="A321" t="inlineStr">
        <is>
          <t>Dasyatis marmorata</t>
        </is>
      </c>
      <c r="B321" t="inlineStr">
        <is>
          <t>Marbled stingray</t>
        </is>
      </c>
      <c r="C321" t="inlineStr">
        <is>
          <t>Small to medium rays (&lt;90 cm)</t>
        </is>
      </c>
      <c r="D321" t="inlineStr">
        <is>
          <t>Sharks &amp; rays</t>
        </is>
      </c>
      <c r="E321" s="9" t="inlineStr">
        <is>
          <t>Unresolved</t>
        </is>
      </c>
      <c r="F321" t="inlineStr"/>
      <c r="G321" t="inlineStr"/>
      <c r="H321" t="inlineStr">
        <is>
          <t>unresolved</t>
        </is>
      </c>
      <c r="I321" t="inlineStr">
        <is>
          <t>none</t>
        </is>
      </c>
      <c r="J321" t="n">
        <v>55.451</v>
      </c>
      <c r="K321" t="n">
        <v>0</v>
      </c>
      <c r="L32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22">
      <c r="A322" t="inlineStr">
        <is>
          <t>Seriola rivoliana</t>
        </is>
      </c>
      <c r="B322" t="inlineStr">
        <is>
          <t>Longfin yellowtail</t>
        </is>
      </c>
      <c r="C322" t="inlineStr">
        <is>
          <t>Large benthopelagics (&gt;=90 cm)</t>
        </is>
      </c>
      <c r="D322" t="inlineStr">
        <is>
          <t>Perch-likes</t>
        </is>
      </c>
      <c r="E322" s="8" t="inlineStr">
        <is>
          <t>Côtier pel L pred</t>
        </is>
      </c>
      <c r="F322" t="inlineStr"/>
      <c r="G322" t="inlineStr"/>
      <c r="H322" t="inlineStr">
        <is>
          <t>medium</t>
        </is>
      </c>
      <c r="I322" t="inlineStr">
        <is>
          <t>analogue</t>
        </is>
      </c>
      <c r="J322" t="n">
        <v>51.117</v>
      </c>
      <c r="K322" t="n">
        <v>0</v>
      </c>
      <c r="L322" s="6" t="inlineStr">
        <is>
          <t>Species not individually listed: its genus has one documented Table 6 group, supported by the catch's Large benthopelagics (&gt;=90 cm) class. Congeneric extension is inference.</t>
        </is>
      </c>
    </row>
    <row r="323">
      <c r="A323" t="inlineStr">
        <is>
          <t>Oblada melanurus</t>
        </is>
      </c>
      <c r="B323" t="inlineStr">
        <is>
          <t>Saddled seabream</t>
        </is>
      </c>
      <c r="C323" t="inlineStr">
        <is>
          <t>Small benthopelagics (&lt;30 cm)</t>
        </is>
      </c>
      <c r="D323" t="inlineStr">
        <is>
          <t>Perch-likes</t>
        </is>
      </c>
      <c r="E323" s="7" t="inlineStr">
        <is>
          <t>Côtier S inv</t>
        </is>
      </c>
      <c r="F323" t="inlineStr"/>
      <c r="G323" t="inlineStr"/>
      <c r="H323" t="inlineStr">
        <is>
          <t>high</t>
        </is>
      </c>
      <c r="I323" t="inlineStr">
        <is>
          <t>explicit_member</t>
        </is>
      </c>
      <c r="J323" t="n">
        <v>45.842</v>
      </c>
      <c r="K323" t="n">
        <v>0</v>
      </c>
      <c r="L323" s="6" t="inlineStr">
        <is>
          <t>Guénette &amp; Diallo 2004 Table 6 p.131 explicitly lists this taxon in the named group(s); printed and accepted names checked against WoRMS.</t>
        </is>
      </c>
    </row>
    <row r="324">
      <c r="A324" t="inlineStr">
        <is>
          <t>Carcharhiniformes</t>
        </is>
      </c>
      <c r="B324" t="inlineStr">
        <is>
          <t>Ground sharks</t>
        </is>
      </c>
      <c r="C324" t="inlineStr">
        <is>
          <t>Large sharks (&gt;=90 cm)</t>
        </is>
      </c>
      <c r="D324" t="inlineStr">
        <is>
          <t>Sharks &amp; rays</t>
        </is>
      </c>
      <c r="E324" s="9" t="inlineStr">
        <is>
          <t>Unresolved</t>
        </is>
      </c>
      <c r="F324" t="inlineStr"/>
      <c r="G324" t="inlineStr"/>
      <c r="H324" t="inlineStr">
        <is>
          <t>unresolved</t>
        </is>
      </c>
      <c r="I324" t="inlineStr">
        <is>
          <t>none</t>
        </is>
      </c>
      <c r="J324" t="n">
        <v>39.739</v>
      </c>
      <c r="K324" t="n">
        <v>0</v>
      </c>
      <c r="L32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25">
      <c r="A325" t="inlineStr">
        <is>
          <t>Promethichthys prometheus</t>
        </is>
      </c>
      <c r="B325" t="inlineStr">
        <is>
          <t>Roudi escolar</t>
        </is>
      </c>
      <c r="C325" t="inlineStr">
        <is>
          <t>Large benthopelagics (&gt;=90 cm)</t>
        </is>
      </c>
      <c r="D325" t="inlineStr">
        <is>
          <t>Perch-likes</t>
        </is>
      </c>
      <c r="E325" s="9" t="inlineStr">
        <is>
          <t>Unresolved</t>
        </is>
      </c>
      <c r="F325" t="inlineStr"/>
      <c r="G325" t="inlineStr"/>
      <c r="H325" t="inlineStr">
        <is>
          <t>unresolved</t>
        </is>
      </c>
      <c r="I325" t="inlineStr">
        <is>
          <t>none</t>
        </is>
      </c>
      <c r="J325" t="n">
        <v>38.265</v>
      </c>
      <c r="K325" t="n">
        <v>0</v>
      </c>
      <c r="L32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6">
      <c r="A326" t="inlineStr">
        <is>
          <t>Miscellaneous aquatic invertebrates</t>
        </is>
      </c>
      <c r="B326" t="inlineStr">
        <is>
          <t>Aquatic invertebrates</t>
        </is>
      </c>
      <c r="C326" t="inlineStr">
        <is>
          <t>Other demersal invertebrates</t>
        </is>
      </c>
      <c r="D326" t="inlineStr">
        <is>
          <t>Other fishes &amp; inverts</t>
        </is>
      </c>
      <c r="E326" s="5" t="inlineStr">
        <is>
          <t>Céphalopodes | Crustacés | Benthos</t>
        </is>
      </c>
      <c r="F326" t="inlineStr">
        <is>
          <t>0.638 | 0.315 | 0.047</t>
        </is>
      </c>
      <c r="G326" t="inlineStr">
        <is>
          <t>catch_composition</t>
        </is>
      </c>
      <c r="H326" t="inlineStr">
        <is>
          <t>low</t>
        </is>
      </c>
      <c r="I326" t="inlineStr">
        <is>
          <t>composite_split</t>
        </is>
      </c>
      <c r="J326" t="n">
        <v>35.476</v>
      </c>
      <c r="K326" t="n">
        <v>0</v>
      </c>
      <c r="L326" s="6" t="inlineStr">
        <is>
          <t>Unspecified invertebrates span the three source-defined nonplankton invertebrate compartments; catch does not document its composition.</t>
        </is>
      </c>
    </row>
    <row r="327">
      <c r="A327" t="inlineStr">
        <is>
          <t>Schedophilus ovalis</t>
        </is>
      </c>
      <c r="B327" t="inlineStr">
        <is>
          <t>Imperial blackfish</t>
        </is>
      </c>
      <c r="C327" t="inlineStr">
        <is>
          <t>Medium demersals (30 - 89 cm)</t>
        </is>
      </c>
      <c r="D327" t="inlineStr">
        <is>
          <t>Perch-likes</t>
        </is>
      </c>
      <c r="E327" s="9" t="inlineStr">
        <is>
          <t>Unresolved</t>
        </is>
      </c>
      <c r="F327" t="inlineStr"/>
      <c r="G327" t="inlineStr"/>
      <c r="H327" t="inlineStr">
        <is>
          <t>unresolved</t>
        </is>
      </c>
      <c r="I327" t="inlineStr">
        <is>
          <t>none</t>
        </is>
      </c>
      <c r="J327" t="n">
        <v>33.95</v>
      </c>
      <c r="K327" t="n">
        <v>0</v>
      </c>
      <c r="L32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8">
      <c r="A328" t="inlineStr">
        <is>
          <t>Pseudocaranx dentex</t>
        </is>
      </c>
      <c r="B328" t="inlineStr">
        <is>
          <t>White trevally</t>
        </is>
      </c>
      <c r="C328" t="inlineStr">
        <is>
          <t>Large reef assoc. fish (&gt;=90 cm)</t>
        </is>
      </c>
      <c r="D328" t="inlineStr">
        <is>
          <t>Perch-likes</t>
        </is>
      </c>
      <c r="E328" s="9" t="inlineStr">
        <is>
          <t>Unresolved</t>
        </is>
      </c>
      <c r="F328" t="inlineStr"/>
      <c r="G328" t="inlineStr"/>
      <c r="H328" t="inlineStr">
        <is>
          <t>unresolved</t>
        </is>
      </c>
      <c r="I328" t="inlineStr">
        <is>
          <t>none</t>
        </is>
      </c>
      <c r="J328" t="n">
        <v>30.464</v>
      </c>
      <c r="K328" t="n">
        <v>0</v>
      </c>
      <c r="L32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9">
      <c r="A329" t="inlineStr">
        <is>
          <t>Dentex maroccanus</t>
        </is>
      </c>
      <c r="B329" t="inlineStr">
        <is>
          <t>Morocco dentex</t>
        </is>
      </c>
      <c r="C329" t="inlineStr">
        <is>
          <t>Medium demersals (30 - 89 cm)</t>
        </is>
      </c>
      <c r="D329" t="inlineStr">
        <is>
          <t>Perch-likes</t>
        </is>
      </c>
      <c r="E329" s="7" t="inlineStr">
        <is>
          <t>Dem M pred</t>
        </is>
      </c>
      <c r="F329" t="inlineStr"/>
      <c r="G329" t="inlineStr"/>
      <c r="H329" t="inlineStr">
        <is>
          <t>high</t>
        </is>
      </c>
      <c r="I329" t="inlineStr">
        <is>
          <t>explicit_member</t>
        </is>
      </c>
      <c r="J329" t="n">
        <v>26.785</v>
      </c>
      <c r="K329" t="n">
        <v>0</v>
      </c>
      <c r="L329" s="6" t="inlineStr">
        <is>
          <t>Guénette &amp; Diallo 2004 Table 6 p.131 explicitly lists this taxon in the named group(s); printed and accepted names checked against WoRMS.</t>
        </is>
      </c>
    </row>
    <row r="330">
      <c r="A330" t="inlineStr">
        <is>
          <t>Rachycentridae</t>
        </is>
      </c>
      <c r="B330" t="inlineStr">
        <is>
          <t>Cobias</t>
        </is>
      </c>
      <c r="C330" t="inlineStr">
        <is>
          <t>Large pelagics (&gt;=90 cm)</t>
        </is>
      </c>
      <c r="D330" t="inlineStr">
        <is>
          <t>Perch-likes</t>
        </is>
      </c>
      <c r="E330" s="8" t="inlineStr">
        <is>
          <t>Côtier pel L pred</t>
        </is>
      </c>
      <c r="F330" t="inlineStr"/>
      <c r="G330" t="inlineStr"/>
      <c r="H330" t="inlineStr">
        <is>
          <t>medium</t>
        </is>
      </c>
      <c r="I330" t="inlineStr">
        <is>
          <t>taxonomic_containment</t>
        </is>
      </c>
      <c r="J330" t="n">
        <v>25.052</v>
      </c>
      <c r="K330" t="n">
        <v>0</v>
      </c>
      <c r="L330" s="6" t="inlineStr">
        <is>
          <t>Family catch spans the union of all Table 6 member groups belonging to Rachycentridae under WoRMS. Every candidate is supported by a source member; source placement outranks SAU habitat class.</t>
        </is>
      </c>
    </row>
    <row r="331">
      <c r="A331" t="inlineStr">
        <is>
          <t>Lamnidae</t>
        </is>
      </c>
      <c r="B331" t="inlineStr">
        <is>
          <t>Mackerel/white sharks</t>
        </is>
      </c>
      <c r="C331" t="inlineStr">
        <is>
          <t>Large sharks (&gt;=90 cm)</t>
        </is>
      </c>
      <c r="D331" t="inlineStr">
        <is>
          <t>Sharks &amp; rays</t>
        </is>
      </c>
      <c r="E331" s="8" t="inlineStr">
        <is>
          <t>Sélaciens L prof</t>
        </is>
      </c>
      <c r="F331" t="inlineStr"/>
      <c r="G331" t="inlineStr"/>
      <c r="H331" t="inlineStr">
        <is>
          <t>medium</t>
        </is>
      </c>
      <c r="I331" t="inlineStr">
        <is>
          <t>taxonomic_containment</t>
        </is>
      </c>
      <c r="J331" t="n">
        <v>24.614</v>
      </c>
      <c r="K331" t="n">
        <v>0</v>
      </c>
      <c r="L331" s="6" t="inlineStr">
        <is>
          <t>Family catch spans the union of all Table 6 member groups belonging to Lamnidae under WoRMS. Every candidate is supported by a source member; source placement outranks SAU habitat class.</t>
        </is>
      </c>
    </row>
    <row r="332">
      <c r="A332" t="inlineStr">
        <is>
          <t>Sarda</t>
        </is>
      </c>
      <c r="B332" t="inlineStr">
        <is>
          <t>Bonitos</t>
        </is>
      </c>
      <c r="C332" t="inlineStr">
        <is>
          <t>Large pelagics (&gt;=90 cm)</t>
        </is>
      </c>
      <c r="D332" t="inlineStr">
        <is>
          <t>Tuna &amp; billfishes</t>
        </is>
      </c>
      <c r="E332" s="8" t="inlineStr">
        <is>
          <t>Thons mineurs</t>
        </is>
      </c>
      <c r="F332" t="inlineStr"/>
      <c r="G332" t="inlineStr"/>
      <c r="H332" t="inlineStr">
        <is>
          <t>medium</t>
        </is>
      </c>
      <c r="I332" t="inlineStr">
        <is>
          <t>taxonomic_containment</t>
        </is>
      </c>
      <c r="J332" t="n">
        <v>21.889</v>
      </c>
      <c r="K332" t="n">
        <v>0</v>
      </c>
      <c r="L332" s="6" t="inlineStr">
        <is>
          <t>Genus-level catch spans exactly the Table 6 groups containing its documented species. No habitat class overrides those placements.</t>
        </is>
      </c>
    </row>
    <row r="333">
      <c r="A333" t="inlineStr">
        <is>
          <t>Isurus</t>
        </is>
      </c>
      <c r="B333" t="inlineStr">
        <is>
          <t>Mako sharks</t>
        </is>
      </c>
      <c r="C333" t="inlineStr">
        <is>
          <t>Large sharks (&gt;=90 cm)</t>
        </is>
      </c>
      <c r="D333" t="inlineStr">
        <is>
          <t>Sharks &amp; rays</t>
        </is>
      </c>
      <c r="E333" s="8" t="inlineStr">
        <is>
          <t>Sélaciens L prof</t>
        </is>
      </c>
      <c r="F333" t="inlineStr"/>
      <c r="G333" t="inlineStr"/>
      <c r="H333" t="inlineStr">
        <is>
          <t>medium</t>
        </is>
      </c>
      <c r="I333" t="inlineStr">
        <is>
          <t>taxonomic_containment</t>
        </is>
      </c>
      <c r="J333" t="n">
        <v>20.731</v>
      </c>
      <c r="K333" t="n">
        <v>0</v>
      </c>
      <c r="L333" s="6" t="inlineStr">
        <is>
          <t>Genus-level catch spans exactly the Table 6 groups containing its documented species. No habitat class overrides those placements.</t>
        </is>
      </c>
    </row>
    <row r="334">
      <c r="A334" t="inlineStr">
        <is>
          <t>Lophius</t>
        </is>
      </c>
      <c r="B334" t="inlineStr">
        <is>
          <t>Frogfishes</t>
        </is>
      </c>
      <c r="C334" t="inlineStr">
        <is>
          <t>Medium bathydemersals (30 - 89 cm)</t>
        </is>
      </c>
      <c r="D334" t="inlineStr">
        <is>
          <t>Other fishes &amp; inverts</t>
        </is>
      </c>
      <c r="E334" s="8" t="inlineStr">
        <is>
          <t>Bathy L pred</t>
        </is>
      </c>
      <c r="F334" t="inlineStr"/>
      <c r="G334" t="inlineStr"/>
      <c r="H334" t="inlineStr">
        <is>
          <t>medium</t>
        </is>
      </c>
      <c r="I334" t="inlineStr">
        <is>
          <t>taxonomic_containment</t>
        </is>
      </c>
      <c r="J334" t="n">
        <v>15.601</v>
      </c>
      <c r="K334" t="n">
        <v>0</v>
      </c>
      <c r="L334" s="6" t="inlineStr">
        <is>
          <t>Genus-level catch spans exactly the Table 6 groups containing its documented species. No habitat class overrides those placements.</t>
        </is>
      </c>
    </row>
    <row r="335">
      <c r="A335" t="inlineStr">
        <is>
          <t>Hoplostethus atlanticus</t>
        </is>
      </c>
      <c r="B335" t="inlineStr">
        <is>
          <t>Orange roughy</t>
        </is>
      </c>
      <c r="C335" t="inlineStr">
        <is>
          <t>Medium bathypelagics (30 - 89 cm)</t>
        </is>
      </c>
      <c r="D335" t="inlineStr">
        <is>
          <t>Other fishes &amp; inverts</t>
        </is>
      </c>
      <c r="E335" s="8" t="inlineStr">
        <is>
          <t>Bathy L pred</t>
        </is>
      </c>
      <c r="F335" t="inlineStr"/>
      <c r="G335" t="inlineStr"/>
      <c r="H335" t="inlineStr">
        <is>
          <t>medium</t>
        </is>
      </c>
      <c r="I335" t="inlineStr">
        <is>
          <t>analogue</t>
        </is>
      </c>
      <c r="J335" t="n">
        <v>13.538</v>
      </c>
      <c r="K335" t="n">
        <v>0</v>
      </c>
      <c r="L335" s="6" t="inlineStr">
        <is>
          <t>Species not individually listed: its genus has one documented Table 6 group, supported by the catch's Medium bathypelagics (30 - 89 cm) class. Congeneric extension is inference.</t>
        </is>
      </c>
    </row>
    <row r="336">
      <c r="A336" t="inlineStr">
        <is>
          <t>Serranus</t>
        </is>
      </c>
      <c r="B336" t="inlineStr">
        <is>
          <t>Groupers</t>
        </is>
      </c>
      <c r="C336" t="inlineStr">
        <is>
          <t>Small reef assoc. fish (&lt;30 cm)</t>
        </is>
      </c>
      <c r="D336" t="inlineStr">
        <is>
          <t>Perch-likes</t>
        </is>
      </c>
      <c r="E336" s="8" t="inlineStr">
        <is>
          <t>Dem M pred</t>
        </is>
      </c>
      <c r="F336" t="inlineStr"/>
      <c r="G336" t="inlineStr"/>
      <c r="H336" t="inlineStr">
        <is>
          <t>medium</t>
        </is>
      </c>
      <c r="I336" t="inlineStr">
        <is>
          <t>taxonomic_containment</t>
        </is>
      </c>
      <c r="J336" t="n">
        <v>11.48</v>
      </c>
      <c r="K336" t="n">
        <v>0</v>
      </c>
      <c r="L336" s="6" t="inlineStr">
        <is>
          <t>Genus-level catch spans exactly the Table 6 groups containing its documented species. No habitat class overrides those placements.</t>
        </is>
      </c>
    </row>
    <row r="337">
      <c r="A337" t="inlineStr">
        <is>
          <t>Sebastidae</t>
        </is>
      </c>
      <c r="B337" t="inlineStr">
        <is>
          <t>Rockfishes, rockcods, thornyheads</t>
        </is>
      </c>
      <c r="C337" t="inlineStr">
        <is>
          <t>Medium demersals (30 - 89 cm)</t>
        </is>
      </c>
      <c r="D337" t="inlineStr">
        <is>
          <t>Scorpionfishes</t>
        </is>
      </c>
      <c r="E337" s="8" t="inlineStr">
        <is>
          <t>Bathy L pred</t>
        </is>
      </c>
      <c r="F337" t="inlineStr"/>
      <c r="G337" t="inlineStr"/>
      <c r="H337" t="inlineStr">
        <is>
          <t>medium</t>
        </is>
      </c>
      <c r="I337" t="inlineStr">
        <is>
          <t>taxonomic_containment</t>
        </is>
      </c>
      <c r="J337" t="n">
        <v>11.345</v>
      </c>
      <c r="K337" t="n">
        <v>0</v>
      </c>
      <c r="L337" s="6" t="inlineStr">
        <is>
          <t>Family catch spans the union of all Table 6 member groups belonging to Sebastidae under WoRMS. Every candidate is supported by a source member; source placement outranks SAU habitat class.</t>
        </is>
      </c>
    </row>
    <row r="338">
      <c r="A338" t="inlineStr">
        <is>
          <t>Serranus cabrilla</t>
        </is>
      </c>
      <c r="B338" t="inlineStr">
        <is>
          <t>Comber</t>
        </is>
      </c>
      <c r="C338" t="inlineStr">
        <is>
          <t>Medium bathydemersals (30 - 89 cm)</t>
        </is>
      </c>
      <c r="D338" t="inlineStr">
        <is>
          <t>Perch-likes</t>
        </is>
      </c>
      <c r="E338" s="7" t="inlineStr">
        <is>
          <t>Dem M pred</t>
        </is>
      </c>
      <c r="F338" t="inlineStr"/>
      <c r="G338" t="inlineStr"/>
      <c r="H338" t="inlineStr">
        <is>
          <t>high</t>
        </is>
      </c>
      <c r="I338" t="inlineStr">
        <is>
          <t>explicit_member</t>
        </is>
      </c>
      <c r="J338" t="n">
        <v>10.806</v>
      </c>
      <c r="K338" t="n">
        <v>0</v>
      </c>
      <c r="L338" s="6" t="inlineStr">
        <is>
          <t>Guénette &amp; Diallo 2004 Table 6 p.131 explicitly lists this taxon in the named group(s); printed and accepted names checked against WoRMS.</t>
        </is>
      </c>
    </row>
    <row r="339">
      <c r="A339" t="inlineStr">
        <is>
          <t>Diplodus sargus</t>
        </is>
      </c>
      <c r="B339" t="inlineStr">
        <is>
          <t>White seabream</t>
        </is>
      </c>
      <c r="C339" t="inlineStr">
        <is>
          <t>Medium demersals (30 - 89 cm)</t>
        </is>
      </c>
      <c r="D339" t="inlineStr">
        <is>
          <t>Perch-likes</t>
        </is>
      </c>
      <c r="E339" s="8" t="inlineStr">
        <is>
          <t>Côtier M inv</t>
        </is>
      </c>
      <c r="F339" t="inlineStr"/>
      <c r="G339" t="inlineStr"/>
      <c r="H339" t="inlineStr">
        <is>
          <t>medium</t>
        </is>
      </c>
      <c r="I339" t="inlineStr">
        <is>
          <t>analogue</t>
        </is>
      </c>
      <c r="J339" t="n">
        <v>10.196</v>
      </c>
      <c r="K339" t="n">
        <v>0</v>
      </c>
      <c r="L339" s="6" t="inlineStr">
        <is>
          <t>Species not individually listed: its genus has one documented Table 6 group, supported by the catch's Medium demersals (30 - 89 cm) class. Congeneric extension is inference.</t>
        </is>
      </c>
    </row>
    <row r="340">
      <c r="A340" t="inlineStr">
        <is>
          <t>Deania calceus</t>
        </is>
      </c>
      <c r="B340" t="inlineStr">
        <is>
          <t>Birdbeak dogfish</t>
        </is>
      </c>
      <c r="C340" t="inlineStr">
        <is>
          <t>Large sharks (&gt;=90 cm)</t>
        </is>
      </c>
      <c r="D340" t="inlineStr">
        <is>
          <t>Sharks &amp; rays</t>
        </is>
      </c>
      <c r="E340" s="9" t="inlineStr">
        <is>
          <t>Unresolved</t>
        </is>
      </c>
      <c r="F340" t="inlineStr"/>
      <c r="G340" t="inlineStr"/>
      <c r="H340" t="inlineStr">
        <is>
          <t>unresolved</t>
        </is>
      </c>
      <c r="I340" t="inlineStr">
        <is>
          <t>none</t>
        </is>
      </c>
      <c r="J340" t="n">
        <v>10.112</v>
      </c>
      <c r="K340" t="n">
        <v>0</v>
      </c>
      <c r="L34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1">
      <c r="A341" t="inlineStr">
        <is>
          <t>Lamniformes</t>
        </is>
      </c>
      <c r="B341" t="inlineStr">
        <is>
          <t>Mackerel sharks</t>
        </is>
      </c>
      <c r="C341" t="inlineStr">
        <is>
          <t>Large sharks (&gt;=90 cm)</t>
        </is>
      </c>
      <c r="D341" t="inlineStr">
        <is>
          <t>Sharks &amp; rays</t>
        </is>
      </c>
      <c r="E341" s="9" t="inlineStr">
        <is>
          <t>Unresolved</t>
        </is>
      </c>
      <c r="F341" t="inlineStr"/>
      <c r="G341" t="inlineStr"/>
      <c r="H341" t="inlineStr">
        <is>
          <t>unresolved</t>
        </is>
      </c>
      <c r="I341" t="inlineStr">
        <is>
          <t>none</t>
        </is>
      </c>
      <c r="J341" t="n">
        <v>9.935</v>
      </c>
      <c r="K341" t="n">
        <v>0</v>
      </c>
      <c r="L34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2">
      <c r="A342" t="inlineStr">
        <is>
          <t>Dicologlossa hexophthalma</t>
        </is>
      </c>
      <c r="B342" t="inlineStr">
        <is>
          <t>Ocellated wedge sole</t>
        </is>
      </c>
      <c r="C342" t="inlineStr">
        <is>
          <t>Small to medium flatfishes (&lt;90 cm)</t>
        </is>
      </c>
      <c r="D342" t="inlineStr">
        <is>
          <t>Flatfishes</t>
        </is>
      </c>
      <c r="E342" s="7" t="inlineStr">
        <is>
          <t>Côtier M inv</t>
        </is>
      </c>
      <c r="F342" t="inlineStr"/>
      <c r="G342" t="inlineStr"/>
      <c r="H342" t="inlineStr">
        <is>
          <t>high</t>
        </is>
      </c>
      <c r="I342" t="inlineStr">
        <is>
          <t>explicit_member</t>
        </is>
      </c>
      <c r="J342" t="n">
        <v>9.268000000000001</v>
      </c>
      <c r="K342" t="n">
        <v>0</v>
      </c>
      <c r="L342" s="6" t="inlineStr">
        <is>
          <t>Guénette &amp; Diallo 2004 Table 6 p.131 explicitly lists this taxon in the named group(s); printed and accepted names checked against WoRMS.</t>
        </is>
      </c>
    </row>
    <row r="343">
      <c r="A343" t="inlineStr">
        <is>
          <t>Carcharhinus longimanus</t>
        </is>
      </c>
      <c r="B343" t="inlineStr">
        <is>
          <t>Oceanic whitetip shark</t>
        </is>
      </c>
      <c r="C343" t="inlineStr">
        <is>
          <t>Large sharks (&gt;=90 cm)</t>
        </is>
      </c>
      <c r="D343" t="inlineStr">
        <is>
          <t>Sharks &amp; rays</t>
        </is>
      </c>
      <c r="E343" s="7" t="inlineStr">
        <is>
          <t>Sélaciens L prof</t>
        </is>
      </c>
      <c r="F343" t="inlineStr"/>
      <c r="G343" t="inlineStr"/>
      <c r="H343" t="inlineStr">
        <is>
          <t>high</t>
        </is>
      </c>
      <c r="I343" t="inlineStr">
        <is>
          <t>explicit_member</t>
        </is>
      </c>
      <c r="J343" t="n">
        <v>8.884</v>
      </c>
      <c r="K343" t="n">
        <v>0</v>
      </c>
      <c r="L343" s="6" t="inlineStr">
        <is>
          <t>Guénette &amp; Diallo 2004 Table 6 p.131 explicitly lists this taxon in the named group(s); printed and accepted names checked against WoRMS.</t>
        </is>
      </c>
    </row>
    <row r="344">
      <c r="A344" t="inlineStr">
        <is>
          <t>Centroscyllium fabricii</t>
        </is>
      </c>
      <c r="B344" t="inlineStr">
        <is>
          <t>Black dogfish</t>
        </is>
      </c>
      <c r="C344" t="inlineStr">
        <is>
          <t>Small to medium sharks (&lt;90 cm)</t>
        </is>
      </c>
      <c r="D344" t="inlineStr">
        <is>
          <t>Sharks &amp; rays</t>
        </is>
      </c>
      <c r="E344" s="9" t="inlineStr">
        <is>
          <t>Unresolved</t>
        </is>
      </c>
      <c r="F344" t="inlineStr"/>
      <c r="G344" t="inlineStr"/>
      <c r="H344" t="inlineStr">
        <is>
          <t>unresolved</t>
        </is>
      </c>
      <c r="I344" t="inlineStr">
        <is>
          <t>none</t>
        </is>
      </c>
      <c r="J344" t="n">
        <v>8.452</v>
      </c>
      <c r="K344" t="n">
        <v>0</v>
      </c>
      <c r="L34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5">
      <c r="A345" t="inlineStr">
        <is>
          <t>Liza</t>
        </is>
      </c>
      <c r="B345" t="inlineStr">
        <is>
          <t>Mullets</t>
        </is>
      </c>
      <c r="C345" t="inlineStr">
        <is>
          <t>Medium pelagics (30 - 89 cm)</t>
        </is>
      </c>
      <c r="D345" t="inlineStr">
        <is>
          <t>Perch-likes</t>
        </is>
      </c>
      <c r="E345" s="8" t="inlineStr">
        <is>
          <t>Mulets</t>
        </is>
      </c>
      <c r="F345" t="inlineStr"/>
      <c r="G345" t="inlineStr"/>
      <c r="H345" t="inlineStr">
        <is>
          <t>medium</t>
        </is>
      </c>
      <c r="I345" t="inlineStr">
        <is>
          <t>taxonomic_containment</t>
        </is>
      </c>
      <c r="J345" t="n">
        <v>7.908</v>
      </c>
      <c r="K345" t="n">
        <v>0</v>
      </c>
      <c r="L345" s="6" t="inlineStr">
        <is>
          <t>Genus-level catch spans exactly the Table 6 groups containing its documented species. No habitat class overrides those placements.</t>
        </is>
      </c>
    </row>
    <row r="346">
      <c r="A346" t="inlineStr">
        <is>
          <t>Alepisaurus ferox</t>
        </is>
      </c>
      <c r="B346" t="inlineStr">
        <is>
          <t>Long snouted lancetfish</t>
        </is>
      </c>
      <c r="C346" t="inlineStr">
        <is>
          <t>Large bathypelagics (&gt;=90 cm)</t>
        </is>
      </c>
      <c r="D346" t="inlineStr">
        <is>
          <t>Other fishes &amp; inverts</t>
        </is>
      </c>
      <c r="E346" s="9" t="inlineStr">
        <is>
          <t>Unresolved</t>
        </is>
      </c>
      <c r="F346" t="inlineStr"/>
      <c r="G346" t="inlineStr"/>
      <c r="H346" t="inlineStr">
        <is>
          <t>unresolved</t>
        </is>
      </c>
      <c r="I346" t="inlineStr">
        <is>
          <t>none</t>
        </is>
      </c>
      <c r="J346" t="n">
        <v>7.172</v>
      </c>
      <c r="K346" t="n">
        <v>0</v>
      </c>
      <c r="L346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7">
      <c r="A347" t="inlineStr">
        <is>
          <t>Dicentrarchus</t>
        </is>
      </c>
      <c r="B347" t="inlineStr">
        <is>
          <t>Seabasses</t>
        </is>
      </c>
      <c r="C347" t="inlineStr">
        <is>
          <t>Large demersals (&gt;=90 cm)</t>
        </is>
      </c>
      <c r="D347" t="inlineStr">
        <is>
          <t>Perch-likes</t>
        </is>
      </c>
      <c r="E347" s="9" t="inlineStr">
        <is>
          <t>Unresolved</t>
        </is>
      </c>
      <c r="F347" t="inlineStr"/>
      <c r="G347" t="inlineStr"/>
      <c r="H347" t="inlineStr">
        <is>
          <t>unresolved</t>
        </is>
      </c>
      <c r="I347" t="inlineStr">
        <is>
          <t>none</t>
        </is>
      </c>
      <c r="J347" t="n">
        <v>6.756</v>
      </c>
      <c r="K347" t="n">
        <v>0</v>
      </c>
      <c r="L34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8">
      <c r="A348" t="inlineStr">
        <is>
          <t>Gephyroberyx darwinii</t>
        </is>
      </c>
      <c r="B348" t="inlineStr">
        <is>
          <t>Darwin's slimehead</t>
        </is>
      </c>
      <c r="C348" t="inlineStr">
        <is>
          <t>Medium benthopelagics (30 - 89 cm)</t>
        </is>
      </c>
      <c r="D348" t="inlineStr">
        <is>
          <t>Other fishes &amp; inverts</t>
        </is>
      </c>
      <c r="E348" s="9" t="inlineStr">
        <is>
          <t>Unresolved</t>
        </is>
      </c>
      <c r="F348" t="inlineStr"/>
      <c r="G348" t="inlineStr"/>
      <c r="H348" t="inlineStr">
        <is>
          <t>unresolved</t>
        </is>
      </c>
      <c r="I348" t="inlineStr">
        <is>
          <t>none</t>
        </is>
      </c>
      <c r="J348" t="n">
        <v>6.187</v>
      </c>
      <c r="K348" t="n">
        <v>0</v>
      </c>
      <c r="L34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9">
      <c r="A349" t="inlineStr">
        <is>
          <t>Aphanopus intermedius</t>
        </is>
      </c>
      <c r="B349" t="inlineStr">
        <is>
          <t>Intermediate scabbardfish</t>
        </is>
      </c>
      <c r="C349" t="inlineStr">
        <is>
          <t>Large benthopelagics (&gt;=90 cm)</t>
        </is>
      </c>
      <c r="D349" t="inlineStr">
        <is>
          <t>Perch-likes</t>
        </is>
      </c>
      <c r="E349" s="9" t="inlineStr">
        <is>
          <t>Unresolved</t>
        </is>
      </c>
      <c r="F349" t="inlineStr"/>
      <c r="G349" t="inlineStr"/>
      <c r="H349" t="inlineStr">
        <is>
          <t>unresolved</t>
        </is>
      </c>
      <c r="I349" t="inlineStr">
        <is>
          <t>none</t>
        </is>
      </c>
      <c r="J349" t="n">
        <v>6.182</v>
      </c>
      <c r="K349" t="n">
        <v>0</v>
      </c>
      <c r="L349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0">
      <c r="A350" t="inlineStr">
        <is>
          <t>Parapristipoma octolineatum</t>
        </is>
      </c>
      <c r="B350" t="inlineStr">
        <is>
          <t>African striped grunt</t>
        </is>
      </c>
      <c r="C350" t="inlineStr">
        <is>
          <t>Medium demersals (30 - 89 cm)</t>
        </is>
      </c>
      <c r="D350" t="inlineStr">
        <is>
          <t>Perch-likes</t>
        </is>
      </c>
      <c r="E350" s="9" t="inlineStr">
        <is>
          <t>Unresolved</t>
        </is>
      </c>
      <c r="F350" t="inlineStr"/>
      <c r="G350" t="inlineStr"/>
      <c r="H350" t="inlineStr">
        <is>
          <t>unresolved</t>
        </is>
      </c>
      <c r="I350" t="inlineStr">
        <is>
          <t>none</t>
        </is>
      </c>
      <c r="J350" t="n">
        <v>6.052</v>
      </c>
      <c r="K350" t="n">
        <v>0</v>
      </c>
      <c r="L35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1">
      <c r="A351" t="inlineStr">
        <is>
          <t>Priacanthidae</t>
        </is>
      </c>
      <c r="B351" t="inlineStr">
        <is>
          <t>Bigeyes, catalufas</t>
        </is>
      </c>
      <c r="C351" t="inlineStr">
        <is>
          <t>Medium reef assoc. fish (30 - 89 cm)</t>
        </is>
      </c>
      <c r="D351" t="inlineStr">
        <is>
          <t>Perch-likes</t>
        </is>
      </c>
      <c r="E351" s="8" t="inlineStr">
        <is>
          <t>Dem M pred</t>
        </is>
      </c>
      <c r="F351" t="inlineStr"/>
      <c r="G351" t="inlineStr"/>
      <c r="H351" t="inlineStr">
        <is>
          <t>medium</t>
        </is>
      </c>
      <c r="I351" t="inlineStr">
        <is>
          <t>taxonomic_containment</t>
        </is>
      </c>
      <c r="J351" t="n">
        <v>5.545</v>
      </c>
      <c r="K351" t="n">
        <v>0</v>
      </c>
      <c r="L351" s="6" t="inlineStr">
        <is>
          <t>Family catch spans the union of all Table 6 member groups belonging to Priacanthidae under WoRMS. Every candidate is supported by a source member; source placement outranks SAU habitat class.</t>
        </is>
      </c>
    </row>
    <row r="352">
      <c r="A352" t="inlineStr">
        <is>
          <t>Psettodes bennettii</t>
        </is>
      </c>
      <c r="B352" t="inlineStr">
        <is>
          <t>Spiny turbot</t>
        </is>
      </c>
      <c r="C352" t="inlineStr">
        <is>
          <t>Small to medium flatfishes (&lt;90 cm)</t>
        </is>
      </c>
      <c r="D352" t="inlineStr">
        <is>
          <t>Flatfishes</t>
        </is>
      </c>
      <c r="E352" s="8" t="inlineStr">
        <is>
          <t>Côtier L pred</t>
        </is>
      </c>
      <c r="F352" t="inlineStr"/>
      <c r="G352" t="inlineStr"/>
      <c r="H352" t="inlineStr">
        <is>
          <t>medium</t>
        </is>
      </c>
      <c r="I352" t="inlineStr">
        <is>
          <t>analogue</t>
        </is>
      </c>
      <c r="J352" t="n">
        <v>4.275</v>
      </c>
      <c r="K352" t="n">
        <v>0</v>
      </c>
      <c r="L352" s="6" t="inlineStr">
        <is>
          <t>Species not individually listed: its genus has one documented Table 6 group, supported by the catch's Small to medium flatfishes (&lt;90 cm) class. Congeneric extension is inference.</t>
        </is>
      </c>
    </row>
    <row r="353">
      <c r="A353" t="inlineStr">
        <is>
          <t>Scymnodon ringens</t>
        </is>
      </c>
      <c r="B353" t="inlineStr">
        <is>
          <t>Knifetooth dogfish</t>
        </is>
      </c>
      <c r="C353" t="inlineStr">
        <is>
          <t>Small to medium sharks (&lt;90 cm)</t>
        </is>
      </c>
      <c r="D353" t="inlineStr">
        <is>
          <t>Sharks &amp; rays</t>
        </is>
      </c>
      <c r="E353" s="9" t="inlineStr">
        <is>
          <t>Unresolved</t>
        </is>
      </c>
      <c r="F353" t="inlineStr"/>
      <c r="G353" t="inlineStr"/>
      <c r="H353" t="inlineStr">
        <is>
          <t>unresolved</t>
        </is>
      </c>
      <c r="I353" t="inlineStr">
        <is>
          <t>none</t>
        </is>
      </c>
      <c r="J353" t="n">
        <v>4.231</v>
      </c>
      <c r="K353" t="n">
        <v>0</v>
      </c>
      <c r="L353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54">
      <c r="A354" t="inlineStr">
        <is>
          <t>Beryx decadactylus</t>
        </is>
      </c>
      <c r="B354" t="inlineStr">
        <is>
          <t>Alfonsino</t>
        </is>
      </c>
      <c r="C354" t="inlineStr">
        <is>
          <t>Medium bathydemersals (30 - 89 cm)</t>
        </is>
      </c>
      <c r="D354" t="inlineStr">
        <is>
          <t>Other fishes &amp; inverts</t>
        </is>
      </c>
      <c r="E354" s="9" t="inlineStr">
        <is>
          <t>Unresolved</t>
        </is>
      </c>
      <c r="F354" t="inlineStr"/>
      <c r="G354" t="inlineStr"/>
      <c r="H354" t="inlineStr">
        <is>
          <t>unresolved</t>
        </is>
      </c>
      <c r="I354" t="inlineStr">
        <is>
          <t>none</t>
        </is>
      </c>
      <c r="J354" t="n">
        <v>3.969</v>
      </c>
      <c r="K354" t="n">
        <v>0</v>
      </c>
      <c r="L35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5">
      <c r="A355" t="inlineStr">
        <is>
          <t>Squalus</t>
        </is>
      </c>
      <c r="B355" t="inlineStr">
        <is>
          <t>Dogfishes</t>
        </is>
      </c>
      <c r="C355" t="inlineStr">
        <is>
          <t>Large sharks (&gt;=90 cm)</t>
        </is>
      </c>
      <c r="D355" t="inlineStr">
        <is>
          <t>Sharks &amp; rays</t>
        </is>
      </c>
      <c r="E355" s="8" t="inlineStr">
        <is>
          <t>Sélaciens L prof | Sélaciens M prof</t>
        </is>
      </c>
      <c r="F355" t="inlineStr">
        <is>
          <t>0.810 | 0.190</t>
        </is>
      </c>
      <c r="G355" t="inlineStr">
        <is>
          <t>catch_composition</t>
        </is>
      </c>
      <c r="H355" t="inlineStr">
        <is>
          <t>medium</t>
        </is>
      </c>
      <c r="I355" t="inlineStr">
        <is>
          <t>composite_split</t>
        </is>
      </c>
      <c r="J355" t="n">
        <v>3.959</v>
      </c>
      <c r="K355" t="n">
        <v>0</v>
      </c>
      <c r="L355" s="6" t="inlineStr">
        <is>
          <t>Genus-level catch spans exactly the Table 6 groups containing its documented species. No habitat class overrides those placements.</t>
        </is>
      </c>
    </row>
    <row r="356">
      <c r="A356" t="inlineStr">
        <is>
          <t>Carcharhinus plumbeus</t>
        </is>
      </c>
      <c r="B356" t="inlineStr">
        <is>
          <t>Sandbar shark</t>
        </is>
      </c>
      <c r="C356" t="inlineStr">
        <is>
          <t>Large sharks (&gt;=90 cm)</t>
        </is>
      </c>
      <c r="D356" t="inlineStr">
        <is>
          <t>Sharks &amp; rays</t>
        </is>
      </c>
      <c r="E356" s="9" t="inlineStr">
        <is>
          <t>Unresolved</t>
        </is>
      </c>
      <c r="F356" t="inlineStr"/>
      <c r="G356" t="inlineStr"/>
      <c r="H356" t="inlineStr">
        <is>
          <t>unresolved</t>
        </is>
      </c>
      <c r="I356" t="inlineStr">
        <is>
          <t>none</t>
        </is>
      </c>
      <c r="J356" t="n">
        <v>3.219</v>
      </c>
      <c r="K356" t="n">
        <v>0</v>
      </c>
      <c r="L35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57">
      <c r="A357" t="inlineStr">
        <is>
          <t>Geryon</t>
        </is>
      </c>
      <c r="B357" t="inlineStr">
        <is>
          <t>Deepsea crabs</t>
        </is>
      </c>
      <c r="C357" t="inlineStr">
        <is>
          <t>Lobsters, crabs</t>
        </is>
      </c>
      <c r="D357" t="inlineStr">
        <is>
          <t>Crustaceans</t>
        </is>
      </c>
      <c r="E357" s="7" t="inlineStr">
        <is>
          <t>Crustacés</t>
        </is>
      </c>
      <c r="F357" t="inlineStr"/>
      <c r="G357" t="inlineStr"/>
      <c r="H357" t="inlineStr">
        <is>
          <t>high</t>
        </is>
      </c>
      <c r="I357" t="inlineStr">
        <is>
          <t>taxonomic_containment</t>
        </is>
      </c>
      <c r="J357" t="n">
        <v>2.292</v>
      </c>
      <c r="K357" t="n">
        <v>0</v>
      </c>
      <c r="L357" s="6" t="inlineStr">
        <is>
          <t>WoRMS crustacean taxonomy and SAU shrimp/crab/lobster class agree with the source Crustacés definition on p.125.</t>
        </is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s="9" t="inlineStr">
        <is>
          <t>Unresolved</t>
        </is>
      </c>
      <c r="F358" t="inlineStr"/>
      <c r="G358" t="inlineStr"/>
      <c r="H358" t="inlineStr">
        <is>
          <t>unresolved</t>
        </is>
      </c>
      <c r="I358" t="inlineStr">
        <is>
          <t>none</t>
        </is>
      </c>
      <c r="J358" t="n">
        <v>1.986</v>
      </c>
      <c r="K358" t="n">
        <v>0</v>
      </c>
      <c r="L35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9">
      <c r="A359" t="inlineStr">
        <is>
          <t>Carcharias taurus</t>
        </is>
      </c>
      <c r="B359" t="inlineStr">
        <is>
          <t>Sand tiger shark</t>
        </is>
      </c>
      <c r="C359" t="inlineStr">
        <is>
          <t>Large sharks (&gt;=90 cm)</t>
        </is>
      </c>
      <c r="D359" t="inlineStr">
        <is>
          <t>Sharks &amp; rays</t>
        </is>
      </c>
      <c r="E359" s="9" t="inlineStr">
        <is>
          <t>Unresolved</t>
        </is>
      </c>
      <c r="F359" t="inlineStr"/>
      <c r="G359" t="inlineStr"/>
      <c r="H359" t="inlineStr">
        <is>
          <t>unresolved</t>
        </is>
      </c>
      <c r="I359" t="inlineStr">
        <is>
          <t>none</t>
        </is>
      </c>
      <c r="J359" t="n">
        <v>1.311</v>
      </c>
      <c r="K359" t="n">
        <v>0</v>
      </c>
      <c r="L35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0">
      <c r="A360" t="inlineStr">
        <is>
          <t>Chimaeriformes</t>
        </is>
      </c>
      <c r="B360" t="inlineStr">
        <is>
          <t>Chimaeras</t>
        </is>
      </c>
      <c r="C360" t="inlineStr">
        <is>
          <t>Large rays (&gt;=90 cm)</t>
        </is>
      </c>
      <c r="D360" t="inlineStr">
        <is>
          <t>Sharks &amp; rays</t>
        </is>
      </c>
      <c r="E360" s="9" t="inlineStr">
        <is>
          <t>Unresolved</t>
        </is>
      </c>
      <c r="F360" t="inlineStr"/>
      <c r="G360" t="inlineStr"/>
      <c r="H360" t="inlineStr">
        <is>
          <t>unresolved</t>
        </is>
      </c>
      <c r="I360" t="inlineStr">
        <is>
          <t>none</t>
        </is>
      </c>
      <c r="J360" t="n">
        <v>0.983</v>
      </c>
      <c r="K360" t="n">
        <v>0</v>
      </c>
      <c r="L360" s="6" t="inlineStr">
        <is>
          <t>The source's four selacian groups are sharks and rays; no chimaera membership is documented.</t>
        </is>
      </c>
    </row>
    <row r="361">
      <c r="A361" t="inlineStr">
        <is>
          <t>Scyliorhinidae</t>
        </is>
      </c>
      <c r="B361" t="inlineStr">
        <is>
          <t>Cat/swellsharks</t>
        </is>
      </c>
      <c r="C361" t="inlineStr">
        <is>
          <t>Large sharks (&gt;=90 cm)</t>
        </is>
      </c>
      <c r="D361" t="inlineStr">
        <is>
          <t>Sharks &amp; rays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0.897</v>
      </c>
      <c r="K361" t="n">
        <v>0</v>
      </c>
      <c r="L36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2">
      <c r="A362" t="inlineStr">
        <is>
          <t>Epigonus telescopus</t>
        </is>
      </c>
      <c r="B362" t="inlineStr">
        <is>
          <t>Black cardinal fish</t>
        </is>
      </c>
      <c r="C362" t="inlineStr">
        <is>
          <t>Medium bathydemersals (30 - 89 cm)</t>
        </is>
      </c>
      <c r="D362" t="inlineStr">
        <is>
          <t>Perch-likes</t>
        </is>
      </c>
      <c r="E362" s="7" t="inlineStr">
        <is>
          <t>Bathy L pred</t>
        </is>
      </c>
      <c r="F362" t="inlineStr"/>
      <c r="G362" t="inlineStr"/>
      <c r="H362" t="inlineStr">
        <is>
          <t>high</t>
        </is>
      </c>
      <c r="I362" t="inlineStr">
        <is>
          <t>explicit_member</t>
        </is>
      </c>
      <c r="J362" t="n">
        <v>0.636</v>
      </c>
      <c r="K362" t="n">
        <v>0</v>
      </c>
      <c r="L362" s="6" t="inlineStr">
        <is>
          <t>Guénette &amp; Diallo 2004 Table 6 p.131 explicitly lists this taxon in the named group(s); printed and accepted names checked against WoRMS.</t>
        </is>
      </c>
    </row>
    <row r="363">
      <c r="A363" t="inlineStr">
        <is>
          <t>Bathytoshia centroura</t>
        </is>
      </c>
      <c r="B363" t="inlineStr">
        <is>
          <t>Roughtail stingray</t>
        </is>
      </c>
      <c r="C363" t="inlineStr">
        <is>
          <t>Large rays (&gt;=90 cm)</t>
        </is>
      </c>
      <c r="D363" t="inlineStr">
        <is>
          <t>Sharks &amp; rays</t>
        </is>
      </c>
      <c r="E363" s="7" t="inlineStr">
        <is>
          <t>Sélaciens L côtiers</t>
        </is>
      </c>
      <c r="F363" t="inlineStr"/>
      <c r="G363" t="inlineStr"/>
      <c r="H363" t="inlineStr">
        <is>
          <t>high</t>
        </is>
      </c>
      <c r="I363" t="inlineStr">
        <is>
          <t>explicit_member</t>
        </is>
      </c>
      <c r="J363" t="n">
        <v>0.616</v>
      </c>
      <c r="K363" t="n">
        <v>0</v>
      </c>
      <c r="L363" s="6" t="inlineStr">
        <is>
          <t>Guénette &amp; Diallo 2004 Table 6 p.131 explicitly lists this taxon in the named group(s); printed and accepted names checked against WoRMS.</t>
        </is>
      </c>
    </row>
    <row r="364">
      <c r="A364" t="inlineStr">
        <is>
          <t>Labridae</t>
        </is>
      </c>
      <c r="B364" t="inlineStr">
        <is>
          <t>Wrasses, gropers, tuskfishes</t>
        </is>
      </c>
      <c r="C364" t="inlineStr">
        <is>
          <t>Medium reef assoc. fish (30 - 89 cm)</t>
        </is>
      </c>
      <c r="D364" t="inlineStr">
        <is>
          <t>Perch-likes</t>
        </is>
      </c>
      <c r="E364" s="8" t="inlineStr">
        <is>
          <t>Côtier M pred | Dem M inv</t>
        </is>
      </c>
      <c r="F364" t="inlineStr">
        <is>
          <t>0.000 | 1.000</t>
        </is>
      </c>
      <c r="G364" t="inlineStr">
        <is>
          <t>catch_composition</t>
        </is>
      </c>
      <c r="H364" t="inlineStr">
        <is>
          <t>medium</t>
        </is>
      </c>
      <c r="I364" t="inlineStr">
        <is>
          <t>composite_split</t>
        </is>
      </c>
      <c r="J364" t="n">
        <v>0.585</v>
      </c>
      <c r="K364" t="n">
        <v>0</v>
      </c>
      <c r="L364" s="6" t="inlineStr">
        <is>
          <t>Family catch spans the union of all Table 6 member groups belonging to Labridae under WoRMS. Every candidate is supported by a source member; source placement outranks SAU habitat class.</t>
        </is>
      </c>
    </row>
    <row r="365">
      <c r="A365" t="inlineStr">
        <is>
          <t>Malacostraca</t>
        </is>
      </c>
      <c r="B365" t="inlineStr">
        <is>
          <t>Lobsters, crabs, shrimps, krill</t>
        </is>
      </c>
      <c r="C365" t="inlineStr">
        <is>
          <t>Shrimps</t>
        </is>
      </c>
      <c r="D365" t="inlineStr">
        <is>
          <t>Crustaceans</t>
        </is>
      </c>
      <c r="E365" s="7" t="inlineStr">
        <is>
          <t>Crustacés</t>
        </is>
      </c>
      <c r="F365" t="inlineStr"/>
      <c r="G365" t="inlineStr"/>
      <c r="H365" t="inlineStr">
        <is>
          <t>high</t>
        </is>
      </c>
      <c r="I365" t="inlineStr">
        <is>
          <t>taxonomic_containment</t>
        </is>
      </c>
      <c r="J365" t="n">
        <v>0.476</v>
      </c>
      <c r="K365" t="n">
        <v>0</v>
      </c>
      <c r="L365" s="6" t="inlineStr">
        <is>
          <t>WoRMS crustacean taxonomy and SAU shrimp/crab/lobster class agree with the source Crustacés definition on p.125.</t>
        </is>
      </c>
    </row>
    <row r="366">
      <c r="A366" t="inlineStr">
        <is>
          <t>Gymnothorax maderensis</t>
        </is>
      </c>
      <c r="B366" t="inlineStr">
        <is>
          <t>Sharktooth moray</t>
        </is>
      </c>
      <c r="C366" t="inlineStr">
        <is>
          <t>Medium demersals (30 - 89 cm)</t>
        </is>
      </c>
      <c r="D366" t="inlineStr">
        <is>
          <t>Other fishes &amp; inverts</t>
        </is>
      </c>
      <c r="E366" s="8" t="inlineStr">
        <is>
          <t>Côtier M pred</t>
        </is>
      </c>
      <c r="F366" t="inlineStr"/>
      <c r="G366" t="inlineStr"/>
      <c r="H366" t="inlineStr">
        <is>
          <t>medium</t>
        </is>
      </c>
      <c r="I366" t="inlineStr">
        <is>
          <t>analogue</t>
        </is>
      </c>
      <c r="J366" t="n">
        <v>0.469</v>
      </c>
      <c r="K366" t="n">
        <v>0</v>
      </c>
      <c r="L366" s="6" t="inlineStr">
        <is>
          <t>Species not individually listed: its genus has one documented Table 6 group, supported by the catch's Medium demersals (30 - 89 cm) class. Congeneric extension is inference.</t>
        </is>
      </c>
    </row>
    <row r="367">
      <c r="A367" t="inlineStr">
        <is>
          <t>Centroselachus crepidater</t>
        </is>
      </c>
      <c r="B367" t="inlineStr">
        <is>
          <t>Longnose velvet dogfish</t>
        </is>
      </c>
      <c r="C367" t="inlineStr">
        <is>
          <t>Large sharks (&gt;=90 cm)</t>
        </is>
      </c>
      <c r="D367" t="inlineStr">
        <is>
          <t>Sharks &amp; rays</t>
        </is>
      </c>
      <c r="E367" s="9" t="inlineStr">
        <is>
          <t>Unresolved</t>
        </is>
      </c>
      <c r="F367" t="inlineStr"/>
      <c r="G367" t="inlineStr"/>
      <c r="H367" t="inlineStr">
        <is>
          <t>unresolved</t>
        </is>
      </c>
      <c r="I367" t="inlineStr">
        <is>
          <t>none</t>
        </is>
      </c>
      <c r="J367" t="n">
        <v>0.391</v>
      </c>
      <c r="K367" t="n">
        <v>0</v>
      </c>
      <c r="L367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8">
      <c r="A368" t="inlineStr">
        <is>
          <t>Carcharhinus obscurus</t>
        </is>
      </c>
      <c r="B368" t="inlineStr">
        <is>
          <t>Dusky shark</t>
        </is>
      </c>
      <c r="C368" t="inlineStr">
        <is>
          <t>Large sharks (&gt;=90 cm)</t>
        </is>
      </c>
      <c r="D368" t="inlineStr">
        <is>
          <t>Sharks &amp; rays</t>
        </is>
      </c>
      <c r="E368" s="9" t="inlineStr">
        <is>
          <t>Unresolved</t>
        </is>
      </c>
      <c r="F368" t="inlineStr"/>
      <c r="G368" t="inlineStr"/>
      <c r="H368" t="inlineStr">
        <is>
          <t>unresolved</t>
        </is>
      </c>
      <c r="I368" t="inlineStr">
        <is>
          <t>none</t>
        </is>
      </c>
      <c r="J368" t="n">
        <v>0.295</v>
      </c>
      <c r="K368" t="n">
        <v>0</v>
      </c>
      <c r="L36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9">
      <c r="A369" t="inlineStr">
        <is>
          <t>Fistulariidae</t>
        </is>
      </c>
      <c r="B369" t="inlineStr">
        <is>
          <t>Cornetfishes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s="8" t="inlineStr">
        <is>
          <t>Côtier L pred</t>
        </is>
      </c>
      <c r="F369" t="inlineStr"/>
      <c r="G369" t="inlineStr"/>
      <c r="H369" t="inlineStr">
        <is>
          <t>medium</t>
        </is>
      </c>
      <c r="I369" t="inlineStr">
        <is>
          <t>taxonomic_containment</t>
        </is>
      </c>
      <c r="J369" t="n">
        <v>0.234</v>
      </c>
      <c r="K369" t="n">
        <v>0</v>
      </c>
      <c r="L369" s="6" t="inlineStr">
        <is>
          <t>Family catch spans the union of all Table 6 member groups belonging to Fistulariidae under WoRMS. Every candidate is supported by a source member; source placement outranks SAU habitat class.</t>
        </is>
      </c>
    </row>
    <row r="370">
      <c r="A370" t="inlineStr">
        <is>
          <t>Cetorhinus maximus</t>
        </is>
      </c>
      <c r="B370" t="inlineStr">
        <is>
          <t>Basking shark</t>
        </is>
      </c>
      <c r="C370" t="inlineStr">
        <is>
          <t>Large sharks (&gt;=90 cm)</t>
        </is>
      </c>
      <c r="D370" t="inlineStr">
        <is>
          <t>Sharks &amp; rays</t>
        </is>
      </c>
      <c r="E370" s="9" t="inlineStr">
        <is>
          <t>Unresolved</t>
        </is>
      </c>
      <c r="F370" t="inlineStr"/>
      <c r="G370" t="inlineStr"/>
      <c r="H370" t="inlineStr">
        <is>
          <t>unresolved</t>
        </is>
      </c>
      <c r="I370" t="inlineStr">
        <is>
          <t>none</t>
        </is>
      </c>
      <c r="J370" t="n">
        <v>0.171</v>
      </c>
      <c r="K370" t="n">
        <v>0</v>
      </c>
      <c r="L37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1">
      <c r="A371" t="inlineStr">
        <is>
          <t>Cephalopholis taeniops</t>
        </is>
      </c>
      <c r="B371" t="inlineStr">
        <is>
          <t>Bluespotted seabass</t>
        </is>
      </c>
      <c r="C371" t="inlineStr">
        <is>
          <t>Large reef assoc. fish (&gt;=90 cm)</t>
        </is>
      </c>
      <c r="D371" t="inlineStr">
        <is>
          <t>Perch-likes</t>
        </is>
      </c>
      <c r="E371" s="7" t="inlineStr">
        <is>
          <t>Dem L pred</t>
        </is>
      </c>
      <c r="F371" t="inlineStr"/>
      <c r="G371" t="inlineStr"/>
      <c r="H371" t="inlineStr">
        <is>
          <t>high</t>
        </is>
      </c>
      <c r="I371" t="inlineStr">
        <is>
          <t>explicit_member</t>
        </is>
      </c>
      <c r="J371" t="n">
        <v>0.094</v>
      </c>
      <c r="K371" t="n">
        <v>0</v>
      </c>
      <c r="L371" s="6" t="inlineStr">
        <is>
          <t>Guénette &amp; Diallo 2004 Table 6 p.131 explicitly lists this taxon in the named group(s); printed and accepted names checked against WoRMS.</t>
        </is>
      </c>
    </row>
    <row r="372">
      <c r="A372" t="inlineStr">
        <is>
          <t>Oxynotus centrina</t>
        </is>
      </c>
      <c r="B372" t="inlineStr">
        <is>
          <t>Angular roughshark</t>
        </is>
      </c>
      <c r="C372" t="inlineStr">
        <is>
          <t>Large sharks (&gt;=90 cm)</t>
        </is>
      </c>
      <c r="D372" t="inlineStr">
        <is>
          <t>Sharks &amp; rays</t>
        </is>
      </c>
      <c r="E372" s="9" t="inlineStr">
        <is>
          <t>Unresolved</t>
        </is>
      </c>
      <c r="F372" t="inlineStr"/>
      <c r="G372" t="inlineStr"/>
      <c r="H372" t="inlineStr">
        <is>
          <t>unresolved</t>
        </is>
      </c>
      <c r="I372" t="inlineStr">
        <is>
          <t>none</t>
        </is>
      </c>
      <c r="J372" t="n">
        <v>0.07199999999999999</v>
      </c>
      <c r="K372" t="n">
        <v>0</v>
      </c>
      <c r="L37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3">
      <c r="A373" t="inlineStr">
        <is>
          <t>Thunnus</t>
        </is>
      </c>
      <c r="B373" t="inlineStr">
        <is>
          <t>Tunas</t>
        </is>
      </c>
      <c r="C373" t="inlineStr">
        <is>
          <t>Large pelagics (&gt;=90 cm)</t>
        </is>
      </c>
      <c r="D373" t="inlineStr">
        <is>
          <t>Tuna &amp; billfishes</t>
        </is>
      </c>
      <c r="E373" s="8" t="inlineStr">
        <is>
          <t>Thons majeurs</t>
        </is>
      </c>
      <c r="F373" t="inlineStr"/>
      <c r="G373" t="inlineStr"/>
      <c r="H373" t="inlineStr">
        <is>
          <t>medium</t>
        </is>
      </c>
      <c r="I373" t="inlineStr">
        <is>
          <t>taxonomic_containment</t>
        </is>
      </c>
      <c r="J373" t="n">
        <v>0.034</v>
      </c>
      <c r="K373" t="n">
        <v>0</v>
      </c>
      <c r="L373" s="6" t="inlineStr">
        <is>
          <t>Genus-level catch spans exactly the Table 6 groups containing its documented species. No habitat class overrides those placements.</t>
        </is>
      </c>
    </row>
    <row r="374">
      <c r="A374" t="inlineStr">
        <is>
          <t>Etmopterus</t>
        </is>
      </c>
      <c r="B374" t="inlineStr">
        <is>
          <t>Lanternsharks</t>
        </is>
      </c>
      <c r="C374" t="inlineStr">
        <is>
          <t>Small to medium sharks (&lt;90 cm)</t>
        </is>
      </c>
      <c r="D374" t="inlineStr">
        <is>
          <t>Sharks &amp; rays</t>
        </is>
      </c>
      <c r="E374" s="8" t="inlineStr">
        <is>
          <t>Sélaciens M prof</t>
        </is>
      </c>
      <c r="F374" t="inlineStr"/>
      <c r="G374" t="inlineStr"/>
      <c r="H374" t="inlineStr">
        <is>
          <t>medium</t>
        </is>
      </c>
      <c r="I374" t="inlineStr">
        <is>
          <t>taxonomic_containment</t>
        </is>
      </c>
      <c r="J374" t="n">
        <v>0.033</v>
      </c>
      <c r="K374" t="n">
        <v>0</v>
      </c>
      <c r="L374" s="6" t="inlineStr">
        <is>
          <t>Genus-level catch spans exactly the Table 6 groups containing its documented species. No habitat class overrides those placements.</t>
        </is>
      </c>
    </row>
    <row r="375">
      <c r="A375" t="inlineStr">
        <is>
          <t>Carcharhinus galapagensis</t>
        </is>
      </c>
      <c r="B375" t="inlineStr">
        <is>
          <t>Galapagos shark</t>
        </is>
      </c>
      <c r="C375" t="inlineStr">
        <is>
          <t>Large sharks (&gt;=90 cm)</t>
        </is>
      </c>
      <c r="D375" t="inlineStr">
        <is>
          <t>Sharks &amp; rays</t>
        </is>
      </c>
      <c r="E375" s="9" t="inlineStr">
        <is>
          <t>Unresolved</t>
        </is>
      </c>
      <c r="F375" t="inlineStr"/>
      <c r="G375" t="inlineStr"/>
      <c r="H375" t="inlineStr">
        <is>
          <t>unresolved</t>
        </is>
      </c>
      <c r="I375" t="inlineStr">
        <is>
          <t>none</t>
        </is>
      </c>
      <c r="J375" t="n">
        <v>0.015</v>
      </c>
      <c r="K375" t="n">
        <v>0</v>
      </c>
      <c r="L37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6">
      <c r="A376" t="inlineStr">
        <is>
          <t>Echinorhinus brucus</t>
        </is>
      </c>
      <c r="B376" t="inlineStr">
        <is>
          <t>Bramble shark</t>
        </is>
      </c>
      <c r="C376" t="inlineStr">
        <is>
          <t>Large sharks (&gt;=90 cm)</t>
        </is>
      </c>
      <c r="D376" t="inlineStr">
        <is>
          <t>Sharks &amp; rays</t>
        </is>
      </c>
      <c r="E376" s="9" t="inlineStr">
        <is>
          <t>Unresolved</t>
        </is>
      </c>
      <c r="F376" t="inlineStr"/>
      <c r="G376" t="inlineStr"/>
      <c r="H376" t="inlineStr">
        <is>
          <t>unresolved</t>
        </is>
      </c>
      <c r="I376" t="inlineStr">
        <is>
          <t>none</t>
        </is>
      </c>
      <c r="J376" t="n">
        <v>0.014</v>
      </c>
      <c r="K376" t="n">
        <v>0</v>
      </c>
      <c r="L37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7">
      <c r="A377" t="inlineStr">
        <is>
          <t>Bramidae</t>
        </is>
      </c>
      <c r="B377" t="inlineStr">
        <is>
          <t>Pomfrets</t>
        </is>
      </c>
      <c r="C377" t="inlineStr">
        <is>
          <t>Medium pelagics (30 - 89 cm)</t>
        </is>
      </c>
      <c r="D377" t="inlineStr">
        <is>
          <t>Perch-likes</t>
        </is>
      </c>
      <c r="E377" s="9" t="inlineStr">
        <is>
          <t>Unresolved</t>
        </is>
      </c>
      <c r="F377" t="inlineStr"/>
      <c r="G377" t="inlineStr"/>
      <c r="H377" t="inlineStr">
        <is>
          <t>unresolved</t>
        </is>
      </c>
      <c r="I377" t="inlineStr">
        <is>
          <t>none</t>
        </is>
      </c>
      <c r="J377" t="n">
        <v>0.008999999999999999</v>
      </c>
      <c r="K377" t="n">
        <v>0</v>
      </c>
      <c r="L37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78">
      <c r="A378" t="inlineStr">
        <is>
          <t>Carcharhinus brachyurus</t>
        </is>
      </c>
      <c r="B378" t="inlineStr">
        <is>
          <t>Copper shark</t>
        </is>
      </c>
      <c r="C378" t="inlineStr">
        <is>
          <t>Large sharks (&gt;=90 cm)</t>
        </is>
      </c>
      <c r="D378" t="inlineStr">
        <is>
          <t>Sharks &amp; rays</t>
        </is>
      </c>
      <c r="E378" s="9" t="inlineStr">
        <is>
          <t>Unresolved</t>
        </is>
      </c>
      <c r="F378" t="inlineStr"/>
      <c r="G378" t="inlineStr"/>
      <c r="H378" t="inlineStr">
        <is>
          <t>unresolved</t>
        </is>
      </c>
      <c r="I378" t="inlineStr">
        <is>
          <t>none</t>
        </is>
      </c>
      <c r="J378" t="n">
        <v>0.008</v>
      </c>
      <c r="K378" t="n">
        <v>0</v>
      </c>
      <c r="L37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9">
      <c r="A379" t="inlineStr">
        <is>
          <t>Somniosus rostratus</t>
        </is>
      </c>
      <c r="B379" t="inlineStr">
        <is>
          <t>Little sleeper shark</t>
        </is>
      </c>
      <c r="C379" t="inlineStr">
        <is>
          <t>Large sharks (&gt;=90 cm)</t>
        </is>
      </c>
      <c r="D379" t="inlineStr">
        <is>
          <t>Sharks &amp; rays</t>
        </is>
      </c>
      <c r="E379" s="9" t="inlineStr">
        <is>
          <t>Unresolved</t>
        </is>
      </c>
      <c r="F379" t="inlineStr"/>
      <c r="G379" t="inlineStr"/>
      <c r="H379" t="inlineStr">
        <is>
          <t>unresolved</t>
        </is>
      </c>
      <c r="I379" t="inlineStr">
        <is>
          <t>none</t>
        </is>
      </c>
      <c r="J379" t="n">
        <v>0.004</v>
      </c>
      <c r="K379" t="n">
        <v>0</v>
      </c>
      <c r="L37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66" customHeight="1">
      <c r="A5" s="10" t="inlineStr">
        <is>
          <t>LME_028</t>
        </is>
      </c>
      <c r="B5" s="11" t="inlineStr">
        <is>
          <t>28_646_Guinea_(1998)</t>
        </is>
      </c>
      <c r="C5" s="11" t="inlineStr">
        <is>
          <t>Marine fishes not identified</t>
        </is>
      </c>
      <c r="D5" s="10" t="inlineStr">
        <is>
          <t>Marine fishes nei</t>
        </is>
      </c>
      <c r="E5" s="10" t="inlineStr">
        <is>
          <t>Medium demersals (30 - 89 cm)</t>
        </is>
      </c>
      <c r="F5" s="10" t="inlineStr">
        <is>
          <t>Other fishes &amp; inverts</t>
        </is>
      </c>
      <c r="G5" s="11" t="inlineStr">
        <is>
          <t>Côtier L pred</t>
        </is>
      </c>
      <c r="H5" s="12" t="n">
        <v>0.2388584407159509</v>
      </c>
      <c r="I5" s="10" t="inlineStr">
        <is>
          <t>catch_composition</t>
        </is>
      </c>
      <c r="J5" s="13" t="inlineStr">
        <is>
          <t>low</t>
        </is>
      </c>
      <c r="K5" s="10" t="inlineStr">
        <is>
          <t>composite_split</t>
        </is>
      </c>
      <c r="L5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5" s="10" t="n">
        <v>54105501.982</v>
      </c>
    </row>
    <row r="6" ht="66" customHeight="1">
      <c r="A6" s="10" t="inlineStr">
        <is>
          <t>LME_028</t>
        </is>
      </c>
      <c r="B6" s="11" t="inlineStr">
        <is>
          <t>28_646_Guinea_(1998)</t>
        </is>
      </c>
      <c r="C6" s="11" t="inlineStr">
        <is>
          <t>Marine fishes not identified</t>
        </is>
      </c>
      <c r="D6" s="10" t="inlineStr">
        <is>
          <t>Marine fishes nei</t>
        </is>
      </c>
      <c r="E6" s="10" t="inlineStr">
        <is>
          <t>Medium demersals (30 - 89 cm)</t>
        </is>
      </c>
      <c r="F6" s="10" t="inlineStr">
        <is>
          <t>Other fishes &amp; inverts</t>
        </is>
      </c>
      <c r="G6" s="11" t="inlineStr">
        <is>
          <t>Côtier M pred</t>
        </is>
      </c>
      <c r="H6" s="12" t="n">
        <v>4.196657070493092e-05</v>
      </c>
      <c r="I6" s="10" t="inlineStr">
        <is>
          <t>catch_composition</t>
        </is>
      </c>
      <c r="J6" s="13" t="inlineStr">
        <is>
          <t>low</t>
        </is>
      </c>
      <c r="K6" s="10" t="inlineStr">
        <is>
          <t>composite_split</t>
        </is>
      </c>
      <c r="L6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6" s="10" t="n">
        <v>54105501.982</v>
      </c>
    </row>
    <row r="7" ht="66" customHeight="1">
      <c r="A7" s="10" t="inlineStr">
        <is>
          <t>LME_028</t>
        </is>
      </c>
      <c r="B7" s="11" t="inlineStr">
        <is>
          <t>28_646_Guinea_(1998)</t>
        </is>
      </c>
      <c r="C7" s="11" t="inlineStr">
        <is>
          <t>Marine fishes not identified</t>
        </is>
      </c>
      <c r="D7" s="10" t="inlineStr">
        <is>
          <t>Marine fishes nei</t>
        </is>
      </c>
      <c r="E7" s="10" t="inlineStr">
        <is>
          <t>Medium demersals (30 - 89 cm)</t>
        </is>
      </c>
      <c r="F7" s="10" t="inlineStr">
        <is>
          <t>Other fishes &amp; inverts</t>
        </is>
      </c>
      <c r="G7" s="11" t="inlineStr">
        <is>
          <t>Côtier M inv</t>
        </is>
      </c>
      <c r="H7" s="12" t="n">
        <v>0.2316287011995438</v>
      </c>
      <c r="I7" s="10" t="inlineStr">
        <is>
          <t>catch_composition</t>
        </is>
      </c>
      <c r="J7" s="13" t="inlineStr">
        <is>
          <t>low</t>
        </is>
      </c>
      <c r="K7" s="10" t="inlineStr">
        <is>
          <t>composite_split</t>
        </is>
      </c>
      <c r="L7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7" s="10" t="n">
        <v>54105501.982</v>
      </c>
    </row>
    <row r="8" ht="66" customHeight="1">
      <c r="A8" s="10" t="inlineStr">
        <is>
          <t>LME_028</t>
        </is>
      </c>
      <c r="B8" s="11" t="inlineStr">
        <is>
          <t>28_646_Guinea_(1998)</t>
        </is>
      </c>
      <c r="C8" s="11" t="inlineStr">
        <is>
          <t>Marine fishes not identified</t>
        </is>
      </c>
      <c r="D8" s="10" t="inlineStr">
        <is>
          <t>Marine fishes nei</t>
        </is>
      </c>
      <c r="E8" s="10" t="inlineStr">
        <is>
          <t>Medium demersals (30 - 89 cm)</t>
        </is>
      </c>
      <c r="F8" s="10" t="inlineStr">
        <is>
          <t>Other fishes &amp; inverts</t>
        </is>
      </c>
      <c r="G8" s="11" t="inlineStr">
        <is>
          <t>Côtier S pred</t>
        </is>
      </c>
      <c r="H8" s="12" t="n">
        <v>0.0507096633636098</v>
      </c>
      <c r="I8" s="10" t="inlineStr">
        <is>
          <t>catch_composition</t>
        </is>
      </c>
      <c r="J8" s="13" t="inlineStr">
        <is>
          <t>low</t>
        </is>
      </c>
      <c r="K8" s="10" t="inlineStr">
        <is>
          <t>composite_split</t>
        </is>
      </c>
      <c r="L8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8" s="10" t="n">
        <v>54105501.982</v>
      </c>
    </row>
    <row r="9" ht="66" customHeight="1">
      <c r="A9" s="10" t="inlineStr">
        <is>
          <t>LME_028</t>
        </is>
      </c>
      <c r="B9" s="11" t="inlineStr">
        <is>
          <t>28_646_Guinea_(1998)</t>
        </is>
      </c>
      <c r="C9" s="11" t="inlineStr">
        <is>
          <t>Marine fishes not identified</t>
        </is>
      </c>
      <c r="D9" s="10" t="inlineStr">
        <is>
          <t>Marine fishes nei</t>
        </is>
      </c>
      <c r="E9" s="10" t="inlineStr">
        <is>
          <t>Medium demersals (30 - 89 cm)</t>
        </is>
      </c>
      <c r="F9" s="10" t="inlineStr">
        <is>
          <t>Other fishes &amp; inverts</t>
        </is>
      </c>
      <c r="G9" s="11" t="inlineStr">
        <is>
          <t>Côtier S inv</t>
        </is>
      </c>
      <c r="H9" s="12" t="n">
        <v>0.2643456221628991</v>
      </c>
      <c r="I9" s="10" t="inlineStr">
        <is>
          <t>catch_composition</t>
        </is>
      </c>
      <c r="J9" s="13" t="inlineStr">
        <is>
          <t>low</t>
        </is>
      </c>
      <c r="K9" s="10" t="inlineStr">
        <is>
          <t>composite_split</t>
        </is>
      </c>
      <c r="L9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9" s="10" t="n">
        <v>54105501.982</v>
      </c>
    </row>
    <row r="10" ht="66" customHeight="1">
      <c r="A10" s="10" t="inlineStr">
        <is>
          <t>LME_028</t>
        </is>
      </c>
      <c r="B10" s="11" t="inlineStr">
        <is>
          <t>28_646_Guinea_(1998)</t>
        </is>
      </c>
      <c r="C10" s="11" t="inlineStr">
        <is>
          <t>Marine fishes not identified</t>
        </is>
      </c>
      <c r="D10" s="10" t="inlineStr">
        <is>
          <t>Marine fishes nei</t>
        </is>
      </c>
      <c r="E10" s="10" t="inlineStr">
        <is>
          <t>Medium demersals (30 - 89 cm)</t>
        </is>
      </c>
      <c r="F10" s="10" t="inlineStr">
        <is>
          <t>Other fishes &amp; inverts</t>
        </is>
      </c>
      <c r="G10" s="11" t="inlineStr">
        <is>
          <t>Dem L pred</t>
        </is>
      </c>
      <c r="H10" s="12" t="n">
        <v>0.04663860094435774</v>
      </c>
      <c r="I10" s="10" t="inlineStr">
        <is>
          <t>catch_composition</t>
        </is>
      </c>
      <c r="J10" s="13" t="inlineStr">
        <is>
          <t>low</t>
        </is>
      </c>
      <c r="K10" s="10" t="inlineStr">
        <is>
          <t>composite_split</t>
        </is>
      </c>
      <c r="L10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0" s="10" t="n">
        <v>54105501.982</v>
      </c>
    </row>
    <row r="11" ht="66" customHeight="1">
      <c r="A11" s="10" t="inlineStr">
        <is>
          <t>LME_028</t>
        </is>
      </c>
      <c r="B11" s="11" t="inlineStr">
        <is>
          <t>28_646_Guinea_(1998)</t>
        </is>
      </c>
      <c r="C11" s="11" t="inlineStr">
        <is>
          <t>Marine fishes not identified</t>
        </is>
      </c>
      <c r="D11" s="10" t="inlineStr">
        <is>
          <t>Marine fishes nei</t>
        </is>
      </c>
      <c r="E11" s="10" t="inlineStr">
        <is>
          <t>Medium demersals (30 - 89 cm)</t>
        </is>
      </c>
      <c r="F11" s="10" t="inlineStr">
        <is>
          <t>Other fishes &amp; inverts</t>
        </is>
      </c>
      <c r="G11" s="11" t="inlineStr">
        <is>
          <t>Dem L inv</t>
        </is>
      </c>
      <c r="H11" s="12" t="n">
        <v>0.006216712433041634</v>
      </c>
      <c r="I11" s="10" t="inlineStr">
        <is>
          <t>catch_composition</t>
        </is>
      </c>
      <c r="J11" s="13" t="inlineStr">
        <is>
          <t>low</t>
        </is>
      </c>
      <c r="K11" s="10" t="inlineStr">
        <is>
          <t>composite_split</t>
        </is>
      </c>
      <c r="L11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1" s="10" t="n">
        <v>54105501.982</v>
      </c>
    </row>
    <row r="12" ht="66" customHeight="1">
      <c r="A12" s="10" t="inlineStr">
        <is>
          <t>LME_028</t>
        </is>
      </c>
      <c r="B12" s="11" t="inlineStr">
        <is>
          <t>28_646_Guinea_(1998)</t>
        </is>
      </c>
      <c r="C12" s="11" t="inlineStr">
        <is>
          <t>Marine fishes not identified</t>
        </is>
      </c>
      <c r="D12" s="10" t="inlineStr">
        <is>
          <t>Marine fishes nei</t>
        </is>
      </c>
      <c r="E12" s="10" t="inlineStr">
        <is>
          <t>Medium demersals (30 - 89 cm)</t>
        </is>
      </c>
      <c r="F12" s="10" t="inlineStr">
        <is>
          <t>Other fishes &amp; inverts</t>
        </is>
      </c>
      <c r="G12" s="11" t="inlineStr">
        <is>
          <t>Dem M pred</t>
        </is>
      </c>
      <c r="H12" s="12" t="n">
        <v>0.01178903201963329</v>
      </c>
      <c r="I12" s="10" t="inlineStr">
        <is>
          <t>catch_composition</t>
        </is>
      </c>
      <c r="J12" s="13" t="inlineStr">
        <is>
          <t>low</t>
        </is>
      </c>
      <c r="K12" s="10" t="inlineStr">
        <is>
          <t>composite_split</t>
        </is>
      </c>
      <c r="L12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2" s="10" t="n">
        <v>54105501.982</v>
      </c>
    </row>
    <row r="13" ht="66" customHeight="1">
      <c r="A13" s="10" t="inlineStr">
        <is>
          <t>LME_028</t>
        </is>
      </c>
      <c r="B13" s="11" t="inlineStr">
        <is>
          <t>28_646_Guinea_(1998)</t>
        </is>
      </c>
      <c r="C13" s="11" t="inlineStr">
        <is>
          <t>Marine fishes not identified</t>
        </is>
      </c>
      <c r="D13" s="10" t="inlineStr">
        <is>
          <t>Marine fishes nei</t>
        </is>
      </c>
      <c r="E13" s="10" t="inlineStr">
        <is>
          <t>Medium demersals (30 - 89 cm)</t>
        </is>
      </c>
      <c r="F13" s="10" t="inlineStr">
        <is>
          <t>Other fishes &amp; inverts</t>
        </is>
      </c>
      <c r="G13" s="11" t="inlineStr">
        <is>
          <t>Dem M inv</t>
        </is>
      </c>
      <c r="H13" s="12" t="n">
        <v>0.1489092433865384</v>
      </c>
      <c r="I13" s="10" t="inlineStr">
        <is>
          <t>catch_composition</t>
        </is>
      </c>
      <c r="J13" s="13" t="inlineStr">
        <is>
          <t>low</t>
        </is>
      </c>
      <c r="K13" s="10" t="inlineStr">
        <is>
          <t>composite_split</t>
        </is>
      </c>
      <c r="L13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3" s="10" t="n">
        <v>54105501.982</v>
      </c>
    </row>
    <row r="14" ht="66" customHeight="1">
      <c r="A14" s="10" t="inlineStr">
        <is>
          <t>LME_028</t>
        </is>
      </c>
      <c r="B14" s="11" t="inlineStr">
        <is>
          <t>28_646_Guinea_(1998)</t>
        </is>
      </c>
      <c r="C14" s="11" t="inlineStr">
        <is>
          <t>Marine fishes not identified</t>
        </is>
      </c>
      <c r="D14" s="10" t="inlineStr">
        <is>
          <t>Marine fishes nei</t>
        </is>
      </c>
      <c r="E14" s="10" t="inlineStr">
        <is>
          <t>Medium demersals (30 - 89 cm)</t>
        </is>
      </c>
      <c r="F14" s="10" t="inlineStr">
        <is>
          <t>Other fishes &amp; inverts</t>
        </is>
      </c>
      <c r="G14" s="11" t="inlineStr">
        <is>
          <t>Dem S pred</t>
        </is>
      </c>
      <c r="H14" s="12" t="n">
        <v>2.419210550778104e-05</v>
      </c>
      <c r="I14" s="10" t="inlineStr">
        <is>
          <t>catch_composition</t>
        </is>
      </c>
      <c r="J14" s="13" t="inlineStr">
        <is>
          <t>low</t>
        </is>
      </c>
      <c r="K14" s="10" t="inlineStr">
        <is>
          <t>composite_split</t>
        </is>
      </c>
      <c r="L14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4" s="10" t="n">
        <v>54105501.982</v>
      </c>
    </row>
    <row r="15" ht="66" customHeight="1">
      <c r="A15" s="10" t="inlineStr">
        <is>
          <t>LME_028</t>
        </is>
      </c>
      <c r="B15" s="11" t="inlineStr">
        <is>
          <t>28_646_Guinea_(1998)</t>
        </is>
      </c>
      <c r="C15" s="11" t="inlineStr">
        <is>
          <t>Marine fishes not identified</t>
        </is>
      </c>
      <c r="D15" s="10" t="inlineStr">
        <is>
          <t>Marine fishes nei</t>
        </is>
      </c>
      <c r="E15" s="10" t="inlineStr">
        <is>
          <t>Medium demersals (30 - 89 cm)</t>
        </is>
      </c>
      <c r="F15" s="10" t="inlineStr">
        <is>
          <t>Other fishes &amp; inverts</t>
        </is>
      </c>
      <c r="G15" s="11" t="inlineStr">
        <is>
          <t>Dem S inv</t>
        </is>
      </c>
      <c r="H15" s="12" t="n">
        <v>0.0008378250982126461</v>
      </c>
      <c r="I15" s="10" t="inlineStr">
        <is>
          <t>catch_composition</t>
        </is>
      </c>
      <c r="J15" s="13" t="inlineStr">
        <is>
          <t>low</t>
        </is>
      </c>
      <c r="K15" s="10" t="inlineStr">
        <is>
          <t>composite_split</t>
        </is>
      </c>
      <c r="L15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5" s="10" t="n">
        <v>54105501.982</v>
      </c>
    </row>
    <row r="16" ht="36" customHeight="1">
      <c r="A16" s="10" t="inlineStr">
        <is>
          <t>LME_028</t>
        </is>
      </c>
      <c r="B16" s="11" t="inlineStr">
        <is>
          <t>28_646_Guinea_(1998)</t>
        </is>
      </c>
      <c r="C16" s="11" t="inlineStr">
        <is>
          <t>Ethmalosa fimbriata</t>
        </is>
      </c>
      <c r="D16" s="10" t="inlineStr">
        <is>
          <t>Bonga shad</t>
        </is>
      </c>
      <c r="E16" s="10" t="inlineStr">
        <is>
          <t>Medium pelagics (30 - 89 cm)</t>
        </is>
      </c>
      <c r="F16" s="10" t="inlineStr">
        <is>
          <t>Herring-likes</t>
        </is>
      </c>
      <c r="G16" s="11" t="inlineStr">
        <is>
          <t>Ethmalose</t>
        </is>
      </c>
      <c r="H16" s="12" t="n">
        <v>1</v>
      </c>
      <c r="I16" s="10" t="inlineStr">
        <is>
          <t>single</t>
        </is>
      </c>
      <c r="J16" s="14" t="inlineStr">
        <is>
          <t>high</t>
        </is>
      </c>
      <c r="K16" s="10" t="inlineStr">
        <is>
          <t>explicit_member</t>
        </is>
      </c>
      <c r="L16" s="11" t="inlineStr">
        <is>
          <t>Guénette &amp; Diallo 2004 Table 6 p.131 explicitly lists this taxon in the named group(s); printed and accepted names checked against WoRMS.</t>
        </is>
      </c>
      <c r="M16" s="10" t="n">
        <v>16059854.407</v>
      </c>
    </row>
    <row r="17" ht="36" customHeight="1">
      <c r="A17" s="10" t="inlineStr">
        <is>
          <t>LME_028</t>
        </is>
      </c>
      <c r="B17" s="11" t="inlineStr">
        <is>
          <t>28_646_Guinea_(1998)</t>
        </is>
      </c>
      <c r="C17" s="11" t="inlineStr">
        <is>
          <t>Sardinella</t>
        </is>
      </c>
      <c r="D17" s="10" t="inlineStr">
        <is>
          <t>Sardinellas</t>
        </is>
      </c>
      <c r="E17" s="10" t="inlineStr">
        <is>
          <t>Small pelagics (&lt;30 cm)</t>
        </is>
      </c>
      <c r="F17" s="10" t="inlineStr">
        <is>
          <t>Herring-likes</t>
        </is>
      </c>
      <c r="G17" s="11" t="inlineStr">
        <is>
          <t>Côtier pel S inv</t>
        </is>
      </c>
      <c r="H17" s="12" t="n">
        <v>1</v>
      </c>
      <c r="I17" s="10" t="inlineStr">
        <is>
          <t>single</t>
        </is>
      </c>
      <c r="J17" s="15" t="inlineStr">
        <is>
          <t>medium</t>
        </is>
      </c>
      <c r="K17" s="10" t="inlineStr">
        <is>
          <t>taxonomic_containment</t>
        </is>
      </c>
      <c r="L17" s="11" t="inlineStr">
        <is>
          <t>Genus-level catch spans exactly the Table 6 groups containing its documented species. No habitat class overrides those placements.</t>
        </is>
      </c>
      <c r="M17" s="10" t="n">
        <v>9023480.199999999</v>
      </c>
    </row>
    <row r="18" ht="36" customHeight="1">
      <c r="A18" s="10" t="inlineStr">
        <is>
          <t>LME_028</t>
        </is>
      </c>
      <c r="B18" s="11" t="inlineStr">
        <is>
          <t>28_646_Guinea_(1998)</t>
        </is>
      </c>
      <c r="C18" s="11" t="inlineStr">
        <is>
          <t>Engraulis encrasicolus</t>
        </is>
      </c>
      <c r="D18" s="10" t="inlineStr">
        <is>
          <t>European anchovy</t>
        </is>
      </c>
      <c r="E18" s="10" t="inlineStr">
        <is>
          <t>Small pelagics (&lt;30 cm)</t>
        </is>
      </c>
      <c r="F18" s="10" t="inlineStr">
        <is>
          <t>Anchovies</t>
        </is>
      </c>
      <c r="G18" s="11" t="inlineStr">
        <is>
          <t>Côtier pel S inv</t>
        </is>
      </c>
      <c r="H18" s="12" t="n">
        <v>1</v>
      </c>
      <c r="I18" s="10" t="inlineStr">
        <is>
          <t>single</t>
        </is>
      </c>
      <c r="J18" s="14" t="inlineStr">
        <is>
          <t>high</t>
        </is>
      </c>
      <c r="K18" s="10" t="inlineStr">
        <is>
          <t>explicit_member</t>
        </is>
      </c>
      <c r="L18" s="11" t="inlineStr">
        <is>
          <t>Guénette &amp; Diallo 2004 Table 6 p.131 explicitly lists this taxon in the named group(s); printed and accepted names checked against WoRMS.</t>
        </is>
      </c>
      <c r="M18" s="10" t="n">
        <v>6169688.338</v>
      </c>
    </row>
    <row r="19" ht="36" customHeight="1">
      <c r="A19" s="10" t="inlineStr">
        <is>
          <t>LME_028</t>
        </is>
      </c>
      <c r="B19" s="11" t="inlineStr">
        <is>
          <t>28_646_Guinea_(1998)</t>
        </is>
      </c>
      <c r="C19" s="11" t="inlineStr">
        <is>
          <t>Pseudotolithus</t>
        </is>
      </c>
      <c r="D19" s="10" t="inlineStr">
        <is>
          <t>African croakers</t>
        </is>
      </c>
      <c r="E19" s="10" t="inlineStr">
        <is>
          <t>Large demersals (&gt;=90 cm)</t>
        </is>
      </c>
      <c r="F19" s="10" t="inlineStr">
        <is>
          <t>Perch-likes</t>
        </is>
      </c>
      <c r="G19" s="11" t="inlineStr">
        <is>
          <t>Bars</t>
        </is>
      </c>
      <c r="H19" s="12" t="n">
        <v>1</v>
      </c>
      <c r="I19" s="10" t="inlineStr">
        <is>
          <t>single</t>
        </is>
      </c>
      <c r="J19" s="15" t="inlineStr">
        <is>
          <t>medium</t>
        </is>
      </c>
      <c r="K19" s="10" t="inlineStr">
        <is>
          <t>taxonomic_containment</t>
        </is>
      </c>
      <c r="L19" s="11" t="inlineStr">
        <is>
          <t>Genus-level catch spans exactly the Table 6 groups containing its documented species. No habitat class overrides those placements.</t>
        </is>
      </c>
      <c r="M19" s="10" t="n">
        <v>5842799.356</v>
      </c>
    </row>
    <row r="20" ht="36" customHeight="1">
      <c r="A20" s="10" t="inlineStr">
        <is>
          <t>LME_028</t>
        </is>
      </c>
      <c r="B20" s="11" t="inlineStr">
        <is>
          <t>28_646_Guinea_(1998)</t>
        </is>
      </c>
      <c r="C20" s="11" t="inlineStr">
        <is>
          <t>Sardinella aurita</t>
        </is>
      </c>
      <c r="D20" s="10" t="inlineStr">
        <is>
          <t>Round sardinella</t>
        </is>
      </c>
      <c r="E20" s="10" t="inlineStr">
        <is>
          <t>Small pelagics (&lt;30 cm)</t>
        </is>
      </c>
      <c r="F20" s="10" t="inlineStr">
        <is>
          <t>Herring-likes</t>
        </is>
      </c>
      <c r="G20" s="11" t="inlineStr">
        <is>
          <t>Côtier pel S inv</t>
        </is>
      </c>
      <c r="H20" s="12" t="n">
        <v>1</v>
      </c>
      <c r="I20" s="10" t="inlineStr">
        <is>
          <t>single</t>
        </is>
      </c>
      <c r="J20" s="14" t="inlineStr">
        <is>
          <t>high</t>
        </is>
      </c>
      <c r="K20" s="10" t="inlineStr">
        <is>
          <t>explicit_member</t>
        </is>
      </c>
      <c r="L20" s="11" t="inlineStr">
        <is>
          <t>Guénette &amp; Diallo 2004 Table 6 p.131 explicitly lists this taxon in the named group(s); printed and accepted names checked against WoRMS.</t>
        </is>
      </c>
      <c r="M20" s="10" t="n">
        <v>4946271.858</v>
      </c>
    </row>
    <row r="21" ht="36" customHeight="1">
      <c r="A21" s="10" t="inlineStr">
        <is>
          <t>LME_028</t>
        </is>
      </c>
      <c r="B21" s="11" t="inlineStr">
        <is>
          <t>28_646_Guinea_(1998)</t>
        </is>
      </c>
      <c r="C21" s="11" t="inlineStr">
        <is>
          <t>Cephalopoda</t>
        </is>
      </c>
      <c r="D21" s="10" t="inlineStr">
        <is>
          <t>Squids, cuttlefishes, octopuses</t>
        </is>
      </c>
      <c r="E21" s="10" t="inlineStr">
        <is>
          <t>Cephalopods</t>
        </is>
      </c>
      <c r="F21" s="10" t="inlineStr">
        <is>
          <t>Other fishes &amp; inverts</t>
        </is>
      </c>
      <c r="G21" s="11" t="inlineStr">
        <is>
          <t>Céphalopodes</t>
        </is>
      </c>
      <c r="H21" s="12" t="n">
        <v>1</v>
      </c>
      <c r="I21" s="10" t="inlineStr">
        <is>
          <t>single</t>
        </is>
      </c>
      <c r="J21" s="14" t="inlineStr">
        <is>
          <t>high</t>
        </is>
      </c>
      <c r="K21" s="10" t="inlineStr">
        <is>
          <t>taxonomic_containment</t>
        </is>
      </c>
      <c r="L21" s="11" t="inlineStr">
        <is>
          <t>Source p.125 explicitly includes commercial and noncommercial octopus, cuttlefish and squid in the single cephalopod group.</t>
        </is>
      </c>
      <c r="M21" s="10" t="n">
        <v>4732809.636</v>
      </c>
    </row>
    <row r="22" ht="36" customHeight="1">
      <c r="A22" s="10" t="inlineStr">
        <is>
          <t>LME_028</t>
        </is>
      </c>
      <c r="B22" s="11" t="inlineStr">
        <is>
          <t>28_646_Guinea_(1998)</t>
        </is>
      </c>
      <c r="C22" s="11" t="inlineStr">
        <is>
          <t>Brachydeuterus auritus</t>
        </is>
      </c>
      <c r="D22" s="10" t="inlineStr">
        <is>
          <t>Bigeye grunt</t>
        </is>
      </c>
      <c r="E22" s="10" t="inlineStr">
        <is>
          <t>Small demersals (&lt;30 cm)</t>
        </is>
      </c>
      <c r="F22" s="10" t="inlineStr">
        <is>
          <t>Perch-likes</t>
        </is>
      </c>
      <c r="G22" s="11" t="inlineStr">
        <is>
          <t>Côtier S inv</t>
        </is>
      </c>
      <c r="H22" s="12" t="n">
        <v>1</v>
      </c>
      <c r="I22" s="10" t="inlineStr">
        <is>
          <t>single</t>
        </is>
      </c>
      <c r="J22" s="14" t="inlineStr">
        <is>
          <t>high</t>
        </is>
      </c>
      <c r="K22" s="10" t="inlineStr">
        <is>
          <t>explicit_member</t>
        </is>
      </c>
      <c r="L22" s="11" t="inlineStr">
        <is>
          <t>Guénette &amp; Diallo 2004 Table 6 p.131 explicitly lists this taxon in the named group(s); printed and accepted names checked against WoRMS.</t>
        </is>
      </c>
      <c r="M22" s="10" t="n">
        <v>3179416.57</v>
      </c>
    </row>
    <row r="23" ht="36" customHeight="1">
      <c r="A23" s="10" t="inlineStr">
        <is>
          <t>LME_028</t>
        </is>
      </c>
      <c r="B23" s="11" t="inlineStr">
        <is>
          <t>28_646_Guinea_(1998)</t>
        </is>
      </c>
      <c r="C23" s="11" t="inlineStr">
        <is>
          <t>Trachurus</t>
        </is>
      </c>
      <c r="D23" s="10" t="inlineStr">
        <is>
          <t>Jacks, horse mackerels</t>
        </is>
      </c>
      <c r="E23" s="10" t="inlineStr">
        <is>
          <t>Medium pelagics (30 - 89 cm)</t>
        </is>
      </c>
      <c r="F23" s="10" t="inlineStr">
        <is>
          <t>Perch-likes</t>
        </is>
      </c>
      <c r="G23" s="11" t="inlineStr">
        <is>
          <t>Pel S inv</t>
        </is>
      </c>
      <c r="H23" s="12" t="n">
        <v>1</v>
      </c>
      <c r="I23" s="10" t="inlineStr">
        <is>
          <t>single</t>
        </is>
      </c>
      <c r="J23" s="15" t="inlineStr">
        <is>
          <t>medium</t>
        </is>
      </c>
      <c r="K23" s="10" t="inlineStr">
        <is>
          <t>taxonomic_containment</t>
        </is>
      </c>
      <c r="L23" s="11" t="inlineStr">
        <is>
          <t>Genus-level catch spans exactly the Table 6 groups containing its documented species. No habitat class overrides those placements.</t>
        </is>
      </c>
      <c r="M23" s="10" t="n">
        <v>3069248.284</v>
      </c>
    </row>
    <row r="24" ht="36" customHeight="1">
      <c r="A24" s="10" t="inlineStr">
        <is>
          <t>LME_028</t>
        </is>
      </c>
      <c r="B24" s="11" t="inlineStr">
        <is>
          <t>28_646_Guinea_(1998)</t>
        </is>
      </c>
      <c r="C24" s="11" t="inlineStr">
        <is>
          <t>Sardinella maderensis</t>
        </is>
      </c>
      <c r="D24" s="10" t="inlineStr">
        <is>
          <t>Madeiran sardinella</t>
        </is>
      </c>
      <c r="E24" s="10" t="inlineStr">
        <is>
          <t>Medium pelagics (30 - 89 cm)</t>
        </is>
      </c>
      <c r="F24" s="10" t="inlineStr">
        <is>
          <t>Herring-likes</t>
        </is>
      </c>
      <c r="G24" s="11" t="inlineStr">
        <is>
          <t>Côtier pel S inv</t>
        </is>
      </c>
      <c r="H24" s="12" t="n">
        <v>1</v>
      </c>
      <c r="I24" s="10" t="inlineStr">
        <is>
          <t>single</t>
        </is>
      </c>
      <c r="J24" s="14" t="inlineStr">
        <is>
          <t>high</t>
        </is>
      </c>
      <c r="K24" s="10" t="inlineStr">
        <is>
          <t>explicit_member</t>
        </is>
      </c>
      <c r="L24" s="11" t="inlineStr">
        <is>
          <t>Guénette &amp; Diallo 2004 Table 6 p.131 explicitly lists this taxon in the named group(s); printed and accepted names checked against WoRMS.</t>
        </is>
      </c>
      <c r="M24" s="10" t="n">
        <v>2712007.901</v>
      </c>
    </row>
    <row r="25" ht="36" customHeight="1">
      <c r="A25" s="10" t="inlineStr">
        <is>
          <t>LME_028</t>
        </is>
      </c>
      <c r="B25" s="11" t="inlineStr">
        <is>
          <t>28_646_Guinea_(1998)</t>
        </is>
      </c>
      <c r="C25" s="11" t="inlineStr">
        <is>
          <t>Katsuwonus pelamis</t>
        </is>
      </c>
      <c r="D25" s="10" t="inlineStr">
        <is>
          <t>Skipjack tuna</t>
        </is>
      </c>
      <c r="E25" s="10" t="inlineStr">
        <is>
          <t>Large pelagics (&gt;=90 cm)</t>
        </is>
      </c>
      <c r="F25" s="10" t="inlineStr">
        <is>
          <t>Tuna &amp; billfishes</t>
        </is>
      </c>
      <c r="G25" s="11" t="inlineStr">
        <is>
          <t>Thons majeurs</t>
        </is>
      </c>
      <c r="H25" s="12" t="n">
        <v>1</v>
      </c>
      <c r="I25" s="10" t="inlineStr">
        <is>
          <t>single</t>
        </is>
      </c>
      <c r="J25" s="14" t="inlineStr">
        <is>
          <t>high</t>
        </is>
      </c>
      <c r="K25" s="10" t="inlineStr">
        <is>
          <t>explicit_member</t>
        </is>
      </c>
      <c r="L25" s="11" t="inlineStr">
        <is>
          <t>Guénette &amp; Diallo 2004 Table 6 p.131 explicitly lists this taxon in the named group(s); printed and accepted names checked against WoRMS.</t>
        </is>
      </c>
      <c r="M25" s="10" t="n">
        <v>2349950.979</v>
      </c>
    </row>
    <row r="26" ht="36" customHeight="1">
      <c r="A26" s="10" t="inlineStr">
        <is>
          <t>LME_028</t>
        </is>
      </c>
      <c r="B26" s="11" t="inlineStr">
        <is>
          <t>28_646_Guinea_(1998)</t>
        </is>
      </c>
      <c r="C26" s="11" t="inlineStr">
        <is>
          <t>Thunnus albacares</t>
        </is>
      </c>
      <c r="D26" s="10" t="inlineStr">
        <is>
          <t>Yellowfin tuna</t>
        </is>
      </c>
      <c r="E26" s="10" t="inlineStr">
        <is>
          <t>Large pelagics (&gt;=90 cm)</t>
        </is>
      </c>
      <c r="F26" s="10" t="inlineStr">
        <is>
          <t>Tuna &amp; billfishes</t>
        </is>
      </c>
      <c r="G26" s="11" t="inlineStr">
        <is>
          <t>Thons majeurs</t>
        </is>
      </c>
      <c r="H26" s="12" t="n">
        <v>1</v>
      </c>
      <c r="I26" s="10" t="inlineStr">
        <is>
          <t>single</t>
        </is>
      </c>
      <c r="J26" s="14" t="inlineStr">
        <is>
          <t>high</t>
        </is>
      </c>
      <c r="K26" s="10" t="inlineStr">
        <is>
          <t>explicit_member</t>
        </is>
      </c>
      <c r="L26" s="11" t="inlineStr">
        <is>
          <t>Guénette &amp; Diallo 2004 Table 6 p.131 explicitly lists this taxon in the named group(s); printed and accepted names checked against WoRMS.</t>
        </is>
      </c>
      <c r="M26" s="10" t="n">
        <v>2303135.349</v>
      </c>
    </row>
    <row r="27" ht="36" customHeight="1">
      <c r="A27" s="10" t="inlineStr">
        <is>
          <t>LME_028</t>
        </is>
      </c>
      <c r="B27" s="11" t="inlineStr">
        <is>
          <t>28_646_Guinea_(1998)</t>
        </is>
      </c>
      <c r="C27" s="11" t="inlineStr">
        <is>
          <t>Galeoides decadactylus</t>
        </is>
      </c>
      <c r="D27" s="10" t="inlineStr">
        <is>
          <t>Lesser African threadfin</t>
        </is>
      </c>
      <c r="E27" s="10" t="inlineStr">
        <is>
          <t>Medium demersals (30 - 89 cm)</t>
        </is>
      </c>
      <c r="F27" s="10" t="inlineStr">
        <is>
          <t>Perch-likes</t>
        </is>
      </c>
      <c r="G27" s="11" t="inlineStr">
        <is>
          <t>Petit capitaine</t>
        </is>
      </c>
      <c r="H27" s="12" t="n">
        <v>1</v>
      </c>
      <c r="I27" s="10" t="inlineStr">
        <is>
          <t>single</t>
        </is>
      </c>
      <c r="J27" s="14" t="inlineStr">
        <is>
          <t>high</t>
        </is>
      </c>
      <c r="K27" s="10" t="inlineStr">
        <is>
          <t>explicit_member</t>
        </is>
      </c>
      <c r="L27" s="11" t="inlineStr">
        <is>
          <t>Guénette &amp; Diallo 2004 Table 6 p.131 explicitly lists this taxon in the named group(s); printed and accepted names checked against WoRMS.</t>
        </is>
      </c>
      <c r="M27" s="10" t="n">
        <v>1937563.164</v>
      </c>
    </row>
    <row r="28" ht="36" customHeight="1">
      <c r="A28" s="10" t="inlineStr">
        <is>
          <t>LME_028</t>
        </is>
      </c>
      <c r="B28" s="11" t="inlineStr">
        <is>
          <t>28_646_Guinea_(1998)</t>
        </is>
      </c>
      <c r="C28" s="11" t="inlineStr">
        <is>
          <t>Pseudotolithus elongatus</t>
        </is>
      </c>
      <c r="D28" s="10" t="inlineStr">
        <is>
          <t>Bobo croaker</t>
        </is>
      </c>
      <c r="E28" s="10" t="inlineStr">
        <is>
          <t>Medium demersals (30 - 89 cm)</t>
        </is>
      </c>
      <c r="F28" s="10" t="inlineStr">
        <is>
          <t>Perch-likes</t>
        </is>
      </c>
      <c r="G28" s="11" t="inlineStr">
        <is>
          <t>Bars</t>
        </is>
      </c>
      <c r="H28" s="12" t="n">
        <v>1</v>
      </c>
      <c r="I28" s="10" t="inlineStr">
        <is>
          <t>single</t>
        </is>
      </c>
      <c r="J28" s="14" t="inlineStr">
        <is>
          <t>high</t>
        </is>
      </c>
      <c r="K28" s="10" t="inlineStr">
        <is>
          <t>explicit_member</t>
        </is>
      </c>
      <c r="L28" s="11" t="inlineStr">
        <is>
          <t>Guénette &amp; Diallo 2004 Table 6 p.131 explicitly lists this taxon in the named group(s); printed and accepted names checked against WoRMS.</t>
        </is>
      </c>
      <c r="M28" s="10" t="n">
        <v>1602177.658</v>
      </c>
    </row>
    <row r="29" ht="36" customHeight="1">
      <c r="A29" s="10" t="inlineStr">
        <is>
          <t>LME_028</t>
        </is>
      </c>
      <c r="B29" s="11" t="inlineStr">
        <is>
          <t>28_646_Guinea_(1998)</t>
        </is>
      </c>
      <c r="C29" s="11" t="inlineStr">
        <is>
          <t>Sphyraena</t>
        </is>
      </c>
      <c r="D29" s="10" t="inlineStr">
        <is>
          <t>Barracudas, sennets</t>
        </is>
      </c>
      <c r="E29" s="10" t="inlineStr">
        <is>
          <t>Large pelagics (&gt;=90 cm)</t>
        </is>
      </c>
      <c r="F29" s="10" t="inlineStr">
        <is>
          <t>Perch-likes</t>
        </is>
      </c>
      <c r="G29" s="11" t="inlineStr">
        <is>
          <t>Côtier pel L pred</t>
        </is>
      </c>
      <c r="H29" s="12" t="n">
        <v>1</v>
      </c>
      <c r="I29" s="10" t="inlineStr">
        <is>
          <t>single</t>
        </is>
      </c>
      <c r="J29" s="15" t="inlineStr">
        <is>
          <t>medium</t>
        </is>
      </c>
      <c r="K29" s="10" t="inlineStr">
        <is>
          <t>taxonomic_containment</t>
        </is>
      </c>
      <c r="L29" s="11" t="inlineStr">
        <is>
          <t>Genus-level catch spans exactly the Table 6 groups containing its documented species. No habitat class overrides those placements.</t>
        </is>
      </c>
      <c r="M29" s="10" t="n">
        <v>1518406.698</v>
      </c>
    </row>
    <row r="30" ht="36" customHeight="1">
      <c r="A30" s="10" t="inlineStr">
        <is>
          <t>LME_028</t>
        </is>
      </c>
      <c r="B30" s="11" t="inlineStr">
        <is>
          <t>28_646_Guinea_(1998)</t>
        </is>
      </c>
      <c r="C30" s="11" t="inlineStr">
        <is>
          <t>Clupeiformes</t>
        </is>
      </c>
      <c r="D30" s="10" t="inlineStr">
        <is>
          <t>Herrings, shads, anchovies</t>
        </is>
      </c>
      <c r="E30" s="10" t="inlineStr">
        <is>
          <t>Small pelagics (&lt;30 cm)</t>
        </is>
      </c>
      <c r="F30" s="10" t="inlineStr">
        <is>
          <t>Other fishes &amp; inverts</t>
        </is>
      </c>
      <c r="G30" s="11" t="inlineStr">
        <is>
          <t>Côtier pel S inv</t>
        </is>
      </c>
      <c r="H30" s="12" t="n">
        <v>0.6011821439476011</v>
      </c>
      <c r="I30" s="10" t="inlineStr">
        <is>
          <t>catch_composition</t>
        </is>
      </c>
      <c r="J30" s="15" t="inlineStr">
        <is>
          <t>medium</t>
        </is>
      </c>
      <c r="K30" s="10" t="inlineStr">
        <is>
          <t>composite_split</t>
        </is>
      </c>
      <c r="L30" s="11" t="inlineStr">
        <is>
          <t>Anchovies, herrings/sardinellas and bonga occur in the coastal small-pelagic and named Ethmalose compartments in Table 6.</t>
        </is>
      </c>
      <c r="M30" s="10" t="n">
        <v>1518026.458</v>
      </c>
    </row>
    <row r="31" ht="36" customHeight="1">
      <c r="A31" s="10" t="inlineStr">
        <is>
          <t>LME_028</t>
        </is>
      </c>
      <c r="B31" s="11" t="inlineStr">
        <is>
          <t>28_646_Guinea_(1998)</t>
        </is>
      </c>
      <c r="C31" s="11" t="inlineStr">
        <is>
          <t>Clupeiformes</t>
        </is>
      </c>
      <c r="D31" s="10" t="inlineStr">
        <is>
          <t>Herrings, shads, anchovies</t>
        </is>
      </c>
      <c r="E31" s="10" t="inlineStr">
        <is>
          <t>Small pelagics (&lt;30 cm)</t>
        </is>
      </c>
      <c r="F31" s="10" t="inlineStr">
        <is>
          <t>Other fishes &amp; inverts</t>
        </is>
      </c>
      <c r="G31" s="11" t="inlineStr">
        <is>
          <t>Ethmalose</t>
        </is>
      </c>
      <c r="H31" s="12" t="n">
        <v>0.3988178560523989</v>
      </c>
      <c r="I31" s="10" t="inlineStr">
        <is>
          <t>catch_composition</t>
        </is>
      </c>
      <c r="J31" s="15" t="inlineStr">
        <is>
          <t>medium</t>
        </is>
      </c>
      <c r="K31" s="10" t="inlineStr">
        <is>
          <t>composite_split</t>
        </is>
      </c>
      <c r="L31" s="11" t="inlineStr">
        <is>
          <t>Anchovies, herrings/sardinellas and bonga occur in the coastal small-pelagic and named Ethmalose compartments in Table 6.</t>
        </is>
      </c>
      <c r="M31" s="10" t="n">
        <v>1518026.458</v>
      </c>
    </row>
    <row r="32" ht="51" customHeight="1">
      <c r="A32" s="10" t="inlineStr">
        <is>
          <t>LME_028</t>
        </is>
      </c>
      <c r="B32" s="11" t="inlineStr">
        <is>
          <t>28_646_Guinea_(1998)</t>
        </is>
      </c>
      <c r="C32" s="11" t="inlineStr">
        <is>
          <t>Carangidae</t>
        </is>
      </c>
      <c r="D32" s="10" t="inlineStr">
        <is>
          <t>Jacks, pompanos</t>
        </is>
      </c>
      <c r="E32" s="10" t="inlineStr">
        <is>
          <t>Medium pelagics (30 - 89 cm)</t>
        </is>
      </c>
      <c r="F32" s="10" t="inlineStr">
        <is>
          <t>Perch-likes</t>
        </is>
      </c>
      <c r="G32" s="11" t="inlineStr">
        <is>
          <t>Côtier M pred</t>
        </is>
      </c>
      <c r="H32" s="12" t="n">
        <v>4.588092323728472e-05</v>
      </c>
      <c r="I32" s="10" t="inlineStr">
        <is>
          <t>catch_composition</t>
        </is>
      </c>
      <c r="J32" s="15" t="inlineStr">
        <is>
          <t>medium</t>
        </is>
      </c>
      <c r="K32" s="10" t="inlineStr">
        <is>
          <t>composite_split</t>
        </is>
      </c>
      <c r="L32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2" s="10" t="n">
        <v>1450867.123</v>
      </c>
    </row>
    <row r="33" ht="51" customHeight="1">
      <c r="A33" s="10" t="inlineStr">
        <is>
          <t>LME_028</t>
        </is>
      </c>
      <c r="B33" s="11" t="inlineStr">
        <is>
          <t>28_646_Guinea_(1998)</t>
        </is>
      </c>
      <c r="C33" s="11" t="inlineStr">
        <is>
          <t>Carangidae</t>
        </is>
      </c>
      <c r="D33" s="10" t="inlineStr">
        <is>
          <t>Jacks, pompanos</t>
        </is>
      </c>
      <c r="E33" s="10" t="inlineStr">
        <is>
          <t>Medium pelagics (30 - 89 cm)</t>
        </is>
      </c>
      <c r="F33" s="10" t="inlineStr">
        <is>
          <t>Perch-likes</t>
        </is>
      </c>
      <c r="G33" s="11" t="inlineStr">
        <is>
          <t>Côtier pel L pred</t>
        </is>
      </c>
      <c r="H33" s="12" t="n">
        <v>0.5790608754223123</v>
      </c>
      <c r="I33" s="10" t="inlineStr">
        <is>
          <t>catch_composition</t>
        </is>
      </c>
      <c r="J33" s="15" t="inlineStr">
        <is>
          <t>medium</t>
        </is>
      </c>
      <c r="K33" s="10" t="inlineStr">
        <is>
          <t>composite_split</t>
        </is>
      </c>
      <c r="L33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3" s="10" t="n">
        <v>1450867.123</v>
      </c>
    </row>
    <row r="34" ht="51" customHeight="1">
      <c r="A34" s="10" t="inlineStr">
        <is>
          <t>LME_028</t>
        </is>
      </c>
      <c r="B34" s="11" t="inlineStr">
        <is>
          <t>28_646_Guinea_(1998)</t>
        </is>
      </c>
      <c r="C34" s="11" t="inlineStr">
        <is>
          <t>Carangidae</t>
        </is>
      </c>
      <c r="D34" s="10" t="inlineStr">
        <is>
          <t>Jacks, pompanos</t>
        </is>
      </c>
      <c r="E34" s="10" t="inlineStr">
        <is>
          <t>Medium pelagics (30 - 89 cm)</t>
        </is>
      </c>
      <c r="F34" s="10" t="inlineStr">
        <is>
          <t>Perch-likes</t>
        </is>
      </c>
      <c r="G34" s="11" t="inlineStr">
        <is>
          <t>Pel L pred</t>
        </is>
      </c>
      <c r="H34" s="12" t="n">
        <v>0.009804123684432021</v>
      </c>
      <c r="I34" s="10" t="inlineStr">
        <is>
          <t>catch_composition</t>
        </is>
      </c>
      <c r="J34" s="15" t="inlineStr">
        <is>
          <t>medium</t>
        </is>
      </c>
      <c r="K34" s="10" t="inlineStr">
        <is>
          <t>composite_split</t>
        </is>
      </c>
      <c r="L34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4" s="10" t="n">
        <v>1450867.123</v>
      </c>
    </row>
    <row r="35" ht="51" customHeight="1">
      <c r="A35" s="10" t="inlineStr">
        <is>
          <t>LME_028</t>
        </is>
      </c>
      <c r="B35" s="11" t="inlineStr">
        <is>
          <t>28_646_Guinea_(1998)</t>
        </is>
      </c>
      <c r="C35" s="11" t="inlineStr">
        <is>
          <t>Carangidae</t>
        </is>
      </c>
      <c r="D35" s="10" t="inlineStr">
        <is>
          <t>Jacks, pompanos</t>
        </is>
      </c>
      <c r="E35" s="10" t="inlineStr">
        <is>
          <t>Medium pelagics (30 - 89 cm)</t>
        </is>
      </c>
      <c r="F35" s="10" t="inlineStr">
        <is>
          <t>Perch-likes</t>
        </is>
      </c>
      <c r="G35" s="11" t="inlineStr">
        <is>
          <t>Pel S inv</t>
        </is>
      </c>
      <c r="H35" s="12" t="n">
        <v>0.4110891199700184</v>
      </c>
      <c r="I35" s="10" t="inlineStr">
        <is>
          <t>catch_composition</t>
        </is>
      </c>
      <c r="J35" s="15" t="inlineStr">
        <is>
          <t>medium</t>
        </is>
      </c>
      <c r="K35" s="10" t="inlineStr">
        <is>
          <t>composite_split</t>
        </is>
      </c>
      <c r="L35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5" s="10" t="n">
        <v>1450867.123</v>
      </c>
    </row>
    <row r="36" ht="36" customHeight="1">
      <c r="A36" s="10" t="inlineStr">
        <is>
          <t>LME_028</t>
        </is>
      </c>
      <c r="B36" s="11" t="inlineStr">
        <is>
          <t>28_646_Guinea_(1998)</t>
        </is>
      </c>
      <c r="C36" s="11" t="inlineStr">
        <is>
          <t>Trichiurus lepturus</t>
        </is>
      </c>
      <c r="D36" s="10" t="inlineStr">
        <is>
          <t>Largehead hairtail</t>
        </is>
      </c>
      <c r="E36" s="10" t="inlineStr">
        <is>
          <t>Large benthopelagics (&gt;=90 cm)</t>
        </is>
      </c>
      <c r="F36" s="10" t="inlineStr">
        <is>
          <t>Perch-likes</t>
        </is>
      </c>
      <c r="G36" s="11" t="inlineStr">
        <is>
          <t>Côtier L pred</t>
        </is>
      </c>
      <c r="H36" s="12" t="n">
        <v>1</v>
      </c>
      <c r="I36" s="10" t="inlineStr">
        <is>
          <t>single</t>
        </is>
      </c>
      <c r="J36" s="14" t="inlineStr">
        <is>
          <t>high</t>
        </is>
      </c>
      <c r="K36" s="10" t="inlineStr">
        <is>
          <t>explicit_member</t>
        </is>
      </c>
      <c r="L36" s="11" t="inlineStr">
        <is>
          <t>Guénette &amp; Diallo 2004 Table 6 p.131 explicitly lists this taxon in the named group(s); printed and accepted names checked against WoRMS.</t>
        </is>
      </c>
      <c r="M36" s="10" t="n">
        <v>1439530.738</v>
      </c>
    </row>
    <row r="37" ht="51" customHeight="1">
      <c r="A37" s="10" t="inlineStr">
        <is>
          <t>LME_028</t>
        </is>
      </c>
      <c r="B37" s="11" t="inlineStr">
        <is>
          <t>28_646_Guinea_(1998)</t>
        </is>
      </c>
      <c r="C37" s="11" t="inlineStr">
        <is>
          <t>Sciaenidae</t>
        </is>
      </c>
      <c r="D37" s="10" t="inlineStr">
        <is>
          <t>Drums, croakers</t>
        </is>
      </c>
      <c r="E37" s="10" t="inlineStr">
        <is>
          <t>Medium demersals (30 - 89 cm)</t>
        </is>
      </c>
      <c r="F37" s="10" t="inlineStr">
        <is>
          <t>Perch-likes</t>
        </is>
      </c>
      <c r="G37" s="11" t="inlineStr">
        <is>
          <t>Bars</t>
        </is>
      </c>
      <c r="H37" s="12" t="n">
        <v>0.6511162324982418</v>
      </c>
      <c r="I37" s="10" t="inlineStr">
        <is>
          <t>catch_composition</t>
        </is>
      </c>
      <c r="J37" s="15" t="inlineStr">
        <is>
          <t>medium</t>
        </is>
      </c>
      <c r="K37" s="10" t="inlineStr">
        <is>
          <t>composite_split</t>
        </is>
      </c>
      <c r="L37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7" s="10" t="n">
        <v>1420361.07</v>
      </c>
    </row>
    <row r="38" ht="51" customHeight="1">
      <c r="A38" s="10" t="inlineStr">
        <is>
          <t>LME_028</t>
        </is>
      </c>
      <c r="B38" s="11" t="inlineStr">
        <is>
          <t>28_646_Guinea_(1998)</t>
        </is>
      </c>
      <c r="C38" s="11" t="inlineStr">
        <is>
          <t>Sciaenidae</t>
        </is>
      </c>
      <c r="D38" s="10" t="inlineStr">
        <is>
          <t>Drums, croakers</t>
        </is>
      </c>
      <c r="E38" s="10" t="inlineStr">
        <is>
          <t>Medium demersals (30 - 89 cm)</t>
        </is>
      </c>
      <c r="F38" s="10" t="inlineStr">
        <is>
          <t>Perch-likes</t>
        </is>
      </c>
      <c r="G38" s="11" t="inlineStr">
        <is>
          <t>Côtier L pred</t>
        </is>
      </c>
      <c r="H38" s="12" t="n">
        <v>0.2433648764896482</v>
      </c>
      <c r="I38" s="10" t="inlineStr">
        <is>
          <t>catch_composition</t>
        </is>
      </c>
      <c r="J38" s="15" t="inlineStr">
        <is>
          <t>medium</t>
        </is>
      </c>
      <c r="K38" s="10" t="inlineStr">
        <is>
          <t>composite_split</t>
        </is>
      </c>
      <c r="L38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8" s="10" t="n">
        <v>1420361.07</v>
      </c>
    </row>
    <row r="39" ht="51" customHeight="1">
      <c r="A39" s="10" t="inlineStr">
        <is>
          <t>LME_028</t>
        </is>
      </c>
      <c r="B39" s="11" t="inlineStr">
        <is>
          <t>28_646_Guinea_(1998)</t>
        </is>
      </c>
      <c r="C39" s="11" t="inlineStr">
        <is>
          <t>Sciaenidae</t>
        </is>
      </c>
      <c r="D39" s="10" t="inlineStr">
        <is>
          <t>Drums, croakers</t>
        </is>
      </c>
      <c r="E39" s="10" t="inlineStr">
        <is>
          <t>Medium demersals (30 - 89 cm)</t>
        </is>
      </c>
      <c r="F39" s="10" t="inlineStr">
        <is>
          <t>Perch-likes</t>
        </is>
      </c>
      <c r="G39" s="11" t="inlineStr">
        <is>
          <t>Côtier S pred</t>
        </is>
      </c>
      <c r="H39" s="12" t="n">
        <v>0.05166637998776992</v>
      </c>
      <c r="I39" s="10" t="inlineStr">
        <is>
          <t>catch_composition</t>
        </is>
      </c>
      <c r="J39" s="15" t="inlineStr">
        <is>
          <t>medium</t>
        </is>
      </c>
      <c r="K39" s="10" t="inlineStr">
        <is>
          <t>composite_split</t>
        </is>
      </c>
      <c r="L39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9" s="10" t="n">
        <v>1420361.07</v>
      </c>
    </row>
    <row r="40" ht="51" customHeight="1">
      <c r="A40" s="10" t="inlineStr">
        <is>
          <t>LME_028</t>
        </is>
      </c>
      <c r="B40" s="11" t="inlineStr">
        <is>
          <t>28_646_Guinea_(1998)</t>
        </is>
      </c>
      <c r="C40" s="11" t="inlineStr">
        <is>
          <t>Sciaenidae</t>
        </is>
      </c>
      <c r="D40" s="10" t="inlineStr">
        <is>
          <t>Drums, croakers</t>
        </is>
      </c>
      <c r="E40" s="10" t="inlineStr">
        <is>
          <t>Medium demersals (30 - 89 cm)</t>
        </is>
      </c>
      <c r="F40" s="10" t="inlineStr">
        <is>
          <t>Perch-likes</t>
        </is>
      </c>
      <c r="G40" s="11" t="inlineStr">
        <is>
          <t>Dem L pred</t>
        </is>
      </c>
      <c r="H40" s="12" t="n">
        <v>0.04751851064778237</v>
      </c>
      <c r="I40" s="10" t="inlineStr">
        <is>
          <t>catch_composition</t>
        </is>
      </c>
      <c r="J40" s="15" t="inlineStr">
        <is>
          <t>medium</t>
        </is>
      </c>
      <c r="K40" s="10" t="inlineStr">
        <is>
          <t>composite_split</t>
        </is>
      </c>
      <c r="L40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40" s="10" t="n">
        <v>1420361.07</v>
      </c>
    </row>
    <row r="41" ht="51" customHeight="1">
      <c r="A41" s="10" t="inlineStr">
        <is>
          <t>LME_028</t>
        </is>
      </c>
      <c r="B41" s="11" t="inlineStr">
        <is>
          <t>28_646_Guinea_(1998)</t>
        </is>
      </c>
      <c r="C41" s="11" t="inlineStr">
        <is>
          <t>Sciaenidae</t>
        </is>
      </c>
      <c r="D41" s="10" t="inlineStr">
        <is>
          <t>Drums, croakers</t>
        </is>
      </c>
      <c r="E41" s="10" t="inlineStr">
        <is>
          <t>Medium demersals (30 - 89 cm)</t>
        </is>
      </c>
      <c r="F41" s="10" t="inlineStr">
        <is>
          <t>Perch-likes</t>
        </is>
      </c>
      <c r="G41" s="11" t="inlineStr">
        <is>
          <t>Dem L inv</t>
        </is>
      </c>
      <c r="H41" s="12" t="n">
        <v>0.00633400037655778</v>
      </c>
      <c r="I41" s="10" t="inlineStr">
        <is>
          <t>catch_composition</t>
        </is>
      </c>
      <c r="J41" s="15" t="inlineStr">
        <is>
          <t>medium</t>
        </is>
      </c>
      <c r="K41" s="10" t="inlineStr">
        <is>
          <t>composite_split</t>
        </is>
      </c>
      <c r="L41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41" s="10" t="n">
        <v>1420361.07</v>
      </c>
    </row>
    <row r="42" ht="36" customHeight="1">
      <c r="A42" s="10" t="inlineStr">
        <is>
          <t>LME_028</t>
        </is>
      </c>
      <c r="B42" s="11" t="inlineStr">
        <is>
          <t>28_646_Guinea_(1998)</t>
        </is>
      </c>
      <c r="C42" s="11" t="inlineStr">
        <is>
          <t>Chloroscombrus chrysurus</t>
        </is>
      </c>
      <c r="D42" s="10" t="inlineStr">
        <is>
          <t>Atlantic bumper</t>
        </is>
      </c>
      <c r="E42" s="10" t="inlineStr">
        <is>
          <t>Medium pelagics (30 - 89 cm)</t>
        </is>
      </c>
      <c r="F42" s="10" t="inlineStr">
        <is>
          <t>Perch-likes</t>
        </is>
      </c>
      <c r="G42" s="11" t="inlineStr">
        <is>
          <t>Côtier pel L pred</t>
        </is>
      </c>
      <c r="H42" s="12" t="n">
        <v>1</v>
      </c>
      <c r="I42" s="10" t="inlineStr">
        <is>
          <t>single</t>
        </is>
      </c>
      <c r="J42" s="14" t="inlineStr">
        <is>
          <t>high</t>
        </is>
      </c>
      <c r="K42" s="10" t="inlineStr">
        <is>
          <t>explicit_member</t>
        </is>
      </c>
      <c r="L42" s="11" t="inlineStr">
        <is>
          <t>Guénette &amp; Diallo 2004 Table 6 p.131 explicitly lists this taxon in the named group(s); printed and accepted names checked against WoRMS.</t>
        </is>
      </c>
      <c r="M42" s="10" t="n">
        <v>1394161.195</v>
      </c>
    </row>
    <row r="43" ht="51" customHeight="1">
      <c r="A43" s="10" t="inlineStr">
        <is>
          <t>LME_028</t>
        </is>
      </c>
      <c r="B43" s="11" t="inlineStr">
        <is>
          <t>28_646_Guinea_(1998)</t>
        </is>
      </c>
      <c r="C43" s="11" t="inlineStr">
        <is>
          <t>Sarotherodon melanotheron</t>
        </is>
      </c>
      <c r="D43" s="10" t="inlineStr">
        <is>
          <t>Blackchin tilapia</t>
        </is>
      </c>
      <c r="E43" s="10" t="inlineStr">
        <is>
          <t>Small demersals (&lt;30 cm)</t>
        </is>
      </c>
      <c r="F43" s="10" t="inlineStr">
        <is>
          <t>Perch-likes</t>
        </is>
      </c>
      <c r="G43" s="11" t="inlineStr">
        <is>
          <t>Unresolved</t>
        </is>
      </c>
      <c r="H43" s="12" t="n"/>
      <c r="I43" s="10" t="inlineStr"/>
      <c r="J43" s="16" t="inlineStr">
        <is>
          <t>unresolved</t>
        </is>
      </c>
      <c r="K43" s="10" t="inlineStr">
        <is>
          <t>none</t>
        </is>
      </c>
      <c r="L43" s="11" t="inlineStr">
        <is>
          <t>Freshwater/brackish-water catch has no documented cichlid/cyprinid group in the offshore-Guinea source. Extending the named Mulets pool would require diet and habitat evidence for this taxon.</t>
        </is>
      </c>
      <c r="M43" s="10" t="n">
        <v>1133300.549</v>
      </c>
    </row>
    <row r="44" ht="21" customHeight="1">
      <c r="A44" s="10" t="inlineStr">
        <is>
          <t>LME_028</t>
        </is>
      </c>
      <c r="B44" s="11" t="inlineStr">
        <is>
          <t>28_646_Guinea_(1998)</t>
        </is>
      </c>
      <c r="C44" s="11" t="inlineStr">
        <is>
          <t>Sepia</t>
        </is>
      </c>
      <c r="D44" s="10" t="inlineStr">
        <is>
          <t>Sepia cuttlefishes</t>
        </is>
      </c>
      <c r="E44" s="10" t="inlineStr">
        <is>
          <t>Cephalopods</t>
        </is>
      </c>
      <c r="F44" s="10" t="inlineStr">
        <is>
          <t>Other fishes &amp; inverts</t>
        </is>
      </c>
      <c r="G44" s="11" t="inlineStr">
        <is>
          <t>Céphalopodes</t>
        </is>
      </c>
      <c r="H44" s="12" t="n">
        <v>1</v>
      </c>
      <c r="I44" s="10" t="inlineStr">
        <is>
          <t>single</t>
        </is>
      </c>
      <c r="J44" s="14" t="inlineStr">
        <is>
          <t>high</t>
        </is>
      </c>
      <c r="K44" s="10" t="inlineStr">
        <is>
          <t>taxonomic_containment</t>
        </is>
      </c>
      <c r="L44" s="11" t="inlineStr">
        <is>
          <t>Source p.125 explicitly includes all cephalopods, including octopus, cuttlefish and squid.</t>
        </is>
      </c>
      <c r="M44" s="10" t="n">
        <v>1128579.148</v>
      </c>
    </row>
    <row r="45" ht="51" customHeight="1">
      <c r="A45" s="10" t="inlineStr">
        <is>
          <t>LME_028</t>
        </is>
      </c>
      <c r="B45" s="11" t="inlineStr">
        <is>
          <t>28_646_Guinea_(1998)</t>
        </is>
      </c>
      <c r="C45" s="11" t="inlineStr">
        <is>
          <t>Clupeidae</t>
        </is>
      </c>
      <c r="D45" s="10" t="inlineStr">
        <is>
          <t>Herrings, sardines, menhadens</t>
        </is>
      </c>
      <c r="E45" s="10" t="inlineStr">
        <is>
          <t>Small pelagics (&lt;30 cm)</t>
        </is>
      </c>
      <c r="F45" s="10" t="inlineStr">
        <is>
          <t>Herring-likes</t>
        </is>
      </c>
      <c r="G45" s="11" t="inlineStr">
        <is>
          <t>Côtier pel S inv</t>
        </is>
      </c>
      <c r="H45" s="12" t="n">
        <v>0.6011821439476011</v>
      </c>
      <c r="I45" s="10" t="inlineStr">
        <is>
          <t>catch_composition</t>
        </is>
      </c>
      <c r="J45" s="15" t="inlineStr">
        <is>
          <t>medium</t>
        </is>
      </c>
      <c r="K45" s="10" t="inlineStr">
        <is>
          <t>composite_split</t>
        </is>
      </c>
      <c r="L45" s="11" t="inlineStr">
        <is>
          <t>Historical herring-family catch includes sardinellas and bonga. Table 6 separates Sardinella/Ilisha from Ethmalosa; current family-rank changes do not erase that commercial scope.</t>
        </is>
      </c>
      <c r="M45" s="10" t="n">
        <v>1104199.724</v>
      </c>
    </row>
    <row r="46" ht="51" customHeight="1">
      <c r="A46" s="10" t="inlineStr">
        <is>
          <t>LME_028</t>
        </is>
      </c>
      <c r="B46" s="11" t="inlineStr">
        <is>
          <t>28_646_Guinea_(1998)</t>
        </is>
      </c>
      <c r="C46" s="11" t="inlineStr">
        <is>
          <t>Clupeidae</t>
        </is>
      </c>
      <c r="D46" s="10" t="inlineStr">
        <is>
          <t>Herrings, sardines, menhadens</t>
        </is>
      </c>
      <c r="E46" s="10" t="inlineStr">
        <is>
          <t>Small pelagics (&lt;30 cm)</t>
        </is>
      </c>
      <c r="F46" s="10" t="inlineStr">
        <is>
          <t>Herring-likes</t>
        </is>
      </c>
      <c r="G46" s="11" t="inlineStr">
        <is>
          <t>Ethmalose</t>
        </is>
      </c>
      <c r="H46" s="12" t="n">
        <v>0.3988178560523989</v>
      </c>
      <c r="I46" s="10" t="inlineStr">
        <is>
          <t>catch_composition</t>
        </is>
      </c>
      <c r="J46" s="15" t="inlineStr">
        <is>
          <t>medium</t>
        </is>
      </c>
      <c r="K46" s="10" t="inlineStr">
        <is>
          <t>composite_split</t>
        </is>
      </c>
      <c r="L46" s="11" t="inlineStr">
        <is>
          <t>Historical herring-family catch includes sardinellas and bonga. Table 6 separates Sardinella/Ilisha from Ethmalosa; current family-rank changes do not erase that commercial scope.</t>
        </is>
      </c>
      <c r="M46" s="10" t="n">
        <v>1104199.724</v>
      </c>
    </row>
    <row r="47" ht="36" customHeight="1">
      <c r="A47" s="10" t="inlineStr">
        <is>
          <t>LME_028</t>
        </is>
      </c>
      <c r="B47" s="11" t="inlineStr">
        <is>
          <t>28_646_Guinea_(1998)</t>
        </is>
      </c>
      <c r="C47" s="11" t="inlineStr">
        <is>
          <t>Scombridae</t>
        </is>
      </c>
      <c r="D47" s="10" t="inlineStr">
        <is>
          <t>Mackerels, tunas, bonitos</t>
        </is>
      </c>
      <c r="E47" s="10" t="inlineStr">
        <is>
          <t>Medium pelagics (30 - 89 cm)</t>
        </is>
      </c>
      <c r="F47" s="10" t="inlineStr">
        <is>
          <t>Perch-likes</t>
        </is>
      </c>
      <c r="G47" s="11" t="inlineStr">
        <is>
          <t>Thons majeurs</t>
        </is>
      </c>
      <c r="H47" s="12" t="n">
        <v>0.4729703906465236</v>
      </c>
      <c r="I47" s="10" t="inlineStr">
        <is>
          <t>catch_composition</t>
        </is>
      </c>
      <c r="J47" s="15" t="inlineStr">
        <is>
          <t>medium</t>
        </is>
      </c>
      <c r="K47" s="10" t="inlineStr">
        <is>
          <t>composite_split</t>
        </is>
      </c>
      <c r="L47" s="11" t="inlineStr">
        <is>
          <t>Table 6 places Thunnus/Katsuwonus in major tunas, other tuna/bonito and Spanish mackerel taxa in minor tunas, and Scomber in small offshore pelagics.</t>
        </is>
      </c>
      <c r="M47" s="10" t="n">
        <v>1005227.905</v>
      </c>
    </row>
    <row r="48" ht="36" customHeight="1">
      <c r="A48" s="10" t="inlineStr">
        <is>
          <t>LME_028</t>
        </is>
      </c>
      <c r="B48" s="11" t="inlineStr">
        <is>
          <t>28_646_Guinea_(1998)</t>
        </is>
      </c>
      <c r="C48" s="11" t="inlineStr">
        <is>
          <t>Scombridae</t>
        </is>
      </c>
      <c r="D48" s="10" t="inlineStr">
        <is>
          <t>Mackerels, tunas, bonitos</t>
        </is>
      </c>
      <c r="E48" s="10" t="inlineStr">
        <is>
          <t>Medium pelagics (30 - 89 cm)</t>
        </is>
      </c>
      <c r="F48" s="10" t="inlineStr">
        <is>
          <t>Perch-likes</t>
        </is>
      </c>
      <c r="G48" s="11" t="inlineStr">
        <is>
          <t>Thons mineurs</t>
        </is>
      </c>
      <c r="H48" s="12" t="n">
        <v>0.1586029960235791</v>
      </c>
      <c r="I48" s="10" t="inlineStr">
        <is>
          <t>catch_composition</t>
        </is>
      </c>
      <c r="J48" s="15" t="inlineStr">
        <is>
          <t>medium</t>
        </is>
      </c>
      <c r="K48" s="10" t="inlineStr">
        <is>
          <t>composite_split</t>
        </is>
      </c>
      <c r="L48" s="11" t="inlineStr">
        <is>
          <t>Table 6 places Thunnus/Katsuwonus in major tunas, other tuna/bonito and Spanish mackerel taxa in minor tunas, and Scomber in small offshore pelagics.</t>
        </is>
      </c>
      <c r="M48" s="10" t="n">
        <v>1005227.905</v>
      </c>
    </row>
    <row r="49" ht="36" customHeight="1">
      <c r="A49" s="10" t="inlineStr">
        <is>
          <t>LME_028</t>
        </is>
      </c>
      <c r="B49" s="11" t="inlineStr">
        <is>
          <t>28_646_Guinea_(1998)</t>
        </is>
      </c>
      <c r="C49" s="11" t="inlineStr">
        <is>
          <t>Scombridae</t>
        </is>
      </c>
      <c r="D49" s="10" t="inlineStr">
        <is>
          <t>Mackerels, tunas, bonitos</t>
        </is>
      </c>
      <c r="E49" s="10" t="inlineStr">
        <is>
          <t>Medium pelagics (30 - 89 cm)</t>
        </is>
      </c>
      <c r="F49" s="10" t="inlineStr">
        <is>
          <t>Perch-likes</t>
        </is>
      </c>
      <c r="G49" s="11" t="inlineStr">
        <is>
          <t>Pel S inv</t>
        </is>
      </c>
      <c r="H49" s="12" t="n">
        <v>0.3684266133298973</v>
      </c>
      <c r="I49" s="10" t="inlineStr">
        <is>
          <t>catch_composition</t>
        </is>
      </c>
      <c r="J49" s="15" t="inlineStr">
        <is>
          <t>medium</t>
        </is>
      </c>
      <c r="K49" s="10" t="inlineStr">
        <is>
          <t>composite_split</t>
        </is>
      </c>
      <c r="L49" s="11" t="inlineStr">
        <is>
          <t>Table 6 places Thunnus/Katsuwonus in major tunas, other tuna/bonito and Spanish mackerel taxa in minor tunas, and Scomber in small offshore pelagics.</t>
        </is>
      </c>
      <c r="M49" s="10" t="n">
        <v>1005227.905</v>
      </c>
    </row>
    <row r="50" ht="21" customHeight="1">
      <c r="A50" s="10" t="inlineStr">
        <is>
          <t>LME_028</t>
        </is>
      </c>
      <c r="B50" s="11" t="inlineStr">
        <is>
          <t>28_646_Guinea_(1998)</t>
        </is>
      </c>
      <c r="C50" s="11" t="inlineStr">
        <is>
          <t>Elasmobranchii</t>
        </is>
      </c>
      <c r="D50" s="10" t="inlineStr">
        <is>
          <t>Sharks, rays, skates</t>
        </is>
      </c>
      <c r="E50" s="10" t="inlineStr">
        <is>
          <t>Large sharks (&gt;=90 cm)</t>
        </is>
      </c>
      <c r="F50" s="10" t="inlineStr">
        <is>
          <t>Sharks &amp; rays</t>
        </is>
      </c>
      <c r="G50" s="11" t="inlineStr">
        <is>
          <t>Sélaciens L prof</t>
        </is>
      </c>
      <c r="H50" s="12" t="n">
        <v>0.7311113520321565</v>
      </c>
      <c r="I50" s="10" t="inlineStr">
        <is>
          <t>catch_composition</t>
        </is>
      </c>
      <c r="J50" s="15" t="inlineStr">
        <is>
          <t>medium</t>
        </is>
      </c>
      <c r="K50" s="10" t="inlineStr">
        <is>
          <t>composite_split</t>
        </is>
      </c>
      <c r="L50" s="11" t="inlineStr">
        <is>
          <t>The class-level catch spans all four documented shark/ray size and depth groups in Table 6.</t>
        </is>
      </c>
      <c r="M50" s="10" t="n">
        <v>911158.706</v>
      </c>
    </row>
    <row r="51" ht="21" customHeight="1">
      <c r="A51" s="10" t="inlineStr">
        <is>
          <t>LME_028</t>
        </is>
      </c>
      <c r="B51" s="11" t="inlineStr">
        <is>
          <t>28_646_Guinea_(1998)</t>
        </is>
      </c>
      <c r="C51" s="11" t="inlineStr">
        <is>
          <t>Elasmobranchii</t>
        </is>
      </c>
      <c r="D51" s="10" t="inlineStr">
        <is>
          <t>Sharks, rays, skates</t>
        </is>
      </c>
      <c r="E51" s="10" t="inlineStr">
        <is>
          <t>Large sharks (&gt;=90 cm)</t>
        </is>
      </c>
      <c r="F51" s="10" t="inlineStr">
        <is>
          <t>Sharks &amp; rays</t>
        </is>
      </c>
      <c r="G51" s="11" t="inlineStr">
        <is>
          <t>Sélaciens L côtiers</t>
        </is>
      </c>
      <c r="H51" s="12" t="n">
        <v>0.09069363534508455</v>
      </c>
      <c r="I51" s="10" t="inlineStr">
        <is>
          <t>catch_composition</t>
        </is>
      </c>
      <c r="J51" s="15" t="inlineStr">
        <is>
          <t>medium</t>
        </is>
      </c>
      <c r="K51" s="10" t="inlineStr">
        <is>
          <t>composite_split</t>
        </is>
      </c>
      <c r="L51" s="11" t="inlineStr">
        <is>
          <t>The class-level catch spans all four documented shark/ray size and depth groups in Table 6.</t>
        </is>
      </c>
      <c r="M51" s="10" t="n">
        <v>911158.706</v>
      </c>
    </row>
    <row r="52" ht="21" customHeight="1">
      <c r="A52" s="10" t="inlineStr">
        <is>
          <t>LME_028</t>
        </is>
      </c>
      <c r="B52" s="11" t="inlineStr">
        <is>
          <t>28_646_Guinea_(1998)</t>
        </is>
      </c>
      <c r="C52" s="11" t="inlineStr">
        <is>
          <t>Elasmobranchii</t>
        </is>
      </c>
      <c r="D52" s="10" t="inlineStr">
        <is>
          <t>Sharks, rays, skates</t>
        </is>
      </c>
      <c r="E52" s="10" t="inlineStr">
        <is>
          <t>Large sharks (&gt;=90 cm)</t>
        </is>
      </c>
      <c r="F52" s="10" t="inlineStr">
        <is>
          <t>Sharks &amp; rays</t>
        </is>
      </c>
      <c r="G52" s="11" t="inlineStr">
        <is>
          <t>Sélaciens M prof</t>
        </is>
      </c>
      <c r="H52" s="12" t="n">
        <v>0.171801231885262</v>
      </c>
      <c r="I52" s="10" t="inlineStr">
        <is>
          <t>catch_composition</t>
        </is>
      </c>
      <c r="J52" s="15" t="inlineStr">
        <is>
          <t>medium</t>
        </is>
      </c>
      <c r="K52" s="10" t="inlineStr">
        <is>
          <t>composite_split</t>
        </is>
      </c>
      <c r="L52" s="11" t="inlineStr">
        <is>
          <t>The class-level catch spans all four documented shark/ray size and depth groups in Table 6.</t>
        </is>
      </c>
      <c r="M52" s="10" t="n">
        <v>911158.706</v>
      </c>
    </row>
    <row r="53" ht="21" customHeight="1">
      <c r="A53" s="10" t="inlineStr">
        <is>
          <t>LME_028</t>
        </is>
      </c>
      <c r="B53" s="11" t="inlineStr">
        <is>
          <t>28_646_Guinea_(1998)</t>
        </is>
      </c>
      <c r="C53" s="11" t="inlineStr">
        <is>
          <t>Elasmobranchii</t>
        </is>
      </c>
      <c r="D53" s="10" t="inlineStr">
        <is>
          <t>Sharks, rays, skates</t>
        </is>
      </c>
      <c r="E53" s="10" t="inlineStr">
        <is>
          <t>Large sharks (&gt;=90 cm)</t>
        </is>
      </c>
      <c r="F53" s="10" t="inlineStr">
        <is>
          <t>Sharks &amp; rays</t>
        </is>
      </c>
      <c r="G53" s="11" t="inlineStr">
        <is>
          <t>Sélaciens M côtiers</t>
        </is>
      </c>
      <c r="H53" s="12" t="n">
        <v>0.006393780737496957</v>
      </c>
      <c r="I53" s="10" t="inlineStr">
        <is>
          <t>catch_composition</t>
        </is>
      </c>
      <c r="J53" s="15" t="inlineStr">
        <is>
          <t>medium</t>
        </is>
      </c>
      <c r="K53" s="10" t="inlineStr">
        <is>
          <t>composite_split</t>
        </is>
      </c>
      <c r="L53" s="11" t="inlineStr">
        <is>
          <t>The class-level catch spans all four documented shark/ray size and depth groups in Table 6.</t>
        </is>
      </c>
      <c r="M53" s="10" t="n">
        <v>911158.706</v>
      </c>
    </row>
    <row r="54" ht="36" customHeight="1">
      <c r="A54" s="10" t="inlineStr">
        <is>
          <t>LME_028</t>
        </is>
      </c>
      <c r="B54" s="11" t="inlineStr">
        <is>
          <t>28_646_Guinea_(1998)</t>
        </is>
      </c>
      <c r="C54" s="11" t="inlineStr">
        <is>
          <t>Polydactylus quadrifilis</t>
        </is>
      </c>
      <c r="D54" s="10" t="inlineStr">
        <is>
          <t>Giant African threadfin</t>
        </is>
      </c>
      <c r="E54" s="10" t="inlineStr">
        <is>
          <t>Large demersals (&gt;=90 cm)</t>
        </is>
      </c>
      <c r="F54" s="10" t="inlineStr">
        <is>
          <t>Perch-likes</t>
        </is>
      </c>
      <c r="G54" s="11" t="inlineStr">
        <is>
          <t>Gros capitaine</t>
        </is>
      </c>
      <c r="H54" s="12" t="n">
        <v>1</v>
      </c>
      <c r="I54" s="10" t="inlineStr">
        <is>
          <t>single</t>
        </is>
      </c>
      <c r="J54" s="14" t="inlineStr">
        <is>
          <t>high</t>
        </is>
      </c>
      <c r="K54" s="10" t="inlineStr">
        <is>
          <t>explicit_member</t>
        </is>
      </c>
      <c r="L54" s="11" t="inlineStr">
        <is>
          <t>Guénette &amp; Diallo 2004 Table 6 p.131 explicitly lists this taxon in the named group(s); printed and accepted names checked against WoRMS.</t>
        </is>
      </c>
      <c r="M54" s="10" t="n">
        <v>805152.367</v>
      </c>
    </row>
    <row r="55" ht="36" customHeight="1">
      <c r="A55" s="10" t="inlineStr">
        <is>
          <t>LME_028</t>
        </is>
      </c>
      <c r="B55" s="11" t="inlineStr">
        <is>
          <t>28_646_Guinea_(1998)</t>
        </is>
      </c>
      <c r="C55" s="11" t="inlineStr">
        <is>
          <t>Thunnus obesus</t>
        </is>
      </c>
      <c r="D55" s="10" t="inlineStr">
        <is>
          <t>Bigeye tuna</t>
        </is>
      </c>
      <c r="E55" s="10" t="inlineStr">
        <is>
          <t>Large pelagics (&gt;=90 cm)</t>
        </is>
      </c>
      <c r="F55" s="10" t="inlineStr">
        <is>
          <t>Tuna &amp; billfishes</t>
        </is>
      </c>
      <c r="G55" s="11" t="inlineStr">
        <is>
          <t>Thons majeurs</t>
        </is>
      </c>
      <c r="H55" s="12" t="n">
        <v>1</v>
      </c>
      <c r="I55" s="10" t="inlineStr">
        <is>
          <t>single</t>
        </is>
      </c>
      <c r="J55" s="14" t="inlineStr">
        <is>
          <t>high</t>
        </is>
      </c>
      <c r="K55" s="10" t="inlineStr">
        <is>
          <t>explicit_member</t>
        </is>
      </c>
      <c r="L55" s="11" t="inlineStr">
        <is>
          <t>Guénette &amp; Diallo 2004 Table 6 p.131 explicitly lists this taxon in the named group(s); printed and accepted names checked against WoRMS.</t>
        </is>
      </c>
      <c r="M55" s="10" t="n">
        <v>788871.309</v>
      </c>
    </row>
    <row r="56" ht="36" customHeight="1">
      <c r="A56" s="10" t="inlineStr">
        <is>
          <t>LME_028</t>
        </is>
      </c>
      <c r="B56" s="11" t="inlineStr">
        <is>
          <t>28_646_Guinea_(1998)</t>
        </is>
      </c>
      <c r="C56" s="11" t="inlineStr">
        <is>
          <t>Mugilidae</t>
        </is>
      </c>
      <c r="D56" s="10" t="inlineStr">
        <is>
          <t>Mullets, grey mullets</t>
        </is>
      </c>
      <c r="E56" s="10" t="inlineStr">
        <is>
          <t>Medium reef assoc. fish (30 - 89 cm)</t>
        </is>
      </c>
      <c r="F56" s="10" t="inlineStr">
        <is>
          <t>Perch-likes</t>
        </is>
      </c>
      <c r="G56" s="11" t="inlineStr">
        <is>
          <t>Dem M inv</t>
        </is>
      </c>
      <c r="H56" s="12" t="n">
        <v>0.9267106326325442</v>
      </c>
      <c r="I56" s="10" t="inlineStr">
        <is>
          <t>catch_composition</t>
        </is>
      </c>
      <c r="J56" s="15" t="inlineStr">
        <is>
          <t>medium</t>
        </is>
      </c>
      <c r="K56" s="10" t="inlineStr">
        <is>
          <t>composite_split</t>
        </is>
      </c>
      <c r="L56" s="11" t="inlineStr">
        <is>
          <t>Family catch spans the union of all Table 6 member groups belonging to Mugilidae under WoRMS. Every candidate is supported by a source member; source placement outranks SAU habitat class.</t>
        </is>
      </c>
      <c r="M56" s="10" t="n">
        <v>785745.88</v>
      </c>
    </row>
    <row r="57" ht="36" customHeight="1">
      <c r="A57" s="10" t="inlineStr">
        <is>
          <t>LME_028</t>
        </is>
      </c>
      <c r="B57" s="11" t="inlineStr">
        <is>
          <t>28_646_Guinea_(1998)</t>
        </is>
      </c>
      <c r="C57" s="11" t="inlineStr">
        <is>
          <t>Mugilidae</t>
        </is>
      </c>
      <c r="D57" s="10" t="inlineStr">
        <is>
          <t>Mullets, grey mullets</t>
        </is>
      </c>
      <c r="E57" s="10" t="inlineStr">
        <is>
          <t>Medium reef assoc. fish (30 - 89 cm)</t>
        </is>
      </c>
      <c r="F57" s="10" t="inlineStr">
        <is>
          <t>Perch-likes</t>
        </is>
      </c>
      <c r="G57" s="11" t="inlineStr">
        <is>
          <t>Mulets</t>
        </is>
      </c>
      <c r="H57" s="12" t="n">
        <v>0.0732893673674558</v>
      </c>
      <c r="I57" s="10" t="inlineStr">
        <is>
          <t>catch_composition</t>
        </is>
      </c>
      <c r="J57" s="15" t="inlineStr">
        <is>
          <t>medium</t>
        </is>
      </c>
      <c r="K57" s="10" t="inlineStr">
        <is>
          <t>composite_split</t>
        </is>
      </c>
      <c r="L57" s="11" t="inlineStr">
        <is>
          <t>Family catch spans the union of all Table 6 member groups belonging to Mugilidae under WoRMS. Every candidate is supported by a source member; source placement outranks SAU habitat class.</t>
        </is>
      </c>
      <c r="M57" s="10" t="n">
        <v>785745.88</v>
      </c>
    </row>
    <row r="58" ht="51" customHeight="1">
      <c r="A58" s="10" t="inlineStr">
        <is>
          <t>LME_028</t>
        </is>
      </c>
      <c r="B58" s="11" t="inlineStr">
        <is>
          <t>28_646_Guinea_(1998)</t>
        </is>
      </c>
      <c r="C58" s="11" t="inlineStr">
        <is>
          <t>Polynemidae</t>
        </is>
      </c>
      <c r="D58" s="10" t="inlineStr">
        <is>
          <t>Threadfins</t>
        </is>
      </c>
      <c r="E58" s="10" t="inlineStr">
        <is>
          <t>Small demersals (&lt;30 cm)</t>
        </is>
      </c>
      <c r="F58" s="10" t="inlineStr">
        <is>
          <t>Perch-likes</t>
        </is>
      </c>
      <c r="G58" s="11" t="inlineStr">
        <is>
          <t>Gros capitaine</t>
        </is>
      </c>
      <c r="H58" s="12" t="n">
        <v>0.2585780365115347</v>
      </c>
      <c r="I58" s="10" t="inlineStr">
        <is>
          <t>catch_composition</t>
        </is>
      </c>
      <c r="J58" s="15" t="inlineStr">
        <is>
          <t>medium</t>
        </is>
      </c>
      <c r="K58" s="10" t="inlineStr">
        <is>
          <t>composite_split</t>
        </is>
      </c>
      <c r="L58" s="11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58" s="10" t="n">
        <v>771085.964</v>
      </c>
    </row>
    <row r="59" ht="51" customHeight="1">
      <c r="A59" s="10" t="inlineStr">
        <is>
          <t>LME_028</t>
        </is>
      </c>
      <c r="B59" s="11" t="inlineStr">
        <is>
          <t>28_646_Guinea_(1998)</t>
        </is>
      </c>
      <c r="C59" s="11" t="inlineStr">
        <is>
          <t>Polynemidae</t>
        </is>
      </c>
      <c r="D59" s="10" t="inlineStr">
        <is>
          <t>Threadfins</t>
        </is>
      </c>
      <c r="E59" s="10" t="inlineStr">
        <is>
          <t>Small demersals (&lt;30 cm)</t>
        </is>
      </c>
      <c r="F59" s="10" t="inlineStr">
        <is>
          <t>Perch-likes</t>
        </is>
      </c>
      <c r="G59" s="11" t="inlineStr">
        <is>
          <t>Petit capitaine</t>
        </is>
      </c>
      <c r="H59" s="12" t="n">
        <v>0.6222564810073976</v>
      </c>
      <c r="I59" s="10" t="inlineStr">
        <is>
          <t>catch_composition</t>
        </is>
      </c>
      <c r="J59" s="15" t="inlineStr">
        <is>
          <t>medium</t>
        </is>
      </c>
      <c r="K59" s="10" t="inlineStr">
        <is>
          <t>composite_split</t>
        </is>
      </c>
      <c r="L59" s="11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59" s="10" t="n">
        <v>771085.964</v>
      </c>
    </row>
    <row r="60" ht="51" customHeight="1">
      <c r="A60" s="10" t="inlineStr">
        <is>
          <t>LME_028</t>
        </is>
      </c>
      <c r="B60" s="11" t="inlineStr">
        <is>
          <t>28_646_Guinea_(1998)</t>
        </is>
      </c>
      <c r="C60" s="11" t="inlineStr">
        <is>
          <t>Polynemidae</t>
        </is>
      </c>
      <c r="D60" s="10" t="inlineStr">
        <is>
          <t>Threadfins</t>
        </is>
      </c>
      <c r="E60" s="10" t="inlineStr">
        <is>
          <t>Small demersals (&lt;30 cm)</t>
        </is>
      </c>
      <c r="F60" s="10" t="inlineStr">
        <is>
          <t>Perch-likes</t>
        </is>
      </c>
      <c r="G60" s="11" t="inlineStr">
        <is>
          <t>Capitaine royal</t>
        </is>
      </c>
      <c r="H60" s="12" t="n">
        <v>0.1191654824810677</v>
      </c>
      <c r="I60" s="10" t="inlineStr">
        <is>
          <t>catch_composition</t>
        </is>
      </c>
      <c r="J60" s="15" t="inlineStr">
        <is>
          <t>medium</t>
        </is>
      </c>
      <c r="K60" s="10" t="inlineStr">
        <is>
          <t>composite_split</t>
        </is>
      </c>
      <c r="L60" s="11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60" s="10" t="n">
        <v>771085.964</v>
      </c>
    </row>
    <row r="61" ht="51" customHeight="1">
      <c r="A61" s="10" t="inlineStr">
        <is>
          <t>LME_028</t>
        </is>
      </c>
      <c r="B61" s="11" t="inlineStr">
        <is>
          <t>28_646_Guinea_(1998)</t>
        </is>
      </c>
      <c r="C61" s="11" t="inlineStr">
        <is>
          <t>Balistidae</t>
        </is>
      </c>
      <c r="D61" s="10" t="inlineStr">
        <is>
          <t>Triggerfishes</t>
        </is>
      </c>
      <c r="E61" s="10" t="inlineStr">
        <is>
          <t>Medium reef assoc. fish (30 - 89 cm)</t>
        </is>
      </c>
      <c r="F61" s="10" t="inlineStr">
        <is>
          <t>Other fishes &amp; inverts</t>
        </is>
      </c>
      <c r="G61" s="11" t="inlineStr">
        <is>
          <t>Dem M inv</t>
        </is>
      </c>
      <c r="H61" s="12" t="n">
        <v>1</v>
      </c>
      <c r="I61" s="10" t="inlineStr">
        <is>
          <t>single</t>
        </is>
      </c>
      <c r="J61" s="15" t="inlineStr">
        <is>
          <t>medium</t>
        </is>
      </c>
      <c r="K61" s="10" t="inlineStr">
        <is>
          <t>taxonomic_containment</t>
        </is>
      </c>
      <c r="L61" s="11" t="inlineStr">
        <is>
          <t>Family catch spans the union of all Table 6 member groups belonging to Balistidae under WoRMS. Every candidate is supported by a source member; source placement outranks SAU habitat class.</t>
        </is>
      </c>
      <c r="M61" s="10" t="n">
        <v>736703.3959999999</v>
      </c>
    </row>
    <row r="62" ht="36" customHeight="1">
      <c r="A62" s="10" t="inlineStr">
        <is>
          <t>LME_028</t>
        </is>
      </c>
      <c r="B62" s="11" t="inlineStr">
        <is>
          <t>28_646_Guinea_(1998)</t>
        </is>
      </c>
      <c r="C62" s="11" t="inlineStr">
        <is>
          <t>Nematocarcinus africanus</t>
        </is>
      </c>
      <c r="D62" s="10" t="inlineStr">
        <is>
          <t>African spider shrimp</t>
        </is>
      </c>
      <c r="E62" s="10" t="inlineStr">
        <is>
          <t>Shrimps</t>
        </is>
      </c>
      <c r="F62" s="10" t="inlineStr">
        <is>
          <t>Crustaceans</t>
        </is>
      </c>
      <c r="G62" s="11" t="inlineStr">
        <is>
          <t>Crustacés</t>
        </is>
      </c>
      <c r="H62" s="12" t="n">
        <v>1</v>
      </c>
      <c r="I62" s="10" t="inlineStr">
        <is>
          <t>single</t>
        </is>
      </c>
      <c r="J62" s="14" t="inlineStr">
        <is>
          <t>high</t>
        </is>
      </c>
      <c r="K62" s="10" t="inlineStr">
        <is>
          <t>taxonomic_containment</t>
        </is>
      </c>
      <c r="L62" s="11" t="inlineStr">
        <is>
          <t>WoRMS crustacean taxonomy and SAU shrimp/crab/lobster class agree with the source Crustacés definition on p.125.</t>
        </is>
      </c>
      <c r="M62" s="10" t="n">
        <v>736231.044</v>
      </c>
    </row>
    <row r="63" ht="51" customHeight="1">
      <c r="A63" s="10" t="inlineStr">
        <is>
          <t>LME_028</t>
        </is>
      </c>
      <c r="B63" s="11" t="inlineStr">
        <is>
          <t>28_646_Guinea_(1998)</t>
        </is>
      </c>
      <c r="C63" s="11" t="inlineStr">
        <is>
          <t>Haemulidae</t>
        </is>
      </c>
      <c r="D63" s="10" t="inlineStr">
        <is>
          <t>Grunts, sweetlips, bonnetmouths</t>
        </is>
      </c>
      <c r="E63" s="10" t="inlineStr">
        <is>
          <t>Medium demersals (30 - 89 cm)</t>
        </is>
      </c>
      <c r="F63" s="10" t="inlineStr">
        <is>
          <t>Perch-likes</t>
        </is>
      </c>
      <c r="G63" s="11" t="inlineStr">
        <is>
          <t>Côtier M inv</t>
        </is>
      </c>
      <c r="H63" s="12" t="n">
        <v>0.3591791032406699</v>
      </c>
      <c r="I63" s="10" t="inlineStr">
        <is>
          <t>catch_composition</t>
        </is>
      </c>
      <c r="J63" s="15" t="inlineStr">
        <is>
          <t>medium</t>
        </is>
      </c>
      <c r="K63" s="10" t="inlineStr">
        <is>
          <t>composite_split</t>
        </is>
      </c>
      <c r="L63" s="11" t="inlineStr">
        <is>
          <t>Family catch spans the union of all Table 6 member groups belonging to Haemulidae under WoRMS. Every candidate is supported by a source member; source placement outranks SAU habitat class.</t>
        </is>
      </c>
      <c r="M63" s="10" t="n">
        <v>731597.709</v>
      </c>
    </row>
    <row r="64" ht="51" customHeight="1">
      <c r="A64" s="10" t="inlineStr">
        <is>
          <t>LME_028</t>
        </is>
      </c>
      <c r="B64" s="11" t="inlineStr">
        <is>
          <t>28_646_Guinea_(1998)</t>
        </is>
      </c>
      <c r="C64" s="11" t="inlineStr">
        <is>
          <t>Haemulidae</t>
        </is>
      </c>
      <c r="D64" s="10" t="inlineStr">
        <is>
          <t>Grunts, sweetlips, bonnetmouths</t>
        </is>
      </c>
      <c r="E64" s="10" t="inlineStr">
        <is>
          <t>Medium demersals (30 - 89 cm)</t>
        </is>
      </c>
      <c r="F64" s="10" t="inlineStr">
        <is>
          <t>Perch-likes</t>
        </is>
      </c>
      <c r="G64" s="11" t="inlineStr">
        <is>
          <t>Côtier S inv</t>
        </is>
      </c>
      <c r="H64" s="12" t="n">
        <v>0.409912169875147</v>
      </c>
      <c r="I64" s="10" t="inlineStr">
        <is>
          <t>catch_composition</t>
        </is>
      </c>
      <c r="J64" s="15" t="inlineStr">
        <is>
          <t>medium</t>
        </is>
      </c>
      <c r="K64" s="10" t="inlineStr">
        <is>
          <t>composite_split</t>
        </is>
      </c>
      <c r="L64" s="11" t="inlineStr">
        <is>
          <t>Family catch spans the union of all Table 6 member groups belonging to Haemulidae under WoRMS. Every candidate is supported by a source member; source placement outranks SAU habitat class.</t>
        </is>
      </c>
      <c r="M64" s="10" t="n">
        <v>731597.709</v>
      </c>
    </row>
    <row r="65" ht="51" customHeight="1">
      <c r="A65" s="10" t="inlineStr">
        <is>
          <t>LME_028</t>
        </is>
      </c>
      <c r="B65" s="11" t="inlineStr">
        <is>
          <t>28_646_Guinea_(1998)</t>
        </is>
      </c>
      <c r="C65" s="11" t="inlineStr">
        <is>
          <t>Haemulidae</t>
        </is>
      </c>
      <c r="D65" s="10" t="inlineStr">
        <is>
          <t>Grunts, sweetlips, bonnetmouths</t>
        </is>
      </c>
      <c r="E65" s="10" t="inlineStr">
        <is>
          <t>Medium demersals (30 - 89 cm)</t>
        </is>
      </c>
      <c r="F65" s="10" t="inlineStr">
        <is>
          <t>Perch-likes</t>
        </is>
      </c>
      <c r="G65" s="11" t="inlineStr">
        <is>
          <t>Dem M inv</t>
        </is>
      </c>
      <c r="H65" s="12" t="n">
        <v>0.230908726884183</v>
      </c>
      <c r="I65" s="10" t="inlineStr">
        <is>
          <t>catch_composition</t>
        </is>
      </c>
      <c r="J65" s="15" t="inlineStr">
        <is>
          <t>medium</t>
        </is>
      </c>
      <c r="K65" s="10" t="inlineStr">
        <is>
          <t>composite_split</t>
        </is>
      </c>
      <c r="L65" s="11" t="inlineStr">
        <is>
          <t>Family catch spans the union of all Table 6 member groups belonging to Haemulidae under WoRMS. Every candidate is supported by a source member; source placement outranks SAU habitat class.</t>
        </is>
      </c>
      <c r="M65" s="10" t="n">
        <v>731597.709</v>
      </c>
    </row>
    <row r="66" ht="36" customHeight="1">
      <c r="A66" s="10" t="inlineStr">
        <is>
          <t>LME_028</t>
        </is>
      </c>
      <c r="B66" s="11" t="inlineStr">
        <is>
          <t>28_646_Guinea_(1998)</t>
        </is>
      </c>
      <c r="C66" s="11" t="inlineStr">
        <is>
          <t>Cynoglossus</t>
        </is>
      </c>
      <c r="D66" s="10" t="inlineStr">
        <is>
          <t>Tonguesoles</t>
        </is>
      </c>
      <c r="E66" s="10" t="inlineStr">
        <is>
          <t>Small to medium flatfishes (&lt;90 cm)</t>
        </is>
      </c>
      <c r="F66" s="10" t="inlineStr">
        <is>
          <t>Flatfishes</t>
        </is>
      </c>
      <c r="G66" s="11" t="inlineStr">
        <is>
          <t>Côtier M inv</t>
        </is>
      </c>
      <c r="H66" s="12" t="n">
        <v>1</v>
      </c>
      <c r="I66" s="10" t="inlineStr">
        <is>
          <t>single</t>
        </is>
      </c>
      <c r="J66" s="15" t="inlineStr">
        <is>
          <t>medium</t>
        </is>
      </c>
      <c r="K66" s="10" t="inlineStr">
        <is>
          <t>taxonomic_containment</t>
        </is>
      </c>
      <c r="L66" s="11" t="inlineStr">
        <is>
          <t>Genus-level catch spans exactly the Table 6 groups containing its documented species. No habitat class overrides those placements.</t>
        </is>
      </c>
      <c r="M66" s="10" t="n">
        <v>718318.286</v>
      </c>
    </row>
    <row r="67" ht="36" customHeight="1">
      <c r="A67" s="10" t="inlineStr">
        <is>
          <t>LME_028</t>
        </is>
      </c>
      <c r="B67" s="11" t="inlineStr">
        <is>
          <t>28_646_Guinea_(1998)</t>
        </is>
      </c>
      <c r="C67" s="11" t="inlineStr">
        <is>
          <t>Ilisha africana</t>
        </is>
      </c>
      <c r="D67" s="10" t="inlineStr">
        <is>
          <t>West African ilisha</t>
        </is>
      </c>
      <c r="E67" s="10" t="inlineStr">
        <is>
          <t>Medium pelagics (30 - 89 cm)</t>
        </is>
      </c>
      <c r="F67" s="10" t="inlineStr">
        <is>
          <t>Herring-likes</t>
        </is>
      </c>
      <c r="G67" s="11" t="inlineStr">
        <is>
          <t>Côtier pel S inv</t>
        </is>
      </c>
      <c r="H67" s="12" t="n">
        <v>1</v>
      </c>
      <c r="I67" s="10" t="inlineStr">
        <is>
          <t>single</t>
        </is>
      </c>
      <c r="J67" s="14" t="inlineStr">
        <is>
          <t>high</t>
        </is>
      </c>
      <c r="K67" s="10" t="inlineStr">
        <is>
          <t>explicit_member</t>
        </is>
      </c>
      <c r="L67" s="11" t="inlineStr">
        <is>
          <t>Guénette &amp; Diallo 2004 Table 6 p.131 explicitly lists this taxon in the named group(s); printed and accepted names checked against WoRMS.</t>
        </is>
      </c>
      <c r="M67" s="10" t="n">
        <v>715365.8810000001</v>
      </c>
    </row>
    <row r="68" ht="51" customHeight="1">
      <c r="A68" s="10" t="inlineStr">
        <is>
          <t>LME_028</t>
        </is>
      </c>
      <c r="B68" s="11" t="inlineStr">
        <is>
          <t>28_646_Guinea_(1998)</t>
        </is>
      </c>
      <c r="C68" s="11" t="inlineStr">
        <is>
          <t>Lutjanidae</t>
        </is>
      </c>
      <c r="D68" s="10" t="inlineStr">
        <is>
          <t>Snappers</t>
        </is>
      </c>
      <c r="E68" s="10" t="inlineStr">
        <is>
          <t>Medium reef assoc. fish (30 - 89 cm)</t>
        </is>
      </c>
      <c r="F68" s="10" t="inlineStr">
        <is>
          <t>Perch-likes</t>
        </is>
      </c>
      <c r="G68" s="11" t="inlineStr">
        <is>
          <t>Côtier L pred</t>
        </is>
      </c>
      <c r="H68" s="12" t="n">
        <v>1</v>
      </c>
      <c r="I68" s="10" t="inlineStr">
        <is>
          <t>single</t>
        </is>
      </c>
      <c r="J68" s="15" t="inlineStr">
        <is>
          <t>medium</t>
        </is>
      </c>
      <c r="K68" s="10" t="inlineStr">
        <is>
          <t>taxonomic_containment</t>
        </is>
      </c>
      <c r="L68" s="11" t="inlineStr">
        <is>
          <t>Family catch spans the union of all Table 6 member groups belonging to Lutjanidae under WoRMS. Every candidate is supported by a source member; source placement outranks SAU habitat class.</t>
        </is>
      </c>
      <c r="M68" s="10" t="n">
        <v>701348.539</v>
      </c>
    </row>
    <row r="69" ht="36" customHeight="1">
      <c r="A69" s="10" t="inlineStr">
        <is>
          <t>LME_028</t>
        </is>
      </c>
      <c r="B69" s="11" t="inlineStr">
        <is>
          <t>28_646_Guinea_(1998)</t>
        </is>
      </c>
      <c r="C69" s="11" t="inlineStr">
        <is>
          <t>Cynoglossus monodi</t>
        </is>
      </c>
      <c r="D69" s="10" t="inlineStr">
        <is>
          <t>Guinean tonguesole</t>
        </is>
      </c>
      <c r="E69" s="10" t="inlineStr">
        <is>
          <t>Small to medium flatfishes (&lt;90 cm)</t>
        </is>
      </c>
      <c r="F69" s="10" t="inlineStr">
        <is>
          <t>Flatfishes</t>
        </is>
      </c>
      <c r="G69" s="11" t="inlineStr">
        <is>
          <t>Côtier M inv</t>
        </is>
      </c>
      <c r="H69" s="12" t="n">
        <v>1</v>
      </c>
      <c r="I69" s="10" t="inlineStr">
        <is>
          <t>single</t>
        </is>
      </c>
      <c r="J69" s="14" t="inlineStr">
        <is>
          <t>high</t>
        </is>
      </c>
      <c r="K69" s="10" t="inlineStr">
        <is>
          <t>explicit_member</t>
        </is>
      </c>
      <c r="L69" s="11" t="inlineStr">
        <is>
          <t>Guénette &amp; Diallo 2004 Table 6 p.131 explicitly lists this taxon in the named group(s); printed and accepted names checked against WoRMS.</t>
        </is>
      </c>
      <c r="M69" s="10" t="n">
        <v>697298.156</v>
      </c>
    </row>
    <row r="70" ht="36" customHeight="1">
      <c r="A70" s="10" t="inlineStr">
        <is>
          <t>LME_028</t>
        </is>
      </c>
      <c r="B70" s="11" t="inlineStr">
        <is>
          <t>28_646_Guinea_(1998)</t>
        </is>
      </c>
      <c r="C70" s="11" t="inlineStr">
        <is>
          <t>Rachycentron canadum</t>
        </is>
      </c>
      <c r="D70" s="10" t="inlineStr">
        <is>
          <t>Cobia</t>
        </is>
      </c>
      <c r="E70" s="10" t="inlineStr">
        <is>
          <t>Large pelagics (&gt;=90 cm)</t>
        </is>
      </c>
      <c r="F70" s="10" t="inlineStr">
        <is>
          <t>Perch-likes</t>
        </is>
      </c>
      <c r="G70" s="11" t="inlineStr">
        <is>
          <t>Côtier pel L pred</t>
        </is>
      </c>
      <c r="H70" s="12" t="n">
        <v>1</v>
      </c>
      <c r="I70" s="10" t="inlineStr">
        <is>
          <t>single</t>
        </is>
      </c>
      <c r="J70" s="14" t="inlineStr">
        <is>
          <t>high</t>
        </is>
      </c>
      <c r="K70" s="10" t="inlineStr">
        <is>
          <t>explicit_member</t>
        </is>
      </c>
      <c r="L70" s="11" t="inlineStr">
        <is>
          <t>Guénette &amp; Diallo 2004 Table 6 p.131 explicitly lists this taxon in the named group(s); printed and accepted names checked against WoRMS.</t>
        </is>
      </c>
      <c r="M70" s="10" t="n">
        <v>677083.2340000001</v>
      </c>
    </row>
    <row r="71" ht="66" customHeight="1">
      <c r="A71" s="10" t="inlineStr">
        <is>
          <t>LME_028</t>
        </is>
      </c>
      <c r="B71" s="11" t="inlineStr">
        <is>
          <t>28_646_Guinea_(1998)</t>
        </is>
      </c>
      <c r="C71" s="11" t="inlineStr">
        <is>
          <t>Perciformes</t>
        </is>
      </c>
      <c r="D71" s="10" t="inlineStr">
        <is>
          <t>Perch-likes</t>
        </is>
      </c>
      <c r="E71" s="10" t="inlineStr">
        <is>
          <t>Medium demersals (30 - 89 cm)</t>
        </is>
      </c>
      <c r="F71" s="10" t="inlineStr">
        <is>
          <t>Perch-likes</t>
        </is>
      </c>
      <c r="G71" s="11" t="inlineStr">
        <is>
          <t>Côtier L pred</t>
        </is>
      </c>
      <c r="H71" s="12" t="n">
        <v>0.2337595594810185</v>
      </c>
      <c r="I71" s="10" t="inlineStr">
        <is>
          <t>catch_composition</t>
        </is>
      </c>
      <c r="J71" s="13" t="inlineStr">
        <is>
          <t>low</t>
        </is>
      </c>
      <c r="K71" s="10" t="inlineStr">
        <is>
          <t>composite_split</t>
        </is>
      </c>
      <c r="L71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1" s="10" t="n">
        <v>663130.919</v>
      </c>
    </row>
    <row r="72" ht="66" customHeight="1">
      <c r="A72" s="10" t="inlineStr">
        <is>
          <t>LME_028</t>
        </is>
      </c>
      <c r="B72" s="11" t="inlineStr">
        <is>
          <t>28_646_Guinea_(1998)</t>
        </is>
      </c>
      <c r="C72" s="11" t="inlineStr">
        <is>
          <t>Perciformes</t>
        </is>
      </c>
      <c r="D72" s="10" t="inlineStr">
        <is>
          <t>Perch-likes</t>
        </is>
      </c>
      <c r="E72" s="10" t="inlineStr">
        <is>
          <t>Medium demersals (30 - 89 cm)</t>
        </is>
      </c>
      <c r="F72" s="10" t="inlineStr">
        <is>
          <t>Perch-likes</t>
        </is>
      </c>
      <c r="G72" s="11" t="inlineStr">
        <is>
          <t>Côtier M pred</t>
        </is>
      </c>
      <c r="H72" s="12" t="n">
        <v>4.107071557324517e-05</v>
      </c>
      <c r="I72" s="10" t="inlineStr">
        <is>
          <t>catch_composition</t>
        </is>
      </c>
      <c r="J72" s="13" t="inlineStr">
        <is>
          <t>low</t>
        </is>
      </c>
      <c r="K72" s="10" t="inlineStr">
        <is>
          <t>composite_split</t>
        </is>
      </c>
      <c r="L72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2" s="10" t="n">
        <v>663130.919</v>
      </c>
    </row>
    <row r="73" ht="66" customHeight="1">
      <c r="A73" s="10" t="inlineStr">
        <is>
          <t>LME_028</t>
        </is>
      </c>
      <c r="B73" s="11" t="inlineStr">
        <is>
          <t>28_646_Guinea_(1998)</t>
        </is>
      </c>
      <c r="C73" s="11" t="inlineStr">
        <is>
          <t>Perciformes</t>
        </is>
      </c>
      <c r="D73" s="10" t="inlineStr">
        <is>
          <t>Perch-likes</t>
        </is>
      </c>
      <c r="E73" s="10" t="inlineStr">
        <is>
          <t>Medium demersals (30 - 89 cm)</t>
        </is>
      </c>
      <c r="F73" s="10" t="inlineStr">
        <is>
          <t>Perch-likes</t>
        </is>
      </c>
      <c r="G73" s="11" t="inlineStr">
        <is>
          <t>Disques</t>
        </is>
      </c>
      <c r="H73" s="12" t="n">
        <v>0.02134687482531137</v>
      </c>
      <c r="I73" s="10" t="inlineStr">
        <is>
          <t>catch_composition</t>
        </is>
      </c>
      <c r="J73" s="13" t="inlineStr">
        <is>
          <t>low</t>
        </is>
      </c>
      <c r="K73" s="10" t="inlineStr">
        <is>
          <t>composite_split</t>
        </is>
      </c>
      <c r="L73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3" s="10" t="n">
        <v>663130.919</v>
      </c>
    </row>
    <row r="74" ht="66" customHeight="1">
      <c r="A74" s="10" t="inlineStr">
        <is>
          <t>LME_028</t>
        </is>
      </c>
      <c r="B74" s="11" t="inlineStr">
        <is>
          <t>28_646_Guinea_(1998)</t>
        </is>
      </c>
      <c r="C74" s="11" t="inlineStr">
        <is>
          <t>Perciformes</t>
        </is>
      </c>
      <c r="D74" s="10" t="inlineStr">
        <is>
          <t>Perch-likes</t>
        </is>
      </c>
      <c r="E74" s="10" t="inlineStr">
        <is>
          <t>Medium demersals (30 - 89 cm)</t>
        </is>
      </c>
      <c r="F74" s="10" t="inlineStr">
        <is>
          <t>Perch-likes</t>
        </is>
      </c>
      <c r="G74" s="11" t="inlineStr">
        <is>
          <t>Côtier M inv</t>
        </is>
      </c>
      <c r="H74" s="12" t="n">
        <v>0.2266841523090877</v>
      </c>
      <c r="I74" s="10" t="inlineStr">
        <is>
          <t>catch_composition</t>
        </is>
      </c>
      <c r="J74" s="13" t="inlineStr">
        <is>
          <t>low</t>
        </is>
      </c>
      <c r="K74" s="10" t="inlineStr">
        <is>
          <t>composite_split</t>
        </is>
      </c>
      <c r="L74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4" s="10" t="n">
        <v>663130.919</v>
      </c>
    </row>
    <row r="75" ht="66" customHeight="1">
      <c r="A75" s="10" t="inlineStr">
        <is>
          <t>LME_028</t>
        </is>
      </c>
      <c r="B75" s="11" t="inlineStr">
        <is>
          <t>28_646_Guinea_(1998)</t>
        </is>
      </c>
      <c r="C75" s="11" t="inlineStr">
        <is>
          <t>Perciformes</t>
        </is>
      </c>
      <c r="D75" s="10" t="inlineStr">
        <is>
          <t>Perch-likes</t>
        </is>
      </c>
      <c r="E75" s="10" t="inlineStr">
        <is>
          <t>Medium demersals (30 - 89 cm)</t>
        </is>
      </c>
      <c r="F75" s="10" t="inlineStr">
        <is>
          <t>Perch-likes</t>
        </is>
      </c>
      <c r="G75" s="11" t="inlineStr">
        <is>
          <t>Côtier S pred</t>
        </is>
      </c>
      <c r="H75" s="12" t="n">
        <v>0.04962717052735314</v>
      </c>
      <c r="I75" s="10" t="inlineStr">
        <is>
          <t>catch_composition</t>
        </is>
      </c>
      <c r="J75" s="13" t="inlineStr">
        <is>
          <t>low</t>
        </is>
      </c>
      <c r="K75" s="10" t="inlineStr">
        <is>
          <t>composite_split</t>
        </is>
      </c>
      <c r="L75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5" s="10" t="n">
        <v>663130.919</v>
      </c>
    </row>
    <row r="76" ht="66" customHeight="1">
      <c r="A76" s="10" t="inlineStr">
        <is>
          <t>LME_028</t>
        </is>
      </c>
      <c r="B76" s="11" t="inlineStr">
        <is>
          <t>28_646_Guinea_(1998)</t>
        </is>
      </c>
      <c r="C76" s="11" t="inlineStr">
        <is>
          <t>Perciformes</t>
        </is>
      </c>
      <c r="D76" s="10" t="inlineStr">
        <is>
          <t>Perch-likes</t>
        </is>
      </c>
      <c r="E76" s="10" t="inlineStr">
        <is>
          <t>Medium demersals (30 - 89 cm)</t>
        </is>
      </c>
      <c r="F76" s="10" t="inlineStr">
        <is>
          <t>Perch-likes</t>
        </is>
      </c>
      <c r="G76" s="11" t="inlineStr">
        <is>
          <t>Côtier S inv</t>
        </is>
      </c>
      <c r="H76" s="12" t="n">
        <v>0.2587026692559686</v>
      </c>
      <c r="I76" s="10" t="inlineStr">
        <is>
          <t>catch_composition</t>
        </is>
      </c>
      <c r="J76" s="13" t="inlineStr">
        <is>
          <t>low</t>
        </is>
      </c>
      <c r="K76" s="10" t="inlineStr">
        <is>
          <t>composite_split</t>
        </is>
      </c>
      <c r="L76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6" s="10" t="n">
        <v>663130.919</v>
      </c>
    </row>
    <row r="77" ht="66" customHeight="1">
      <c r="A77" s="10" t="inlineStr">
        <is>
          <t>LME_028</t>
        </is>
      </c>
      <c r="B77" s="11" t="inlineStr">
        <is>
          <t>28_646_Guinea_(1998)</t>
        </is>
      </c>
      <c r="C77" s="11" t="inlineStr">
        <is>
          <t>Perciformes</t>
        </is>
      </c>
      <c r="D77" s="10" t="inlineStr">
        <is>
          <t>Perch-likes</t>
        </is>
      </c>
      <c r="E77" s="10" t="inlineStr">
        <is>
          <t>Medium demersals (30 - 89 cm)</t>
        </is>
      </c>
      <c r="F77" s="10" t="inlineStr">
        <is>
          <t>Perch-likes</t>
        </is>
      </c>
      <c r="G77" s="11" t="inlineStr">
        <is>
          <t>Dem L pred</t>
        </is>
      </c>
      <c r="H77" s="12" t="n">
        <v>0.04564301256797088</v>
      </c>
      <c r="I77" s="10" t="inlineStr">
        <is>
          <t>catch_composition</t>
        </is>
      </c>
      <c r="J77" s="13" t="inlineStr">
        <is>
          <t>low</t>
        </is>
      </c>
      <c r="K77" s="10" t="inlineStr">
        <is>
          <t>composite_split</t>
        </is>
      </c>
      <c r="L77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7" s="10" t="n">
        <v>663130.919</v>
      </c>
    </row>
    <row r="78" ht="66" customHeight="1">
      <c r="A78" s="10" t="inlineStr">
        <is>
          <t>LME_028</t>
        </is>
      </c>
      <c r="B78" s="11" t="inlineStr">
        <is>
          <t>28_646_Guinea_(1998)</t>
        </is>
      </c>
      <c r="C78" s="11" t="inlineStr">
        <is>
          <t>Perciformes</t>
        </is>
      </c>
      <c r="D78" s="10" t="inlineStr">
        <is>
          <t>Perch-likes</t>
        </is>
      </c>
      <c r="E78" s="10" t="inlineStr">
        <is>
          <t>Medium demersals (30 - 89 cm)</t>
        </is>
      </c>
      <c r="F78" s="10" t="inlineStr">
        <is>
          <t>Perch-likes</t>
        </is>
      </c>
      <c r="G78" s="11" t="inlineStr">
        <is>
          <t>Dem L inv</t>
        </is>
      </c>
      <c r="H78" s="12" t="n">
        <v>0.006084005050908537</v>
      </c>
      <c r="I78" s="10" t="inlineStr">
        <is>
          <t>catch_composition</t>
        </is>
      </c>
      <c r="J78" s="13" t="inlineStr">
        <is>
          <t>low</t>
        </is>
      </c>
      <c r="K78" s="10" t="inlineStr">
        <is>
          <t>composite_split</t>
        </is>
      </c>
      <c r="L78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8" s="10" t="n">
        <v>663130.919</v>
      </c>
    </row>
    <row r="79" ht="66" customHeight="1">
      <c r="A79" s="10" t="inlineStr">
        <is>
          <t>LME_028</t>
        </is>
      </c>
      <c r="B79" s="11" t="inlineStr">
        <is>
          <t>28_646_Guinea_(1998)</t>
        </is>
      </c>
      <c r="C79" s="11" t="inlineStr">
        <is>
          <t>Perciformes</t>
        </is>
      </c>
      <c r="D79" s="10" t="inlineStr">
        <is>
          <t>Perch-likes</t>
        </is>
      </c>
      <c r="E79" s="10" t="inlineStr">
        <is>
          <t>Medium demersals (30 - 89 cm)</t>
        </is>
      </c>
      <c r="F79" s="10" t="inlineStr">
        <is>
          <t>Perch-likes</t>
        </is>
      </c>
      <c r="G79" s="11" t="inlineStr">
        <is>
          <t>Dem M pred</t>
        </is>
      </c>
      <c r="H79" s="12" t="n">
        <v>0.01153737302879859</v>
      </c>
      <c r="I79" s="10" t="inlineStr">
        <is>
          <t>catch_composition</t>
        </is>
      </c>
      <c r="J79" s="13" t="inlineStr">
        <is>
          <t>low</t>
        </is>
      </c>
      <c r="K79" s="10" t="inlineStr">
        <is>
          <t>composite_split</t>
        </is>
      </c>
      <c r="L79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9" s="10" t="n">
        <v>663130.919</v>
      </c>
    </row>
    <row r="80" ht="66" customHeight="1">
      <c r="A80" s="10" t="inlineStr">
        <is>
          <t>LME_028</t>
        </is>
      </c>
      <c r="B80" s="11" t="inlineStr">
        <is>
          <t>28_646_Guinea_(1998)</t>
        </is>
      </c>
      <c r="C80" s="11" t="inlineStr">
        <is>
          <t>Perciformes</t>
        </is>
      </c>
      <c r="D80" s="10" t="inlineStr">
        <is>
          <t>Perch-likes</t>
        </is>
      </c>
      <c r="E80" s="10" t="inlineStr">
        <is>
          <t>Medium demersals (30 - 89 cm)</t>
        </is>
      </c>
      <c r="F80" s="10" t="inlineStr">
        <is>
          <t>Perch-likes</t>
        </is>
      </c>
      <c r="G80" s="11" t="inlineStr">
        <is>
          <t>Dem M inv</t>
        </is>
      </c>
      <c r="H80" s="12" t="n">
        <v>0.1457304964076341</v>
      </c>
      <c r="I80" s="10" t="inlineStr">
        <is>
          <t>catch_composition</t>
        </is>
      </c>
      <c r="J80" s="13" t="inlineStr">
        <is>
          <t>low</t>
        </is>
      </c>
      <c r="K80" s="10" t="inlineStr">
        <is>
          <t>composite_split</t>
        </is>
      </c>
      <c r="L80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0" s="10" t="n">
        <v>663130.919</v>
      </c>
    </row>
    <row r="81" ht="66" customHeight="1">
      <c r="A81" s="10" t="inlineStr">
        <is>
          <t>LME_028</t>
        </is>
      </c>
      <c r="B81" s="11" t="inlineStr">
        <is>
          <t>28_646_Guinea_(1998)</t>
        </is>
      </c>
      <c r="C81" s="11" t="inlineStr">
        <is>
          <t>Perciformes</t>
        </is>
      </c>
      <c r="D81" s="10" t="inlineStr">
        <is>
          <t>Perch-likes</t>
        </is>
      </c>
      <c r="E81" s="10" t="inlineStr">
        <is>
          <t>Medium demersals (30 - 89 cm)</t>
        </is>
      </c>
      <c r="F81" s="10" t="inlineStr">
        <is>
          <t>Perch-likes</t>
        </is>
      </c>
      <c r="G81" s="11" t="inlineStr">
        <is>
          <t>Dem S pred</t>
        </is>
      </c>
      <c r="H81" s="12" t="n">
        <v>2.367567965974571e-05</v>
      </c>
      <c r="I81" s="10" t="inlineStr">
        <is>
          <t>catch_composition</t>
        </is>
      </c>
      <c r="J81" s="13" t="inlineStr">
        <is>
          <t>low</t>
        </is>
      </c>
      <c r="K81" s="10" t="inlineStr">
        <is>
          <t>composite_split</t>
        </is>
      </c>
      <c r="L81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1" s="10" t="n">
        <v>663130.919</v>
      </c>
    </row>
    <row r="82" ht="66" customHeight="1">
      <c r="A82" s="10" t="inlineStr">
        <is>
          <t>LME_028</t>
        </is>
      </c>
      <c r="B82" s="11" t="inlineStr">
        <is>
          <t>28_646_Guinea_(1998)</t>
        </is>
      </c>
      <c r="C82" s="11" t="inlineStr">
        <is>
          <t>Perciformes</t>
        </is>
      </c>
      <c r="D82" s="10" t="inlineStr">
        <is>
          <t>Perch-likes</t>
        </is>
      </c>
      <c r="E82" s="10" t="inlineStr">
        <is>
          <t>Medium demersals (30 - 89 cm)</t>
        </is>
      </c>
      <c r="F82" s="10" t="inlineStr">
        <is>
          <t>Perch-likes</t>
        </is>
      </c>
      <c r="G82" s="11" t="inlineStr">
        <is>
          <t>Dem S inv</t>
        </is>
      </c>
      <c r="H82" s="12" t="n">
        <v>0.0008199401507155965</v>
      </c>
      <c r="I82" s="10" t="inlineStr">
        <is>
          <t>catch_composition</t>
        </is>
      </c>
      <c r="J82" s="13" t="inlineStr">
        <is>
          <t>low</t>
        </is>
      </c>
      <c r="K82" s="10" t="inlineStr">
        <is>
          <t>composite_split</t>
        </is>
      </c>
      <c r="L82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2" s="10" t="n">
        <v>663130.919</v>
      </c>
    </row>
    <row r="83" ht="36" customHeight="1">
      <c r="A83" s="10" t="inlineStr">
        <is>
          <t>LME_028</t>
        </is>
      </c>
      <c r="B83" s="11" t="inlineStr">
        <is>
          <t>28_646_Guinea_(1998)</t>
        </is>
      </c>
      <c r="C83" s="11" t="inlineStr">
        <is>
          <t>Caranx crysos</t>
        </is>
      </c>
      <c r="D83" s="10" t="inlineStr">
        <is>
          <t>Blue runner</t>
        </is>
      </c>
      <c r="E83" s="10" t="inlineStr">
        <is>
          <t>Medium reef assoc. fish (30 - 89 cm)</t>
        </is>
      </c>
      <c r="F83" s="10" t="inlineStr">
        <is>
          <t>Perch-likes</t>
        </is>
      </c>
      <c r="G83" s="11" t="inlineStr">
        <is>
          <t>Côtier pel L pred</t>
        </is>
      </c>
      <c r="H83" s="12" t="n">
        <v>1</v>
      </c>
      <c r="I83" s="10" t="inlineStr">
        <is>
          <t>single</t>
        </is>
      </c>
      <c r="J83" s="14" t="inlineStr">
        <is>
          <t>high</t>
        </is>
      </c>
      <c r="K83" s="10" t="inlineStr">
        <is>
          <t>explicit_member</t>
        </is>
      </c>
      <c r="L83" s="11" t="inlineStr">
        <is>
          <t>Guénette &amp; Diallo 2004 Table 6 p.131 explicitly lists this taxon in the named group(s); printed and accepted names checked against WoRMS.</t>
        </is>
      </c>
      <c r="M83" s="10" t="n">
        <v>638202.504</v>
      </c>
    </row>
    <row r="84" ht="51" customHeight="1">
      <c r="A84" s="10" t="inlineStr">
        <is>
          <t>LME_028</t>
        </is>
      </c>
      <c r="B84" s="11" t="inlineStr">
        <is>
          <t>28_646_Guinea_(1998)</t>
        </is>
      </c>
      <c r="C84" s="11" t="inlineStr">
        <is>
          <t>Scombroidei</t>
        </is>
      </c>
      <c r="D84" s="10" t="inlineStr">
        <is>
          <t>Tunas, bonitos, billfishes</t>
        </is>
      </c>
      <c r="E84" s="10" t="inlineStr">
        <is>
          <t>Large pelagics (&gt;=90 cm)</t>
        </is>
      </c>
      <c r="F84" s="10" t="inlineStr">
        <is>
          <t>Tuna &amp; billfishes</t>
        </is>
      </c>
      <c r="G84" s="11" t="inlineStr">
        <is>
          <t>Thons majeurs</t>
        </is>
      </c>
      <c r="H84" s="12" t="n">
        <v>0.3829446561772054</v>
      </c>
      <c r="I84" s="10" t="inlineStr">
        <is>
          <t>catch_composition</t>
        </is>
      </c>
      <c r="J84" s="13" t="inlineStr">
        <is>
          <t>low</t>
        </is>
      </c>
      <c r="K84" s="10" t="inlineStr">
        <is>
          <t>composite_split</t>
        </is>
      </c>
      <c r="L84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4" s="10" t="n">
        <v>602457.3959999999</v>
      </c>
    </row>
    <row r="85" ht="51" customHeight="1">
      <c r="A85" s="10" t="inlineStr">
        <is>
          <t>LME_028</t>
        </is>
      </c>
      <c r="B85" s="11" t="inlineStr">
        <is>
          <t>28_646_Guinea_(1998)</t>
        </is>
      </c>
      <c r="C85" s="11" t="inlineStr">
        <is>
          <t>Scombroidei</t>
        </is>
      </c>
      <c r="D85" s="10" t="inlineStr">
        <is>
          <t>Tunas, bonitos, billfishes</t>
        </is>
      </c>
      <c r="E85" s="10" t="inlineStr">
        <is>
          <t>Large pelagics (&gt;=90 cm)</t>
        </is>
      </c>
      <c r="F85" s="10" t="inlineStr">
        <is>
          <t>Tuna &amp; billfishes</t>
        </is>
      </c>
      <c r="G85" s="11" t="inlineStr">
        <is>
          <t>Thons mineurs</t>
        </is>
      </c>
      <c r="H85" s="12" t="n">
        <v>0.1284143172216368</v>
      </c>
      <c r="I85" s="10" t="inlineStr">
        <is>
          <t>catch_composition</t>
        </is>
      </c>
      <c r="J85" s="13" t="inlineStr">
        <is>
          <t>low</t>
        </is>
      </c>
      <c r="K85" s="10" t="inlineStr">
        <is>
          <t>composite_split</t>
        </is>
      </c>
      <c r="L85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5" s="10" t="n">
        <v>602457.3959999999</v>
      </c>
    </row>
    <row r="86" ht="51" customHeight="1">
      <c r="A86" s="10" t="inlineStr">
        <is>
          <t>LME_028</t>
        </is>
      </c>
      <c r="B86" s="11" t="inlineStr">
        <is>
          <t>28_646_Guinea_(1998)</t>
        </is>
      </c>
      <c r="C86" s="11" t="inlineStr">
        <is>
          <t>Scombroidei</t>
        </is>
      </c>
      <c r="D86" s="10" t="inlineStr">
        <is>
          <t>Tunas, bonitos, billfishes</t>
        </is>
      </c>
      <c r="E86" s="10" t="inlineStr">
        <is>
          <t>Large pelagics (&gt;=90 cm)</t>
        </is>
      </c>
      <c r="F86" s="10" t="inlineStr">
        <is>
          <t>Tuna &amp; billfishes</t>
        </is>
      </c>
      <c r="G86" s="11" t="inlineStr">
        <is>
          <t>Pel S inv</t>
        </is>
      </c>
      <c r="H86" s="12" t="n">
        <v>0.2982998630744979</v>
      </c>
      <c r="I86" s="10" t="inlineStr">
        <is>
          <t>catch_composition</t>
        </is>
      </c>
      <c r="J86" s="13" t="inlineStr">
        <is>
          <t>low</t>
        </is>
      </c>
      <c r="K86" s="10" t="inlineStr">
        <is>
          <t>composite_split</t>
        </is>
      </c>
      <c r="L86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6" s="10" t="n">
        <v>602457.3959999999</v>
      </c>
    </row>
    <row r="87" ht="51" customHeight="1">
      <c r="A87" s="10" t="inlineStr">
        <is>
          <t>LME_028</t>
        </is>
      </c>
      <c r="B87" s="11" t="inlineStr">
        <is>
          <t>28_646_Guinea_(1998)</t>
        </is>
      </c>
      <c r="C87" s="11" t="inlineStr">
        <is>
          <t>Scombroidei</t>
        </is>
      </c>
      <c r="D87" s="10" t="inlineStr">
        <is>
          <t>Tunas, bonitos, billfishes</t>
        </is>
      </c>
      <c r="E87" s="10" t="inlineStr">
        <is>
          <t>Large pelagics (&gt;=90 cm)</t>
        </is>
      </c>
      <c r="F87" s="10" t="inlineStr">
        <is>
          <t>Tuna &amp; billfishes</t>
        </is>
      </c>
      <c r="G87" s="11" t="inlineStr">
        <is>
          <t>Côtier L pred</t>
        </is>
      </c>
      <c r="H87" s="12" t="n">
        <v>0.1894900150228463</v>
      </c>
      <c r="I87" s="10" t="inlineStr">
        <is>
          <t>catch_composition</t>
        </is>
      </c>
      <c r="J87" s="13" t="inlineStr">
        <is>
          <t>low</t>
        </is>
      </c>
      <c r="K87" s="10" t="inlineStr">
        <is>
          <t>composite_split</t>
        </is>
      </c>
      <c r="L87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7" s="10" t="n">
        <v>602457.3959999999</v>
      </c>
    </row>
    <row r="88" ht="51" customHeight="1">
      <c r="A88" s="10" t="inlineStr">
        <is>
          <t>LME_028</t>
        </is>
      </c>
      <c r="B88" s="11" t="inlineStr">
        <is>
          <t>28_646_Guinea_(1998)</t>
        </is>
      </c>
      <c r="C88" s="11" t="inlineStr">
        <is>
          <t>Scombroidei</t>
        </is>
      </c>
      <c r="D88" s="10" t="inlineStr">
        <is>
          <t>Tunas, bonitos, billfishes</t>
        </is>
      </c>
      <c r="E88" s="10" t="inlineStr">
        <is>
          <t>Large pelagics (&gt;=90 cm)</t>
        </is>
      </c>
      <c r="F88" s="10" t="inlineStr">
        <is>
          <t>Tuna &amp; billfishes</t>
        </is>
      </c>
      <c r="G88" s="11" t="inlineStr">
        <is>
          <t>Bathy L pred</t>
        </is>
      </c>
      <c r="H88" s="12" t="n">
        <v>0.000851148503813619</v>
      </c>
      <c r="I88" s="10" t="inlineStr">
        <is>
          <t>catch_composition</t>
        </is>
      </c>
      <c r="J88" s="13" t="inlineStr">
        <is>
          <t>low</t>
        </is>
      </c>
      <c r="K88" s="10" t="inlineStr">
        <is>
          <t>composite_split</t>
        </is>
      </c>
      <c r="L88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8" s="10" t="n">
        <v>602457.3959999999</v>
      </c>
    </row>
    <row r="89" ht="36" customHeight="1">
      <c r="A89" s="10" t="inlineStr">
        <is>
          <t>LME_028</t>
        </is>
      </c>
      <c r="B89" s="11" t="inlineStr">
        <is>
          <t>28_646_Guinea_(1998)</t>
        </is>
      </c>
      <c r="C89" s="11" t="inlineStr">
        <is>
          <t>Engraulidae</t>
        </is>
      </c>
      <c r="D89" s="10" t="inlineStr">
        <is>
          <t>Anchovies, round herrings</t>
        </is>
      </c>
      <c r="E89" s="10" t="inlineStr">
        <is>
          <t>Small pelagics (&lt;30 cm)</t>
        </is>
      </c>
      <c r="F89" s="10" t="inlineStr">
        <is>
          <t>Anchovies</t>
        </is>
      </c>
      <c r="G89" s="11" t="inlineStr">
        <is>
          <t>Côtier pel S inv</t>
        </is>
      </c>
      <c r="H89" s="12" t="n">
        <v>1</v>
      </c>
      <c r="I89" s="10" t="inlineStr">
        <is>
          <t>single</t>
        </is>
      </c>
      <c r="J89" s="14" t="inlineStr">
        <is>
          <t>high</t>
        </is>
      </c>
      <c r="K89" s="10" t="inlineStr">
        <is>
          <t>taxonomic_containment</t>
        </is>
      </c>
      <c r="L89" s="11" t="inlineStr">
        <is>
          <t>Engraulis is listed in the coastal small-pelagic compartment; this is the model's anchovy-compatible pool.</t>
        </is>
      </c>
      <c r="M89" s="10" t="n">
        <v>599019.25</v>
      </c>
    </row>
    <row r="90" ht="36" customHeight="1">
      <c r="A90" s="10" t="inlineStr">
        <is>
          <t>LME_028</t>
        </is>
      </c>
      <c r="B90" s="11" t="inlineStr">
        <is>
          <t>28_646_Guinea_(1998)</t>
        </is>
      </c>
      <c r="C90" s="11" t="inlineStr">
        <is>
          <t>Auxis rochei</t>
        </is>
      </c>
      <c r="D90" s="10" t="inlineStr">
        <is>
          <t>Bullet tuna</t>
        </is>
      </c>
      <c r="E90" s="10" t="inlineStr">
        <is>
          <t>Medium pelagics (30 - 89 cm)</t>
        </is>
      </c>
      <c r="F90" s="10" t="inlineStr">
        <is>
          <t>Tuna &amp; billfishes</t>
        </is>
      </c>
      <c r="G90" s="11" t="inlineStr">
        <is>
          <t>Thons mineurs</t>
        </is>
      </c>
      <c r="H90" s="12" t="n">
        <v>1</v>
      </c>
      <c r="I90" s="10" t="inlineStr">
        <is>
          <t>single</t>
        </is>
      </c>
      <c r="J90" s="14" t="inlineStr">
        <is>
          <t>high</t>
        </is>
      </c>
      <c r="K90" s="10" t="inlineStr">
        <is>
          <t>explicit_member</t>
        </is>
      </c>
      <c r="L90" s="11" t="inlineStr">
        <is>
          <t>Guénette &amp; Diallo 2004 Table 6 p.131 explicitly lists this taxon in the named group(s); printed and accepted names checked against WoRMS.</t>
        </is>
      </c>
      <c r="M90" s="10" t="n">
        <v>562844.1360000001</v>
      </c>
    </row>
    <row r="91" ht="36" customHeight="1">
      <c r="A91" s="10" t="inlineStr">
        <is>
          <t>LME_028</t>
        </is>
      </c>
      <c r="B91" s="11" t="inlineStr">
        <is>
          <t>28_646_Guinea_(1998)</t>
        </is>
      </c>
      <c r="C91" s="11" t="inlineStr">
        <is>
          <t>Diplodus</t>
        </is>
      </c>
      <c r="D91" s="10" t="inlineStr">
        <is>
          <t>Two-toothed seabreams</t>
        </is>
      </c>
      <c r="E91" s="10" t="inlineStr">
        <is>
          <t>Medium benthopelagics (30 - 89 cm)</t>
        </is>
      </c>
      <c r="F91" s="10" t="inlineStr">
        <is>
          <t>Perch-likes</t>
        </is>
      </c>
      <c r="G91" s="11" t="inlineStr">
        <is>
          <t>Côtier M inv</t>
        </is>
      </c>
      <c r="H91" s="12" t="n">
        <v>1</v>
      </c>
      <c r="I91" s="10" t="inlineStr">
        <is>
          <t>single</t>
        </is>
      </c>
      <c r="J91" s="15" t="inlineStr">
        <is>
          <t>medium</t>
        </is>
      </c>
      <c r="K91" s="10" t="inlineStr">
        <is>
          <t>taxonomic_containment</t>
        </is>
      </c>
      <c r="L91" s="11" t="inlineStr">
        <is>
          <t>Genus-level catch spans exactly the Table 6 groups containing its documented species. No habitat class overrides those placements.</t>
        </is>
      </c>
      <c r="M91" s="10" t="n">
        <v>557560.791</v>
      </c>
    </row>
    <row r="92" ht="36" customHeight="1">
      <c r="A92" s="10" t="inlineStr">
        <is>
          <t>LME_028</t>
        </is>
      </c>
      <c r="B92" s="11" t="inlineStr">
        <is>
          <t>28_646_Guinea_(1998)</t>
        </is>
      </c>
      <c r="C92" s="11" t="inlineStr">
        <is>
          <t>Dentex</t>
        </is>
      </c>
      <c r="D92" s="10" t="inlineStr">
        <is>
          <t>Toothed seabreams</t>
        </is>
      </c>
      <c r="E92" s="10" t="inlineStr">
        <is>
          <t>Large benthopelagics (&gt;=90 cm)</t>
        </is>
      </c>
      <c r="F92" s="10" t="inlineStr">
        <is>
          <t>Perch-likes</t>
        </is>
      </c>
      <c r="G92" s="11" t="inlineStr">
        <is>
          <t>Côtier L pred</t>
        </is>
      </c>
      <c r="H92" s="12" t="n">
        <v>0.9529656856661392</v>
      </c>
      <c r="I92" s="10" t="inlineStr">
        <is>
          <t>catch_composition</t>
        </is>
      </c>
      <c r="J92" s="15" t="inlineStr">
        <is>
          <t>medium</t>
        </is>
      </c>
      <c r="K92" s="10" t="inlineStr">
        <is>
          <t>composite_split</t>
        </is>
      </c>
      <c r="L92" s="11" t="inlineStr">
        <is>
          <t>Genus-level catch spans exactly the Table 6 groups containing its documented species. No habitat class overrides those placements.</t>
        </is>
      </c>
      <c r="M92" s="10" t="n">
        <v>548413.921</v>
      </c>
    </row>
    <row r="93" ht="36" customHeight="1">
      <c r="A93" s="10" t="inlineStr">
        <is>
          <t>LME_028</t>
        </is>
      </c>
      <c r="B93" s="11" t="inlineStr">
        <is>
          <t>28_646_Guinea_(1998)</t>
        </is>
      </c>
      <c r="C93" s="11" t="inlineStr">
        <is>
          <t>Dentex</t>
        </is>
      </c>
      <c r="D93" s="10" t="inlineStr">
        <is>
          <t>Toothed seabreams</t>
        </is>
      </c>
      <c r="E93" s="10" t="inlineStr">
        <is>
          <t>Large benthopelagics (&gt;=90 cm)</t>
        </is>
      </c>
      <c r="F93" s="10" t="inlineStr">
        <is>
          <t>Perch-likes</t>
        </is>
      </c>
      <c r="G93" s="11" t="inlineStr">
        <is>
          <t>Dem M pred</t>
        </is>
      </c>
      <c r="H93" s="12" t="n">
        <v>0.04703431433386086</v>
      </c>
      <c r="I93" s="10" t="inlineStr">
        <is>
          <t>catch_composition</t>
        </is>
      </c>
      <c r="J93" s="15" t="inlineStr">
        <is>
          <t>medium</t>
        </is>
      </c>
      <c r="K93" s="10" t="inlineStr">
        <is>
          <t>composite_split</t>
        </is>
      </c>
      <c r="L93" s="11" t="inlineStr">
        <is>
          <t>Genus-level catch spans exactly the Table 6 groups containing its documented species. No habitat class overrides those placements.</t>
        </is>
      </c>
      <c r="M93" s="10" t="n">
        <v>548413.921</v>
      </c>
    </row>
    <row r="94" ht="36" customHeight="1">
      <c r="A94" s="10" t="inlineStr">
        <is>
          <t>LME_028</t>
        </is>
      </c>
      <c r="B94" s="11" t="inlineStr">
        <is>
          <t>28_646_Guinea_(1998)</t>
        </is>
      </c>
      <c r="C94" s="11" t="inlineStr">
        <is>
          <t>Dendrobranchiata</t>
        </is>
      </c>
      <c r="D94" s="10" t="inlineStr">
        <is>
          <t>Shrimps and prawns</t>
        </is>
      </c>
      <c r="E94" s="10" t="inlineStr">
        <is>
          <t>Shrimps</t>
        </is>
      </c>
      <c r="F94" s="10" t="inlineStr">
        <is>
          <t>Crustaceans</t>
        </is>
      </c>
      <c r="G94" s="11" t="inlineStr">
        <is>
          <t>Crustacés</t>
        </is>
      </c>
      <c r="H94" s="12" t="n">
        <v>1</v>
      </c>
      <c r="I94" s="10" t="inlineStr">
        <is>
          <t>single</t>
        </is>
      </c>
      <c r="J94" s="14" t="inlineStr">
        <is>
          <t>high</t>
        </is>
      </c>
      <c r="K94" s="10" t="inlineStr">
        <is>
          <t>taxonomic_containment</t>
        </is>
      </c>
      <c r="L94" s="11" t="inlineStr">
        <is>
          <t>Penaeoid/prawn catch falls within the source's explicit shrimp-containing Crustacés definition (p.125).</t>
        </is>
      </c>
      <c r="M94" s="10" t="n">
        <v>542861.24</v>
      </c>
    </row>
    <row r="95" ht="36" customHeight="1">
      <c r="A95" s="10" t="inlineStr">
        <is>
          <t>LME_028</t>
        </is>
      </c>
      <c r="B95" s="11" t="inlineStr">
        <is>
          <t>28_646_Guinea_(1998)</t>
        </is>
      </c>
      <c r="C95" s="11" t="inlineStr">
        <is>
          <t>Penaeus notialis</t>
        </is>
      </c>
      <c r="D95" s="10" t="inlineStr">
        <is>
          <t>Southern pink shrimp</t>
        </is>
      </c>
      <c r="E95" s="10" t="inlineStr">
        <is>
          <t>Shrimps</t>
        </is>
      </c>
      <c r="F95" s="10" t="inlineStr">
        <is>
          <t>Crustaceans</t>
        </is>
      </c>
      <c r="G95" s="11" t="inlineStr">
        <is>
          <t>Crustacés</t>
        </is>
      </c>
      <c r="H95" s="12" t="n">
        <v>1</v>
      </c>
      <c r="I95" s="10" t="inlineStr">
        <is>
          <t>single</t>
        </is>
      </c>
      <c r="J95" s="14" t="inlineStr">
        <is>
          <t>high</t>
        </is>
      </c>
      <c r="K95" s="10" t="inlineStr">
        <is>
          <t>taxonomic_containment</t>
        </is>
      </c>
      <c r="L95" s="11" t="inlineStr">
        <is>
          <t>WoRMS crustacean taxonomy and SAU shrimp/crab/lobster class agree with the source Crustacés definition on p.125.</t>
        </is>
      </c>
      <c r="M95" s="10" t="n">
        <v>535244.302</v>
      </c>
    </row>
    <row r="96" ht="36" customHeight="1">
      <c r="A96" s="10" t="inlineStr">
        <is>
          <t>LME_028</t>
        </is>
      </c>
      <c r="B96" s="11" t="inlineStr">
        <is>
          <t>28_646_Guinea_(1998)</t>
        </is>
      </c>
      <c r="C96" s="11" t="inlineStr">
        <is>
          <t>Sparidae</t>
        </is>
      </c>
      <c r="D96" s="10" t="inlineStr">
        <is>
          <t>Porgies, seabreams</t>
        </is>
      </c>
      <c r="E96" s="10" t="inlineStr">
        <is>
          <t>Medium benthopelagics (30 - 89 cm)</t>
        </is>
      </c>
      <c r="F96" s="10" t="inlineStr">
        <is>
          <t>Perch-likes</t>
        </is>
      </c>
      <c r="G96" s="11" t="inlineStr">
        <is>
          <t>Côtier L pred</t>
        </is>
      </c>
      <c r="H96" s="12" t="n">
        <v>0.2487686592362346</v>
      </c>
      <c r="I96" s="10" t="inlineStr">
        <is>
          <t>catch_composition</t>
        </is>
      </c>
      <c r="J96" s="15" t="inlineStr">
        <is>
          <t>medium</t>
        </is>
      </c>
      <c r="K96" s="10" t="inlineStr">
        <is>
          <t>composite_split</t>
        </is>
      </c>
      <c r="L96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6" s="10" t="n">
        <v>527424.2070000001</v>
      </c>
    </row>
    <row r="97" ht="36" customHeight="1">
      <c r="A97" s="10" t="inlineStr">
        <is>
          <t>LME_028</t>
        </is>
      </c>
      <c r="B97" s="11" t="inlineStr">
        <is>
          <t>28_646_Guinea_(1998)</t>
        </is>
      </c>
      <c r="C97" s="11" t="inlineStr">
        <is>
          <t>Sparidae</t>
        </is>
      </c>
      <c r="D97" s="10" t="inlineStr">
        <is>
          <t>Porgies, seabreams</t>
        </is>
      </c>
      <c r="E97" s="10" t="inlineStr">
        <is>
          <t>Medium benthopelagics (30 - 89 cm)</t>
        </is>
      </c>
      <c r="F97" s="10" t="inlineStr">
        <is>
          <t>Perch-likes</t>
        </is>
      </c>
      <c r="G97" s="11" t="inlineStr">
        <is>
          <t>Côtier M inv</t>
        </is>
      </c>
      <c r="H97" s="12" t="n">
        <v>0.2412389583777138</v>
      </c>
      <c r="I97" s="10" t="inlineStr">
        <is>
          <t>catch_composition</t>
        </is>
      </c>
      <c r="J97" s="15" t="inlineStr">
        <is>
          <t>medium</t>
        </is>
      </c>
      <c r="K97" s="10" t="inlineStr">
        <is>
          <t>composite_split</t>
        </is>
      </c>
      <c r="L97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7" s="10" t="n">
        <v>527424.2070000001</v>
      </c>
    </row>
    <row r="98" ht="36" customHeight="1">
      <c r="A98" s="10" t="inlineStr">
        <is>
          <t>LME_028</t>
        </is>
      </c>
      <c r="B98" s="11" t="inlineStr">
        <is>
          <t>28_646_Guinea_(1998)</t>
        </is>
      </c>
      <c r="C98" s="11" t="inlineStr">
        <is>
          <t>Sparidae</t>
        </is>
      </c>
      <c r="D98" s="10" t="inlineStr">
        <is>
          <t>Porgies, seabreams</t>
        </is>
      </c>
      <c r="E98" s="10" t="inlineStr">
        <is>
          <t>Medium benthopelagics (30 - 89 cm)</t>
        </is>
      </c>
      <c r="F98" s="10" t="inlineStr">
        <is>
          <t>Perch-likes</t>
        </is>
      </c>
      <c r="G98" s="11" t="inlineStr">
        <is>
          <t>Côtier S inv</t>
        </is>
      </c>
      <c r="H98" s="12" t="n">
        <v>0.2753133019009998</v>
      </c>
      <c r="I98" s="10" t="inlineStr">
        <is>
          <t>catch_composition</t>
        </is>
      </c>
      <c r="J98" s="15" t="inlineStr">
        <is>
          <t>medium</t>
        </is>
      </c>
      <c r="K98" s="10" t="inlineStr">
        <is>
          <t>composite_split</t>
        </is>
      </c>
      <c r="L98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8" s="10" t="n">
        <v>527424.2070000001</v>
      </c>
    </row>
    <row r="99" ht="36" customHeight="1">
      <c r="A99" s="10" t="inlineStr">
        <is>
          <t>LME_028</t>
        </is>
      </c>
      <c r="B99" s="11" t="inlineStr">
        <is>
          <t>28_646_Guinea_(1998)</t>
        </is>
      </c>
      <c r="C99" s="11" t="inlineStr">
        <is>
          <t>Sparidae</t>
        </is>
      </c>
      <c r="D99" s="10" t="inlineStr">
        <is>
          <t>Porgies, seabreams</t>
        </is>
      </c>
      <c r="E99" s="10" t="inlineStr">
        <is>
          <t>Medium benthopelagics (30 - 89 cm)</t>
        </is>
      </c>
      <c r="F99" s="10" t="inlineStr">
        <is>
          <t>Perch-likes</t>
        </is>
      </c>
      <c r="G99" s="11" t="inlineStr">
        <is>
          <t>Dem L inv</t>
        </is>
      </c>
      <c r="H99" s="12" t="n">
        <v>0.006474643358591264</v>
      </c>
      <c r="I99" s="10" t="inlineStr">
        <is>
          <t>catch_composition</t>
        </is>
      </c>
      <c r="J99" s="15" t="inlineStr">
        <is>
          <t>medium</t>
        </is>
      </c>
      <c r="K99" s="10" t="inlineStr">
        <is>
          <t>composite_split</t>
        </is>
      </c>
      <c r="L99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9" s="10" t="n">
        <v>527424.2070000001</v>
      </c>
    </row>
    <row r="100" ht="36" customHeight="1">
      <c r="A100" s="10" t="inlineStr">
        <is>
          <t>LME_028</t>
        </is>
      </c>
      <c r="B100" s="11" t="inlineStr">
        <is>
          <t>28_646_Guinea_(1998)</t>
        </is>
      </c>
      <c r="C100" s="11" t="inlineStr">
        <is>
          <t>Sparidae</t>
        </is>
      </c>
      <c r="D100" s="10" t="inlineStr">
        <is>
          <t>Porgies, seabreams</t>
        </is>
      </c>
      <c r="E100" s="10" t="inlineStr">
        <is>
          <t>Medium benthopelagics (30 - 89 cm)</t>
        </is>
      </c>
      <c r="F100" s="10" t="inlineStr">
        <is>
          <t>Perch-likes</t>
        </is>
      </c>
      <c r="G100" s="11" t="inlineStr">
        <is>
          <t>Dem L pred</t>
        </is>
      </c>
      <c r="H100" s="12" t="n">
        <v>0.04857363294680028</v>
      </c>
      <c r="I100" s="10" t="inlineStr">
        <is>
          <t>catch_composition</t>
        </is>
      </c>
      <c r="J100" s="15" t="inlineStr">
        <is>
          <t>medium</t>
        </is>
      </c>
      <c r="K100" s="10" t="inlineStr">
        <is>
          <t>composite_split</t>
        </is>
      </c>
      <c r="L100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0" s="10" t="n">
        <v>527424.2070000001</v>
      </c>
    </row>
    <row r="101" ht="36" customHeight="1">
      <c r="A101" s="10" t="inlineStr">
        <is>
          <t>LME_028</t>
        </is>
      </c>
      <c r="B101" s="11" t="inlineStr">
        <is>
          <t>28_646_Guinea_(1998)</t>
        </is>
      </c>
      <c r="C101" s="11" t="inlineStr">
        <is>
          <t>Sparidae</t>
        </is>
      </c>
      <c r="D101" s="10" t="inlineStr">
        <is>
          <t>Porgies, seabreams</t>
        </is>
      </c>
      <c r="E101" s="10" t="inlineStr">
        <is>
          <t>Medium benthopelagics (30 - 89 cm)</t>
        </is>
      </c>
      <c r="F101" s="10" t="inlineStr">
        <is>
          <t>Perch-likes</t>
        </is>
      </c>
      <c r="G101" s="11" t="inlineStr">
        <is>
          <t>Dem M inv</t>
        </is>
      </c>
      <c r="H101" s="12" t="n">
        <v>0.1550874765577312</v>
      </c>
      <c r="I101" s="10" t="inlineStr">
        <is>
          <t>catch_composition</t>
        </is>
      </c>
      <c r="J101" s="15" t="inlineStr">
        <is>
          <t>medium</t>
        </is>
      </c>
      <c r="K101" s="10" t="inlineStr">
        <is>
          <t>composite_split</t>
        </is>
      </c>
      <c r="L101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1" s="10" t="n">
        <v>527424.2070000001</v>
      </c>
    </row>
    <row r="102" ht="36" customHeight="1">
      <c r="A102" s="10" t="inlineStr">
        <is>
          <t>LME_028</t>
        </is>
      </c>
      <c r="B102" s="11" t="inlineStr">
        <is>
          <t>28_646_Guinea_(1998)</t>
        </is>
      </c>
      <c r="C102" s="11" t="inlineStr">
        <is>
          <t>Sparidae</t>
        </is>
      </c>
      <c r="D102" s="10" t="inlineStr">
        <is>
          <t>Porgies, seabreams</t>
        </is>
      </c>
      <c r="E102" s="10" t="inlineStr">
        <is>
          <t>Medium benthopelagics (30 - 89 cm)</t>
        </is>
      </c>
      <c r="F102" s="10" t="inlineStr">
        <is>
          <t>Perch-likes</t>
        </is>
      </c>
      <c r="G102" s="11" t="inlineStr">
        <is>
          <t>Dem M pred</t>
        </is>
      </c>
      <c r="H102" s="12" t="n">
        <v>0.01227815806059293</v>
      </c>
      <c r="I102" s="10" t="inlineStr">
        <is>
          <t>catch_composition</t>
        </is>
      </c>
      <c r="J102" s="15" t="inlineStr">
        <is>
          <t>medium</t>
        </is>
      </c>
      <c r="K102" s="10" t="inlineStr">
        <is>
          <t>composite_split</t>
        </is>
      </c>
      <c r="L102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2" s="10" t="n">
        <v>527424.2070000001</v>
      </c>
    </row>
    <row r="103" ht="36" customHeight="1">
      <c r="A103" s="10" t="inlineStr">
        <is>
          <t>LME_028</t>
        </is>
      </c>
      <c r="B103" s="11" t="inlineStr">
        <is>
          <t>28_646_Guinea_(1998)</t>
        </is>
      </c>
      <c r="C103" s="11" t="inlineStr">
        <is>
          <t>Sparidae</t>
        </is>
      </c>
      <c r="D103" s="10" t="inlineStr">
        <is>
          <t>Porgies, seabreams</t>
        </is>
      </c>
      <c r="E103" s="10" t="inlineStr">
        <is>
          <t>Medium benthopelagics (30 - 89 cm)</t>
        </is>
      </c>
      <c r="F103" s="10" t="inlineStr">
        <is>
          <t>Perch-likes</t>
        </is>
      </c>
      <c r="G103" s="11" t="inlineStr">
        <is>
          <t>Mulets</t>
        </is>
      </c>
      <c r="H103" s="12" t="n">
        <v>0.01226516956133615</v>
      </c>
      <c r="I103" s="10" t="inlineStr">
        <is>
          <t>catch_composition</t>
        </is>
      </c>
      <c r="J103" s="15" t="inlineStr">
        <is>
          <t>medium</t>
        </is>
      </c>
      <c r="K103" s="10" t="inlineStr">
        <is>
          <t>composite_split</t>
        </is>
      </c>
      <c r="L103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3" s="10" t="n">
        <v>527424.2070000001</v>
      </c>
    </row>
    <row r="104" ht="36" customHeight="1">
      <c r="A104" s="10" t="inlineStr">
        <is>
          <t>LME_028</t>
        </is>
      </c>
      <c r="B104" s="11" t="inlineStr">
        <is>
          <t>28_646_Guinea_(1998)</t>
        </is>
      </c>
      <c r="C104" s="11" t="inlineStr">
        <is>
          <t>Trachurus trecae</t>
        </is>
      </c>
      <c r="D104" s="10" t="inlineStr">
        <is>
          <t>Cunene horse mackerel</t>
        </is>
      </c>
      <c r="E104" s="10" t="inlineStr">
        <is>
          <t>Medium benthopelagics (30 - 89 cm)</t>
        </is>
      </c>
      <c r="F104" s="10" t="inlineStr">
        <is>
          <t>Perch-likes</t>
        </is>
      </c>
      <c r="G104" s="11" t="inlineStr">
        <is>
          <t>Pel S inv</t>
        </is>
      </c>
      <c r="H104" s="12" t="n">
        <v>1</v>
      </c>
      <c r="I104" s="10" t="inlineStr">
        <is>
          <t>single</t>
        </is>
      </c>
      <c r="J104" s="14" t="inlineStr">
        <is>
          <t>high</t>
        </is>
      </c>
      <c r="K104" s="10" t="inlineStr">
        <is>
          <t>explicit_member</t>
        </is>
      </c>
      <c r="L104" s="11" t="inlineStr">
        <is>
          <t>Guénette &amp; Diallo 2004 Table 6 p.131 explicitly lists this taxon in the named group(s); printed and accepted names checked against WoRMS.</t>
        </is>
      </c>
      <c r="M104" s="10" t="n">
        <v>515245.374</v>
      </c>
    </row>
    <row r="105" ht="36" customHeight="1">
      <c r="A105" s="10" t="inlineStr">
        <is>
          <t>LME_028</t>
        </is>
      </c>
      <c r="B105" s="11" t="inlineStr">
        <is>
          <t>28_646_Guinea_(1998)</t>
        </is>
      </c>
      <c r="C105" s="11" t="inlineStr">
        <is>
          <t>Penaeidae</t>
        </is>
      </c>
      <c r="D105" s="10" t="inlineStr">
        <is>
          <t>Commercial shrimps and prawns</t>
        </is>
      </c>
      <c r="E105" s="10" t="inlineStr">
        <is>
          <t>Shrimps</t>
        </is>
      </c>
      <c r="F105" s="10" t="inlineStr">
        <is>
          <t>Crustaceans</t>
        </is>
      </c>
      <c r="G105" s="11" t="inlineStr">
        <is>
          <t>Crustacés</t>
        </is>
      </c>
      <c r="H105" s="12" t="n">
        <v>1</v>
      </c>
      <c r="I105" s="10" t="inlineStr">
        <is>
          <t>single</t>
        </is>
      </c>
      <c r="J105" s="14" t="inlineStr">
        <is>
          <t>high</t>
        </is>
      </c>
      <c r="K105" s="10" t="inlineStr">
        <is>
          <t>taxonomic_containment</t>
        </is>
      </c>
      <c r="L105" s="11" t="inlineStr">
        <is>
          <t>WoRMS crustacean taxonomy and SAU shrimp/crab/lobster class agree with the source Crustacés definition on p.125.</t>
        </is>
      </c>
      <c r="M105" s="10" t="n">
        <v>511079.609</v>
      </c>
    </row>
    <row r="106" ht="36" customHeight="1">
      <c r="A106" s="10" t="inlineStr">
        <is>
          <t>LME_028</t>
        </is>
      </c>
      <c r="B106" s="11" t="inlineStr">
        <is>
          <t>28_646_Guinea_(1998)</t>
        </is>
      </c>
      <c r="C106" s="11" t="inlineStr">
        <is>
          <t>Pomadasys</t>
        </is>
      </c>
      <c r="D106" s="10" t="inlineStr">
        <is>
          <t>Grunters</t>
        </is>
      </c>
      <c r="E106" s="10" t="inlineStr">
        <is>
          <t>Medium demersals (30 - 89 cm)</t>
        </is>
      </c>
      <c r="F106" s="10" t="inlineStr">
        <is>
          <t>Perch-likes</t>
        </is>
      </c>
      <c r="G106" s="11" t="inlineStr">
        <is>
          <t>Côtier M inv</t>
        </is>
      </c>
      <c r="H106" s="12" t="n">
        <v>1</v>
      </c>
      <c r="I106" s="10" t="inlineStr">
        <is>
          <t>single</t>
        </is>
      </c>
      <c r="J106" s="15" t="inlineStr">
        <is>
          <t>medium</t>
        </is>
      </c>
      <c r="K106" s="10" t="inlineStr">
        <is>
          <t>taxonomic_containment</t>
        </is>
      </c>
      <c r="L106" s="11" t="inlineStr">
        <is>
          <t>Genus-level catch spans exactly the Table 6 groups containing its documented species. No habitat class overrides those placements.</t>
        </is>
      </c>
      <c r="M106" s="10" t="n">
        <v>478930.316</v>
      </c>
    </row>
    <row r="107" ht="51" customHeight="1">
      <c r="A107" s="10" t="inlineStr">
        <is>
          <t>LME_028</t>
        </is>
      </c>
      <c r="B107" s="11" t="inlineStr">
        <is>
          <t>28_646_Guinea_(1998)</t>
        </is>
      </c>
      <c r="C107" s="11" t="inlineStr">
        <is>
          <t>Sphyraenidae</t>
        </is>
      </c>
      <c r="D107" s="10" t="inlineStr">
        <is>
          <t>Barracudas</t>
        </is>
      </c>
      <c r="E107" s="10" t="inlineStr">
        <is>
          <t>Medium reef assoc. fish (30 - 89 cm)</t>
        </is>
      </c>
      <c r="F107" s="10" t="inlineStr">
        <is>
          <t>Perch-likes</t>
        </is>
      </c>
      <c r="G107" s="11" t="inlineStr">
        <is>
          <t>Côtier pel L pred</t>
        </is>
      </c>
      <c r="H107" s="12" t="n">
        <v>1</v>
      </c>
      <c r="I107" s="10" t="inlineStr">
        <is>
          <t>single</t>
        </is>
      </c>
      <c r="J107" s="15" t="inlineStr">
        <is>
          <t>medium</t>
        </is>
      </c>
      <c r="K107" s="10" t="inlineStr">
        <is>
          <t>taxonomic_containment</t>
        </is>
      </c>
      <c r="L107" s="11" t="inlineStr">
        <is>
          <t>Family catch spans the union of all Table 6 member groups belonging to Sphyraenidae under WoRMS. Every candidate is supported by a source member; source placement outranks SAU habitat class.</t>
        </is>
      </c>
      <c r="M107" s="10" t="n">
        <v>464213.477</v>
      </c>
    </row>
    <row r="108" ht="36" customHeight="1">
      <c r="A108" s="10" t="inlineStr">
        <is>
          <t>LME_028</t>
        </is>
      </c>
      <c r="B108" s="11" t="inlineStr">
        <is>
          <t>28_646_Guinea_(1998)</t>
        </is>
      </c>
      <c r="C108" s="11" t="inlineStr">
        <is>
          <t>Sarda sarda</t>
        </is>
      </c>
      <c r="D108" s="10" t="inlineStr">
        <is>
          <t>Atlantic bonito</t>
        </is>
      </c>
      <c r="E108" s="10" t="inlineStr">
        <is>
          <t>Medium pelagics (30 - 89 cm)</t>
        </is>
      </c>
      <c r="F108" s="10" t="inlineStr">
        <is>
          <t>Tuna &amp; billfishes</t>
        </is>
      </c>
      <c r="G108" s="11" t="inlineStr">
        <is>
          <t>Thons mineurs</t>
        </is>
      </c>
      <c r="H108" s="12" t="n">
        <v>1</v>
      </c>
      <c r="I108" s="10" t="inlineStr">
        <is>
          <t>single</t>
        </is>
      </c>
      <c r="J108" s="14" t="inlineStr">
        <is>
          <t>high</t>
        </is>
      </c>
      <c r="K108" s="10" t="inlineStr">
        <is>
          <t>explicit_member</t>
        </is>
      </c>
      <c r="L108" s="11" t="inlineStr">
        <is>
          <t>Guénette &amp; Diallo 2004 Table 6 p.131 explicitly lists this taxon in the named group(s); printed and accepted names checked against WoRMS.</t>
        </is>
      </c>
      <c r="M108" s="10" t="n">
        <v>446613.688</v>
      </c>
    </row>
    <row r="109" ht="51" customHeight="1">
      <c r="A109" s="10" t="inlineStr">
        <is>
          <t>LME_028</t>
        </is>
      </c>
      <c r="B109" s="11" t="inlineStr">
        <is>
          <t>28_646_Guinea_(1998)</t>
        </is>
      </c>
      <c r="C109" s="11" t="inlineStr">
        <is>
          <t>Dasyatidae</t>
        </is>
      </c>
      <c r="D109" s="10" t="inlineStr">
        <is>
          <t>Whiptail stingrays</t>
        </is>
      </c>
      <c r="E109" s="10" t="inlineStr">
        <is>
          <t>Large rays (&gt;=90 cm)</t>
        </is>
      </c>
      <c r="F109" s="10" t="inlineStr">
        <is>
          <t>Sharks &amp; rays</t>
        </is>
      </c>
      <c r="G109" s="11" t="inlineStr">
        <is>
          <t>Sélaciens L côtiers</t>
        </is>
      </c>
      <c r="H109" s="12" t="n">
        <v>0.9341440838011543</v>
      </c>
      <c r="I109" s="10" t="inlineStr">
        <is>
          <t>catch_composition</t>
        </is>
      </c>
      <c r="J109" s="15" t="inlineStr">
        <is>
          <t>medium</t>
        </is>
      </c>
      <c r="K109" s="10" t="inlineStr">
        <is>
          <t>composite_split</t>
        </is>
      </c>
      <c r="L109" s="11" t="inlineStr">
        <is>
          <t>Family catch spans the union of all Table 6 member groups belonging to Dasyatidae under WoRMS. Every candidate is supported by a source member; source placement outranks SAU habitat class.</t>
        </is>
      </c>
      <c r="M109" s="10" t="n">
        <v>435963.098</v>
      </c>
    </row>
    <row r="110" ht="51" customHeight="1">
      <c r="A110" s="10" t="inlineStr">
        <is>
          <t>LME_028</t>
        </is>
      </c>
      <c r="B110" s="11" t="inlineStr">
        <is>
          <t>28_646_Guinea_(1998)</t>
        </is>
      </c>
      <c r="C110" s="11" t="inlineStr">
        <is>
          <t>Dasyatidae</t>
        </is>
      </c>
      <c r="D110" s="10" t="inlineStr">
        <is>
          <t>Whiptail stingrays</t>
        </is>
      </c>
      <c r="E110" s="10" t="inlineStr">
        <is>
          <t>Large rays (&gt;=90 cm)</t>
        </is>
      </c>
      <c r="F110" s="10" t="inlineStr">
        <is>
          <t>Sharks &amp; rays</t>
        </is>
      </c>
      <c r="G110" s="11" t="inlineStr">
        <is>
          <t>Sélaciens M côtiers</t>
        </is>
      </c>
      <c r="H110" s="12" t="n">
        <v>0.06585591619884575</v>
      </c>
      <c r="I110" s="10" t="inlineStr">
        <is>
          <t>catch_composition</t>
        </is>
      </c>
      <c r="J110" s="15" t="inlineStr">
        <is>
          <t>medium</t>
        </is>
      </c>
      <c r="K110" s="10" t="inlineStr">
        <is>
          <t>composite_split</t>
        </is>
      </c>
      <c r="L110" s="11" t="inlineStr">
        <is>
          <t>Family catch spans the union of all Table 6 member groups belonging to Dasyatidae under WoRMS. Every candidate is supported by a source member; source placement outranks SAU habitat class.</t>
        </is>
      </c>
      <c r="M110" s="10" t="n">
        <v>435963.098</v>
      </c>
    </row>
    <row r="111" ht="36" customHeight="1">
      <c r="A111" s="10" t="inlineStr">
        <is>
          <t>LME_028</t>
        </is>
      </c>
      <c r="B111" s="11" t="inlineStr">
        <is>
          <t>28_646_Guinea_(1998)</t>
        </is>
      </c>
      <c r="C111" s="11" t="inlineStr">
        <is>
          <t>Pteroscion peli</t>
        </is>
      </c>
      <c r="D111" s="10" t="inlineStr">
        <is>
          <t>Boe drum</t>
        </is>
      </c>
      <c r="E111" s="10" t="inlineStr">
        <is>
          <t>Medium benthopelagics (30 - 89 cm)</t>
        </is>
      </c>
      <c r="F111" s="10" t="inlineStr">
        <is>
          <t>Perch-likes</t>
        </is>
      </c>
      <c r="G111" s="11" t="inlineStr">
        <is>
          <t>Côtier S pred</t>
        </is>
      </c>
      <c r="H111" s="12" t="n">
        <v>1</v>
      </c>
      <c r="I111" s="10" t="inlineStr">
        <is>
          <t>single</t>
        </is>
      </c>
      <c r="J111" s="14" t="inlineStr">
        <is>
          <t>high</t>
        </is>
      </c>
      <c r="K111" s="10" t="inlineStr">
        <is>
          <t>explicit_member</t>
        </is>
      </c>
      <c r="L111" s="11" t="inlineStr">
        <is>
          <t>Guénette &amp; Diallo 2004 Table 6 p.131 explicitly lists this taxon in the named group(s); printed and accepted names checked against WoRMS.</t>
        </is>
      </c>
      <c r="M111" s="10" t="n">
        <v>422411.1</v>
      </c>
    </row>
    <row r="112" ht="51" customHeight="1">
      <c r="A112" s="10" t="inlineStr">
        <is>
          <t>LME_028</t>
        </is>
      </c>
      <c r="B112" s="11" t="inlineStr">
        <is>
          <t>28_646_Guinea_(1998)</t>
        </is>
      </c>
      <c r="C112" s="11" t="inlineStr">
        <is>
          <t>Sarotherodon galilaeus</t>
        </is>
      </c>
      <c r="D112" s="10" t="inlineStr">
        <is>
          <t>Mango tilapia</t>
        </is>
      </c>
      <c r="E112" s="10" t="inlineStr">
        <is>
          <t>Large reef assoc. fish (&gt;=90 cm)</t>
        </is>
      </c>
      <c r="F112" s="10" t="inlineStr">
        <is>
          <t>Perch-likes</t>
        </is>
      </c>
      <c r="G112" s="11" t="inlineStr">
        <is>
          <t>Unresolved</t>
        </is>
      </c>
      <c r="H112" s="12" t="n"/>
      <c r="I112" s="10" t="inlineStr"/>
      <c r="J112" s="16" t="inlineStr">
        <is>
          <t>unresolved</t>
        </is>
      </c>
      <c r="K112" s="10" t="inlineStr">
        <is>
          <t>none</t>
        </is>
      </c>
      <c r="L112" s="11" t="inlineStr">
        <is>
          <t>Freshwater/brackish-water catch has no documented cichlid/cyprinid group in the offshore-Guinea source. Extending the named Mulets pool would require diet and habitat evidence for this taxon.</t>
        </is>
      </c>
      <c r="M112" s="10" t="n">
        <v>405273.308</v>
      </c>
    </row>
    <row r="113" ht="36" customHeight="1">
      <c r="A113" s="10" t="inlineStr">
        <is>
          <t>LME_028</t>
        </is>
      </c>
      <c r="B113" s="11" t="inlineStr">
        <is>
          <t>28_646_Guinea_(1998)</t>
        </is>
      </c>
      <c r="C113" s="11" t="inlineStr">
        <is>
          <t>Pseudotolithus senegalensis</t>
        </is>
      </c>
      <c r="D113" s="10" t="inlineStr">
        <is>
          <t>Cassava croaker</t>
        </is>
      </c>
      <c r="E113" s="10" t="inlineStr">
        <is>
          <t>Large demersals (&gt;=90 cm)</t>
        </is>
      </c>
      <c r="F113" s="10" t="inlineStr">
        <is>
          <t>Perch-likes</t>
        </is>
      </c>
      <c r="G113" s="11" t="inlineStr">
        <is>
          <t>Bars</t>
        </is>
      </c>
      <c r="H113" s="12" t="n">
        <v>1</v>
      </c>
      <c r="I113" s="10" t="inlineStr">
        <is>
          <t>single</t>
        </is>
      </c>
      <c r="J113" s="14" t="inlineStr">
        <is>
          <t>high</t>
        </is>
      </c>
      <c r="K113" s="10" t="inlineStr">
        <is>
          <t>explicit_member</t>
        </is>
      </c>
      <c r="L113" s="11" t="inlineStr">
        <is>
          <t>Guénette &amp; Diallo 2004 Table 6 p.131 explicitly lists this taxon in the named group(s); printed and accepted names checked against WoRMS.</t>
        </is>
      </c>
      <c r="M113" s="10" t="n">
        <v>403396.237</v>
      </c>
    </row>
    <row r="114" ht="36" customHeight="1">
      <c r="A114" s="10" t="inlineStr">
        <is>
          <t>LME_028</t>
        </is>
      </c>
      <c r="B114" s="11" t="inlineStr">
        <is>
          <t>28_646_Guinea_(1998)</t>
        </is>
      </c>
      <c r="C114" s="11" t="inlineStr">
        <is>
          <t>Parapenaeus longirostris</t>
        </is>
      </c>
      <c r="D114" s="10" t="inlineStr">
        <is>
          <t>Deepwater rose shrimp</t>
        </is>
      </c>
      <c r="E114" s="10" t="inlineStr">
        <is>
          <t>Shrimps</t>
        </is>
      </c>
      <c r="F114" s="10" t="inlineStr">
        <is>
          <t>Crustaceans</t>
        </is>
      </c>
      <c r="G114" s="11" t="inlineStr">
        <is>
          <t>Crustacés</t>
        </is>
      </c>
      <c r="H114" s="12" t="n">
        <v>1</v>
      </c>
      <c r="I114" s="10" t="inlineStr">
        <is>
          <t>single</t>
        </is>
      </c>
      <c r="J114" s="14" t="inlineStr">
        <is>
          <t>high</t>
        </is>
      </c>
      <c r="K114" s="10" t="inlineStr">
        <is>
          <t>taxonomic_containment</t>
        </is>
      </c>
      <c r="L114" s="11" t="inlineStr">
        <is>
          <t>WoRMS crustacean taxonomy and SAU shrimp/crab/lobster class agree with the source Crustacés definition on p.125.</t>
        </is>
      </c>
      <c r="M114" s="10" t="n">
        <v>400810.411</v>
      </c>
    </row>
    <row r="115" ht="36" customHeight="1">
      <c r="A115" s="10" t="inlineStr">
        <is>
          <t>LME_028</t>
        </is>
      </c>
      <c r="B115" s="11" t="inlineStr">
        <is>
          <t>28_646_Guinea_(1998)</t>
        </is>
      </c>
      <c r="C115" s="11" t="inlineStr">
        <is>
          <t>Caranx hippos</t>
        </is>
      </c>
      <c r="D115" s="10" t="inlineStr">
        <is>
          <t>Crevalle jack</t>
        </is>
      </c>
      <c r="E115" s="10" t="inlineStr">
        <is>
          <t>Large reef assoc. fish (&gt;=90 cm)</t>
        </is>
      </c>
      <c r="F115" s="10" t="inlineStr">
        <is>
          <t>Perch-likes</t>
        </is>
      </c>
      <c r="G115" s="11" t="inlineStr">
        <is>
          <t>Côtier pel L pred</t>
        </is>
      </c>
      <c r="H115" s="12" t="n">
        <v>1</v>
      </c>
      <c r="I115" s="10" t="inlineStr">
        <is>
          <t>single</t>
        </is>
      </c>
      <c r="J115" s="14" t="inlineStr">
        <is>
          <t>high</t>
        </is>
      </c>
      <c r="K115" s="10" t="inlineStr">
        <is>
          <t>explicit_member</t>
        </is>
      </c>
      <c r="L115" s="11" t="inlineStr">
        <is>
          <t>Guénette &amp; Diallo 2004 Table 6 p.131 explicitly lists this taxon in the named group(s); printed and accepted names checked against WoRMS.</t>
        </is>
      </c>
      <c r="M115" s="10" t="n">
        <v>391862.704</v>
      </c>
    </row>
    <row r="116" ht="36" customHeight="1">
      <c r="A116" s="10" t="inlineStr">
        <is>
          <t>LME_028</t>
        </is>
      </c>
      <c r="B116" s="11" t="inlineStr">
        <is>
          <t>28_646_Guinea_(1998)</t>
        </is>
      </c>
      <c r="C116" s="11" t="inlineStr">
        <is>
          <t>Marine pelagic fishes not identified</t>
        </is>
      </c>
      <c r="D116" s="10" t="inlineStr">
        <is>
          <t>Pelagic fishes</t>
        </is>
      </c>
      <c r="E116" s="10" t="inlineStr">
        <is>
          <t>Medium pelagics (30 - 89 cm)</t>
        </is>
      </c>
      <c r="F116" s="10" t="inlineStr">
        <is>
          <t>Other fishes &amp; inverts</t>
        </is>
      </c>
      <c r="G116" s="11" t="inlineStr">
        <is>
          <t>Côtier pel L pred</t>
        </is>
      </c>
      <c r="H116" s="12" t="n">
        <v>0.1892574940435925</v>
      </c>
      <c r="I116" s="10" t="inlineStr">
        <is>
          <t>catch_composition</t>
        </is>
      </c>
      <c r="J116" s="13" t="inlineStr">
        <is>
          <t>low</t>
        </is>
      </c>
      <c r="K116" s="10" t="inlineStr">
        <is>
          <t>composite_split</t>
        </is>
      </c>
      <c r="L116" s="11" t="inlineStr">
        <is>
          <t>Pelagic nei is restricted to broad coastal and offshore pelagic pools. Named tuna/ethmalose stocks and bottom/bathyal groups are excluded.</t>
        </is>
      </c>
      <c r="M116" s="10" t="n">
        <v>388990.858</v>
      </c>
    </row>
    <row r="117" ht="36" customHeight="1">
      <c r="A117" s="10" t="inlineStr">
        <is>
          <t>LME_028</t>
        </is>
      </c>
      <c r="B117" s="11" t="inlineStr">
        <is>
          <t>28_646_Guinea_(1998)</t>
        </is>
      </c>
      <c r="C117" s="11" t="inlineStr">
        <is>
          <t>Marine pelagic fishes not identified</t>
        </is>
      </c>
      <c r="D117" s="10" t="inlineStr">
        <is>
          <t>Pelagic fishes</t>
        </is>
      </c>
      <c r="E117" s="10" t="inlineStr">
        <is>
          <t>Medium pelagics (30 - 89 cm)</t>
        </is>
      </c>
      <c r="F117" s="10" t="inlineStr">
        <is>
          <t>Other fishes &amp; inverts</t>
        </is>
      </c>
      <c r="G117" s="11" t="inlineStr">
        <is>
          <t>Côtier pel S inv</t>
        </is>
      </c>
      <c r="H117" s="12" t="n">
        <v>0.6731797661221438</v>
      </c>
      <c r="I117" s="10" t="inlineStr">
        <is>
          <t>catch_composition</t>
        </is>
      </c>
      <c r="J117" s="13" t="inlineStr">
        <is>
          <t>low</t>
        </is>
      </c>
      <c r="K117" s="10" t="inlineStr">
        <is>
          <t>composite_split</t>
        </is>
      </c>
      <c r="L117" s="11" t="inlineStr">
        <is>
          <t>Pelagic nei is restricted to broad coastal and offshore pelagic pools. Named tuna/ethmalose stocks and bottom/bathyal groups are excluded.</t>
        </is>
      </c>
      <c r="M117" s="10" t="n">
        <v>388990.858</v>
      </c>
    </row>
    <row r="118" ht="36" customHeight="1">
      <c r="A118" s="10" t="inlineStr">
        <is>
          <t>LME_028</t>
        </is>
      </c>
      <c r="B118" s="11" t="inlineStr">
        <is>
          <t>28_646_Guinea_(1998)</t>
        </is>
      </c>
      <c r="C118" s="11" t="inlineStr">
        <is>
          <t>Marine pelagic fishes not identified</t>
        </is>
      </c>
      <c r="D118" s="10" t="inlineStr">
        <is>
          <t>Pelagic fishes</t>
        </is>
      </c>
      <c r="E118" s="10" t="inlineStr">
        <is>
          <t>Medium pelagics (30 - 89 cm)</t>
        </is>
      </c>
      <c r="F118" s="10" t="inlineStr">
        <is>
          <t>Other fishes &amp; inverts</t>
        </is>
      </c>
      <c r="G118" s="11" t="inlineStr">
        <is>
          <t>Pel L pred</t>
        </is>
      </c>
      <c r="H118" s="12" t="n">
        <v>0.00320433301327051</v>
      </c>
      <c r="I118" s="10" t="inlineStr">
        <is>
          <t>catch_composition</t>
        </is>
      </c>
      <c r="J118" s="13" t="inlineStr">
        <is>
          <t>low</t>
        </is>
      </c>
      <c r="K118" s="10" t="inlineStr">
        <is>
          <t>composite_split</t>
        </is>
      </c>
      <c r="L118" s="11" t="inlineStr">
        <is>
          <t>Pelagic nei is restricted to broad coastal and offshore pelagic pools. Named tuna/ethmalose stocks and bottom/bathyal groups are excluded.</t>
        </is>
      </c>
      <c r="M118" s="10" t="n">
        <v>388990.858</v>
      </c>
    </row>
    <row r="119" ht="36" customHeight="1">
      <c r="A119" s="10" t="inlineStr">
        <is>
          <t>LME_028</t>
        </is>
      </c>
      <c r="B119" s="11" t="inlineStr">
        <is>
          <t>28_646_Guinea_(1998)</t>
        </is>
      </c>
      <c r="C119" s="11" t="inlineStr">
        <is>
          <t>Marine pelagic fishes not identified</t>
        </is>
      </c>
      <c r="D119" s="10" t="inlineStr">
        <is>
          <t>Pelagic fishes</t>
        </is>
      </c>
      <c r="E119" s="10" t="inlineStr">
        <is>
          <t>Medium pelagics (30 - 89 cm)</t>
        </is>
      </c>
      <c r="F119" s="10" t="inlineStr">
        <is>
          <t>Other fishes &amp; inverts</t>
        </is>
      </c>
      <c r="G119" s="11" t="inlineStr">
        <is>
          <t>Pel S inv</t>
        </is>
      </c>
      <c r="H119" s="12" t="n">
        <v>0.1343584068209931</v>
      </c>
      <c r="I119" s="10" t="inlineStr">
        <is>
          <t>catch_composition</t>
        </is>
      </c>
      <c r="J119" s="13" t="inlineStr">
        <is>
          <t>low</t>
        </is>
      </c>
      <c r="K119" s="10" t="inlineStr">
        <is>
          <t>composite_split</t>
        </is>
      </c>
      <c r="L119" s="11" t="inlineStr">
        <is>
          <t>Pelagic nei is restricted to broad coastal and offshore pelagic pools. Named tuna/ethmalose stocks and bottom/bathyal groups are excluded.</t>
        </is>
      </c>
      <c r="M119" s="10" t="n">
        <v>388990.858</v>
      </c>
    </row>
    <row r="120" ht="51" customHeight="1">
      <c r="A120" s="10" t="inlineStr">
        <is>
          <t>LME_028</t>
        </is>
      </c>
      <c r="B120" s="11" t="inlineStr">
        <is>
          <t>28_646_Guinea_(1998)</t>
        </is>
      </c>
      <c r="C120" s="11" t="inlineStr">
        <is>
          <t>Pentheroscion mbizi</t>
        </is>
      </c>
      <c r="D120" s="10" t="inlineStr">
        <is>
          <t>Mbizi croaker</t>
        </is>
      </c>
      <c r="E120" s="10" t="inlineStr">
        <is>
          <t>Medium demersals (30 - 89 cm)</t>
        </is>
      </c>
      <c r="F120" s="10" t="inlineStr">
        <is>
          <t>Perch-likes</t>
        </is>
      </c>
      <c r="G120" s="11" t="inlineStr">
        <is>
          <t>Unresolved</t>
        </is>
      </c>
      <c r="H120" s="12" t="n"/>
      <c r="I120" s="10" t="inlineStr"/>
      <c r="J120" s="16" t="inlineStr">
        <is>
          <t>unresolved</t>
        </is>
      </c>
      <c r="K120" s="10" t="inlineStr">
        <is>
          <t>none</t>
        </is>
      </c>
      <c r="L12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120" s="10" t="n">
        <v>372671.569</v>
      </c>
    </row>
    <row r="121" ht="36" customHeight="1">
      <c r="A121" s="10" t="inlineStr">
        <is>
          <t>LME_028</t>
        </is>
      </c>
      <c r="B121" s="11" t="inlineStr">
        <is>
          <t>28_646_Guinea_(1998)</t>
        </is>
      </c>
      <c r="C121" s="11" t="inlineStr">
        <is>
          <t>Pentanemus quinquarius</t>
        </is>
      </c>
      <c r="D121" s="10" t="inlineStr">
        <is>
          <t>Royal threadfin</t>
        </is>
      </c>
      <c r="E121" s="10" t="inlineStr">
        <is>
          <t>Small demersals (&lt;30 cm)</t>
        </is>
      </c>
      <c r="F121" s="10" t="inlineStr">
        <is>
          <t>Perch-likes</t>
        </is>
      </c>
      <c r="G121" s="11" t="inlineStr">
        <is>
          <t>Capitaine royal</t>
        </is>
      </c>
      <c r="H121" s="12" t="n">
        <v>1</v>
      </c>
      <c r="I121" s="10" t="inlineStr">
        <is>
          <t>single</t>
        </is>
      </c>
      <c r="J121" s="14" t="inlineStr">
        <is>
          <t>high</t>
        </is>
      </c>
      <c r="K121" s="10" t="inlineStr">
        <is>
          <t>explicit_member</t>
        </is>
      </c>
      <c r="L121" s="11" t="inlineStr">
        <is>
          <t>Guénette &amp; Diallo 2004 Table 6 p.131 explicitly lists this taxon in the named group(s); printed and accepted names checked against WoRMS.</t>
        </is>
      </c>
      <c r="M121" s="10" t="n">
        <v>371053.828</v>
      </c>
    </row>
    <row r="122" ht="36" customHeight="1">
      <c r="A122" s="10" t="inlineStr">
        <is>
          <t>LME_028</t>
        </is>
      </c>
      <c r="B122" s="11" t="inlineStr">
        <is>
          <t>28_646_Guinea_(1998)</t>
        </is>
      </c>
      <c r="C122" s="11" t="inlineStr">
        <is>
          <t>Caranx</t>
        </is>
      </c>
      <c r="D122" s="10" t="inlineStr">
        <is>
          <t>Jacks</t>
        </is>
      </c>
      <c r="E122" s="10" t="inlineStr">
        <is>
          <t>Medium reef assoc. fish (30 - 89 cm)</t>
        </is>
      </c>
      <c r="F122" s="10" t="inlineStr">
        <is>
          <t>Perch-likes</t>
        </is>
      </c>
      <c r="G122" s="11" t="inlineStr">
        <is>
          <t>Côtier pel L pred</t>
        </is>
      </c>
      <c r="H122" s="12" t="n">
        <v>1</v>
      </c>
      <c r="I122" s="10" t="inlineStr">
        <is>
          <t>single</t>
        </is>
      </c>
      <c r="J122" s="15" t="inlineStr">
        <is>
          <t>medium</t>
        </is>
      </c>
      <c r="K122" s="10" t="inlineStr">
        <is>
          <t>taxonomic_containment</t>
        </is>
      </c>
      <c r="L122" s="11" t="inlineStr">
        <is>
          <t>Genus-level catch spans exactly the Table 6 groups containing its documented species. No habitat class overrides those placements.</t>
        </is>
      </c>
      <c r="M122" s="10" t="n">
        <v>355589.5</v>
      </c>
    </row>
    <row r="123" ht="36" customHeight="1">
      <c r="A123" s="10" t="inlineStr">
        <is>
          <t>LME_028</t>
        </is>
      </c>
      <c r="B123" s="11" t="inlineStr">
        <is>
          <t>28_646_Guinea_(1998)</t>
        </is>
      </c>
      <c r="C123" s="11" t="inlineStr">
        <is>
          <t>Carlarius heudelotii</t>
        </is>
      </c>
      <c r="D123" s="10" t="inlineStr">
        <is>
          <t>Smoothmouth sea catfish</t>
        </is>
      </c>
      <c r="E123" s="10" t="inlineStr">
        <is>
          <t>Medium demersals (30 - 89 cm)</t>
        </is>
      </c>
      <c r="F123" s="10" t="inlineStr">
        <is>
          <t>Other fishes &amp; inverts</t>
        </is>
      </c>
      <c r="G123" s="11" t="inlineStr">
        <is>
          <t>Mâchoiron</t>
        </is>
      </c>
      <c r="H123" s="12" t="n">
        <v>1</v>
      </c>
      <c r="I123" s="10" t="inlineStr">
        <is>
          <t>single</t>
        </is>
      </c>
      <c r="J123" s="14" t="inlineStr">
        <is>
          <t>high</t>
        </is>
      </c>
      <c r="K123" s="10" t="inlineStr">
        <is>
          <t>explicit_member</t>
        </is>
      </c>
      <c r="L123" s="11" t="inlineStr">
        <is>
          <t>Guénette &amp; Diallo 2004 Table 6 p.131 explicitly lists this taxon in the named group(s); printed and accepted names checked against WoRMS.</t>
        </is>
      </c>
      <c r="M123" s="10" t="n">
        <v>347179.801</v>
      </c>
    </row>
    <row r="124" ht="36" customHeight="1">
      <c r="A124" s="10" t="inlineStr">
        <is>
          <t>LME_028</t>
        </is>
      </c>
      <c r="B124" s="11" t="inlineStr">
        <is>
          <t>28_646_Guinea_(1998)</t>
        </is>
      </c>
      <c r="C124" s="11" t="inlineStr">
        <is>
          <t>Scomber</t>
        </is>
      </c>
      <c r="D124" s="10" t="inlineStr">
        <is>
          <t>Chub mackerels</t>
        </is>
      </c>
      <c r="E124" s="10" t="inlineStr">
        <is>
          <t>Medium pelagics (30 - 89 cm)</t>
        </is>
      </c>
      <c r="F124" s="10" t="inlineStr">
        <is>
          <t>Perch-likes</t>
        </is>
      </c>
      <c r="G124" s="11" t="inlineStr">
        <is>
          <t>Pel S inv</t>
        </is>
      </c>
      <c r="H124" s="12" t="n">
        <v>1</v>
      </c>
      <c r="I124" s="10" t="inlineStr">
        <is>
          <t>single</t>
        </is>
      </c>
      <c r="J124" s="15" t="inlineStr">
        <is>
          <t>medium</t>
        </is>
      </c>
      <c r="K124" s="10" t="inlineStr">
        <is>
          <t>taxonomic_containment</t>
        </is>
      </c>
      <c r="L124" s="11" t="inlineStr">
        <is>
          <t>Genus-level catch spans exactly the Table 6 groups containing its documented species. No habitat class overrides those placements.</t>
        </is>
      </c>
      <c r="M124" s="10" t="n">
        <v>346215.466</v>
      </c>
    </row>
    <row r="125" ht="36" customHeight="1">
      <c r="A125" s="10" t="inlineStr">
        <is>
          <t>LME_028</t>
        </is>
      </c>
      <c r="B125" s="11" t="inlineStr">
        <is>
          <t>28_646_Guinea_(1998)</t>
        </is>
      </c>
      <c r="C125" s="11" t="inlineStr">
        <is>
          <t>Pagellus bellottii</t>
        </is>
      </c>
      <c r="D125" s="10" t="inlineStr">
        <is>
          <t>Red pandora</t>
        </is>
      </c>
      <c r="E125" s="10" t="inlineStr">
        <is>
          <t>Medium demersals (30 - 89 cm)</t>
        </is>
      </c>
      <c r="F125" s="10" t="inlineStr">
        <is>
          <t>Perch-likes</t>
        </is>
      </c>
      <c r="G125" s="11" t="inlineStr">
        <is>
          <t>Dem M inv</t>
        </is>
      </c>
      <c r="H125" s="12" t="n">
        <v>1</v>
      </c>
      <c r="I125" s="10" t="inlineStr">
        <is>
          <t>single</t>
        </is>
      </c>
      <c r="J125" s="14" t="inlineStr">
        <is>
          <t>high</t>
        </is>
      </c>
      <c r="K125" s="10" t="inlineStr">
        <is>
          <t>explicit_member</t>
        </is>
      </c>
      <c r="L125" s="11" t="inlineStr">
        <is>
          <t>Guénette &amp; Diallo 2004 Table 6 p.131 explicitly lists this taxon in the named group(s); printed and accepted names checked against WoRMS.</t>
        </is>
      </c>
      <c r="M125" s="10" t="n">
        <v>335354.527</v>
      </c>
    </row>
    <row r="126" ht="36" customHeight="1">
      <c r="A126" s="10" t="inlineStr">
        <is>
          <t>LME_028</t>
        </is>
      </c>
      <c r="B126" s="11" t="inlineStr">
        <is>
          <t>28_646_Guinea_(1998)</t>
        </is>
      </c>
      <c r="C126" s="11" t="inlineStr">
        <is>
          <t>Pagrus</t>
        </is>
      </c>
      <c r="D126" s="10" t="inlineStr">
        <is>
          <t>Subtropical seabreams</t>
        </is>
      </c>
      <c r="E126" s="10" t="inlineStr">
        <is>
          <t>Medium benthopelagics (30 - 89 cm)</t>
        </is>
      </c>
      <c r="F126" s="10" t="inlineStr">
        <is>
          <t>Perch-likes</t>
        </is>
      </c>
      <c r="G126" s="11" t="inlineStr">
        <is>
          <t>Dem L pred</t>
        </is>
      </c>
      <c r="H126" s="12" t="n">
        <v>1</v>
      </c>
      <c r="I126" s="10" t="inlineStr">
        <is>
          <t>single</t>
        </is>
      </c>
      <c r="J126" s="15" t="inlineStr">
        <is>
          <t>medium</t>
        </is>
      </c>
      <c r="K126" s="10" t="inlineStr">
        <is>
          <t>taxonomic_containment</t>
        </is>
      </c>
      <c r="L126" s="11" t="inlineStr">
        <is>
          <t>Genus-level catch spans exactly the Table 6 groups containing its documented species. No habitat class overrides those placements.</t>
        </is>
      </c>
      <c r="M126" s="10" t="n">
        <v>329079.849</v>
      </c>
    </row>
    <row r="127" ht="36" customHeight="1">
      <c r="A127" s="10" t="inlineStr">
        <is>
          <t>LME_028</t>
        </is>
      </c>
      <c r="B127" s="11" t="inlineStr">
        <is>
          <t>28_646_Guinea_(1998)</t>
        </is>
      </c>
      <c r="C127" s="11" t="inlineStr">
        <is>
          <t>Pomadasys jubelini</t>
        </is>
      </c>
      <c r="D127" s="10" t="inlineStr">
        <is>
          <t>Sompat grunt</t>
        </is>
      </c>
      <c r="E127" s="10" t="inlineStr">
        <is>
          <t>Medium demersals (30 - 89 cm)</t>
        </is>
      </c>
      <c r="F127" s="10" t="inlineStr">
        <is>
          <t>Perch-likes</t>
        </is>
      </c>
      <c r="G127" s="11" t="inlineStr">
        <is>
          <t>Côtier M inv</t>
        </is>
      </c>
      <c r="H127" s="12" t="n">
        <v>1</v>
      </c>
      <c r="I127" s="10" t="inlineStr">
        <is>
          <t>single</t>
        </is>
      </c>
      <c r="J127" s="14" t="inlineStr">
        <is>
          <t>high</t>
        </is>
      </c>
      <c r="K127" s="10" t="inlineStr">
        <is>
          <t>explicit_member</t>
        </is>
      </c>
      <c r="L127" s="11" t="inlineStr">
        <is>
          <t>Guénette &amp; Diallo 2004 Table 6 p.131 explicitly lists this taxon in the named group(s); printed and accepted names checked against WoRMS.</t>
        </is>
      </c>
      <c r="M127" s="10" t="n">
        <v>321432.033</v>
      </c>
    </row>
    <row r="128" ht="36" customHeight="1">
      <c r="A128" s="10" t="inlineStr">
        <is>
          <t>LME_028</t>
        </is>
      </c>
      <c r="B128" s="11" t="inlineStr">
        <is>
          <t>28_646_Guinea_(1998)</t>
        </is>
      </c>
      <c r="C128" s="11" t="inlineStr">
        <is>
          <t>Auxis thazard</t>
        </is>
      </c>
      <c r="D128" s="10" t="inlineStr">
        <is>
          <t>Frigate tuna</t>
        </is>
      </c>
      <c r="E128" s="10" t="inlineStr">
        <is>
          <t>Medium pelagics (30 - 89 cm)</t>
        </is>
      </c>
      <c r="F128" s="10" t="inlineStr">
        <is>
          <t>Tuna &amp; billfishes</t>
        </is>
      </c>
      <c r="G128" s="11" t="inlineStr">
        <is>
          <t>Thons mineurs</t>
        </is>
      </c>
      <c r="H128" s="12" t="n">
        <v>1</v>
      </c>
      <c r="I128" s="10" t="inlineStr">
        <is>
          <t>single</t>
        </is>
      </c>
      <c r="J128" s="14" t="inlineStr">
        <is>
          <t>high</t>
        </is>
      </c>
      <c r="K128" s="10" t="inlineStr">
        <is>
          <t>explicit_member</t>
        </is>
      </c>
      <c r="L128" s="11" t="inlineStr">
        <is>
          <t>Guénette &amp; Diallo 2004 Table 6 p.131 explicitly lists this taxon in the named group(s); printed and accepted names checked against WoRMS.</t>
        </is>
      </c>
      <c r="M128" s="10" t="n">
        <v>316019.443</v>
      </c>
    </row>
    <row r="129" ht="36" customHeight="1">
      <c r="A129" s="10" t="inlineStr">
        <is>
          <t>LME_028</t>
        </is>
      </c>
      <c r="B129" s="11" t="inlineStr">
        <is>
          <t>28_646_Guinea_(1998)</t>
        </is>
      </c>
      <c r="C129" s="11" t="inlineStr">
        <is>
          <t>Elops lacerta</t>
        </is>
      </c>
      <c r="D129" s="10" t="inlineStr">
        <is>
          <t>West African ladyfish</t>
        </is>
      </c>
      <c r="E129" s="10" t="inlineStr">
        <is>
          <t>Medium benthopelagics (30 - 89 cm)</t>
        </is>
      </c>
      <c r="F129" s="10" t="inlineStr">
        <is>
          <t>Other fishes &amp; inverts</t>
        </is>
      </c>
      <c r="G129" s="11" t="inlineStr">
        <is>
          <t>Côtier pel L pred</t>
        </is>
      </c>
      <c r="H129" s="12" t="n">
        <v>1</v>
      </c>
      <c r="I129" s="10" t="inlineStr">
        <is>
          <t>single</t>
        </is>
      </c>
      <c r="J129" s="14" t="inlineStr">
        <is>
          <t>high</t>
        </is>
      </c>
      <c r="K129" s="10" t="inlineStr">
        <is>
          <t>explicit_member</t>
        </is>
      </c>
      <c r="L129" s="11" t="inlineStr">
        <is>
          <t>Guénette &amp; Diallo 2004 Table 6 p.131 explicitly lists this taxon in the named group(s); printed and accepted names checked against WoRMS.</t>
        </is>
      </c>
      <c r="M129" s="10" t="n">
        <v>305343.546</v>
      </c>
    </row>
    <row r="130" ht="36" customHeight="1">
      <c r="A130" s="10" t="inlineStr">
        <is>
          <t>LME_028</t>
        </is>
      </c>
      <c r="B130" s="11" t="inlineStr">
        <is>
          <t>28_646_Guinea_(1998)</t>
        </is>
      </c>
      <c r="C130" s="11" t="inlineStr">
        <is>
          <t>Pseudotolithus typus</t>
        </is>
      </c>
      <c r="D130" s="10" t="inlineStr">
        <is>
          <t>Longneck croaker</t>
        </is>
      </c>
      <c r="E130" s="10" t="inlineStr">
        <is>
          <t>Large demersals (&gt;=90 cm)</t>
        </is>
      </c>
      <c r="F130" s="10" t="inlineStr">
        <is>
          <t>Perch-likes</t>
        </is>
      </c>
      <c r="G130" s="11" t="inlineStr">
        <is>
          <t>Bars</t>
        </is>
      </c>
      <c r="H130" s="12" t="n">
        <v>1</v>
      </c>
      <c r="I130" s="10" t="inlineStr">
        <is>
          <t>single</t>
        </is>
      </c>
      <c r="J130" s="14" t="inlineStr">
        <is>
          <t>high</t>
        </is>
      </c>
      <c r="K130" s="10" t="inlineStr">
        <is>
          <t>explicit_member</t>
        </is>
      </c>
      <c r="L130" s="11" t="inlineStr">
        <is>
          <t>Guénette &amp; Diallo 2004 Table 6 p.131 explicitly lists this taxon in the named group(s); printed and accepted names checked against WoRMS.</t>
        </is>
      </c>
      <c r="M130" s="10" t="n">
        <v>303874.133</v>
      </c>
    </row>
    <row r="131" ht="21" customHeight="1">
      <c r="A131" s="10" t="inlineStr">
        <is>
          <t>LME_028</t>
        </is>
      </c>
      <c r="B131" s="11" t="inlineStr">
        <is>
          <t>28_646_Guinea_(1998)</t>
        </is>
      </c>
      <c r="C131" s="11" t="inlineStr">
        <is>
          <t>Octopus vulgaris</t>
        </is>
      </c>
      <c r="D131" s="10" t="inlineStr">
        <is>
          <t>Common octopus</t>
        </is>
      </c>
      <c r="E131" s="10" t="inlineStr">
        <is>
          <t>Cephalopods</t>
        </is>
      </c>
      <c r="F131" s="10" t="inlineStr">
        <is>
          <t>Other fishes &amp; inverts</t>
        </is>
      </c>
      <c r="G131" s="11" t="inlineStr">
        <is>
          <t>Céphalopodes</t>
        </is>
      </c>
      <c r="H131" s="12" t="n">
        <v>1</v>
      </c>
      <c r="I131" s="10" t="inlineStr">
        <is>
          <t>single</t>
        </is>
      </c>
      <c r="J131" s="14" t="inlineStr">
        <is>
          <t>high</t>
        </is>
      </c>
      <c r="K131" s="10" t="inlineStr">
        <is>
          <t>taxonomic_containment</t>
        </is>
      </c>
      <c r="L131" s="11" t="inlineStr">
        <is>
          <t>Source p.125 explicitly includes all cephalopods, including octopus, cuttlefish and squid.</t>
        </is>
      </c>
      <c r="M131" s="10" t="n">
        <v>299194.624</v>
      </c>
    </row>
    <row r="132" ht="36" customHeight="1">
      <c r="A132" s="10" t="inlineStr">
        <is>
          <t>LME_028</t>
        </is>
      </c>
      <c r="B132" s="11" t="inlineStr">
        <is>
          <t>28_646_Guinea_(1998)</t>
        </is>
      </c>
      <c r="C132" s="11" t="inlineStr">
        <is>
          <t>Lutjanus</t>
        </is>
      </c>
      <c r="D132" s="10" t="inlineStr">
        <is>
          <t>Snappers</t>
        </is>
      </c>
      <c r="E132" s="10" t="inlineStr">
        <is>
          <t>Medium reef assoc. fish (30 - 89 cm)</t>
        </is>
      </c>
      <c r="F132" s="10" t="inlineStr">
        <is>
          <t>Perch-likes</t>
        </is>
      </c>
      <c r="G132" s="11" t="inlineStr">
        <is>
          <t>Côtier L pred</t>
        </is>
      </c>
      <c r="H132" s="12" t="n">
        <v>1</v>
      </c>
      <c r="I132" s="10" t="inlineStr">
        <is>
          <t>single</t>
        </is>
      </c>
      <c r="J132" s="15" t="inlineStr">
        <is>
          <t>medium</t>
        </is>
      </c>
      <c r="K132" s="10" t="inlineStr">
        <is>
          <t>taxonomic_containment</t>
        </is>
      </c>
      <c r="L132" s="11" t="inlineStr">
        <is>
          <t>Genus-level catch spans exactly the Table 6 groups containing its documented species. No habitat class overrides those placements.</t>
        </is>
      </c>
      <c r="M132" s="10" t="n">
        <v>281553.855</v>
      </c>
    </row>
    <row r="133" ht="36" customHeight="1">
      <c r="A133" s="10" t="inlineStr">
        <is>
          <t>LME_028</t>
        </is>
      </c>
      <c r="B133" s="11" t="inlineStr">
        <is>
          <t>28_646_Guinea_(1998)</t>
        </is>
      </c>
      <c r="C133" s="11" t="inlineStr">
        <is>
          <t>Drepane africana</t>
        </is>
      </c>
      <c r="D133" s="10" t="inlineStr">
        <is>
          <t>African sicklefish</t>
        </is>
      </c>
      <c r="E133" s="10" t="inlineStr">
        <is>
          <t>Medium benthopelagics (30 - 89 cm)</t>
        </is>
      </c>
      <c r="F133" s="10" t="inlineStr">
        <is>
          <t>Perch-likes</t>
        </is>
      </c>
      <c r="G133" s="11" t="inlineStr">
        <is>
          <t>Disques</t>
        </is>
      </c>
      <c r="H133" s="12" t="n">
        <v>1</v>
      </c>
      <c r="I133" s="10" t="inlineStr">
        <is>
          <t>single</t>
        </is>
      </c>
      <c r="J133" s="14" t="inlineStr">
        <is>
          <t>high</t>
        </is>
      </c>
      <c r="K133" s="10" t="inlineStr">
        <is>
          <t>explicit_member</t>
        </is>
      </c>
      <c r="L133" s="11" t="inlineStr">
        <is>
          <t>Guénette &amp; Diallo 2004 Table 6 p.131 explicitly lists this taxon in the named group(s); printed and accepted names checked against WoRMS.</t>
        </is>
      </c>
      <c r="M133" s="10" t="n">
        <v>280288.367</v>
      </c>
    </row>
    <row r="134" ht="36" customHeight="1">
      <c r="A134" s="10" t="inlineStr">
        <is>
          <t>LME_028</t>
        </is>
      </c>
      <c r="B134" s="11" t="inlineStr">
        <is>
          <t>28_646_Guinea_(1998)</t>
        </is>
      </c>
      <c r="C134" s="11" t="inlineStr">
        <is>
          <t>Scomber colias</t>
        </is>
      </c>
      <c r="D134" s="10" t="inlineStr">
        <is>
          <t>Atlantic chub mackerel</t>
        </is>
      </c>
      <c r="E134" s="10" t="inlineStr">
        <is>
          <t>Medium pelagics (30 - 89 cm)</t>
        </is>
      </c>
      <c r="F134" s="10" t="inlineStr">
        <is>
          <t>Perch-likes</t>
        </is>
      </c>
      <c r="G134" s="11" t="inlineStr">
        <is>
          <t>Pel S inv</t>
        </is>
      </c>
      <c r="H134" s="12" t="n">
        <v>1</v>
      </c>
      <c r="I134" s="10" t="inlineStr">
        <is>
          <t>single</t>
        </is>
      </c>
      <c r="J134" s="15" t="inlineStr">
        <is>
          <t>medium</t>
        </is>
      </c>
      <c r="K134" s="10" t="inlineStr">
        <is>
          <t>analogue</t>
        </is>
      </c>
      <c r="L134" s="11" t="inlineStr">
        <is>
          <t>Species not individually listed: its genus has one documented Table 6 group, supported by the catch's Medium pelagics (30 - 89 cm) class. Congeneric extension is inference.</t>
        </is>
      </c>
      <c r="M134" s="10" t="n">
        <v>261950.127</v>
      </c>
    </row>
    <row r="135" ht="36" customHeight="1">
      <c r="A135" s="10" t="inlineStr">
        <is>
          <t>LME_028</t>
        </is>
      </c>
      <c r="B135" s="11" t="inlineStr">
        <is>
          <t>28_646_Guinea_(1998)</t>
        </is>
      </c>
      <c r="C135" s="11" t="inlineStr">
        <is>
          <t>Epinephelus</t>
        </is>
      </c>
      <c r="D135" s="10" t="inlineStr">
        <is>
          <t>Seabasses, hinds</t>
        </is>
      </c>
      <c r="E135" s="10" t="inlineStr">
        <is>
          <t>Medium reef assoc. fish (30 - 89 cm)</t>
        </is>
      </c>
      <c r="F135" s="10" t="inlineStr">
        <is>
          <t>Perch-likes</t>
        </is>
      </c>
      <c r="G135" s="11" t="inlineStr">
        <is>
          <t>Côtier L pred</t>
        </is>
      </c>
      <c r="H135" s="12" t="n">
        <v>0.8366406857558634</v>
      </c>
      <c r="I135" s="10" t="inlineStr">
        <is>
          <t>catch_composition</t>
        </is>
      </c>
      <c r="J135" s="15" t="inlineStr">
        <is>
          <t>medium</t>
        </is>
      </c>
      <c r="K135" s="10" t="inlineStr">
        <is>
          <t>composite_split</t>
        </is>
      </c>
      <c r="L135" s="11" t="inlineStr">
        <is>
          <t>Genus-level catch spans exactly the Table 6 groups containing its documented species. No habitat class overrides those placements.</t>
        </is>
      </c>
      <c r="M135" s="10" t="n">
        <v>249491.397</v>
      </c>
    </row>
    <row r="136" ht="36" customHeight="1">
      <c r="A136" s="10" t="inlineStr">
        <is>
          <t>LME_028</t>
        </is>
      </c>
      <c r="B136" s="11" t="inlineStr">
        <is>
          <t>28_646_Guinea_(1998)</t>
        </is>
      </c>
      <c r="C136" s="11" t="inlineStr">
        <is>
          <t>Epinephelus</t>
        </is>
      </c>
      <c r="D136" s="10" t="inlineStr">
        <is>
          <t>Seabasses, hinds</t>
        </is>
      </c>
      <c r="E136" s="10" t="inlineStr">
        <is>
          <t>Medium reef assoc. fish (30 - 89 cm)</t>
        </is>
      </c>
      <c r="F136" s="10" t="inlineStr">
        <is>
          <t>Perch-likes</t>
        </is>
      </c>
      <c r="G136" s="11" t="inlineStr">
        <is>
          <t>Dem L pred</t>
        </is>
      </c>
      <c r="H136" s="12" t="n">
        <v>0.1633593142441366</v>
      </c>
      <c r="I136" s="10" t="inlineStr">
        <is>
          <t>catch_composition</t>
        </is>
      </c>
      <c r="J136" s="15" t="inlineStr">
        <is>
          <t>medium</t>
        </is>
      </c>
      <c r="K136" s="10" t="inlineStr">
        <is>
          <t>composite_split</t>
        </is>
      </c>
      <c r="L136" s="11" t="inlineStr">
        <is>
          <t>Genus-level catch spans exactly the Table 6 groups containing its documented species. No habitat class overrides those placements.</t>
        </is>
      </c>
      <c r="M136" s="10" t="n">
        <v>249491.397</v>
      </c>
    </row>
    <row r="137" ht="36" customHeight="1">
      <c r="A137" s="10" t="inlineStr">
        <is>
          <t>LME_028</t>
        </is>
      </c>
      <c r="B137" s="11" t="inlineStr">
        <is>
          <t>28_646_Guinea_(1998)</t>
        </is>
      </c>
      <c r="C137" s="11" t="inlineStr">
        <is>
          <t>Trachurus trachurus</t>
        </is>
      </c>
      <c r="D137" s="10" t="inlineStr">
        <is>
          <t>Atlantic horse mackerel</t>
        </is>
      </c>
      <c r="E137" s="10" t="inlineStr">
        <is>
          <t>Medium pelagics (30 - 89 cm)</t>
        </is>
      </c>
      <c r="F137" s="10" t="inlineStr">
        <is>
          <t>Perch-likes</t>
        </is>
      </c>
      <c r="G137" s="11" t="inlineStr">
        <is>
          <t>Pel S inv</t>
        </is>
      </c>
      <c r="H137" s="12" t="n">
        <v>1</v>
      </c>
      <c r="I137" s="10" t="inlineStr">
        <is>
          <t>single</t>
        </is>
      </c>
      <c r="J137" s="15" t="inlineStr">
        <is>
          <t>medium</t>
        </is>
      </c>
      <c r="K137" s="10" t="inlineStr">
        <is>
          <t>analogue</t>
        </is>
      </c>
      <c r="L137" s="11" t="inlineStr">
        <is>
          <t>Species not individually listed: its genus has one documented Table 6 group, supported by the catch's Medium pelagics (30 - 89 cm) class. Congeneric extension is inference.</t>
        </is>
      </c>
      <c r="M137" s="10" t="n">
        <v>241304.47</v>
      </c>
    </row>
    <row r="138" ht="36" customHeight="1">
      <c r="A138" s="10" t="inlineStr">
        <is>
          <t>LME_028</t>
        </is>
      </c>
      <c r="B138" s="11" t="inlineStr">
        <is>
          <t>28_646_Guinea_(1998)</t>
        </is>
      </c>
      <c r="C138" s="11" t="inlineStr">
        <is>
          <t>Argyrosomus regius</t>
        </is>
      </c>
      <c r="D138" s="10" t="inlineStr">
        <is>
          <t>Meagre</t>
        </is>
      </c>
      <c r="E138" s="10" t="inlineStr">
        <is>
          <t>Large benthopelagics (&gt;=90 cm)</t>
        </is>
      </c>
      <c r="F138" s="10" t="inlineStr">
        <is>
          <t>Perch-likes</t>
        </is>
      </c>
      <c r="G138" s="11" t="inlineStr">
        <is>
          <t>Côtier L pred</t>
        </is>
      </c>
      <c r="H138" s="12" t="n">
        <v>1</v>
      </c>
      <c r="I138" s="10" t="inlineStr">
        <is>
          <t>single</t>
        </is>
      </c>
      <c r="J138" s="14" t="inlineStr">
        <is>
          <t>high</t>
        </is>
      </c>
      <c r="K138" s="10" t="inlineStr">
        <is>
          <t>explicit_member</t>
        </is>
      </c>
      <c r="L138" s="11" t="inlineStr">
        <is>
          <t>Guénette &amp; Diallo 2004 Table 6 p.131 explicitly lists this taxon in the named group(s); printed and accepted names checked against WoRMS.</t>
        </is>
      </c>
      <c r="M138" s="10" t="n">
        <v>239356.238</v>
      </c>
    </row>
    <row r="139" ht="36" customHeight="1">
      <c r="A139" s="10" t="inlineStr">
        <is>
          <t>LME_028</t>
        </is>
      </c>
      <c r="B139" s="11" t="inlineStr">
        <is>
          <t>28_646_Guinea_(1998)</t>
        </is>
      </c>
      <c r="C139" s="11" t="inlineStr">
        <is>
          <t>Scyris alexandrina</t>
        </is>
      </c>
      <c r="D139" s="10" t="inlineStr">
        <is>
          <t>Alexandria pompano</t>
        </is>
      </c>
      <c r="E139" s="10" t="inlineStr">
        <is>
          <t>Medium pelagics (30 - 89 cm)</t>
        </is>
      </c>
      <c r="F139" s="10" t="inlineStr">
        <is>
          <t>Perch-likes</t>
        </is>
      </c>
      <c r="G139" s="11" t="inlineStr">
        <is>
          <t>Côtier pel L pred</t>
        </is>
      </c>
      <c r="H139" s="12" t="n">
        <v>1</v>
      </c>
      <c r="I139" s="10" t="inlineStr">
        <is>
          <t>single</t>
        </is>
      </c>
      <c r="J139" s="14" t="inlineStr">
        <is>
          <t>high</t>
        </is>
      </c>
      <c r="K139" s="10" t="inlineStr">
        <is>
          <t>synonym</t>
        </is>
      </c>
      <c r="L139" s="11" t="inlineStr">
        <is>
          <t>Guénette &amp; Diallo 2004 Table 6 p.131 explicitly lists this taxon in the named group(s); printed and accepted names checked against WoRMS.</t>
        </is>
      </c>
      <c r="M139" s="10" t="n">
        <v>237360.082</v>
      </c>
    </row>
    <row r="140" ht="36" customHeight="1">
      <c r="A140" s="10" t="inlineStr">
        <is>
          <t>LME_028</t>
        </is>
      </c>
      <c r="B140" s="11" t="inlineStr">
        <is>
          <t>28_646_Guinea_(1998)</t>
        </is>
      </c>
      <c r="C140" s="11" t="inlineStr">
        <is>
          <t>Squalidae</t>
        </is>
      </c>
      <c r="D140" s="10" t="inlineStr">
        <is>
          <t>Dogfish sharks</t>
        </is>
      </c>
      <c r="E140" s="10" t="inlineStr">
        <is>
          <t>Large sharks (&gt;=90 cm)</t>
        </is>
      </c>
      <c r="F140" s="10" t="inlineStr">
        <is>
          <t>Sharks &amp; rays</t>
        </is>
      </c>
      <c r="G140" s="11" t="inlineStr">
        <is>
          <t>Sélaciens L prof</t>
        </is>
      </c>
      <c r="H140" s="12" t="n">
        <v>0.8097255094841217</v>
      </c>
      <c r="I140" s="10" t="inlineStr">
        <is>
          <t>catch_composition</t>
        </is>
      </c>
      <c r="J140" s="15" t="inlineStr">
        <is>
          <t>medium</t>
        </is>
      </c>
      <c r="K140" s="10" t="inlineStr">
        <is>
          <t>composite_split</t>
        </is>
      </c>
      <c r="L140" s="11" t="inlineStr">
        <is>
          <t>Family catch spans the union of all Table 6 member groups belonging to Squalidae under WoRMS. Every candidate is supported by a source member; source placement outranks SAU habitat class.</t>
        </is>
      </c>
      <c r="M140" s="10" t="n">
        <v>236585.885</v>
      </c>
    </row>
    <row r="141" ht="36" customHeight="1">
      <c r="A141" s="10" t="inlineStr">
        <is>
          <t>LME_028</t>
        </is>
      </c>
      <c r="B141" s="11" t="inlineStr">
        <is>
          <t>28_646_Guinea_(1998)</t>
        </is>
      </c>
      <c r="C141" s="11" t="inlineStr">
        <is>
          <t>Squalidae</t>
        </is>
      </c>
      <c r="D141" s="10" t="inlineStr">
        <is>
          <t>Dogfish sharks</t>
        </is>
      </c>
      <c r="E141" s="10" t="inlineStr">
        <is>
          <t>Large sharks (&gt;=90 cm)</t>
        </is>
      </c>
      <c r="F141" s="10" t="inlineStr">
        <is>
          <t>Sharks &amp; rays</t>
        </is>
      </c>
      <c r="G141" s="11" t="inlineStr">
        <is>
          <t>Sélaciens M prof</t>
        </is>
      </c>
      <c r="H141" s="12" t="n">
        <v>0.1902744905158783</v>
      </c>
      <c r="I141" s="10" t="inlineStr">
        <is>
          <t>catch_composition</t>
        </is>
      </c>
      <c r="J141" s="15" t="inlineStr">
        <is>
          <t>medium</t>
        </is>
      </c>
      <c r="K141" s="10" t="inlineStr">
        <is>
          <t>composite_split</t>
        </is>
      </c>
      <c r="L141" s="11" t="inlineStr">
        <is>
          <t>Family catch spans the union of all Table 6 member groups belonging to Squalidae under WoRMS. Every candidate is supported by a source member; source placement outranks SAU habitat class.</t>
        </is>
      </c>
      <c r="M141" s="10" t="n">
        <v>236585.885</v>
      </c>
    </row>
    <row r="142" ht="36" customHeight="1">
      <c r="A142" s="10" t="inlineStr">
        <is>
          <t>LME_028</t>
        </is>
      </c>
      <c r="B142" s="11" t="inlineStr">
        <is>
          <t>28_646_Guinea_(1998)</t>
        </is>
      </c>
      <c r="C142" s="11" t="inlineStr">
        <is>
          <t>Scomberomorus tritor</t>
        </is>
      </c>
      <c r="D142" s="10" t="inlineStr">
        <is>
          <t>West African Spanish mackerel</t>
        </is>
      </c>
      <c r="E142" s="10" t="inlineStr">
        <is>
          <t>Medium pelagics (30 - 89 cm)</t>
        </is>
      </c>
      <c r="F142" s="10" t="inlineStr">
        <is>
          <t>Perch-likes</t>
        </is>
      </c>
      <c r="G142" s="11" t="inlineStr">
        <is>
          <t>Thons mineurs</t>
        </is>
      </c>
      <c r="H142" s="12" t="n">
        <v>1</v>
      </c>
      <c r="I142" s="10" t="inlineStr">
        <is>
          <t>single</t>
        </is>
      </c>
      <c r="J142" s="14" t="inlineStr">
        <is>
          <t>high</t>
        </is>
      </c>
      <c r="K142" s="10" t="inlineStr">
        <is>
          <t>explicit_member</t>
        </is>
      </c>
      <c r="L142" s="11" t="inlineStr">
        <is>
          <t>Guénette &amp; Diallo 2004 Table 6 p.131 explicitly lists this taxon in the named group(s); printed and accepted names checked against WoRMS.</t>
        </is>
      </c>
      <c r="M142" s="10" t="n">
        <v>232621.782</v>
      </c>
    </row>
    <row r="143" ht="36" customHeight="1">
      <c r="A143" s="10" t="inlineStr">
        <is>
          <t>LME_028</t>
        </is>
      </c>
      <c r="B143" s="11" t="inlineStr">
        <is>
          <t>28_646_Guinea_(1998)</t>
        </is>
      </c>
      <c r="C143" s="11" t="inlineStr">
        <is>
          <t>Pagellus</t>
        </is>
      </c>
      <c r="D143" s="10" t="inlineStr">
        <is>
          <t>Pandoras</t>
        </is>
      </c>
      <c r="E143" s="10" t="inlineStr">
        <is>
          <t>Medium benthopelagics (30 - 89 cm)</t>
        </is>
      </c>
      <c r="F143" s="10" t="inlineStr">
        <is>
          <t>Perch-likes</t>
        </is>
      </c>
      <c r="G143" s="11" t="inlineStr">
        <is>
          <t>Dem M inv</t>
        </is>
      </c>
      <c r="H143" s="12" t="n">
        <v>1</v>
      </c>
      <c r="I143" s="10" t="inlineStr">
        <is>
          <t>single</t>
        </is>
      </c>
      <c r="J143" s="15" t="inlineStr">
        <is>
          <t>medium</t>
        </is>
      </c>
      <c r="K143" s="10" t="inlineStr">
        <is>
          <t>taxonomic_containment</t>
        </is>
      </c>
      <c r="L143" s="11" t="inlineStr">
        <is>
          <t>Genus-level catch spans exactly the Table 6 groups containing its documented species. No habitat class overrides those placements.</t>
        </is>
      </c>
      <c r="M143" s="10" t="n">
        <v>231646.118</v>
      </c>
    </row>
    <row r="144" ht="36" customHeight="1">
      <c r="A144" s="10" t="inlineStr">
        <is>
          <t>LME_028</t>
        </is>
      </c>
      <c r="B144" s="11" t="inlineStr">
        <is>
          <t>28_646_Guinea_(1998)</t>
        </is>
      </c>
      <c r="C144" s="11" t="inlineStr">
        <is>
          <t>Nematopalaemon hastatus</t>
        </is>
      </c>
      <c r="D144" s="10" t="inlineStr">
        <is>
          <t>Estuarine prawn</t>
        </is>
      </c>
      <c r="E144" s="10" t="inlineStr">
        <is>
          <t>Shrimps</t>
        </is>
      </c>
      <c r="F144" s="10" t="inlineStr">
        <is>
          <t>Crustaceans</t>
        </is>
      </c>
      <c r="G144" s="11" t="inlineStr">
        <is>
          <t>Crustacés</t>
        </is>
      </c>
      <c r="H144" s="12" t="n">
        <v>1</v>
      </c>
      <c r="I144" s="10" t="inlineStr">
        <is>
          <t>single</t>
        </is>
      </c>
      <c r="J144" s="14" t="inlineStr">
        <is>
          <t>high</t>
        </is>
      </c>
      <c r="K144" s="10" t="inlineStr">
        <is>
          <t>taxonomic_containment</t>
        </is>
      </c>
      <c r="L144" s="11" t="inlineStr">
        <is>
          <t>WoRMS crustacean taxonomy and SAU shrimp/crab/lobster class agree with the source Crustacés definition on p.125.</t>
        </is>
      </c>
      <c r="M144" s="10" t="n">
        <v>225043.179</v>
      </c>
    </row>
    <row r="145" ht="36" customHeight="1">
      <c r="A145" s="10" t="inlineStr">
        <is>
          <t>LME_028</t>
        </is>
      </c>
      <c r="B145" s="11" t="inlineStr">
        <is>
          <t>28_646_Guinea_(1998)</t>
        </is>
      </c>
      <c r="C145" s="11" t="inlineStr">
        <is>
          <t>Selene dorsalis</t>
        </is>
      </c>
      <c r="D145" s="10" t="inlineStr">
        <is>
          <t>African moonfish</t>
        </is>
      </c>
      <c r="E145" s="10" t="inlineStr">
        <is>
          <t>Small demersals (&lt;30 cm)</t>
        </is>
      </c>
      <c r="F145" s="10" t="inlineStr">
        <is>
          <t>Perch-likes</t>
        </is>
      </c>
      <c r="G145" s="11" t="inlineStr">
        <is>
          <t>Côtier pel L pred</t>
        </is>
      </c>
      <c r="H145" s="12" t="n">
        <v>1</v>
      </c>
      <c r="I145" s="10" t="inlineStr">
        <is>
          <t>single</t>
        </is>
      </c>
      <c r="J145" s="14" t="inlineStr">
        <is>
          <t>high</t>
        </is>
      </c>
      <c r="K145" s="10" t="inlineStr">
        <is>
          <t>explicit_member</t>
        </is>
      </c>
      <c r="L145" s="11" t="inlineStr">
        <is>
          <t>Guénette &amp; Diallo 2004 Table 6 p.131 explicitly lists this taxon in the named group(s); printed and accepted names checked against WoRMS.</t>
        </is>
      </c>
      <c r="M145" s="10" t="n">
        <v>216745.116</v>
      </c>
    </row>
    <row r="146" ht="36" customHeight="1">
      <c r="A146" s="10" t="inlineStr">
        <is>
          <t>LME_028</t>
        </is>
      </c>
      <c r="B146" s="11" t="inlineStr">
        <is>
          <t>28_646_Guinea_(1998)</t>
        </is>
      </c>
      <c r="C146" s="11" t="inlineStr">
        <is>
          <t>Trachinotus</t>
        </is>
      </c>
      <c r="D146" s="10" t="inlineStr">
        <is>
          <t>Pompanos</t>
        </is>
      </c>
      <c r="E146" s="10" t="inlineStr">
        <is>
          <t>Medium pelagics (30 - 89 cm)</t>
        </is>
      </c>
      <c r="F146" s="10" t="inlineStr">
        <is>
          <t>Perch-likes</t>
        </is>
      </c>
      <c r="G146" s="11" t="inlineStr">
        <is>
          <t>Côtier pel L pred</t>
        </is>
      </c>
      <c r="H146" s="12" t="n">
        <v>1</v>
      </c>
      <c r="I146" s="10" t="inlineStr">
        <is>
          <t>single</t>
        </is>
      </c>
      <c r="J146" s="15" t="inlineStr">
        <is>
          <t>medium</t>
        </is>
      </c>
      <c r="K146" s="10" t="inlineStr">
        <is>
          <t>taxonomic_containment</t>
        </is>
      </c>
      <c r="L146" s="11" t="inlineStr">
        <is>
          <t>Genus-level catch spans exactly the Table 6 groups containing its documented species. No habitat class overrides those placements.</t>
        </is>
      </c>
      <c r="M146" s="10" t="n">
        <v>211036.856</v>
      </c>
    </row>
    <row r="147" ht="36" customHeight="1">
      <c r="A147" s="10" t="inlineStr">
        <is>
          <t>LME_028</t>
        </is>
      </c>
      <c r="B147" s="11" t="inlineStr">
        <is>
          <t>28_646_Guinea_(1998)</t>
        </is>
      </c>
      <c r="C147" s="11" t="inlineStr">
        <is>
          <t>Balistes capriscus</t>
        </is>
      </c>
      <c r="D147" s="10" t="inlineStr">
        <is>
          <t>Grey triggerfish</t>
        </is>
      </c>
      <c r="E147" s="10" t="inlineStr">
        <is>
          <t>Medium benthopelagics (30 - 89 cm)</t>
        </is>
      </c>
      <c r="F147" s="10" t="inlineStr">
        <is>
          <t>Other fishes &amp; inverts</t>
        </is>
      </c>
      <c r="G147" s="11" t="inlineStr">
        <is>
          <t>Dem M inv</t>
        </is>
      </c>
      <c r="H147" s="12" t="n">
        <v>1</v>
      </c>
      <c r="I147" s="10" t="inlineStr">
        <is>
          <t>single</t>
        </is>
      </c>
      <c r="J147" s="14" t="inlineStr">
        <is>
          <t>high</t>
        </is>
      </c>
      <c r="K147" s="10" t="inlineStr">
        <is>
          <t>explicit_member</t>
        </is>
      </c>
      <c r="L147" s="11" t="inlineStr">
        <is>
          <t>Guénette &amp; Diallo 2004 Table 6 p.131 explicitly lists this taxon in the named group(s); printed and accepted names checked against WoRMS.</t>
        </is>
      </c>
      <c r="M147" s="10" t="n">
        <v>204773.111</v>
      </c>
    </row>
    <row r="148" ht="36" customHeight="1">
      <c r="A148" s="10" t="inlineStr">
        <is>
          <t>LME_028</t>
        </is>
      </c>
      <c r="B148" s="11" t="inlineStr">
        <is>
          <t>28_646_Guinea_(1998)</t>
        </is>
      </c>
      <c r="C148" s="11" t="inlineStr">
        <is>
          <t>Pseudupeneus prayensis</t>
        </is>
      </c>
      <c r="D148" s="10" t="inlineStr">
        <is>
          <t>West African goatfish</t>
        </is>
      </c>
      <c r="E148" s="10" t="inlineStr">
        <is>
          <t>Medium demersals (30 - 89 cm)</t>
        </is>
      </c>
      <c r="F148" s="10" t="inlineStr">
        <is>
          <t>Perch-likes</t>
        </is>
      </c>
      <c r="G148" s="11" t="inlineStr">
        <is>
          <t>Dem M inv</t>
        </is>
      </c>
      <c r="H148" s="12" t="n">
        <v>1</v>
      </c>
      <c r="I148" s="10" t="inlineStr">
        <is>
          <t>single</t>
        </is>
      </c>
      <c r="J148" s="14" t="inlineStr">
        <is>
          <t>high</t>
        </is>
      </c>
      <c r="K148" s="10" t="inlineStr">
        <is>
          <t>explicit_member</t>
        </is>
      </c>
      <c r="L148" s="11" t="inlineStr">
        <is>
          <t>Guénette &amp; Diallo 2004 Table 6 p.131 explicitly lists this taxon in the named group(s); printed and accepted names checked against WoRMS.</t>
        </is>
      </c>
      <c r="M148" s="10" t="n">
        <v>202853.218</v>
      </c>
    </row>
    <row r="149" ht="36" customHeight="1">
      <c r="A149" s="10" t="inlineStr">
        <is>
          <t>LME_028</t>
        </is>
      </c>
      <c r="B149" s="11" t="inlineStr">
        <is>
          <t>28_646_Guinea_(1998)</t>
        </is>
      </c>
      <c r="C149" s="11" t="inlineStr">
        <is>
          <t>Prionace glauca</t>
        </is>
      </c>
      <c r="D149" s="10" t="inlineStr">
        <is>
          <t>Blue shark</t>
        </is>
      </c>
      <c r="E149" s="10" t="inlineStr">
        <is>
          <t>Large sharks (&gt;=90 cm)</t>
        </is>
      </c>
      <c r="F149" s="10" t="inlineStr">
        <is>
          <t>Sharks &amp; rays</t>
        </is>
      </c>
      <c r="G149" s="11" t="inlineStr">
        <is>
          <t>Sélaciens L prof</t>
        </is>
      </c>
      <c r="H149" s="12" t="n">
        <v>1</v>
      </c>
      <c r="I149" s="10" t="inlineStr">
        <is>
          <t>single</t>
        </is>
      </c>
      <c r="J149" s="14" t="inlineStr">
        <is>
          <t>high</t>
        </is>
      </c>
      <c r="K149" s="10" t="inlineStr">
        <is>
          <t>explicit_member</t>
        </is>
      </c>
      <c r="L149" s="11" t="inlineStr">
        <is>
          <t>Guénette &amp; Diallo 2004 Table 6 p.131 explicitly lists this taxon in the named group(s); printed and accepted names checked against WoRMS.</t>
        </is>
      </c>
      <c r="M149" s="10" t="n">
        <v>199252.152</v>
      </c>
    </row>
    <row r="150" ht="36" customHeight="1">
      <c r="A150" s="10" t="inlineStr">
        <is>
          <t>LME_028</t>
        </is>
      </c>
      <c r="B150" s="11" t="inlineStr">
        <is>
          <t>28_646_Guinea_(1998)</t>
        </is>
      </c>
      <c r="C150" s="11" t="inlineStr">
        <is>
          <t>Thunnus thynnus</t>
        </is>
      </c>
      <c r="D150" s="10" t="inlineStr">
        <is>
          <t>Atlantic bluefin tuna</t>
        </is>
      </c>
      <c r="E150" s="10" t="inlineStr">
        <is>
          <t>Large pelagics (&gt;=90 cm)</t>
        </is>
      </c>
      <c r="F150" s="10" t="inlineStr">
        <is>
          <t>Tuna &amp; billfishes</t>
        </is>
      </c>
      <c r="G150" s="11" t="inlineStr">
        <is>
          <t>Thons majeurs</t>
        </is>
      </c>
      <c r="H150" s="12" t="n">
        <v>1</v>
      </c>
      <c r="I150" s="10" t="inlineStr">
        <is>
          <t>single</t>
        </is>
      </c>
      <c r="J150" s="15" t="inlineStr">
        <is>
          <t>medium</t>
        </is>
      </c>
      <c r="K150" s="10" t="inlineStr">
        <is>
          <t>analogue</t>
        </is>
      </c>
      <c r="L150" s="11" t="inlineStr">
        <is>
          <t>Species not individually listed: its genus has one documented Table 6 group, supported by the catch's Large pelagics (&gt;=90 cm) class. Congeneric extension is inference.</t>
        </is>
      </c>
      <c r="M150" s="10" t="n">
        <v>187594.54</v>
      </c>
    </row>
    <row r="151" ht="36" customHeight="1">
      <c r="A151" s="10" t="inlineStr">
        <is>
          <t>LME_028</t>
        </is>
      </c>
      <c r="B151" s="11" t="inlineStr">
        <is>
          <t>28_646_Guinea_(1998)</t>
        </is>
      </c>
      <c r="C151" s="11" t="inlineStr">
        <is>
          <t>Thunnus alalunga</t>
        </is>
      </c>
      <c r="D151" s="10" t="inlineStr">
        <is>
          <t>Albacore</t>
        </is>
      </c>
      <c r="E151" s="10" t="inlineStr">
        <is>
          <t>Large pelagics (&gt;=90 cm)</t>
        </is>
      </c>
      <c r="F151" s="10" t="inlineStr">
        <is>
          <t>Tuna &amp; billfishes</t>
        </is>
      </c>
      <c r="G151" s="11" t="inlineStr">
        <is>
          <t>Thons majeurs</t>
        </is>
      </c>
      <c r="H151" s="12" t="n">
        <v>1</v>
      </c>
      <c r="I151" s="10" t="inlineStr">
        <is>
          <t>single</t>
        </is>
      </c>
      <c r="J151" s="14" t="inlineStr">
        <is>
          <t>high</t>
        </is>
      </c>
      <c r="K151" s="10" t="inlineStr">
        <is>
          <t>explicit_member</t>
        </is>
      </c>
      <c r="L151" s="11" t="inlineStr">
        <is>
          <t>Guénette &amp; Diallo 2004 Table 6 p.131 explicitly lists this taxon in the named group(s); printed and accepted names checked against WoRMS.</t>
        </is>
      </c>
      <c r="M151" s="10" t="n">
        <v>185809.05</v>
      </c>
    </row>
    <row r="152" ht="21" customHeight="1">
      <c r="A152" s="10" t="inlineStr">
        <is>
          <t>LME_028</t>
        </is>
      </c>
      <c r="B152" s="11" t="inlineStr">
        <is>
          <t>28_646_Guinea_(1998)</t>
        </is>
      </c>
      <c r="C152" s="11" t="inlineStr">
        <is>
          <t>Sepiida</t>
        </is>
      </c>
      <c r="D152" s="10" t="inlineStr">
        <is>
          <t>Cuttlefishes, bobtail squids</t>
        </is>
      </c>
      <c r="E152" s="10" t="inlineStr">
        <is>
          <t>Cephalopods</t>
        </is>
      </c>
      <c r="F152" s="10" t="inlineStr">
        <is>
          <t>Other fishes &amp; inverts</t>
        </is>
      </c>
      <c r="G152" s="11" t="inlineStr">
        <is>
          <t>Céphalopodes</t>
        </is>
      </c>
      <c r="H152" s="12" t="n">
        <v>1</v>
      </c>
      <c r="I152" s="10" t="inlineStr">
        <is>
          <t>single</t>
        </is>
      </c>
      <c r="J152" s="14" t="inlineStr">
        <is>
          <t>high</t>
        </is>
      </c>
      <c r="K152" s="10" t="inlineStr">
        <is>
          <t>taxonomic_containment</t>
        </is>
      </c>
      <c r="L152" s="11" t="inlineStr">
        <is>
          <t>Source p.125 explicitly includes all cephalopods, including octopus, cuttlefish and squid.</t>
        </is>
      </c>
      <c r="M152" s="10" t="n">
        <v>185244.806</v>
      </c>
    </row>
    <row r="153" ht="21" customHeight="1">
      <c r="A153" s="10" t="inlineStr">
        <is>
          <t>LME_028</t>
        </is>
      </c>
      <c r="B153" s="11" t="inlineStr">
        <is>
          <t>28_646_Guinea_(1998)</t>
        </is>
      </c>
      <c r="C153" s="11" t="inlineStr">
        <is>
          <t>Octopoda</t>
        </is>
      </c>
      <c r="D153" s="10" t="inlineStr">
        <is>
          <t>Octopuses, argonauts</t>
        </is>
      </c>
      <c r="E153" s="10" t="inlineStr">
        <is>
          <t>Cephalopods</t>
        </is>
      </c>
      <c r="F153" s="10" t="inlineStr">
        <is>
          <t>Other fishes &amp; inverts</t>
        </is>
      </c>
      <c r="G153" s="11" t="inlineStr">
        <is>
          <t>Céphalopodes</t>
        </is>
      </c>
      <c r="H153" s="12" t="n">
        <v>1</v>
      </c>
      <c r="I153" s="10" t="inlineStr">
        <is>
          <t>single</t>
        </is>
      </c>
      <c r="J153" s="14" t="inlineStr">
        <is>
          <t>high</t>
        </is>
      </c>
      <c r="K153" s="10" t="inlineStr">
        <is>
          <t>taxonomic_containment</t>
        </is>
      </c>
      <c r="L153" s="11" t="inlineStr">
        <is>
          <t>Source p.125 explicitly includes all cephalopods, including octopus, cuttlefish and squid.</t>
        </is>
      </c>
      <c r="M153" s="10" t="n">
        <v>181049.389</v>
      </c>
    </row>
    <row r="154" ht="36" customHeight="1">
      <c r="A154" s="10" t="inlineStr">
        <is>
          <t>LME_028</t>
        </is>
      </c>
      <c r="B154" s="11" t="inlineStr">
        <is>
          <t>28_646_Guinea_(1998)</t>
        </is>
      </c>
      <c r="C154" s="11" t="inlineStr">
        <is>
          <t>Euthynnus alletteratus</t>
        </is>
      </c>
      <c r="D154" s="10" t="inlineStr">
        <is>
          <t xml:space="preserve">Little tunny </t>
        </is>
      </c>
      <c r="E154" s="10" t="inlineStr">
        <is>
          <t>Large pelagics (&gt;=90 cm)</t>
        </is>
      </c>
      <c r="F154" s="10" t="inlineStr">
        <is>
          <t>Tuna &amp; billfishes</t>
        </is>
      </c>
      <c r="G154" s="11" t="inlineStr">
        <is>
          <t>Thons mineurs</t>
        </is>
      </c>
      <c r="H154" s="12" t="n">
        <v>1</v>
      </c>
      <c r="I154" s="10" t="inlineStr">
        <is>
          <t>single</t>
        </is>
      </c>
      <c r="J154" s="14" t="inlineStr">
        <is>
          <t>high</t>
        </is>
      </c>
      <c r="K154" s="10" t="inlineStr">
        <is>
          <t>explicit_member</t>
        </is>
      </c>
      <c r="L154" s="11" t="inlineStr">
        <is>
          <t>Guénette &amp; Diallo 2004 Table 6 p.131 explicitly lists this taxon in the named group(s); printed and accepted names checked against WoRMS.</t>
        </is>
      </c>
      <c r="M154" s="10" t="n">
        <v>180780.317</v>
      </c>
    </row>
    <row r="155" ht="51" customHeight="1">
      <c r="A155" s="10" t="inlineStr">
        <is>
          <t>LME_028</t>
        </is>
      </c>
      <c r="B155" s="11" t="inlineStr">
        <is>
          <t>28_646_Guinea_(1998)</t>
        </is>
      </c>
      <c r="C155" s="11" t="inlineStr">
        <is>
          <t>Rajiformes</t>
        </is>
      </c>
      <c r="D155" s="10" t="inlineStr">
        <is>
          <t>Skates and rays</t>
        </is>
      </c>
      <c r="E155" s="10" t="inlineStr">
        <is>
          <t>Large rays (&gt;=90 cm)</t>
        </is>
      </c>
      <c r="F155" s="10" t="inlineStr">
        <is>
          <t>Sharks &amp; rays</t>
        </is>
      </c>
      <c r="G155" s="11" t="inlineStr">
        <is>
          <t>Sélaciens L prof</t>
        </is>
      </c>
      <c r="H155" s="12" t="n">
        <v>0.8097255094841217</v>
      </c>
      <c r="I155" s="10" t="inlineStr">
        <is>
          <t>catch_composition</t>
        </is>
      </c>
      <c r="J155" s="15" t="inlineStr">
        <is>
          <t>medium</t>
        </is>
      </c>
      <c r="K155" s="10" t="inlineStr">
        <is>
          <t>composite_split</t>
        </is>
      </c>
      <c r="L155" s="11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  <c r="M155" s="10" t="n">
        <v>176679.785</v>
      </c>
    </row>
    <row r="156" ht="51" customHeight="1">
      <c r="A156" s="10" t="inlineStr">
        <is>
          <t>LME_028</t>
        </is>
      </c>
      <c r="B156" s="11" t="inlineStr">
        <is>
          <t>28_646_Guinea_(1998)</t>
        </is>
      </c>
      <c r="C156" s="11" t="inlineStr">
        <is>
          <t>Rajiformes</t>
        </is>
      </c>
      <c r="D156" s="10" t="inlineStr">
        <is>
          <t>Skates and rays</t>
        </is>
      </c>
      <c r="E156" s="10" t="inlineStr">
        <is>
          <t>Large rays (&gt;=90 cm)</t>
        </is>
      </c>
      <c r="F156" s="10" t="inlineStr">
        <is>
          <t>Sharks &amp; rays</t>
        </is>
      </c>
      <c r="G156" s="11" t="inlineStr">
        <is>
          <t>Sélaciens M prof</t>
        </is>
      </c>
      <c r="H156" s="12" t="n">
        <v>0.1902744905158783</v>
      </c>
      <c r="I156" s="10" t="inlineStr">
        <is>
          <t>catch_composition</t>
        </is>
      </c>
      <c r="J156" s="15" t="inlineStr">
        <is>
          <t>medium</t>
        </is>
      </c>
      <c r="K156" s="10" t="inlineStr">
        <is>
          <t>composite_split</t>
        </is>
      </c>
      <c r="L156" s="11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  <c r="M156" s="10" t="n">
        <v>176679.785</v>
      </c>
    </row>
    <row r="157" ht="51" customHeight="1">
      <c r="A157" s="10" t="inlineStr">
        <is>
          <t>LME_028</t>
        </is>
      </c>
      <c r="B157" s="11" t="inlineStr">
        <is>
          <t>28_646_Guinea_(1998)</t>
        </is>
      </c>
      <c r="C157" s="11" t="inlineStr">
        <is>
          <t>Solea</t>
        </is>
      </c>
      <c r="D157" s="10" t="inlineStr">
        <is>
          <t>Soles</t>
        </is>
      </c>
      <c r="E157" s="10" t="inlineStr">
        <is>
          <t>Small to medium flatfishes (&lt;90 cm)</t>
        </is>
      </c>
      <c r="F157" s="10" t="inlineStr">
        <is>
          <t>Flatfishes</t>
        </is>
      </c>
      <c r="G157" s="11" t="inlineStr">
        <is>
          <t>Côtier S inv</t>
        </is>
      </c>
      <c r="H157" s="12" t="n">
        <v>1</v>
      </c>
      <c r="I157" s="10" t="inlineStr">
        <is>
          <t>single</t>
        </is>
      </c>
      <c r="J157" s="13" t="inlineStr">
        <is>
          <t>low</t>
        </is>
      </c>
      <c r="K157" s="10" t="inlineStr">
        <is>
          <t>analogue</t>
        </is>
      </c>
      <c r="L157" s="11" t="inlineStr">
        <is>
          <t>Analyst analogue: sole genus shares benthic-invertebrate feeding and shelf habitat with the source's Pegusa/Dicologlossa small coastal invertebrate feeders. Species membership is not directly documented.</t>
        </is>
      </c>
      <c r="M157" s="10" t="n">
        <v>172378.238</v>
      </c>
    </row>
    <row r="158" ht="36" customHeight="1">
      <c r="A158" s="10" t="inlineStr">
        <is>
          <t>LME_028</t>
        </is>
      </c>
      <c r="B158" s="11" t="inlineStr">
        <is>
          <t>28_646_Guinea_(1998)</t>
        </is>
      </c>
      <c r="C158" s="11" t="inlineStr">
        <is>
          <t>Stromateus fiatola</t>
        </is>
      </c>
      <c r="D158" s="10" t="inlineStr">
        <is>
          <t>Blue butterfish</t>
        </is>
      </c>
      <c r="E158" s="10" t="inlineStr">
        <is>
          <t>Medium benthopelagics (30 - 89 cm)</t>
        </is>
      </c>
      <c r="F158" s="10" t="inlineStr">
        <is>
          <t>Perch-likes</t>
        </is>
      </c>
      <c r="G158" s="11" t="inlineStr">
        <is>
          <t>Côtier S pred</t>
        </is>
      </c>
      <c r="H158" s="12" t="n">
        <v>1</v>
      </c>
      <c r="I158" s="10" t="inlineStr">
        <is>
          <t>single</t>
        </is>
      </c>
      <c r="J158" s="14" t="inlineStr">
        <is>
          <t>high</t>
        </is>
      </c>
      <c r="K158" s="10" t="inlineStr">
        <is>
          <t>explicit_member</t>
        </is>
      </c>
      <c r="L158" s="11" t="inlineStr">
        <is>
          <t>Guénette &amp; Diallo 2004 Table 6 p.131 explicitly lists this taxon in the named group(s); printed and accepted names checked against WoRMS.</t>
        </is>
      </c>
      <c r="M158" s="10" t="n">
        <v>167686.604</v>
      </c>
    </row>
    <row r="159" ht="36" customHeight="1">
      <c r="A159" s="10" t="inlineStr">
        <is>
          <t>LME_028</t>
        </is>
      </c>
      <c r="B159" s="11" t="inlineStr">
        <is>
          <t>28_646_Guinea_(1998)</t>
        </is>
      </c>
      <c r="C159" s="11" t="inlineStr">
        <is>
          <t>Miscellaneous marine crustaceans</t>
        </is>
      </c>
      <c r="D159" s="10" t="inlineStr">
        <is>
          <t>Marine crabs, shrimps, lobsters nei</t>
        </is>
      </c>
      <c r="E159" s="10" t="inlineStr">
        <is>
          <t>Shrimps</t>
        </is>
      </c>
      <c r="F159" s="10" t="inlineStr">
        <is>
          <t>Crustaceans</t>
        </is>
      </c>
      <c r="G159" s="11" t="inlineStr">
        <is>
          <t>Crustacés</t>
        </is>
      </c>
      <c r="H159" s="12" t="n">
        <v>1</v>
      </c>
      <c r="I159" s="10" t="inlineStr">
        <is>
          <t>single</t>
        </is>
      </c>
      <c r="J159" s="15" t="inlineStr">
        <is>
          <t>medium</t>
        </is>
      </c>
      <c r="K159" s="10" t="inlineStr">
        <is>
          <t>taxonomic_containment</t>
        </is>
      </c>
      <c r="L159" s="11" t="inlineStr">
        <is>
          <t>SAU shrimp-category catch matches the commercial/noncommercial shrimp and crab/lobster pool described on p.125.</t>
        </is>
      </c>
      <c r="M159" s="10" t="n">
        <v>162844.136</v>
      </c>
    </row>
    <row r="160" ht="21" customHeight="1">
      <c r="A160" s="10" t="inlineStr">
        <is>
          <t>LME_028</t>
        </is>
      </c>
      <c r="B160" s="11" t="inlineStr">
        <is>
          <t>28_646_Guinea_(1998)</t>
        </is>
      </c>
      <c r="C160" s="11" t="inlineStr">
        <is>
          <t>Sepiidae</t>
        </is>
      </c>
      <c r="D160" s="10" t="inlineStr">
        <is>
          <t>Cuttlefishes</t>
        </is>
      </c>
      <c r="E160" s="10" t="inlineStr">
        <is>
          <t>Cephalopods</t>
        </is>
      </c>
      <c r="F160" s="10" t="inlineStr">
        <is>
          <t>Other fishes &amp; inverts</t>
        </is>
      </c>
      <c r="G160" s="11" t="inlineStr">
        <is>
          <t>Céphalopodes</t>
        </is>
      </c>
      <c r="H160" s="12" t="n">
        <v>1</v>
      </c>
      <c r="I160" s="10" t="inlineStr">
        <is>
          <t>single</t>
        </is>
      </c>
      <c r="J160" s="14" t="inlineStr">
        <is>
          <t>high</t>
        </is>
      </c>
      <c r="K160" s="10" t="inlineStr">
        <is>
          <t>taxonomic_containment</t>
        </is>
      </c>
      <c r="L160" s="11" t="inlineStr">
        <is>
          <t>Source p.125 explicitly includes all cephalopods, including octopus, cuttlefish and squid.</t>
        </is>
      </c>
      <c r="M160" s="10" t="n">
        <v>158576.085</v>
      </c>
    </row>
    <row r="161" ht="36" customHeight="1">
      <c r="A161" s="10" t="inlineStr">
        <is>
          <t>LME_028</t>
        </is>
      </c>
      <c r="B161" s="11" t="inlineStr">
        <is>
          <t>28_646_Guinea_(1998)</t>
        </is>
      </c>
      <c r="C161" s="11" t="inlineStr">
        <is>
          <t>Dentex gibbosus</t>
        </is>
      </c>
      <c r="D161" s="10" t="inlineStr">
        <is>
          <t>Pink dentex</t>
        </is>
      </c>
      <c r="E161" s="10" t="inlineStr">
        <is>
          <t>Large benthopelagics (&gt;=90 cm)</t>
        </is>
      </c>
      <c r="F161" s="10" t="inlineStr">
        <is>
          <t>Perch-likes</t>
        </is>
      </c>
      <c r="G161" s="11" t="inlineStr">
        <is>
          <t>Côtier L pred</t>
        </is>
      </c>
      <c r="H161" s="12" t="n">
        <v>1</v>
      </c>
      <c r="I161" s="10" t="inlineStr">
        <is>
          <t>single</t>
        </is>
      </c>
      <c r="J161" s="14" t="inlineStr">
        <is>
          <t>high</t>
        </is>
      </c>
      <c r="K161" s="10" t="inlineStr">
        <is>
          <t>explicit_member</t>
        </is>
      </c>
      <c r="L161" s="11" t="inlineStr">
        <is>
          <t>Guénette &amp; Diallo 2004 Table 6 p.131 explicitly lists this taxon in the named group(s); printed and accepted names checked against WoRMS.</t>
        </is>
      </c>
      <c r="M161" s="10" t="n">
        <v>157881.303</v>
      </c>
    </row>
    <row r="162" ht="51" customHeight="1">
      <c r="A162" s="10" t="inlineStr">
        <is>
          <t>LME_028</t>
        </is>
      </c>
      <c r="B162" s="11" t="inlineStr">
        <is>
          <t>28_646_Guinea_(1998)</t>
        </is>
      </c>
      <c r="C162" s="11" t="inlineStr">
        <is>
          <t>Pleuronectiformes</t>
        </is>
      </c>
      <c r="D162" s="10" t="inlineStr">
        <is>
          <t>Flatfishes</t>
        </is>
      </c>
      <c r="E162" s="10" t="inlineStr">
        <is>
          <t>Small to medium flatfishes (&lt;90 cm)</t>
        </is>
      </c>
      <c r="F162" s="10" t="inlineStr">
        <is>
          <t>Flatfishes</t>
        </is>
      </c>
      <c r="G162" s="11" t="inlineStr">
        <is>
          <t>Côtier L pred</t>
        </is>
      </c>
      <c r="H162" s="12" t="n">
        <v>0.2867300099081396</v>
      </c>
      <c r="I162" s="10" t="inlineStr">
        <is>
          <t>catch_composition</t>
        </is>
      </c>
      <c r="J162" s="15" t="inlineStr">
        <is>
          <t>medium</t>
        </is>
      </c>
      <c r="K162" s="10" t="inlineStr">
        <is>
          <t>composite_split</t>
        </is>
      </c>
      <c r="L162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2" s="10" t="n">
        <v>157106.538</v>
      </c>
    </row>
    <row r="163" ht="51" customHeight="1">
      <c r="A163" s="10" t="inlineStr">
        <is>
          <t>LME_028</t>
        </is>
      </c>
      <c r="B163" s="11" t="inlineStr">
        <is>
          <t>28_646_Guinea_(1998)</t>
        </is>
      </c>
      <c r="C163" s="11" t="inlineStr">
        <is>
          <t>Pleuronectiformes</t>
        </is>
      </c>
      <c r="D163" s="10" t="inlineStr">
        <is>
          <t>Flatfishes</t>
        </is>
      </c>
      <c r="E163" s="10" t="inlineStr">
        <is>
          <t>Small to medium flatfishes (&lt;90 cm)</t>
        </is>
      </c>
      <c r="F163" s="10" t="inlineStr">
        <is>
          <t>Flatfishes</t>
        </is>
      </c>
      <c r="G163" s="11" t="inlineStr">
        <is>
          <t>Côtier M inv</t>
        </is>
      </c>
      <c r="H163" s="12" t="n">
        <v>0.2780512993004711</v>
      </c>
      <c r="I163" s="10" t="inlineStr">
        <is>
          <t>catch_composition</t>
        </is>
      </c>
      <c r="J163" s="15" t="inlineStr">
        <is>
          <t>medium</t>
        </is>
      </c>
      <c r="K163" s="10" t="inlineStr">
        <is>
          <t>composite_split</t>
        </is>
      </c>
      <c r="L163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3" s="10" t="n">
        <v>157106.538</v>
      </c>
    </row>
    <row r="164" ht="51" customHeight="1">
      <c r="A164" s="10" t="inlineStr">
        <is>
          <t>LME_028</t>
        </is>
      </c>
      <c r="B164" s="11" t="inlineStr">
        <is>
          <t>28_646_Guinea_(1998)</t>
        </is>
      </c>
      <c r="C164" s="11" t="inlineStr">
        <is>
          <t>Pleuronectiformes</t>
        </is>
      </c>
      <c r="D164" s="10" t="inlineStr">
        <is>
          <t>Flatfishes</t>
        </is>
      </c>
      <c r="E164" s="10" t="inlineStr">
        <is>
          <t>Small to medium flatfishes (&lt;90 cm)</t>
        </is>
      </c>
      <c r="F164" s="10" t="inlineStr">
        <is>
          <t>Flatfishes</t>
        </is>
      </c>
      <c r="G164" s="11" t="inlineStr">
        <is>
          <t>Côtier S pred</t>
        </is>
      </c>
      <c r="H164" s="12" t="n">
        <v>0.0608728007898918</v>
      </c>
      <c r="I164" s="10" t="inlineStr">
        <is>
          <t>catch_composition</t>
        </is>
      </c>
      <c r="J164" s="15" t="inlineStr">
        <is>
          <t>medium</t>
        </is>
      </c>
      <c r="K164" s="10" t="inlineStr">
        <is>
          <t>composite_split</t>
        </is>
      </c>
      <c r="L164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4" s="10" t="n">
        <v>157106.538</v>
      </c>
    </row>
    <row r="165" ht="51" customHeight="1">
      <c r="A165" s="10" t="inlineStr">
        <is>
          <t>LME_028</t>
        </is>
      </c>
      <c r="B165" s="11" t="inlineStr">
        <is>
          <t>28_646_Guinea_(1998)</t>
        </is>
      </c>
      <c r="C165" s="11" t="inlineStr">
        <is>
          <t>Pleuronectiformes</t>
        </is>
      </c>
      <c r="D165" s="10" t="inlineStr">
        <is>
          <t>Flatfishes</t>
        </is>
      </c>
      <c r="E165" s="10" t="inlineStr">
        <is>
          <t>Small to medium flatfishes (&lt;90 cm)</t>
        </is>
      </c>
      <c r="F165" s="10" t="inlineStr">
        <is>
          <t>Flatfishes</t>
        </is>
      </c>
      <c r="G165" s="11" t="inlineStr">
        <is>
          <t>Côtier S inv</t>
        </is>
      </c>
      <c r="H165" s="12" t="n">
        <v>0.3173252853646371</v>
      </c>
      <c r="I165" s="10" t="inlineStr">
        <is>
          <t>catch_composition</t>
        </is>
      </c>
      <c r="J165" s="15" t="inlineStr">
        <is>
          <t>medium</t>
        </is>
      </c>
      <c r="K165" s="10" t="inlineStr">
        <is>
          <t>composite_split</t>
        </is>
      </c>
      <c r="L165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5" s="10" t="n">
        <v>157106.538</v>
      </c>
    </row>
    <row r="166" ht="51" customHeight="1">
      <c r="A166" s="10" t="inlineStr">
        <is>
          <t>LME_028</t>
        </is>
      </c>
      <c r="B166" s="11" t="inlineStr">
        <is>
          <t>28_646_Guinea_(1998)</t>
        </is>
      </c>
      <c r="C166" s="11" t="inlineStr">
        <is>
          <t>Pleuronectiformes</t>
        </is>
      </c>
      <c r="D166" s="10" t="inlineStr">
        <is>
          <t>Flatfishes</t>
        </is>
      </c>
      <c r="E166" s="10" t="inlineStr">
        <is>
          <t>Small to medium flatfishes (&lt;90 cm)</t>
        </is>
      </c>
      <c r="F166" s="10" t="inlineStr">
        <is>
          <t>Flatfishes</t>
        </is>
      </c>
      <c r="G166" s="11" t="inlineStr">
        <is>
          <t>Dem L pred</t>
        </is>
      </c>
      <c r="H166" s="12" t="n">
        <v>0.05598582353126965</v>
      </c>
      <c r="I166" s="10" t="inlineStr">
        <is>
          <t>catch_composition</t>
        </is>
      </c>
      <c r="J166" s="15" t="inlineStr">
        <is>
          <t>medium</t>
        </is>
      </c>
      <c r="K166" s="10" t="inlineStr">
        <is>
          <t>composite_split</t>
        </is>
      </c>
      <c r="L166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6" s="10" t="n">
        <v>157106.538</v>
      </c>
    </row>
    <row r="167" ht="51" customHeight="1">
      <c r="A167" s="10" t="inlineStr">
        <is>
          <t>LME_028</t>
        </is>
      </c>
      <c r="B167" s="11" t="inlineStr">
        <is>
          <t>28_646_Guinea_(1998)</t>
        </is>
      </c>
      <c r="C167" s="11" t="inlineStr">
        <is>
          <t>Pleuronectiformes</t>
        </is>
      </c>
      <c r="D167" s="10" t="inlineStr">
        <is>
          <t>Flatfishes</t>
        </is>
      </c>
      <c r="E167" s="10" t="inlineStr">
        <is>
          <t>Small to medium flatfishes (&lt;90 cm)</t>
        </is>
      </c>
      <c r="F167" s="10" t="inlineStr">
        <is>
          <t>Flatfishes</t>
        </is>
      </c>
      <c r="G167" s="11" t="inlineStr">
        <is>
          <t>Dem S pred</t>
        </is>
      </c>
      <c r="H167" s="12" t="n">
        <v>2.904064278052365e-05</v>
      </c>
      <c r="I167" s="10" t="inlineStr">
        <is>
          <t>catch_composition</t>
        </is>
      </c>
      <c r="J167" s="15" t="inlineStr">
        <is>
          <t>medium</t>
        </is>
      </c>
      <c r="K167" s="10" t="inlineStr">
        <is>
          <t>composite_split</t>
        </is>
      </c>
      <c r="L167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7" s="10" t="n">
        <v>157106.538</v>
      </c>
    </row>
    <row r="168" ht="51" customHeight="1">
      <c r="A168" s="10" t="inlineStr">
        <is>
          <t>LME_028</t>
        </is>
      </c>
      <c r="B168" s="11" t="inlineStr">
        <is>
          <t>28_646_Guinea_(1998)</t>
        </is>
      </c>
      <c r="C168" s="11" t="inlineStr">
        <is>
          <t>Pleuronectiformes</t>
        </is>
      </c>
      <c r="D168" s="10" t="inlineStr">
        <is>
          <t>Flatfishes</t>
        </is>
      </c>
      <c r="E168" s="10" t="inlineStr">
        <is>
          <t>Small to medium flatfishes (&lt;90 cm)</t>
        </is>
      </c>
      <c r="F168" s="10" t="inlineStr">
        <is>
          <t>Flatfishes</t>
        </is>
      </c>
      <c r="G168" s="11" t="inlineStr">
        <is>
          <t>Dem S inv</t>
        </is>
      </c>
      <c r="H168" s="12" t="n">
        <v>0.00100574046281027</v>
      </c>
      <c r="I168" s="10" t="inlineStr">
        <is>
          <t>catch_composition</t>
        </is>
      </c>
      <c r="J168" s="15" t="inlineStr">
        <is>
          <t>medium</t>
        </is>
      </c>
      <c r="K168" s="10" t="inlineStr">
        <is>
          <t>composite_split</t>
        </is>
      </c>
      <c r="L168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8" s="10" t="n">
        <v>157106.538</v>
      </c>
    </row>
    <row r="169" ht="36" customHeight="1">
      <c r="A169" s="10" t="inlineStr">
        <is>
          <t>LME_028</t>
        </is>
      </c>
      <c r="B169" s="11" t="inlineStr">
        <is>
          <t>28_646_Guinea_(1998)</t>
        </is>
      </c>
      <c r="C169" s="11" t="inlineStr">
        <is>
          <t>Caranx rhonchus</t>
        </is>
      </c>
      <c r="D169" s="10" t="inlineStr">
        <is>
          <t>False scad</t>
        </is>
      </c>
      <c r="E169" s="10" t="inlineStr">
        <is>
          <t>Medium benthopelagics (30 - 89 cm)</t>
        </is>
      </c>
      <c r="F169" s="10" t="inlineStr">
        <is>
          <t>Perch-likes</t>
        </is>
      </c>
      <c r="G169" s="11" t="inlineStr">
        <is>
          <t>Côtier pel L pred</t>
        </is>
      </c>
      <c r="H169" s="12" t="n">
        <v>1</v>
      </c>
      <c r="I169" s="10" t="inlineStr">
        <is>
          <t>single</t>
        </is>
      </c>
      <c r="J169" s="14" t="inlineStr">
        <is>
          <t>high</t>
        </is>
      </c>
      <c r="K169" s="10" t="inlineStr">
        <is>
          <t>explicit_member</t>
        </is>
      </c>
      <c r="L169" s="11" t="inlineStr">
        <is>
          <t>Guénette &amp; Diallo 2004 Table 6 p.131 explicitly lists this taxon in the named group(s); printed and accepted names checked against WoRMS.</t>
        </is>
      </c>
      <c r="M169" s="10" t="n">
        <v>156259.923</v>
      </c>
    </row>
    <row r="170" ht="36" customHeight="1">
      <c r="A170" s="10" t="inlineStr">
        <is>
          <t>LME_028</t>
        </is>
      </c>
      <c r="B170" s="11" t="inlineStr">
        <is>
          <t>28_646_Guinea_(1998)</t>
        </is>
      </c>
      <c r="C170" s="11" t="inlineStr">
        <is>
          <t>Chondrichthyes</t>
        </is>
      </c>
      <c r="D170" s="10" t="inlineStr">
        <is>
          <t>Sharks, rays, chimaeras</t>
        </is>
      </c>
      <c r="E170" s="10" t="inlineStr">
        <is>
          <t>Large sharks (&gt;=90 cm)</t>
        </is>
      </c>
      <c r="F170" s="10" t="inlineStr">
        <is>
          <t>Sharks &amp; rays</t>
        </is>
      </c>
      <c r="G170" s="11" t="inlineStr">
        <is>
          <t>Sélaciens L prof</t>
        </is>
      </c>
      <c r="H170" s="12" t="n">
        <v>0.7311113520321565</v>
      </c>
      <c r="I170" s="10" t="inlineStr">
        <is>
          <t>catch_composition</t>
        </is>
      </c>
      <c r="J170" s="13" t="inlineStr">
        <is>
          <t>low</t>
        </is>
      </c>
      <c r="K170" s="10" t="inlineStr">
        <is>
          <t>composite_split</t>
        </is>
      </c>
      <c r="L170" s="11" t="inlineStr">
        <is>
          <t>Cartilaginous catch is allocated over the four documented shark/ray pools; no chimaera group is represented.</t>
        </is>
      </c>
      <c r="M170" s="10" t="n">
        <v>155684.309</v>
      </c>
    </row>
    <row r="171" ht="36" customHeight="1">
      <c r="A171" s="10" t="inlineStr">
        <is>
          <t>LME_028</t>
        </is>
      </c>
      <c r="B171" s="11" t="inlineStr">
        <is>
          <t>28_646_Guinea_(1998)</t>
        </is>
      </c>
      <c r="C171" s="11" t="inlineStr">
        <is>
          <t>Chondrichthyes</t>
        </is>
      </c>
      <c r="D171" s="10" t="inlineStr">
        <is>
          <t>Sharks, rays, chimaeras</t>
        </is>
      </c>
      <c r="E171" s="10" t="inlineStr">
        <is>
          <t>Large sharks (&gt;=90 cm)</t>
        </is>
      </c>
      <c r="F171" s="10" t="inlineStr">
        <is>
          <t>Sharks &amp; rays</t>
        </is>
      </c>
      <c r="G171" s="11" t="inlineStr">
        <is>
          <t>Sélaciens L côtiers</t>
        </is>
      </c>
      <c r="H171" s="12" t="n">
        <v>0.09069363534508455</v>
      </c>
      <c r="I171" s="10" t="inlineStr">
        <is>
          <t>catch_composition</t>
        </is>
      </c>
      <c r="J171" s="13" t="inlineStr">
        <is>
          <t>low</t>
        </is>
      </c>
      <c r="K171" s="10" t="inlineStr">
        <is>
          <t>composite_split</t>
        </is>
      </c>
      <c r="L171" s="11" t="inlineStr">
        <is>
          <t>Cartilaginous catch is allocated over the four documented shark/ray pools; no chimaera group is represented.</t>
        </is>
      </c>
      <c r="M171" s="10" t="n">
        <v>155684.309</v>
      </c>
    </row>
    <row r="172" ht="36" customHeight="1">
      <c r="A172" s="10" t="inlineStr">
        <is>
          <t>LME_028</t>
        </is>
      </c>
      <c r="B172" s="11" t="inlineStr">
        <is>
          <t>28_646_Guinea_(1998)</t>
        </is>
      </c>
      <c r="C172" s="11" t="inlineStr">
        <is>
          <t>Chondrichthyes</t>
        </is>
      </c>
      <c r="D172" s="10" t="inlineStr">
        <is>
          <t>Sharks, rays, chimaeras</t>
        </is>
      </c>
      <c r="E172" s="10" t="inlineStr">
        <is>
          <t>Large sharks (&gt;=90 cm)</t>
        </is>
      </c>
      <c r="F172" s="10" t="inlineStr">
        <is>
          <t>Sharks &amp; rays</t>
        </is>
      </c>
      <c r="G172" s="11" t="inlineStr">
        <is>
          <t>Sélaciens M prof</t>
        </is>
      </c>
      <c r="H172" s="12" t="n">
        <v>0.171801231885262</v>
      </c>
      <c r="I172" s="10" t="inlineStr">
        <is>
          <t>catch_composition</t>
        </is>
      </c>
      <c r="J172" s="13" t="inlineStr">
        <is>
          <t>low</t>
        </is>
      </c>
      <c r="K172" s="10" t="inlineStr">
        <is>
          <t>composite_split</t>
        </is>
      </c>
      <c r="L172" s="11" t="inlineStr">
        <is>
          <t>Cartilaginous catch is allocated over the four documented shark/ray pools; no chimaera group is represented.</t>
        </is>
      </c>
      <c r="M172" s="10" t="n">
        <v>155684.309</v>
      </c>
    </row>
    <row r="173" ht="36" customHeight="1">
      <c r="A173" s="10" t="inlineStr">
        <is>
          <t>LME_028</t>
        </is>
      </c>
      <c r="B173" s="11" t="inlineStr">
        <is>
          <t>28_646_Guinea_(1998)</t>
        </is>
      </c>
      <c r="C173" s="11" t="inlineStr">
        <is>
          <t>Chondrichthyes</t>
        </is>
      </c>
      <c r="D173" s="10" t="inlineStr">
        <is>
          <t>Sharks, rays, chimaeras</t>
        </is>
      </c>
      <c r="E173" s="10" t="inlineStr">
        <is>
          <t>Large sharks (&gt;=90 cm)</t>
        </is>
      </c>
      <c r="F173" s="10" t="inlineStr">
        <is>
          <t>Sharks &amp; rays</t>
        </is>
      </c>
      <c r="G173" s="11" t="inlineStr">
        <is>
          <t>Sélaciens M côtiers</t>
        </is>
      </c>
      <c r="H173" s="12" t="n">
        <v>0.006393780737496957</v>
      </c>
      <c r="I173" s="10" t="inlineStr">
        <is>
          <t>catch_composition</t>
        </is>
      </c>
      <c r="J173" s="13" t="inlineStr">
        <is>
          <t>low</t>
        </is>
      </c>
      <c r="K173" s="10" t="inlineStr">
        <is>
          <t>composite_split</t>
        </is>
      </c>
      <c r="L173" s="11" t="inlineStr">
        <is>
          <t>Cartilaginous catch is allocated over the four documented shark/ray pools; no chimaera group is represented.</t>
        </is>
      </c>
      <c r="M173" s="10" t="n">
        <v>155684.309</v>
      </c>
    </row>
    <row r="174" ht="36" customHeight="1">
      <c r="A174" s="10" t="inlineStr">
        <is>
          <t>LME_028</t>
        </is>
      </c>
      <c r="B174" s="11" t="inlineStr">
        <is>
          <t>28_646_Guinea_(1998)</t>
        </is>
      </c>
      <c r="C174" s="11" t="inlineStr">
        <is>
          <t>Acanthocybium solandri</t>
        </is>
      </c>
      <c r="D174" s="10" t="inlineStr">
        <is>
          <t>Wahoo</t>
        </is>
      </c>
      <c r="E174" s="10" t="inlineStr">
        <is>
          <t>Large pelagics (&gt;=90 cm)</t>
        </is>
      </c>
      <c r="F174" s="10" t="inlineStr">
        <is>
          <t>Perch-likes</t>
        </is>
      </c>
      <c r="G174" s="11" t="inlineStr">
        <is>
          <t>Thons mineurs</t>
        </is>
      </c>
      <c r="H174" s="12" t="n">
        <v>1</v>
      </c>
      <c r="I174" s="10" t="inlineStr">
        <is>
          <t>single</t>
        </is>
      </c>
      <c r="J174" s="14" t="inlineStr">
        <is>
          <t>high</t>
        </is>
      </c>
      <c r="K174" s="10" t="inlineStr">
        <is>
          <t>explicit_member</t>
        </is>
      </c>
      <c r="L174" s="11" t="inlineStr">
        <is>
          <t>Guénette &amp; Diallo 2004 Table 6 p.131 explicitly lists this taxon in the named group(s); printed and accepted names checked against WoRMS.</t>
        </is>
      </c>
      <c r="M174" s="10" t="n">
        <v>155495.952</v>
      </c>
    </row>
    <row r="175" ht="36" customHeight="1">
      <c r="A175" s="10" t="inlineStr">
        <is>
          <t>LME_028</t>
        </is>
      </c>
      <c r="B175" s="11" t="inlineStr">
        <is>
          <t>28_646_Guinea_(1998)</t>
        </is>
      </c>
      <c r="C175" s="11" t="inlineStr">
        <is>
          <t>Decapterus</t>
        </is>
      </c>
      <c r="D175" s="10" t="inlineStr">
        <is>
          <t>Scads</t>
        </is>
      </c>
      <c r="E175" s="10" t="inlineStr">
        <is>
          <t>Medium pelagics (30 - 89 cm)</t>
        </is>
      </c>
      <c r="F175" s="10" t="inlineStr">
        <is>
          <t>Perch-likes</t>
        </is>
      </c>
      <c r="G175" s="11" t="inlineStr">
        <is>
          <t>Pel S inv</t>
        </is>
      </c>
      <c r="H175" s="12" t="n">
        <v>1</v>
      </c>
      <c r="I175" s="10" t="inlineStr">
        <is>
          <t>single</t>
        </is>
      </c>
      <c r="J175" s="15" t="inlineStr">
        <is>
          <t>medium</t>
        </is>
      </c>
      <c r="K175" s="10" t="inlineStr">
        <is>
          <t>taxonomic_containment</t>
        </is>
      </c>
      <c r="L175" s="11" t="inlineStr">
        <is>
          <t>Genus-level catch spans exactly the Table 6 groups containing its documented species. No habitat class overrides those placements.</t>
        </is>
      </c>
      <c r="M175" s="10" t="n">
        <v>155217.652</v>
      </c>
    </row>
    <row r="176" ht="21" customHeight="1">
      <c r="A176" s="10" t="inlineStr">
        <is>
          <t>LME_028</t>
        </is>
      </c>
      <c r="B176" s="11" t="inlineStr">
        <is>
          <t>28_646_Guinea_(1998)</t>
        </is>
      </c>
      <c r="C176" s="11" t="inlineStr">
        <is>
          <t>Murex</t>
        </is>
      </c>
      <c r="D176" s="10" t="inlineStr">
        <is>
          <t>Murex shells</t>
        </is>
      </c>
      <c r="E176" s="10" t="inlineStr">
        <is>
          <t>Other demersal invertebrates</t>
        </is>
      </c>
      <c r="F176" s="10" t="inlineStr">
        <is>
          <t>Molluscs</t>
        </is>
      </c>
      <c r="G176" s="11" t="inlineStr">
        <is>
          <t>Benthos</t>
        </is>
      </c>
      <c r="H176" s="12" t="n">
        <v>1</v>
      </c>
      <c r="I176" s="10" t="inlineStr">
        <is>
          <t>single</t>
        </is>
      </c>
      <c r="J176" s="14" t="inlineStr">
        <is>
          <t>high</t>
        </is>
      </c>
      <c r="K176" s="10" t="inlineStr">
        <is>
          <t>taxonomic_containment</t>
        </is>
      </c>
      <c r="L176" s="11" t="inlineStr">
        <is>
          <t>Non-cephalopod benthic molluscs and echinoderms are explicitly included in Benthos on p.126.</t>
        </is>
      </c>
      <c r="M176" s="10" t="n">
        <v>154880.082</v>
      </c>
    </row>
    <row r="177" ht="51" customHeight="1">
      <c r="A177" s="10" t="inlineStr">
        <is>
          <t>LME_028</t>
        </is>
      </c>
      <c r="B177" s="11" t="inlineStr">
        <is>
          <t>28_646_Guinea_(1998)</t>
        </is>
      </c>
      <c r="C177" s="11" t="inlineStr">
        <is>
          <t>Trichiuridae</t>
        </is>
      </c>
      <c r="D177" s="10" t="inlineStr">
        <is>
          <t>Cutlassfishes</t>
        </is>
      </c>
      <c r="E177" s="10" t="inlineStr">
        <is>
          <t>Large benthopelagics (&gt;=90 cm)</t>
        </is>
      </c>
      <c r="F177" s="10" t="inlineStr">
        <is>
          <t>Perch-likes</t>
        </is>
      </c>
      <c r="G177" s="11" t="inlineStr">
        <is>
          <t>Côtier L pred</t>
        </is>
      </c>
      <c r="H177" s="12" t="n">
        <v>1</v>
      </c>
      <c r="I177" s="10" t="inlineStr">
        <is>
          <t>single</t>
        </is>
      </c>
      <c r="J177" s="15" t="inlineStr">
        <is>
          <t>medium</t>
        </is>
      </c>
      <c r="K177" s="10" t="inlineStr">
        <is>
          <t>taxonomic_containment</t>
        </is>
      </c>
      <c r="L177" s="11" t="inlineStr">
        <is>
          <t>Family catch spans the union of all Table 6 member groups belonging to Trichiuridae under WoRMS. Every candidate is supported by a source member; source placement outranks SAU habitat class.</t>
        </is>
      </c>
      <c r="M177" s="10" t="n">
        <v>151306.484</v>
      </c>
    </row>
    <row r="178" ht="36" customHeight="1">
      <c r="A178" s="10" t="inlineStr">
        <is>
          <t>LME_028</t>
        </is>
      </c>
      <c r="B178" s="11" t="inlineStr">
        <is>
          <t>28_646_Guinea_(1998)</t>
        </is>
      </c>
      <c r="C178" s="11" t="inlineStr">
        <is>
          <t>Acanthurus</t>
        </is>
      </c>
      <c r="D178" s="10" t="inlineStr">
        <is>
          <t>Surgeonfishes</t>
        </is>
      </c>
      <c r="E178" s="10" t="inlineStr">
        <is>
          <t>Small reef assoc. fish (&lt;30 cm)</t>
        </is>
      </c>
      <c r="F178" s="10" t="inlineStr">
        <is>
          <t>Perch-likes</t>
        </is>
      </c>
      <c r="G178" s="11" t="inlineStr">
        <is>
          <t>Mulets</t>
        </is>
      </c>
      <c r="H178" s="12" t="n">
        <v>1</v>
      </c>
      <c r="I178" s="10" t="inlineStr">
        <is>
          <t>single</t>
        </is>
      </c>
      <c r="J178" s="15" t="inlineStr">
        <is>
          <t>medium</t>
        </is>
      </c>
      <c r="K178" s="10" t="inlineStr">
        <is>
          <t>taxonomic_containment</t>
        </is>
      </c>
      <c r="L178" s="11" t="inlineStr">
        <is>
          <t>Genus-level catch spans exactly the Table 6 groups containing its documented species. No habitat class overrides those placements.</t>
        </is>
      </c>
      <c r="M178" s="10" t="n">
        <v>149547.449</v>
      </c>
    </row>
    <row r="179" ht="21" customHeight="1">
      <c r="A179" s="10" t="inlineStr">
        <is>
          <t>LME_028</t>
        </is>
      </c>
      <c r="B179" s="11" t="inlineStr">
        <is>
          <t>28_646_Guinea_(1998)</t>
        </is>
      </c>
      <c r="C179" s="11" t="inlineStr">
        <is>
          <t>Teuthida</t>
        </is>
      </c>
      <c r="D179" s="10" t="inlineStr">
        <is>
          <t>Squids</t>
        </is>
      </c>
      <c r="E179" s="10" t="inlineStr">
        <is>
          <t>Cephalopods</t>
        </is>
      </c>
      <c r="F179" s="10" t="inlineStr">
        <is>
          <t>Other fishes &amp; inverts</t>
        </is>
      </c>
      <c r="G179" s="11" t="inlineStr">
        <is>
          <t>Céphalopodes</t>
        </is>
      </c>
      <c r="H179" s="12" t="n">
        <v>1</v>
      </c>
      <c r="I179" s="10" t="inlineStr">
        <is>
          <t>single</t>
        </is>
      </c>
      <c r="J179" s="14" t="inlineStr">
        <is>
          <t>high</t>
        </is>
      </c>
      <c r="K179" s="10" t="inlineStr">
        <is>
          <t>taxonomic_containment</t>
        </is>
      </c>
      <c r="L179" s="11" t="inlineStr">
        <is>
          <t>Source p.125 explicitly includes all cephalopods, including octopus, cuttlefish and squid.</t>
        </is>
      </c>
      <c r="M179" s="10" t="n">
        <v>140572.183</v>
      </c>
    </row>
    <row r="180" ht="21" customHeight="1">
      <c r="A180" s="10" t="inlineStr">
        <is>
          <t>LME_028</t>
        </is>
      </c>
      <c r="B180" s="11" t="inlineStr">
        <is>
          <t>28_646_Guinea_(1998)</t>
        </is>
      </c>
      <c r="C180" s="11" t="inlineStr">
        <is>
          <t>Gastropoda</t>
        </is>
      </c>
      <c r="D180" s="10" t="inlineStr">
        <is>
          <t>Sea snails</t>
        </is>
      </c>
      <c r="E180" s="10" t="inlineStr">
        <is>
          <t>Other demersal invertebrates</t>
        </is>
      </c>
      <c r="F180" s="10" t="inlineStr">
        <is>
          <t>Molluscs</t>
        </is>
      </c>
      <c r="G180" s="11" t="inlineStr">
        <is>
          <t>Benthos</t>
        </is>
      </c>
      <c r="H180" s="12" t="n">
        <v>1</v>
      </c>
      <c r="I180" s="10" t="inlineStr">
        <is>
          <t>single</t>
        </is>
      </c>
      <c r="J180" s="14" t="inlineStr">
        <is>
          <t>high</t>
        </is>
      </c>
      <c r="K180" s="10" t="inlineStr">
        <is>
          <t>taxonomic_containment</t>
        </is>
      </c>
      <c r="L180" s="11" t="inlineStr">
        <is>
          <t>Non-cephalopod benthic molluscs and echinoderms are explicitly included in Benthos on p.126.</t>
        </is>
      </c>
      <c r="M180" s="10" t="n">
        <v>125447.183</v>
      </c>
    </row>
    <row r="181" ht="21" customHeight="1">
      <c r="A181" s="10" t="inlineStr">
        <is>
          <t>LME_028</t>
        </is>
      </c>
      <c r="B181" s="11" t="inlineStr">
        <is>
          <t>28_646_Guinea_(1998)</t>
        </is>
      </c>
      <c r="C181" s="11" t="inlineStr">
        <is>
          <t>Crassostrea</t>
        </is>
      </c>
      <c r="D181" s="10" t="inlineStr">
        <is>
          <t>Cupped oysters</t>
        </is>
      </c>
      <c r="E181" s="10" t="inlineStr">
        <is>
          <t>Other demersal invertebrates</t>
        </is>
      </c>
      <c r="F181" s="10" t="inlineStr">
        <is>
          <t>Molluscs</t>
        </is>
      </c>
      <c r="G181" s="11" t="inlineStr">
        <is>
          <t>Benthos</t>
        </is>
      </c>
      <c r="H181" s="12" t="n">
        <v>1</v>
      </c>
      <c r="I181" s="10" t="inlineStr">
        <is>
          <t>single</t>
        </is>
      </c>
      <c r="J181" s="14" t="inlineStr">
        <is>
          <t>high</t>
        </is>
      </c>
      <c r="K181" s="10" t="inlineStr">
        <is>
          <t>taxonomic_containment</t>
        </is>
      </c>
      <c r="L181" s="11" t="inlineStr">
        <is>
          <t>Non-cephalopod benthic molluscs and echinoderms are explicitly included in Benthos on p.126.</t>
        </is>
      </c>
      <c r="M181" s="10" t="n">
        <v>122731.973</v>
      </c>
    </row>
    <row r="182" ht="36" customHeight="1">
      <c r="A182" s="10" t="inlineStr">
        <is>
          <t>LME_028</t>
        </is>
      </c>
      <c r="B182" s="11" t="inlineStr">
        <is>
          <t>28_646_Guinea_(1998)</t>
        </is>
      </c>
      <c r="C182" s="11" t="inlineStr">
        <is>
          <t>Istiophorus albicans</t>
        </is>
      </c>
      <c r="D182" s="10" t="inlineStr">
        <is>
          <t>Atlantic sailfish</t>
        </is>
      </c>
      <c r="E182" s="10" t="inlineStr">
        <is>
          <t>Large pelagics (&gt;=90 cm)</t>
        </is>
      </c>
      <c r="F182" s="10" t="inlineStr">
        <is>
          <t>Tuna &amp; billfishes</t>
        </is>
      </c>
      <c r="G182" s="11" t="inlineStr">
        <is>
          <t>Thons majeurs</t>
        </is>
      </c>
      <c r="H182" s="12" t="n">
        <v>1</v>
      </c>
      <c r="I182" s="10" t="inlineStr">
        <is>
          <t>single</t>
        </is>
      </c>
      <c r="J182" s="14" t="inlineStr">
        <is>
          <t>high</t>
        </is>
      </c>
      <c r="K182" s="10" t="inlineStr">
        <is>
          <t>explicit_member</t>
        </is>
      </c>
      <c r="L182" s="11" t="inlineStr">
        <is>
          <t>Guénette &amp; Diallo 2004 Table 6 p.131 explicitly lists this taxon in the named group(s); printed and accepted names checked against WoRMS.</t>
        </is>
      </c>
      <c r="M182" s="10" t="n">
        <v>121322.969</v>
      </c>
    </row>
    <row r="183" ht="21" customHeight="1">
      <c r="A183" s="10" t="inlineStr">
        <is>
          <t>LME_028</t>
        </is>
      </c>
      <c r="B183" s="11" t="inlineStr">
        <is>
          <t>28_646_Guinea_(1998)</t>
        </is>
      </c>
      <c r="C183" s="11" t="inlineStr">
        <is>
          <t>Sepia officinalis</t>
        </is>
      </c>
      <c r="D183" s="10" t="inlineStr">
        <is>
          <t>Common cuttlefish</t>
        </is>
      </c>
      <c r="E183" s="10" t="inlineStr">
        <is>
          <t>Cephalopods</t>
        </is>
      </c>
      <c r="F183" s="10" t="inlineStr">
        <is>
          <t>Other fishes &amp; inverts</t>
        </is>
      </c>
      <c r="G183" s="11" t="inlineStr">
        <is>
          <t>Céphalopodes</t>
        </is>
      </c>
      <c r="H183" s="12" t="n">
        <v>1</v>
      </c>
      <c r="I183" s="10" t="inlineStr">
        <is>
          <t>single</t>
        </is>
      </c>
      <c r="J183" s="14" t="inlineStr">
        <is>
          <t>high</t>
        </is>
      </c>
      <c r="K183" s="10" t="inlineStr">
        <is>
          <t>taxonomic_containment</t>
        </is>
      </c>
      <c r="L183" s="11" t="inlineStr">
        <is>
          <t>Source p.125 explicitly includes all cephalopods, including octopus, cuttlefish and squid.</t>
        </is>
      </c>
      <c r="M183" s="10" t="n">
        <v>119284.302</v>
      </c>
    </row>
    <row r="184" ht="36" customHeight="1">
      <c r="A184" s="10" t="inlineStr">
        <is>
          <t>LME_028</t>
        </is>
      </c>
      <c r="B184" s="11" t="inlineStr">
        <is>
          <t>28_646_Guinea_(1998)</t>
        </is>
      </c>
      <c r="C184" s="11" t="inlineStr">
        <is>
          <t>Scomberomorus</t>
        </is>
      </c>
      <c r="D184" s="10" t="inlineStr">
        <is>
          <t>Spanish mackerels</t>
        </is>
      </c>
      <c r="E184" s="10" t="inlineStr">
        <is>
          <t>Large pelagics (&gt;=90 cm)</t>
        </is>
      </c>
      <c r="F184" s="10" t="inlineStr">
        <is>
          <t>Perch-likes</t>
        </is>
      </c>
      <c r="G184" s="11" t="inlineStr">
        <is>
          <t>Thons mineurs</t>
        </is>
      </c>
      <c r="H184" s="12" t="n">
        <v>1</v>
      </c>
      <c r="I184" s="10" t="inlineStr">
        <is>
          <t>single</t>
        </is>
      </c>
      <c r="J184" s="15" t="inlineStr">
        <is>
          <t>medium</t>
        </is>
      </c>
      <c r="K184" s="10" t="inlineStr">
        <is>
          <t>taxonomic_containment</t>
        </is>
      </c>
      <c r="L184" s="11" t="inlineStr">
        <is>
          <t>Genus-level catch spans exactly the Table 6 groups containing its documented species. No habitat class overrides those placements.</t>
        </is>
      </c>
      <c r="M184" s="10" t="n">
        <v>118771.04</v>
      </c>
    </row>
    <row r="185" ht="36" customHeight="1">
      <c r="A185" s="10" t="inlineStr">
        <is>
          <t>LME_028</t>
        </is>
      </c>
      <c r="B185" s="11" t="inlineStr">
        <is>
          <t>28_646_Guinea_(1998)</t>
        </is>
      </c>
      <c r="C185" s="11" t="inlineStr">
        <is>
          <t>Balistes</t>
        </is>
      </c>
      <c r="D185" s="10" t="inlineStr">
        <is>
          <t>Triggerfish</t>
        </is>
      </c>
      <c r="E185" s="10" t="inlineStr">
        <is>
          <t>Medium reef assoc. fish (30 - 89 cm)</t>
        </is>
      </c>
      <c r="F185" s="10" t="inlineStr">
        <is>
          <t>Other fishes &amp; inverts</t>
        </is>
      </c>
      <c r="G185" s="11" t="inlineStr">
        <is>
          <t>Dem M inv</t>
        </is>
      </c>
      <c r="H185" s="12" t="n">
        <v>1</v>
      </c>
      <c r="I185" s="10" t="inlineStr">
        <is>
          <t>single</t>
        </is>
      </c>
      <c r="J185" s="15" t="inlineStr">
        <is>
          <t>medium</t>
        </is>
      </c>
      <c r="K185" s="10" t="inlineStr">
        <is>
          <t>taxonomic_containment</t>
        </is>
      </c>
      <c r="L185" s="11" t="inlineStr">
        <is>
          <t>Genus-level catch spans exactly the Table 6 groups containing its documented species. No habitat class overrides those placements.</t>
        </is>
      </c>
      <c r="M185" s="10" t="n">
        <v>111581.8</v>
      </c>
    </row>
    <row r="186" ht="36" customHeight="1">
      <c r="A186" s="10" t="inlineStr">
        <is>
          <t>LME_028</t>
        </is>
      </c>
      <c r="B186" s="11" t="inlineStr">
        <is>
          <t>28_646_Guinea_(1998)</t>
        </is>
      </c>
      <c r="C186" s="11" t="inlineStr">
        <is>
          <t>Cynoglossus canariensis</t>
        </is>
      </c>
      <c r="D186" s="10" t="inlineStr">
        <is>
          <t>Canary tonguesole</t>
        </is>
      </c>
      <c r="E186" s="10" t="inlineStr">
        <is>
          <t>Small to medium flatfishes (&lt;90 cm)</t>
        </is>
      </c>
      <c r="F186" s="10" t="inlineStr">
        <is>
          <t>Flatfishes</t>
        </is>
      </c>
      <c r="G186" s="11" t="inlineStr">
        <is>
          <t>Côtier M inv</t>
        </is>
      </c>
      <c r="H186" s="12" t="n">
        <v>1</v>
      </c>
      <c r="I186" s="10" t="inlineStr">
        <is>
          <t>single</t>
        </is>
      </c>
      <c r="J186" s="14" t="inlineStr">
        <is>
          <t>high</t>
        </is>
      </c>
      <c r="K186" s="10" t="inlineStr">
        <is>
          <t>explicit_member</t>
        </is>
      </c>
      <c r="L186" s="11" t="inlineStr">
        <is>
          <t>Guénette &amp; Diallo 2004 Table 6 p.131 explicitly lists this taxon in the named group(s); printed and accepted names checked against WoRMS.</t>
        </is>
      </c>
      <c r="M186" s="10" t="n">
        <v>97665.511</v>
      </c>
    </row>
    <row r="187" ht="36" customHeight="1">
      <c r="A187" s="10" t="inlineStr">
        <is>
          <t>LME_028</t>
        </is>
      </c>
      <c r="B187" s="11" t="inlineStr">
        <is>
          <t>28_646_Guinea_(1998)</t>
        </is>
      </c>
      <c r="C187" s="11" t="inlineStr">
        <is>
          <t>Mollusca</t>
        </is>
      </c>
      <c r="D187" s="10" t="inlineStr">
        <is>
          <t>Clams, seasnails, squids, octopuses</t>
        </is>
      </c>
      <c r="E187" s="10" t="inlineStr">
        <is>
          <t>Other demersal invertebrates</t>
        </is>
      </c>
      <c r="F187" s="10" t="inlineStr">
        <is>
          <t>Molluscs</t>
        </is>
      </c>
      <c r="G187" s="11" t="inlineStr">
        <is>
          <t>Céphalopodes</t>
        </is>
      </c>
      <c r="H187" s="12" t="n">
        <v>0.9313040941686659</v>
      </c>
      <c r="I187" s="10" t="inlineStr">
        <is>
          <t>catch_composition</t>
        </is>
      </c>
      <c r="J187" s="15" t="inlineStr">
        <is>
          <t>medium</t>
        </is>
      </c>
      <c r="K187" s="10" t="inlineStr">
        <is>
          <t>composite_split</t>
        </is>
      </c>
      <c r="L187" s="11" t="inlineStr">
        <is>
          <t>Molluscs span cephalopods (p.125) and benthic bivalves/gastropods (p.126); both source-defined groups are required.</t>
        </is>
      </c>
      <c r="M187" s="10" t="n">
        <v>97253.016</v>
      </c>
    </row>
    <row r="188" ht="36" customHeight="1">
      <c r="A188" s="10" t="inlineStr">
        <is>
          <t>LME_028</t>
        </is>
      </c>
      <c r="B188" s="11" t="inlineStr">
        <is>
          <t>28_646_Guinea_(1998)</t>
        </is>
      </c>
      <c r="C188" s="11" t="inlineStr">
        <is>
          <t>Mollusca</t>
        </is>
      </c>
      <c r="D188" s="10" t="inlineStr">
        <is>
          <t>Clams, seasnails, squids, octopuses</t>
        </is>
      </c>
      <c r="E188" s="10" t="inlineStr">
        <is>
          <t>Other demersal invertebrates</t>
        </is>
      </c>
      <c r="F188" s="10" t="inlineStr">
        <is>
          <t>Molluscs</t>
        </is>
      </c>
      <c r="G188" s="11" t="inlineStr">
        <is>
          <t>Benthos</t>
        </is>
      </c>
      <c r="H188" s="12" t="n">
        <v>0.06869590583133413</v>
      </c>
      <c r="I188" s="10" t="inlineStr">
        <is>
          <t>catch_composition</t>
        </is>
      </c>
      <c r="J188" s="15" t="inlineStr">
        <is>
          <t>medium</t>
        </is>
      </c>
      <c r="K188" s="10" t="inlineStr">
        <is>
          <t>composite_split</t>
        </is>
      </c>
      <c r="L188" s="11" t="inlineStr">
        <is>
          <t>Molluscs span cephalopods (p.125) and benthic bivalves/gastropods (p.126); both source-defined groups are required.</t>
        </is>
      </c>
      <c r="M188" s="10" t="n">
        <v>97253.016</v>
      </c>
    </row>
    <row r="189" ht="36" customHeight="1">
      <c r="A189" s="10" t="inlineStr">
        <is>
          <t>LME_028</t>
        </is>
      </c>
      <c r="B189" s="11" t="inlineStr">
        <is>
          <t>28_646_Guinea_(1998)</t>
        </is>
      </c>
      <c r="C189" s="11" t="inlineStr">
        <is>
          <t>Cheilopogon melanurus</t>
        </is>
      </c>
      <c r="D189" s="10" t="inlineStr">
        <is>
          <t>Atlantic flyingfish</t>
        </is>
      </c>
      <c r="E189" s="10" t="inlineStr">
        <is>
          <t>Small pelagics (&lt;30 cm)</t>
        </is>
      </c>
      <c r="F189" s="10" t="inlineStr">
        <is>
          <t>Other fishes &amp; inverts</t>
        </is>
      </c>
      <c r="G189" s="11" t="inlineStr">
        <is>
          <t>Pel S inv</t>
        </is>
      </c>
      <c r="H189" s="12" t="n">
        <v>1</v>
      </c>
      <c r="I189" s="10" t="inlineStr">
        <is>
          <t>single</t>
        </is>
      </c>
      <c r="J189" s="15" t="inlineStr">
        <is>
          <t>medium</t>
        </is>
      </c>
      <c r="K189" s="10" t="inlineStr">
        <is>
          <t>analogue</t>
        </is>
      </c>
      <c r="L189" s="11" t="inlineStr">
        <is>
          <t>Species not individually listed: its genus has one documented Table 6 group, supported by the catch's Small pelagics (&lt;30 cm) class. Congeneric extension is inference.</t>
        </is>
      </c>
      <c r="M189" s="10" t="n">
        <v>96651.819</v>
      </c>
    </row>
    <row r="190" ht="36" customHeight="1">
      <c r="A190" s="10" t="inlineStr">
        <is>
          <t>LME_028</t>
        </is>
      </c>
      <c r="B190" s="11" t="inlineStr">
        <is>
          <t>28_646_Guinea_(1998)</t>
        </is>
      </c>
      <c r="C190" s="11" t="inlineStr">
        <is>
          <t>Aristeus varidens</t>
        </is>
      </c>
      <c r="D190" s="10" t="inlineStr">
        <is>
          <t>Striped red shrimp</t>
        </is>
      </c>
      <c r="E190" s="10" t="inlineStr">
        <is>
          <t>Shrimps</t>
        </is>
      </c>
      <c r="F190" s="10" t="inlineStr">
        <is>
          <t>Crustaceans</t>
        </is>
      </c>
      <c r="G190" s="11" t="inlineStr">
        <is>
          <t>Crustacés</t>
        </is>
      </c>
      <c r="H190" s="12" t="n">
        <v>1</v>
      </c>
      <c r="I190" s="10" t="inlineStr">
        <is>
          <t>single</t>
        </is>
      </c>
      <c r="J190" s="14" t="inlineStr">
        <is>
          <t>high</t>
        </is>
      </c>
      <c r="K190" s="10" t="inlineStr">
        <is>
          <t>taxonomic_containment</t>
        </is>
      </c>
      <c r="L190" s="11" t="inlineStr">
        <is>
          <t>WoRMS crustacean taxonomy and SAU shrimp/crab/lobster class agree with the source Crustacés definition on p.125.</t>
        </is>
      </c>
      <c r="M190" s="10" t="n">
        <v>96649.15399999999</v>
      </c>
    </row>
    <row r="191" ht="36" customHeight="1">
      <c r="A191" s="10" t="inlineStr">
        <is>
          <t>LME_028</t>
        </is>
      </c>
      <c r="B191" s="11" t="inlineStr">
        <is>
          <t>28_646_Guinea_(1998)</t>
        </is>
      </c>
      <c r="C191" s="11" t="inlineStr">
        <is>
          <t>Rajidae</t>
        </is>
      </c>
      <c r="D191" s="10" t="inlineStr">
        <is>
          <t>Stingrays</t>
        </is>
      </c>
      <c r="E191" s="10" t="inlineStr">
        <is>
          <t>Large rays (&gt;=90 cm)</t>
        </is>
      </c>
      <c r="F191" s="10" t="inlineStr">
        <is>
          <t>Sharks &amp; rays</t>
        </is>
      </c>
      <c r="G191" s="11" t="inlineStr">
        <is>
          <t>Sélaciens L prof</t>
        </is>
      </c>
      <c r="H191" s="12" t="n">
        <v>0.8097255094841217</v>
      </c>
      <c r="I191" s="10" t="inlineStr">
        <is>
          <t>catch_composition</t>
        </is>
      </c>
      <c r="J191" s="15" t="inlineStr">
        <is>
          <t>medium</t>
        </is>
      </c>
      <c r="K191" s="10" t="inlineStr">
        <is>
          <t>composite_split</t>
        </is>
      </c>
      <c r="L191" s="11" t="inlineStr">
        <is>
          <t>Family catch spans the union of all Table 6 member groups belonging to Rajidae under WoRMS. Every candidate is supported by a source member; source placement outranks SAU habitat class.</t>
        </is>
      </c>
      <c r="M191" s="10" t="n">
        <v>94060.95699999999</v>
      </c>
    </row>
    <row r="192" ht="36" customHeight="1">
      <c r="A192" s="10" t="inlineStr">
        <is>
          <t>LME_028</t>
        </is>
      </c>
      <c r="B192" s="11" t="inlineStr">
        <is>
          <t>28_646_Guinea_(1998)</t>
        </is>
      </c>
      <c r="C192" s="11" t="inlineStr">
        <is>
          <t>Rajidae</t>
        </is>
      </c>
      <c r="D192" s="10" t="inlineStr">
        <is>
          <t>Stingrays</t>
        </is>
      </c>
      <c r="E192" s="10" t="inlineStr">
        <is>
          <t>Large rays (&gt;=90 cm)</t>
        </is>
      </c>
      <c r="F192" s="10" t="inlineStr">
        <is>
          <t>Sharks &amp; rays</t>
        </is>
      </c>
      <c r="G192" s="11" t="inlineStr">
        <is>
          <t>Sélaciens M prof</t>
        </is>
      </c>
      <c r="H192" s="12" t="n">
        <v>0.1902744905158783</v>
      </c>
      <c r="I192" s="10" t="inlineStr">
        <is>
          <t>catch_composition</t>
        </is>
      </c>
      <c r="J192" s="15" t="inlineStr">
        <is>
          <t>medium</t>
        </is>
      </c>
      <c r="K192" s="10" t="inlineStr">
        <is>
          <t>composite_split</t>
        </is>
      </c>
      <c r="L192" s="11" t="inlineStr">
        <is>
          <t>Family catch spans the union of all Table 6 member groups belonging to Rajidae under WoRMS. Every candidate is supported by a source member; source placement outranks SAU habitat class.</t>
        </is>
      </c>
      <c r="M192" s="10" t="n">
        <v>94060.95699999999</v>
      </c>
    </row>
    <row r="193" ht="36" customHeight="1">
      <c r="A193" s="10" t="inlineStr">
        <is>
          <t>LME_028</t>
        </is>
      </c>
      <c r="B193" s="11" t="inlineStr">
        <is>
          <t>28_646_Guinea_(1998)</t>
        </is>
      </c>
      <c r="C193" s="11" t="inlineStr">
        <is>
          <t>Xiphias gladius</t>
        </is>
      </c>
      <c r="D193" s="10" t="inlineStr">
        <is>
          <t>Swordfish</t>
        </is>
      </c>
      <c r="E193" s="10" t="inlineStr">
        <is>
          <t>Large pelagics (&gt;=90 cm)</t>
        </is>
      </c>
      <c r="F193" s="10" t="inlineStr">
        <is>
          <t>Tuna &amp; billfishes</t>
        </is>
      </c>
      <c r="G193" s="11" t="inlineStr">
        <is>
          <t>Thons majeurs</t>
        </is>
      </c>
      <c r="H193" s="12" t="n">
        <v>1</v>
      </c>
      <c r="I193" s="10" t="inlineStr">
        <is>
          <t>single</t>
        </is>
      </c>
      <c r="J193" s="14" t="inlineStr">
        <is>
          <t>high</t>
        </is>
      </c>
      <c r="K193" s="10" t="inlineStr">
        <is>
          <t>explicit_member</t>
        </is>
      </c>
      <c r="L193" s="11" t="inlineStr">
        <is>
          <t>Guénette &amp; Diallo 2004 Table 6 p.131 explicitly lists this taxon in the named group(s); printed and accepted names checked against WoRMS.</t>
        </is>
      </c>
      <c r="M193" s="10" t="n">
        <v>89998.41800000001</v>
      </c>
    </row>
    <row r="194" ht="36" customHeight="1">
      <c r="A194" s="10" t="inlineStr">
        <is>
          <t>LME_028</t>
        </is>
      </c>
      <c r="B194" s="11" t="inlineStr">
        <is>
          <t>28_646_Guinea_(1998)</t>
        </is>
      </c>
      <c r="C194" s="11" t="inlineStr">
        <is>
          <t>Zeus faber</t>
        </is>
      </c>
      <c r="D194" s="10" t="inlineStr">
        <is>
          <t>John dory</t>
        </is>
      </c>
      <c r="E194" s="10" t="inlineStr">
        <is>
          <t>Medium benthopelagics (30 - 89 cm)</t>
        </is>
      </c>
      <c r="F194" s="10" t="inlineStr">
        <is>
          <t>Other fishes &amp; inverts</t>
        </is>
      </c>
      <c r="G194" s="11" t="inlineStr">
        <is>
          <t>Dem L pred</t>
        </is>
      </c>
      <c r="H194" s="12" t="n">
        <v>1</v>
      </c>
      <c r="I194" s="10" t="inlineStr">
        <is>
          <t>single</t>
        </is>
      </c>
      <c r="J194" s="14" t="inlineStr">
        <is>
          <t>high</t>
        </is>
      </c>
      <c r="K194" s="10" t="inlineStr">
        <is>
          <t>explicit_member</t>
        </is>
      </c>
      <c r="L194" s="11" t="inlineStr">
        <is>
          <t>Guénette &amp; Diallo 2004 Table 6 p.131 explicitly lists this taxon in the named group(s); printed and accepted names checked against WoRMS.</t>
        </is>
      </c>
      <c r="M194" s="10" t="n">
        <v>87375.508</v>
      </c>
    </row>
    <row r="195" ht="36" customHeight="1">
      <c r="A195" s="10" t="inlineStr">
        <is>
          <t>LME_028</t>
        </is>
      </c>
      <c r="B195" s="11" t="inlineStr">
        <is>
          <t>28_646_Guinea_(1998)</t>
        </is>
      </c>
      <c r="C195" s="11" t="inlineStr">
        <is>
          <t>Raja miraletus</t>
        </is>
      </c>
      <c r="D195" s="10" t="inlineStr">
        <is>
          <t>Brown ray</t>
        </is>
      </c>
      <c r="E195" s="10" t="inlineStr">
        <is>
          <t>Small to medium rays (&lt;90 cm)</t>
        </is>
      </c>
      <c r="F195" s="10" t="inlineStr">
        <is>
          <t>Sharks &amp; rays</t>
        </is>
      </c>
      <c r="G195" s="11" t="inlineStr">
        <is>
          <t>Sélaciens M prof</t>
        </is>
      </c>
      <c r="H195" s="12" t="n">
        <v>1</v>
      </c>
      <c r="I195" s="10" t="inlineStr">
        <is>
          <t>single</t>
        </is>
      </c>
      <c r="J195" s="14" t="inlineStr">
        <is>
          <t>high</t>
        </is>
      </c>
      <c r="K195" s="10" t="inlineStr">
        <is>
          <t>explicit_member</t>
        </is>
      </c>
      <c r="L195" s="11" t="inlineStr">
        <is>
          <t>Guénette &amp; Diallo 2004 Table 6 p.131 explicitly lists this taxon in the named group(s); printed and accepted names checked against WoRMS.</t>
        </is>
      </c>
      <c r="M195" s="10" t="n">
        <v>80276.21400000001</v>
      </c>
    </row>
    <row r="196" ht="36" customHeight="1">
      <c r="A196" s="10" t="inlineStr">
        <is>
          <t>LME_028</t>
        </is>
      </c>
      <c r="B196" s="11" t="inlineStr">
        <is>
          <t>28_646_Guinea_(1998)</t>
        </is>
      </c>
      <c r="C196" s="11" t="inlineStr">
        <is>
          <t>Umbrina canariensis</t>
        </is>
      </c>
      <c r="D196" s="10" t="inlineStr">
        <is>
          <t>Canary drum</t>
        </is>
      </c>
      <c r="E196" s="10" t="inlineStr">
        <is>
          <t>Medium demersals (30 - 89 cm)</t>
        </is>
      </c>
      <c r="F196" s="10" t="inlineStr">
        <is>
          <t>Perch-likes</t>
        </is>
      </c>
      <c r="G196" s="11" t="inlineStr">
        <is>
          <t>Dem L inv</t>
        </is>
      </c>
      <c r="H196" s="12" t="n">
        <v>1</v>
      </c>
      <c r="I196" s="10" t="inlineStr">
        <is>
          <t>single</t>
        </is>
      </c>
      <c r="J196" s="14" t="inlineStr">
        <is>
          <t>high</t>
        </is>
      </c>
      <c r="K196" s="10" t="inlineStr">
        <is>
          <t>explicit_member</t>
        </is>
      </c>
      <c r="L196" s="11" t="inlineStr">
        <is>
          <t>Guénette &amp; Diallo 2004 Table 6 p.131 explicitly lists this taxon in the named group(s); printed and accepted names checked against WoRMS.</t>
        </is>
      </c>
      <c r="M196" s="10" t="n">
        <v>79354.856</v>
      </c>
    </row>
    <row r="197" ht="36" customHeight="1">
      <c r="A197" s="10" t="inlineStr">
        <is>
          <t>LME_028</t>
        </is>
      </c>
      <c r="B197" s="11" t="inlineStr">
        <is>
          <t>28_646_Guinea_(1998)</t>
        </is>
      </c>
      <c r="C197" s="11" t="inlineStr">
        <is>
          <t>Makaira nigricans</t>
        </is>
      </c>
      <c r="D197" s="10" t="inlineStr">
        <is>
          <t>Blue marlin</t>
        </is>
      </c>
      <c r="E197" s="10" t="inlineStr">
        <is>
          <t>Large pelagics (&gt;=90 cm)</t>
        </is>
      </c>
      <c r="F197" s="10" t="inlineStr">
        <is>
          <t>Tuna &amp; billfishes</t>
        </is>
      </c>
      <c r="G197" s="11" t="inlineStr">
        <is>
          <t>Thons majeurs</t>
        </is>
      </c>
      <c r="H197" s="12" t="n">
        <v>1</v>
      </c>
      <c r="I197" s="10" t="inlineStr">
        <is>
          <t>single</t>
        </is>
      </c>
      <c r="J197" s="14" t="inlineStr">
        <is>
          <t>high</t>
        </is>
      </c>
      <c r="K197" s="10" t="inlineStr">
        <is>
          <t>explicit_member</t>
        </is>
      </c>
      <c r="L197" s="11" t="inlineStr">
        <is>
          <t>Guénette &amp; Diallo 2004 Table 6 p.131 explicitly lists this taxon in the named group(s); printed and accepted names checked against WoRMS.</t>
        </is>
      </c>
      <c r="M197" s="10" t="n">
        <v>74790.83500000001</v>
      </c>
    </row>
    <row r="198" ht="51" customHeight="1">
      <c r="A198" s="10" t="inlineStr">
        <is>
          <t>LME_028</t>
        </is>
      </c>
      <c r="B198" s="11" t="inlineStr">
        <is>
          <t>28_646_Guinea_(1998)</t>
        </is>
      </c>
      <c r="C198" s="11" t="inlineStr">
        <is>
          <t>Serranidae</t>
        </is>
      </c>
      <c r="D198" s="10" t="inlineStr">
        <is>
          <t>Basses, groupers, hinds</t>
        </is>
      </c>
      <c r="E198" s="10" t="inlineStr">
        <is>
          <t>Medium reef assoc. fish (30 - 89 cm)</t>
        </is>
      </c>
      <c r="F198" s="10" t="inlineStr">
        <is>
          <t>Perch-likes</t>
        </is>
      </c>
      <c r="G198" s="11" t="inlineStr">
        <is>
          <t>Dem M pred</t>
        </is>
      </c>
      <c r="H198" s="12" t="n">
        <v>1</v>
      </c>
      <c r="I198" s="10" t="inlineStr">
        <is>
          <t>single</t>
        </is>
      </c>
      <c r="J198" s="15" t="inlineStr">
        <is>
          <t>medium</t>
        </is>
      </c>
      <c r="K198" s="10" t="inlineStr">
        <is>
          <t>taxonomic_containment</t>
        </is>
      </c>
      <c r="L198" s="11" t="inlineStr">
        <is>
          <t>Family catch spans the union of all Table 6 member groups belonging to Serranidae under WoRMS. Every candidate is supported by a source member; source placement outranks SAU habitat class.</t>
        </is>
      </c>
      <c r="M198" s="10" t="n">
        <v>74254.87699999999</v>
      </c>
    </row>
    <row r="199" ht="36" customHeight="1">
      <c r="A199" s="10" t="inlineStr">
        <is>
          <t>LME_028</t>
        </is>
      </c>
      <c r="B199" s="11" t="inlineStr">
        <is>
          <t>28_646_Guinea_(1998)</t>
        </is>
      </c>
      <c r="C199" s="11" t="inlineStr">
        <is>
          <t>Selar crumenophthalmus</t>
        </is>
      </c>
      <c r="D199" s="10" t="inlineStr">
        <is>
          <t>Bigeye scad</t>
        </is>
      </c>
      <c r="E199" s="10" t="inlineStr">
        <is>
          <t>Medium pelagics (30 - 89 cm)</t>
        </is>
      </c>
      <c r="F199" s="10" t="inlineStr">
        <is>
          <t>Perch-likes</t>
        </is>
      </c>
      <c r="G199" s="11" t="inlineStr">
        <is>
          <t>Pel S inv</t>
        </is>
      </c>
      <c r="H199" s="12" t="n">
        <v>1</v>
      </c>
      <c r="I199" s="10" t="inlineStr">
        <is>
          <t>single</t>
        </is>
      </c>
      <c r="J199" s="14" t="inlineStr">
        <is>
          <t>high</t>
        </is>
      </c>
      <c r="K199" s="10" t="inlineStr">
        <is>
          <t>explicit_member</t>
        </is>
      </c>
      <c r="L199" s="11" t="inlineStr">
        <is>
          <t>Guénette &amp; Diallo 2004 Table 6 p.131 explicitly lists this taxon in the named group(s); printed and accepted names checked against WoRMS.</t>
        </is>
      </c>
      <c r="M199" s="10" t="n">
        <v>72398.216</v>
      </c>
    </row>
    <row r="200" ht="36" customHeight="1">
      <c r="A200" s="10" t="inlineStr">
        <is>
          <t>LME_028</t>
        </is>
      </c>
      <c r="B200" s="11" t="inlineStr">
        <is>
          <t>28_646_Guinea_(1998)</t>
        </is>
      </c>
      <c r="C200" s="11" t="inlineStr">
        <is>
          <t>Ablennes hians</t>
        </is>
      </c>
      <c r="D200" s="10" t="inlineStr">
        <is>
          <t>Flat needlefish</t>
        </is>
      </c>
      <c r="E200" s="10" t="inlineStr">
        <is>
          <t>Large pelagics (&gt;=90 cm)</t>
        </is>
      </c>
      <c r="F200" s="10" t="inlineStr">
        <is>
          <t>Other fishes &amp; inverts</t>
        </is>
      </c>
      <c r="G200" s="11" t="inlineStr">
        <is>
          <t>Pel L pred</t>
        </is>
      </c>
      <c r="H200" s="12" t="n">
        <v>1</v>
      </c>
      <c r="I200" s="10" t="inlineStr">
        <is>
          <t>single</t>
        </is>
      </c>
      <c r="J200" s="14" t="inlineStr">
        <is>
          <t>high</t>
        </is>
      </c>
      <c r="K200" s="10" t="inlineStr">
        <is>
          <t>explicit_member</t>
        </is>
      </c>
      <c r="L200" s="11" t="inlineStr">
        <is>
          <t>Guénette &amp; Diallo 2004 Table 6 p.131 explicitly lists this taxon in the named group(s); printed and accepted names checked against WoRMS.</t>
        </is>
      </c>
      <c r="M200" s="10" t="n">
        <v>71929.917</v>
      </c>
    </row>
    <row r="201" ht="36" customHeight="1">
      <c r="A201" s="10" t="inlineStr">
        <is>
          <t>LME_028</t>
        </is>
      </c>
      <c r="B201" s="11" t="inlineStr">
        <is>
          <t>28_646_Guinea_(1998)</t>
        </is>
      </c>
      <c r="C201" s="11" t="inlineStr">
        <is>
          <t>Soleidae</t>
        </is>
      </c>
      <c r="D201" s="10" t="inlineStr">
        <is>
          <t>Soles</t>
        </is>
      </c>
      <c r="E201" s="10" t="inlineStr">
        <is>
          <t>Small to medium flatfishes (&lt;90 cm)</t>
        </is>
      </c>
      <c r="F201" s="10" t="inlineStr">
        <is>
          <t>Flatfishes</t>
        </is>
      </c>
      <c r="G201" s="11" t="inlineStr">
        <is>
          <t>Côtier M inv</t>
        </is>
      </c>
      <c r="H201" s="12" t="n">
        <v>0.4670175254824162</v>
      </c>
      <c r="I201" s="10" t="inlineStr">
        <is>
          <t>catch_composition</t>
        </is>
      </c>
      <c r="J201" s="15" t="inlineStr">
        <is>
          <t>medium</t>
        </is>
      </c>
      <c r="K201" s="10" t="inlineStr">
        <is>
          <t>composite_split</t>
        </is>
      </c>
      <c r="L201" s="11" t="inlineStr">
        <is>
          <t>Family catch spans the union of all Table 6 member groups belonging to Soleidae under WoRMS. Every candidate is supported by a source member; source placement outranks SAU habitat class.</t>
        </is>
      </c>
      <c r="M201" s="10" t="n">
        <v>68299.007</v>
      </c>
    </row>
    <row r="202" ht="36" customHeight="1">
      <c r="A202" s="10" t="inlineStr">
        <is>
          <t>LME_028</t>
        </is>
      </c>
      <c r="B202" s="11" t="inlineStr">
        <is>
          <t>28_646_Guinea_(1998)</t>
        </is>
      </c>
      <c r="C202" s="11" t="inlineStr">
        <is>
          <t>Soleidae</t>
        </is>
      </c>
      <c r="D202" s="10" t="inlineStr">
        <is>
          <t>Soles</t>
        </is>
      </c>
      <c r="E202" s="10" t="inlineStr">
        <is>
          <t>Small to medium flatfishes (&lt;90 cm)</t>
        </is>
      </c>
      <c r="F202" s="10" t="inlineStr">
        <is>
          <t>Flatfishes</t>
        </is>
      </c>
      <c r="G202" s="11" t="inlineStr">
        <is>
          <t>Côtier S inv</t>
        </is>
      </c>
      <c r="H202" s="12" t="n">
        <v>0.5329824745175838</v>
      </c>
      <c r="I202" s="10" t="inlineStr">
        <is>
          <t>catch_composition</t>
        </is>
      </c>
      <c r="J202" s="15" t="inlineStr">
        <is>
          <t>medium</t>
        </is>
      </c>
      <c r="K202" s="10" t="inlineStr">
        <is>
          <t>composite_split</t>
        </is>
      </c>
      <c r="L202" s="11" t="inlineStr">
        <is>
          <t>Family catch spans the union of all Table 6 member groups belonging to Soleidae under WoRMS. Every candidate is supported by a source member; source placement outranks SAU habitat class.</t>
        </is>
      </c>
      <c r="M202" s="10" t="n">
        <v>68299.007</v>
      </c>
    </row>
    <row r="203" ht="36" customHeight="1">
      <c r="A203" s="10" t="inlineStr">
        <is>
          <t>LME_028</t>
        </is>
      </c>
      <c r="B203" s="11" t="inlineStr">
        <is>
          <t>28_646_Guinea_(1998)</t>
        </is>
      </c>
      <c r="C203" s="11" t="inlineStr">
        <is>
          <t>Decapterus punctatus</t>
        </is>
      </c>
      <c r="D203" s="10" t="inlineStr">
        <is>
          <t>Round scad</t>
        </is>
      </c>
      <c r="E203" s="10" t="inlineStr">
        <is>
          <t>Medium benthopelagics (30 - 89 cm)</t>
        </is>
      </c>
      <c r="F203" s="10" t="inlineStr">
        <is>
          <t>Perch-likes</t>
        </is>
      </c>
      <c r="G203" s="11" t="inlineStr">
        <is>
          <t>Pel S inv</t>
        </is>
      </c>
      <c r="H203" s="12" t="n">
        <v>1</v>
      </c>
      <c r="I203" s="10" t="inlineStr">
        <is>
          <t>single</t>
        </is>
      </c>
      <c r="J203" s="14" t="inlineStr">
        <is>
          <t>high</t>
        </is>
      </c>
      <c r="K203" s="10" t="inlineStr">
        <is>
          <t>explicit_member</t>
        </is>
      </c>
      <c r="L203" s="11" t="inlineStr">
        <is>
          <t>Guénette &amp; Diallo 2004 Table 6 p.131 explicitly lists this taxon in the named group(s); printed and accepted names checked against WoRMS.</t>
        </is>
      </c>
      <c r="M203" s="10" t="n">
        <v>67499.776</v>
      </c>
    </row>
    <row r="204" ht="36" customHeight="1">
      <c r="A204" s="10" t="inlineStr">
        <is>
          <t>LME_028</t>
        </is>
      </c>
      <c r="B204" s="11" t="inlineStr">
        <is>
          <t>28_646_Guinea_(1998)</t>
        </is>
      </c>
      <c r="C204" s="11" t="inlineStr">
        <is>
          <t>Auxis</t>
        </is>
      </c>
      <c r="D204" s="10" t="inlineStr">
        <is>
          <t>Bullet and frigate tunas</t>
        </is>
      </c>
      <c r="E204" s="10" t="inlineStr">
        <is>
          <t>Medium pelagics (30 - 89 cm)</t>
        </is>
      </c>
      <c r="F204" s="10" t="inlineStr">
        <is>
          <t>Tuna &amp; billfishes</t>
        </is>
      </c>
      <c r="G204" s="11" t="inlineStr">
        <is>
          <t>Thons mineurs</t>
        </is>
      </c>
      <c r="H204" s="12" t="n">
        <v>1</v>
      </c>
      <c r="I204" s="10" t="inlineStr">
        <is>
          <t>single</t>
        </is>
      </c>
      <c r="J204" s="15" t="inlineStr">
        <is>
          <t>medium</t>
        </is>
      </c>
      <c r="K204" s="10" t="inlineStr">
        <is>
          <t>taxonomic_containment</t>
        </is>
      </c>
      <c r="L204" s="11" t="inlineStr">
        <is>
          <t>Genus-level catch spans exactly the Table 6 groups containing its documented species. No habitat class overrides those placements.</t>
        </is>
      </c>
      <c r="M204" s="10" t="n">
        <v>66850.584</v>
      </c>
    </row>
    <row r="205" ht="36" customHeight="1">
      <c r="A205" s="10" t="inlineStr">
        <is>
          <t>LME_028</t>
        </is>
      </c>
      <c r="B205" s="11" t="inlineStr">
        <is>
          <t>28_646_Guinea_(1998)</t>
        </is>
      </c>
      <c r="C205" s="11" t="inlineStr">
        <is>
          <t>Dentex macrophthalmus</t>
        </is>
      </c>
      <c r="D205" s="10" t="inlineStr">
        <is>
          <t>Large-eye dentex</t>
        </is>
      </c>
      <c r="E205" s="10" t="inlineStr">
        <is>
          <t>Medium benthopelagics (30 - 89 cm)</t>
        </is>
      </c>
      <c r="F205" s="10" t="inlineStr">
        <is>
          <t>Perch-likes</t>
        </is>
      </c>
      <c r="G205" s="11" t="inlineStr">
        <is>
          <t>Dem M pred</t>
        </is>
      </c>
      <c r="H205" s="12" t="n">
        <v>1</v>
      </c>
      <c r="I205" s="10" t="inlineStr">
        <is>
          <t>single</t>
        </is>
      </c>
      <c r="J205" s="14" t="inlineStr">
        <is>
          <t>high</t>
        </is>
      </c>
      <c r="K205" s="10" t="inlineStr">
        <is>
          <t>explicit_member</t>
        </is>
      </c>
      <c r="L205" s="11" t="inlineStr">
        <is>
          <t>Guénette &amp; Diallo 2004 Table 6 p.131 explicitly lists this taxon in the named group(s); printed and accepted names checked against WoRMS.</t>
        </is>
      </c>
      <c r="M205" s="10" t="n">
        <v>64056.767</v>
      </c>
    </row>
    <row r="206" ht="36" customHeight="1">
      <c r="A206" s="10" t="inlineStr">
        <is>
          <t>LME_028</t>
        </is>
      </c>
      <c r="B206" s="11" t="inlineStr">
        <is>
          <t>28_646_Guinea_(1998)</t>
        </is>
      </c>
      <c r="C206" s="11" t="inlineStr">
        <is>
          <t>Sphyrna zygaena</t>
        </is>
      </c>
      <c r="D206" s="10" t="inlineStr">
        <is>
          <t>Smooth hammerhead</t>
        </is>
      </c>
      <c r="E206" s="10" t="inlineStr">
        <is>
          <t>Large sharks (&gt;=90 cm)</t>
        </is>
      </c>
      <c r="F206" s="10" t="inlineStr">
        <is>
          <t>Sharks &amp; rays</t>
        </is>
      </c>
      <c r="G206" s="11" t="inlineStr">
        <is>
          <t>Sélaciens L prof</t>
        </is>
      </c>
      <c r="H206" s="12" t="n">
        <v>1</v>
      </c>
      <c r="I206" s="10" t="inlineStr">
        <is>
          <t>single</t>
        </is>
      </c>
      <c r="J206" s="14" t="inlineStr">
        <is>
          <t>high</t>
        </is>
      </c>
      <c r="K206" s="10" t="inlineStr">
        <is>
          <t>explicit_member</t>
        </is>
      </c>
      <c r="L206" s="11" t="inlineStr">
        <is>
          <t>Guénette &amp; Diallo 2004 Table 6 p.131 explicitly lists this taxon in the named group(s); printed and accepted names checked against WoRMS.</t>
        </is>
      </c>
      <c r="M206" s="10" t="n">
        <v>62228.006</v>
      </c>
    </row>
    <row r="207" ht="21" customHeight="1">
      <c r="A207" s="10" t="inlineStr">
        <is>
          <t>LME_028</t>
        </is>
      </c>
      <c r="B207" s="11" t="inlineStr">
        <is>
          <t>28_646_Guinea_(1998)</t>
        </is>
      </c>
      <c r="C207" s="11" t="inlineStr">
        <is>
          <t>Octopus</t>
        </is>
      </c>
      <c r="D207" s="10" t="inlineStr">
        <is>
          <t>Octopuses, pikas</t>
        </is>
      </c>
      <c r="E207" s="10" t="inlineStr">
        <is>
          <t>Cephalopods</t>
        </is>
      </c>
      <c r="F207" s="10" t="inlineStr">
        <is>
          <t>Other fishes &amp; inverts</t>
        </is>
      </c>
      <c r="G207" s="11" t="inlineStr">
        <is>
          <t>Céphalopodes</t>
        </is>
      </c>
      <c r="H207" s="12" t="n">
        <v>1</v>
      </c>
      <c r="I207" s="10" t="inlineStr">
        <is>
          <t>single</t>
        </is>
      </c>
      <c r="J207" s="14" t="inlineStr">
        <is>
          <t>high</t>
        </is>
      </c>
      <c r="K207" s="10" t="inlineStr">
        <is>
          <t>taxonomic_containment</t>
        </is>
      </c>
      <c r="L207" s="11" t="inlineStr">
        <is>
          <t>Source p.125 explicitly includes all cephalopods, including octopus, cuttlefish and squid.</t>
        </is>
      </c>
      <c r="M207" s="10" t="n">
        <v>61885.691</v>
      </c>
    </row>
    <row r="208" ht="51" customHeight="1">
      <c r="A208" s="10" t="inlineStr">
        <is>
          <t>LME_028</t>
        </is>
      </c>
      <c r="B208" s="11" t="inlineStr">
        <is>
          <t>28_646_Guinea_(1998)</t>
        </is>
      </c>
      <c r="C208" s="11" t="inlineStr">
        <is>
          <t>Gobiidae</t>
        </is>
      </c>
      <c r="D208" s="10" t="inlineStr">
        <is>
          <t>Gobies</t>
        </is>
      </c>
      <c r="E208" s="10" t="inlineStr">
        <is>
          <t>Small reef assoc. fish (&lt;30 cm)</t>
        </is>
      </c>
      <c r="F208" s="10" t="inlineStr">
        <is>
          <t>Perch-likes</t>
        </is>
      </c>
      <c r="G208" s="11" t="inlineStr">
        <is>
          <t>Unresolved</t>
        </is>
      </c>
      <c r="H208" s="12" t="n"/>
      <c r="I208" s="10" t="inlineStr"/>
      <c r="J208" s="16" t="inlineStr">
        <is>
          <t>unresolved</t>
        </is>
      </c>
      <c r="K208" s="10" t="inlineStr">
        <is>
          <t>none</t>
        </is>
      </c>
      <c r="L20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08" s="10" t="n">
        <v>61736.349</v>
      </c>
    </row>
    <row r="209" ht="36" customHeight="1">
      <c r="A209" s="10" t="inlineStr">
        <is>
          <t>LME_028</t>
        </is>
      </c>
      <c r="B209" s="11" t="inlineStr">
        <is>
          <t>28_646_Guinea_(1998)</t>
        </is>
      </c>
      <c r="C209" s="11" t="inlineStr">
        <is>
          <t>Carcharhinus</t>
        </is>
      </c>
      <c r="D209" s="10" t="inlineStr">
        <is>
          <t>Sharp-nosed sharks</t>
        </is>
      </c>
      <c r="E209" s="10" t="inlineStr">
        <is>
          <t>Large sharks (&gt;=90 cm)</t>
        </is>
      </c>
      <c r="F209" s="10" t="inlineStr">
        <is>
          <t>Sharks &amp; rays</t>
        </is>
      </c>
      <c r="G209" s="11" t="inlineStr">
        <is>
          <t>Sélaciens L côtiers</t>
        </is>
      </c>
      <c r="H209" s="12" t="n">
        <v>0.1103590714806073</v>
      </c>
      <c r="I209" s="10" t="inlineStr">
        <is>
          <t>catch_composition</t>
        </is>
      </c>
      <c r="J209" s="15" t="inlineStr">
        <is>
          <t>medium</t>
        </is>
      </c>
      <c r="K209" s="10" t="inlineStr">
        <is>
          <t>composite_split</t>
        </is>
      </c>
      <c r="L209" s="11" t="inlineStr">
        <is>
          <t>Genus-level catch spans exactly the Table 6 groups containing its documented species. No habitat class overrides those placements.</t>
        </is>
      </c>
      <c r="M209" s="10" t="n">
        <v>60306.677</v>
      </c>
    </row>
    <row r="210" ht="36" customHeight="1">
      <c r="A210" s="10" t="inlineStr">
        <is>
          <t>LME_028</t>
        </is>
      </c>
      <c r="B210" s="11" t="inlineStr">
        <is>
          <t>28_646_Guinea_(1998)</t>
        </is>
      </c>
      <c r="C210" s="11" t="inlineStr">
        <is>
          <t>Carcharhinus</t>
        </is>
      </c>
      <c r="D210" s="10" t="inlineStr">
        <is>
          <t>Sharp-nosed sharks</t>
        </is>
      </c>
      <c r="E210" s="10" t="inlineStr">
        <is>
          <t>Large sharks (&gt;=90 cm)</t>
        </is>
      </c>
      <c r="F210" s="10" t="inlineStr">
        <is>
          <t>Sharks &amp; rays</t>
        </is>
      </c>
      <c r="G210" s="11" t="inlineStr">
        <is>
          <t>Sélaciens L prof</t>
        </is>
      </c>
      <c r="H210" s="12" t="n">
        <v>0.8896409285193926</v>
      </c>
      <c r="I210" s="10" t="inlineStr">
        <is>
          <t>catch_composition</t>
        </is>
      </c>
      <c r="J210" s="15" t="inlineStr">
        <is>
          <t>medium</t>
        </is>
      </c>
      <c r="K210" s="10" t="inlineStr">
        <is>
          <t>composite_split</t>
        </is>
      </c>
      <c r="L210" s="11" t="inlineStr">
        <is>
          <t>Genus-level catch spans exactly the Table 6 groups containing its documented species. No habitat class overrides those placements.</t>
        </is>
      </c>
      <c r="M210" s="10" t="n">
        <v>60306.677</v>
      </c>
    </row>
    <row r="211" ht="36" customHeight="1">
      <c r="A211" s="10" t="inlineStr">
        <is>
          <t>LME_028</t>
        </is>
      </c>
      <c r="B211" s="11" t="inlineStr">
        <is>
          <t>28_646_Guinea_(1998)</t>
        </is>
      </c>
      <c r="C211" s="11" t="inlineStr">
        <is>
          <t>Trachinotus ovatus</t>
        </is>
      </c>
      <c r="D211" s="10" t="inlineStr">
        <is>
          <t>Pompano</t>
        </is>
      </c>
      <c r="E211" s="10" t="inlineStr">
        <is>
          <t>Medium pelagics (30 - 89 cm)</t>
        </is>
      </c>
      <c r="F211" s="10" t="inlineStr">
        <is>
          <t>Perch-likes</t>
        </is>
      </c>
      <c r="G211" s="11" t="inlineStr">
        <is>
          <t>Côtier pel L pred</t>
        </is>
      </c>
      <c r="H211" s="12" t="n">
        <v>1</v>
      </c>
      <c r="I211" s="10" t="inlineStr">
        <is>
          <t>single</t>
        </is>
      </c>
      <c r="J211" s="15" t="inlineStr">
        <is>
          <t>medium</t>
        </is>
      </c>
      <c r="K211" s="10" t="inlineStr">
        <is>
          <t>analogue</t>
        </is>
      </c>
      <c r="L211" s="11" t="inlineStr">
        <is>
          <t>Species not individually listed: its genus has one documented Table 6 group, supported by the catch's Medium pelagics (30 - 89 cm) class. Congeneric extension is inference.</t>
        </is>
      </c>
      <c r="M211" s="10" t="n">
        <v>59742.099</v>
      </c>
    </row>
    <row r="212" ht="36" customHeight="1">
      <c r="A212" s="10" t="inlineStr">
        <is>
          <t>LME_028</t>
        </is>
      </c>
      <c r="B212" s="11" t="inlineStr">
        <is>
          <t>28_646_Guinea_(1998)</t>
        </is>
      </c>
      <c r="C212" s="11" t="inlineStr">
        <is>
          <t>Pseudotolithus senegallus</t>
        </is>
      </c>
      <c r="D212" s="10" t="inlineStr">
        <is>
          <t>Law croaker</t>
        </is>
      </c>
      <c r="E212" s="10" t="inlineStr">
        <is>
          <t>Large demersals (&gt;=90 cm)</t>
        </is>
      </c>
      <c r="F212" s="10" t="inlineStr">
        <is>
          <t>Perch-likes</t>
        </is>
      </c>
      <c r="G212" s="11" t="inlineStr">
        <is>
          <t>Bars</t>
        </is>
      </c>
      <c r="H212" s="12" t="n">
        <v>1</v>
      </c>
      <c r="I212" s="10" t="inlineStr">
        <is>
          <t>single</t>
        </is>
      </c>
      <c r="J212" s="14" t="inlineStr">
        <is>
          <t>high</t>
        </is>
      </c>
      <c r="K212" s="10" t="inlineStr">
        <is>
          <t>explicit_member</t>
        </is>
      </c>
      <c r="L212" s="11" t="inlineStr">
        <is>
          <t>Guénette &amp; Diallo 2004 Table 6 p.131 explicitly lists this taxon in the named group(s); printed and accepted names checked against WoRMS.</t>
        </is>
      </c>
      <c r="M212" s="10" t="n">
        <v>59598.185</v>
      </c>
    </row>
    <row r="213" ht="51" customHeight="1">
      <c r="A213" s="10" t="inlineStr">
        <is>
          <t>LME_028</t>
        </is>
      </c>
      <c r="B213" s="11" t="inlineStr">
        <is>
          <t>28_646_Guinea_(1998)</t>
        </is>
      </c>
      <c r="C213" s="11" t="inlineStr">
        <is>
          <t>Mugil cephalus</t>
        </is>
      </c>
      <c r="D213" s="10" t="inlineStr">
        <is>
          <t>Flathead grey mullet</t>
        </is>
      </c>
      <c r="E213" s="10" t="inlineStr">
        <is>
          <t>Large benthopelagics (&gt;=90 cm)</t>
        </is>
      </c>
      <c r="F213" s="10" t="inlineStr">
        <is>
          <t>Perch-likes</t>
        </is>
      </c>
      <c r="G213" s="11" t="inlineStr">
        <is>
          <t>Unresolved</t>
        </is>
      </c>
      <c r="H213" s="12" t="n"/>
      <c r="I213" s="10" t="inlineStr"/>
      <c r="J213" s="16" t="inlineStr">
        <is>
          <t>unresolved</t>
        </is>
      </c>
      <c r="K213" s="10" t="inlineStr">
        <is>
          <t>none</t>
        </is>
      </c>
      <c r="L21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13" s="10" t="n">
        <v>58977.867</v>
      </c>
    </row>
    <row r="214" ht="36" customHeight="1">
      <c r="A214" s="10" t="inlineStr">
        <is>
          <t>LME_028</t>
        </is>
      </c>
      <c r="B214" s="11" t="inlineStr">
        <is>
          <t>28_646_Guinea_(1998)</t>
        </is>
      </c>
      <c r="C214" s="11" t="inlineStr">
        <is>
          <t>Ocypode cursor</t>
        </is>
      </c>
      <c r="D214" s="10" t="inlineStr">
        <is>
          <t>Tufted ghost crab</t>
        </is>
      </c>
      <c r="E214" s="10" t="inlineStr">
        <is>
          <t>Lobsters, crabs</t>
        </is>
      </c>
      <c r="F214" s="10" t="inlineStr">
        <is>
          <t>Crustaceans</t>
        </is>
      </c>
      <c r="G214" s="11" t="inlineStr">
        <is>
          <t>Crustacés</t>
        </is>
      </c>
      <c r="H214" s="12" t="n">
        <v>1</v>
      </c>
      <c r="I214" s="10" t="inlineStr">
        <is>
          <t>single</t>
        </is>
      </c>
      <c r="J214" s="14" t="inlineStr">
        <is>
          <t>high</t>
        </is>
      </c>
      <c r="K214" s="10" t="inlineStr">
        <is>
          <t>taxonomic_containment</t>
        </is>
      </c>
      <c r="L214" s="11" t="inlineStr">
        <is>
          <t>WoRMS crustacean taxonomy and SAU shrimp/crab/lobster class agree with the source Crustacés definition on p.125.</t>
        </is>
      </c>
      <c r="M214" s="10" t="n">
        <v>58921.226</v>
      </c>
    </row>
    <row r="215" ht="36" customHeight="1">
      <c r="A215" s="10" t="inlineStr">
        <is>
          <t>LME_028</t>
        </is>
      </c>
      <c r="B215" s="11" t="inlineStr">
        <is>
          <t>28_646_Guinea_(1998)</t>
        </is>
      </c>
      <c r="C215" s="11" t="inlineStr">
        <is>
          <t>Callinectes marginatus</t>
        </is>
      </c>
      <c r="D215" s="10" t="inlineStr">
        <is>
          <t>Marbled swimcrab</t>
        </is>
      </c>
      <c r="E215" s="10" t="inlineStr">
        <is>
          <t>Lobsters, crabs</t>
        </is>
      </c>
      <c r="F215" s="10" t="inlineStr">
        <is>
          <t>Crustaceans</t>
        </is>
      </c>
      <c r="G215" s="11" t="inlineStr">
        <is>
          <t>Crustacés</t>
        </is>
      </c>
      <c r="H215" s="12" t="n">
        <v>1</v>
      </c>
      <c r="I215" s="10" t="inlineStr">
        <is>
          <t>single</t>
        </is>
      </c>
      <c r="J215" s="14" t="inlineStr">
        <is>
          <t>high</t>
        </is>
      </c>
      <c r="K215" s="10" t="inlineStr">
        <is>
          <t>taxonomic_containment</t>
        </is>
      </c>
      <c r="L215" s="11" t="inlineStr">
        <is>
          <t>WoRMS crustacean taxonomy and SAU shrimp/crab/lobster class agree with the source Crustacés definition on p.125.</t>
        </is>
      </c>
      <c r="M215" s="10" t="n">
        <v>58904.172</v>
      </c>
    </row>
    <row r="216" ht="21" customHeight="1">
      <c r="A216" s="10" t="inlineStr">
        <is>
          <t>LME_028</t>
        </is>
      </c>
      <c r="B216" s="11" t="inlineStr">
        <is>
          <t>28_646_Guinea_(1998)</t>
        </is>
      </c>
      <c r="C216" s="11" t="inlineStr">
        <is>
          <t>Mytilidae</t>
        </is>
      </c>
      <c r="D216" s="10" t="inlineStr">
        <is>
          <t>Sea mussels</t>
        </is>
      </c>
      <c r="E216" s="10" t="inlineStr">
        <is>
          <t>Other demersal invertebrates</t>
        </is>
      </c>
      <c r="F216" s="10" t="inlineStr">
        <is>
          <t>Molluscs</t>
        </is>
      </c>
      <c r="G216" s="11" t="inlineStr">
        <is>
          <t>Benthos</t>
        </is>
      </c>
      <c r="H216" s="12" t="n">
        <v>1</v>
      </c>
      <c r="I216" s="10" t="inlineStr">
        <is>
          <t>single</t>
        </is>
      </c>
      <c r="J216" s="14" t="inlineStr">
        <is>
          <t>high</t>
        </is>
      </c>
      <c r="K216" s="10" t="inlineStr">
        <is>
          <t>taxonomic_containment</t>
        </is>
      </c>
      <c r="L216" s="11" t="inlineStr">
        <is>
          <t>Non-cephalopod benthic molluscs and echinoderms are explicitly included in Benthos on p.126.</t>
        </is>
      </c>
      <c r="M216" s="10" t="n">
        <v>58894.684</v>
      </c>
    </row>
    <row r="217" ht="36" customHeight="1">
      <c r="A217" s="10" t="inlineStr">
        <is>
          <t>LME_028</t>
        </is>
      </c>
      <c r="B217" s="11" t="inlineStr">
        <is>
          <t>28_646_Guinea_(1998)</t>
        </is>
      </c>
      <c r="C217" s="11" t="inlineStr">
        <is>
          <t>Seriola dumerili</t>
        </is>
      </c>
      <c r="D217" s="10" t="inlineStr">
        <is>
          <t>Greater amberjack</t>
        </is>
      </c>
      <c r="E217" s="10" t="inlineStr">
        <is>
          <t>Large reef assoc. fish (&gt;=90 cm)</t>
        </is>
      </c>
      <c r="F217" s="10" t="inlineStr">
        <is>
          <t>Perch-likes</t>
        </is>
      </c>
      <c r="G217" s="11" t="inlineStr">
        <is>
          <t>Côtier pel L pred</t>
        </is>
      </c>
      <c r="H217" s="12" t="n">
        <v>1</v>
      </c>
      <c r="I217" s="10" t="inlineStr">
        <is>
          <t>single</t>
        </is>
      </c>
      <c r="J217" s="14" t="inlineStr">
        <is>
          <t>high</t>
        </is>
      </c>
      <c r="K217" s="10" t="inlineStr">
        <is>
          <t>explicit_member</t>
        </is>
      </c>
      <c r="L217" s="11" t="inlineStr">
        <is>
          <t>Guénette &amp; Diallo 2004 Table 6 p.131 explicitly lists this taxon in the named group(s); printed and accepted names checked against WoRMS.</t>
        </is>
      </c>
      <c r="M217" s="10" t="n">
        <v>58852.398</v>
      </c>
    </row>
    <row r="218" ht="36" customHeight="1">
      <c r="A218" s="10" t="inlineStr">
        <is>
          <t>LME_028</t>
        </is>
      </c>
      <c r="B218" s="11" t="inlineStr">
        <is>
          <t>28_646_Guinea_(1998)</t>
        </is>
      </c>
      <c r="C218" s="11" t="inlineStr">
        <is>
          <t>Merluccius polli</t>
        </is>
      </c>
      <c r="D218" s="10" t="inlineStr">
        <is>
          <t>Benguela hake</t>
        </is>
      </c>
      <c r="E218" s="10" t="inlineStr">
        <is>
          <t>Medium bathydemersals (30 - 89 cm)</t>
        </is>
      </c>
      <c r="F218" s="10" t="inlineStr">
        <is>
          <t>Cod-likes</t>
        </is>
      </c>
      <c r="G218" s="11" t="inlineStr">
        <is>
          <t>Dem L pred</t>
        </is>
      </c>
      <c r="H218" s="12" t="n">
        <v>1</v>
      </c>
      <c r="I218" s="10" t="inlineStr">
        <is>
          <t>single</t>
        </is>
      </c>
      <c r="J218" s="14" t="inlineStr">
        <is>
          <t>high</t>
        </is>
      </c>
      <c r="K218" s="10" t="inlineStr">
        <is>
          <t>explicit_member</t>
        </is>
      </c>
      <c r="L218" s="11" t="inlineStr">
        <is>
          <t>Guénette &amp; Diallo 2004 Table 6 p.131 explicitly lists this taxon in the named group(s); printed and accepted names checked against WoRMS.</t>
        </is>
      </c>
      <c r="M218" s="10" t="n">
        <v>57248.29</v>
      </c>
    </row>
    <row r="219" ht="21" customHeight="1">
      <c r="A219" s="10" t="inlineStr">
        <is>
          <t>LME_028</t>
        </is>
      </c>
      <c r="B219" s="11" t="inlineStr">
        <is>
          <t>28_646_Guinea_(1998)</t>
        </is>
      </c>
      <c r="C219" s="11" t="inlineStr">
        <is>
          <t>Cymbium</t>
        </is>
      </c>
      <c r="D219" s="10" t="inlineStr">
        <is>
          <t>Volutes</t>
        </is>
      </c>
      <c r="E219" s="10" t="inlineStr">
        <is>
          <t>Other demersal invertebrates</t>
        </is>
      </c>
      <c r="F219" s="10" t="inlineStr">
        <is>
          <t>Molluscs</t>
        </is>
      </c>
      <c r="G219" s="11" t="inlineStr">
        <is>
          <t>Benthos</t>
        </is>
      </c>
      <c r="H219" s="12" t="n">
        <v>1</v>
      </c>
      <c r="I219" s="10" t="inlineStr">
        <is>
          <t>single</t>
        </is>
      </c>
      <c r="J219" s="14" t="inlineStr">
        <is>
          <t>high</t>
        </is>
      </c>
      <c r="K219" s="10" t="inlineStr">
        <is>
          <t>taxonomic_containment</t>
        </is>
      </c>
      <c r="L219" s="11" t="inlineStr">
        <is>
          <t>Non-cephalopod benthic molluscs and echinoderms are explicitly included in Benthos on p.126.</t>
        </is>
      </c>
      <c r="M219" s="10" t="n">
        <v>55863.668</v>
      </c>
    </row>
    <row r="220" ht="36" customHeight="1">
      <c r="A220" s="10" t="inlineStr">
        <is>
          <t>LME_028</t>
        </is>
      </c>
      <c r="B220" s="11" t="inlineStr">
        <is>
          <t>28_646_Guinea_(1998)</t>
        </is>
      </c>
      <c r="C220" s="11" t="inlineStr">
        <is>
          <t>Mugil</t>
        </is>
      </c>
      <c r="D220" s="10" t="inlineStr">
        <is>
          <t>Grey mullets</t>
        </is>
      </c>
      <c r="E220" s="10" t="inlineStr">
        <is>
          <t>Medium demersals (30 - 89 cm)</t>
        </is>
      </c>
      <c r="F220" s="10" t="inlineStr">
        <is>
          <t>Perch-likes</t>
        </is>
      </c>
      <c r="G220" s="11" t="inlineStr">
        <is>
          <t>Dem M inv</t>
        </is>
      </c>
      <c r="H220" s="12" t="n">
        <v>0.9267106326325442</v>
      </c>
      <c r="I220" s="10" t="inlineStr">
        <is>
          <t>catch_composition</t>
        </is>
      </c>
      <c r="J220" s="15" t="inlineStr">
        <is>
          <t>medium</t>
        </is>
      </c>
      <c r="K220" s="10" t="inlineStr">
        <is>
          <t>composite_split</t>
        </is>
      </c>
      <c r="L220" s="11" t="inlineStr">
        <is>
          <t>Genus-level catch spans exactly the Table 6 groups containing its documented species. No habitat class overrides those placements.</t>
        </is>
      </c>
      <c r="M220" s="10" t="n">
        <v>55086.687</v>
      </c>
    </row>
    <row r="221" ht="36" customHeight="1">
      <c r="A221" s="10" t="inlineStr">
        <is>
          <t>LME_028</t>
        </is>
      </c>
      <c r="B221" s="11" t="inlineStr">
        <is>
          <t>28_646_Guinea_(1998)</t>
        </is>
      </c>
      <c r="C221" s="11" t="inlineStr">
        <is>
          <t>Mugil</t>
        </is>
      </c>
      <c r="D221" s="10" t="inlineStr">
        <is>
          <t>Grey mullets</t>
        </is>
      </c>
      <c r="E221" s="10" t="inlineStr">
        <is>
          <t>Medium demersals (30 - 89 cm)</t>
        </is>
      </c>
      <c r="F221" s="10" t="inlineStr">
        <is>
          <t>Perch-likes</t>
        </is>
      </c>
      <c r="G221" s="11" t="inlineStr">
        <is>
          <t>Mulets</t>
        </is>
      </c>
      <c r="H221" s="12" t="n">
        <v>0.0732893673674558</v>
      </c>
      <c r="I221" s="10" t="inlineStr">
        <is>
          <t>catch_composition</t>
        </is>
      </c>
      <c r="J221" s="15" t="inlineStr">
        <is>
          <t>medium</t>
        </is>
      </c>
      <c r="K221" s="10" t="inlineStr">
        <is>
          <t>composite_split</t>
        </is>
      </c>
      <c r="L221" s="11" t="inlineStr">
        <is>
          <t>Genus-level catch spans exactly the Table 6 groups containing its documented species. No habitat class overrides those placements.</t>
        </is>
      </c>
      <c r="M221" s="10" t="n">
        <v>55086.687</v>
      </c>
    </row>
    <row r="222" ht="36" customHeight="1">
      <c r="A222" s="10" t="inlineStr">
        <is>
          <t>LME_028</t>
        </is>
      </c>
      <c r="B222" s="11" t="inlineStr">
        <is>
          <t>28_646_Guinea_(1998)</t>
        </is>
      </c>
      <c r="C222" s="11" t="inlineStr">
        <is>
          <t>Epinephelus aeneus</t>
        </is>
      </c>
      <c r="D222" s="10" t="inlineStr">
        <is>
          <t>White grouper</t>
        </is>
      </c>
      <c r="E222" s="10" t="inlineStr">
        <is>
          <t>Large demersals (&gt;=90 cm)</t>
        </is>
      </c>
      <c r="F222" s="10" t="inlineStr">
        <is>
          <t>Perch-likes</t>
        </is>
      </c>
      <c r="G222" s="11" t="inlineStr">
        <is>
          <t>Dem L pred</t>
        </is>
      </c>
      <c r="H222" s="12" t="n">
        <v>1</v>
      </c>
      <c r="I222" s="10" t="inlineStr">
        <is>
          <t>single</t>
        </is>
      </c>
      <c r="J222" s="14" t="inlineStr">
        <is>
          <t>high</t>
        </is>
      </c>
      <c r="K222" s="10" t="inlineStr">
        <is>
          <t>explicit_member</t>
        </is>
      </c>
      <c r="L222" s="11" t="inlineStr">
        <is>
          <t>Guénette &amp; Diallo 2004 Table 6 p.131 explicitly lists this taxon in the named group(s); printed and accepted names checked against WoRMS.</t>
        </is>
      </c>
      <c r="M222" s="10" t="n">
        <v>51901.999</v>
      </c>
    </row>
    <row r="223" ht="36" customHeight="1">
      <c r="A223" s="10" t="inlineStr">
        <is>
          <t>LME_028</t>
        </is>
      </c>
      <c r="B223" s="11" t="inlineStr">
        <is>
          <t>28_646_Guinea_(1998)</t>
        </is>
      </c>
      <c r="C223" s="11" t="inlineStr">
        <is>
          <t>Pomadasys incisus</t>
        </is>
      </c>
      <c r="D223" s="10" t="inlineStr">
        <is>
          <t>Bastard grunt</t>
        </is>
      </c>
      <c r="E223" s="10" t="inlineStr">
        <is>
          <t>Medium demersals (30 - 89 cm)</t>
        </is>
      </c>
      <c r="F223" s="10" t="inlineStr">
        <is>
          <t>Perch-likes</t>
        </is>
      </c>
      <c r="G223" s="11" t="inlineStr">
        <is>
          <t>Côtier M inv</t>
        </is>
      </c>
      <c r="H223" s="12" t="n">
        <v>1</v>
      </c>
      <c r="I223" s="10" t="inlineStr">
        <is>
          <t>single</t>
        </is>
      </c>
      <c r="J223" s="14" t="inlineStr">
        <is>
          <t>high</t>
        </is>
      </c>
      <c r="K223" s="10" t="inlineStr">
        <is>
          <t>explicit_member</t>
        </is>
      </c>
      <c r="L223" s="11" t="inlineStr">
        <is>
          <t>Guénette &amp; Diallo 2004 Table 6 p.131 explicitly lists this taxon in the named group(s); printed and accepted names checked against WoRMS.</t>
        </is>
      </c>
      <c r="M223" s="10" t="n">
        <v>51741.948</v>
      </c>
    </row>
    <row r="224" ht="36" customHeight="1">
      <c r="A224" s="10" t="inlineStr">
        <is>
          <t>LME_028</t>
        </is>
      </c>
      <c r="B224" s="11" t="inlineStr">
        <is>
          <t>28_646_Guinea_(1998)</t>
        </is>
      </c>
      <c r="C224" s="11" t="inlineStr">
        <is>
          <t>Aristaeopsis edwardsiana</t>
        </is>
      </c>
      <c r="D224" s="10" t="inlineStr">
        <is>
          <t>Scarlet shrimp</t>
        </is>
      </c>
      <c r="E224" s="10" t="inlineStr">
        <is>
          <t>Shrimps</t>
        </is>
      </c>
      <c r="F224" s="10" t="inlineStr">
        <is>
          <t>Crustaceans</t>
        </is>
      </c>
      <c r="G224" s="11" t="inlineStr">
        <is>
          <t>Crustacés</t>
        </is>
      </c>
      <c r="H224" s="12" t="n">
        <v>1</v>
      </c>
      <c r="I224" s="10" t="inlineStr">
        <is>
          <t>single</t>
        </is>
      </c>
      <c r="J224" s="14" t="inlineStr">
        <is>
          <t>high</t>
        </is>
      </c>
      <c r="K224" s="10" t="inlineStr">
        <is>
          <t>taxonomic_containment</t>
        </is>
      </c>
      <c r="L224" s="11" t="inlineStr">
        <is>
          <t>WoRMS crustacean taxonomy and SAU shrimp/crab/lobster class agree with the source Crustacés definition on p.125.</t>
        </is>
      </c>
      <c r="M224" s="10" t="n">
        <v>49302.079</v>
      </c>
    </row>
    <row r="225" ht="36" customHeight="1">
      <c r="A225" s="10" t="inlineStr">
        <is>
          <t>LME_028</t>
        </is>
      </c>
      <c r="B225" s="11" t="inlineStr">
        <is>
          <t>28_646_Guinea_(1998)</t>
        </is>
      </c>
      <c r="C225" s="11" t="inlineStr">
        <is>
          <t>Plectorhinchus mediterraneus</t>
        </is>
      </c>
      <c r="D225" s="10" t="inlineStr">
        <is>
          <t>Rubberlip grunt</t>
        </is>
      </c>
      <c r="E225" s="10" t="inlineStr">
        <is>
          <t>Medium demersals (30 - 89 cm)</t>
        </is>
      </c>
      <c r="F225" s="10" t="inlineStr">
        <is>
          <t>Perch-likes</t>
        </is>
      </c>
      <c r="G225" s="11" t="inlineStr">
        <is>
          <t>Dem M inv</t>
        </is>
      </c>
      <c r="H225" s="12" t="n">
        <v>1</v>
      </c>
      <c r="I225" s="10" t="inlineStr">
        <is>
          <t>single</t>
        </is>
      </c>
      <c r="J225" s="14" t="inlineStr">
        <is>
          <t>high</t>
        </is>
      </c>
      <c r="K225" s="10" t="inlineStr">
        <is>
          <t>explicit_member</t>
        </is>
      </c>
      <c r="L225" s="11" t="inlineStr">
        <is>
          <t>Guénette &amp; Diallo 2004 Table 6 p.131 explicitly lists this taxon in the named group(s); printed and accepted names checked against WoRMS.</t>
        </is>
      </c>
      <c r="M225" s="10" t="n">
        <v>49082.835</v>
      </c>
    </row>
    <row r="226" ht="51" customHeight="1">
      <c r="A226" s="10" t="inlineStr">
        <is>
          <t>LME_028</t>
        </is>
      </c>
      <c r="B226" s="11" t="inlineStr">
        <is>
          <t>28_646_Guinea_(1998)</t>
        </is>
      </c>
      <c r="C226" s="11" t="inlineStr">
        <is>
          <t>Istiophoridae</t>
        </is>
      </c>
      <c r="D226" s="10" t="inlineStr">
        <is>
          <t>Billfishes</t>
        </is>
      </c>
      <c r="E226" s="10" t="inlineStr">
        <is>
          <t>Large pelagics (&gt;=90 cm)</t>
        </is>
      </c>
      <c r="F226" s="10" t="inlineStr">
        <is>
          <t>Tuna &amp; billfishes</t>
        </is>
      </c>
      <c r="G226" s="11" t="inlineStr">
        <is>
          <t>Thons majeurs</t>
        </is>
      </c>
      <c r="H226" s="12" t="n">
        <v>1</v>
      </c>
      <c r="I226" s="10" t="inlineStr">
        <is>
          <t>single</t>
        </is>
      </c>
      <c r="J226" s="15" t="inlineStr">
        <is>
          <t>medium</t>
        </is>
      </c>
      <c r="K226" s="10" t="inlineStr">
        <is>
          <t>taxonomic_containment</t>
        </is>
      </c>
      <c r="L226" s="11" t="inlineStr">
        <is>
          <t>Family catch spans the union of all Table 6 member groups belonging to Istiophoridae under WoRMS. Every candidate is supported by a source member; source placement outranks SAU habitat class.</t>
        </is>
      </c>
      <c r="M226" s="10" t="n">
        <v>47329.851</v>
      </c>
    </row>
    <row r="227" ht="51" customHeight="1">
      <c r="A227" s="10" t="inlineStr">
        <is>
          <t>LME_028</t>
        </is>
      </c>
      <c r="B227" s="11" t="inlineStr">
        <is>
          <t>28_646_Guinea_(1998)</t>
        </is>
      </c>
      <c r="C227" s="11" t="inlineStr">
        <is>
          <t>Brotula barbata</t>
        </is>
      </c>
      <c r="D227" s="10" t="inlineStr">
        <is>
          <t>Bearded brotula</t>
        </is>
      </c>
      <c r="E227" s="10" t="inlineStr">
        <is>
          <t>Medium benthopelagics (30 - 89 cm)</t>
        </is>
      </c>
      <c r="F227" s="10" t="inlineStr">
        <is>
          <t>Other fishes &amp; inverts</t>
        </is>
      </c>
      <c r="G227" s="11" t="inlineStr">
        <is>
          <t>Unresolved</t>
        </is>
      </c>
      <c r="H227" s="12" t="n"/>
      <c r="I227" s="10" t="inlineStr"/>
      <c r="J227" s="16" t="inlineStr">
        <is>
          <t>unresolved</t>
        </is>
      </c>
      <c r="K227" s="10" t="inlineStr">
        <is>
          <t>none</t>
        </is>
      </c>
      <c r="L227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27" s="10" t="n">
        <v>45754.683</v>
      </c>
    </row>
    <row r="228" ht="51" customHeight="1">
      <c r="A228" s="10" t="inlineStr">
        <is>
          <t>LME_028</t>
        </is>
      </c>
      <c r="B228" s="11" t="inlineStr">
        <is>
          <t>28_646_Guinea_(1998)</t>
        </is>
      </c>
      <c r="C228" s="11" t="inlineStr">
        <is>
          <t>Dentex angolensis</t>
        </is>
      </c>
      <c r="D228" s="10" t="inlineStr">
        <is>
          <t>Angolan dentex</t>
        </is>
      </c>
      <c r="E228" s="10" t="inlineStr">
        <is>
          <t>Small demersals (&lt;30 cm)</t>
        </is>
      </c>
      <c r="F228" s="10" t="inlineStr">
        <is>
          <t>Perch-likes</t>
        </is>
      </c>
      <c r="G228" s="11" t="inlineStr">
        <is>
          <t>Unresolved</t>
        </is>
      </c>
      <c r="H228" s="12" t="n"/>
      <c r="I228" s="10" t="inlineStr"/>
      <c r="J228" s="16" t="inlineStr">
        <is>
          <t>unresolved</t>
        </is>
      </c>
      <c r="K228" s="10" t="inlineStr">
        <is>
          <t>none</t>
        </is>
      </c>
      <c r="L22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28" s="10" t="n">
        <v>39612.801</v>
      </c>
    </row>
    <row r="229" ht="36" customHeight="1">
      <c r="A229" s="10" t="inlineStr">
        <is>
          <t>LME_028</t>
        </is>
      </c>
      <c r="B229" s="11" t="inlineStr">
        <is>
          <t>28_646_Guinea_(1998)</t>
        </is>
      </c>
      <c r="C229" s="11" t="inlineStr">
        <is>
          <t>Sphyraena afra</t>
        </is>
      </c>
      <c r="D229" s="10" t="inlineStr">
        <is>
          <t>Guinean barracuda</t>
        </is>
      </c>
      <c r="E229" s="10" t="inlineStr">
        <is>
          <t>Large pelagics (&gt;=90 cm)</t>
        </is>
      </c>
      <c r="F229" s="10" t="inlineStr">
        <is>
          <t>Perch-likes</t>
        </is>
      </c>
      <c r="G229" s="11" t="inlineStr">
        <is>
          <t>Côtier pel L pred</t>
        </is>
      </c>
      <c r="H229" s="12" t="n">
        <v>1</v>
      </c>
      <c r="I229" s="10" t="inlineStr">
        <is>
          <t>single</t>
        </is>
      </c>
      <c r="J229" s="14" t="inlineStr">
        <is>
          <t>high</t>
        </is>
      </c>
      <c r="K229" s="10" t="inlineStr">
        <is>
          <t>explicit_member</t>
        </is>
      </c>
      <c r="L229" s="11" t="inlineStr">
        <is>
          <t>Guénette &amp; Diallo 2004 Table 6 p.131 explicitly lists this taxon in the named group(s); printed and accepted names checked against WoRMS.</t>
        </is>
      </c>
      <c r="M229" s="10" t="n">
        <v>39527.703</v>
      </c>
    </row>
    <row r="230" ht="36" customHeight="1">
      <c r="A230" s="10" t="inlineStr">
        <is>
          <t>LME_028</t>
        </is>
      </c>
      <c r="B230" s="11" t="inlineStr">
        <is>
          <t>28_646_Guinea_(1998)</t>
        </is>
      </c>
      <c r="C230" s="11" t="inlineStr">
        <is>
          <t>Coryphaena hippurus</t>
        </is>
      </c>
      <c r="D230" s="10" t="inlineStr">
        <is>
          <t>Common dolphinfish</t>
        </is>
      </c>
      <c r="E230" s="10" t="inlineStr">
        <is>
          <t>Large pelagics (&gt;=90 cm)</t>
        </is>
      </c>
      <c r="F230" s="10" t="inlineStr">
        <is>
          <t>Perch-likes</t>
        </is>
      </c>
      <c r="G230" s="11" t="inlineStr">
        <is>
          <t>Pel L pred</t>
        </is>
      </c>
      <c r="H230" s="12" t="n">
        <v>1</v>
      </c>
      <c r="I230" s="10" t="inlineStr">
        <is>
          <t>single</t>
        </is>
      </c>
      <c r="J230" s="14" t="inlineStr">
        <is>
          <t>high</t>
        </is>
      </c>
      <c r="K230" s="10" t="inlineStr">
        <is>
          <t>explicit_member</t>
        </is>
      </c>
      <c r="L230" s="11" t="inlineStr">
        <is>
          <t>Guénette &amp; Diallo 2004 Table 6 p.131 explicitly lists this taxon in the named group(s); printed and accepted names checked against WoRMS.</t>
        </is>
      </c>
      <c r="M230" s="10" t="n">
        <v>39259.019</v>
      </c>
    </row>
    <row r="231" ht="51" customHeight="1">
      <c r="A231" s="10" t="inlineStr">
        <is>
          <t>LME_028</t>
        </is>
      </c>
      <c r="B231" s="11" t="inlineStr">
        <is>
          <t>28_646_Guinea_(1998)</t>
        </is>
      </c>
      <c r="C231" s="11" t="inlineStr">
        <is>
          <t>Centrophorus</t>
        </is>
      </c>
      <c r="D231" s="10" t="inlineStr">
        <is>
          <t>Gulper shark dogfishes</t>
        </is>
      </c>
      <c r="E231" s="10" t="inlineStr">
        <is>
          <t>Large sharks (&gt;=90 cm)</t>
        </is>
      </c>
      <c r="F231" s="10" t="inlineStr">
        <is>
          <t>Sharks &amp; rays</t>
        </is>
      </c>
      <c r="G231" s="11" t="inlineStr">
        <is>
          <t>Unresolved</t>
        </is>
      </c>
      <c r="H231" s="12" t="n"/>
      <c r="I231" s="10" t="inlineStr"/>
      <c r="J231" s="16" t="inlineStr">
        <is>
          <t>unresolved</t>
        </is>
      </c>
      <c r="K231" s="10" t="inlineStr">
        <is>
          <t>none</t>
        </is>
      </c>
      <c r="L23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231" s="10" t="n">
        <v>37800.275</v>
      </c>
    </row>
    <row r="232" ht="36" customHeight="1">
      <c r="A232" s="10" t="inlineStr">
        <is>
          <t>LME_028</t>
        </is>
      </c>
      <c r="B232" s="11" t="inlineStr">
        <is>
          <t>28_646_Guinea_(1998)</t>
        </is>
      </c>
      <c r="C232" s="11" t="inlineStr">
        <is>
          <t>Scorpaenidae</t>
        </is>
      </c>
      <c r="D232" s="10" t="inlineStr">
        <is>
          <t>Scorpionfishes, rockfishes</t>
        </is>
      </c>
      <c r="E232" s="10" t="inlineStr">
        <is>
          <t>Large reef assoc. fish (&gt;=90 cm)</t>
        </is>
      </c>
      <c r="F232" s="10" t="inlineStr">
        <is>
          <t>Scorpionfishes</t>
        </is>
      </c>
      <c r="G232" s="11" t="inlineStr">
        <is>
          <t>Côtier S pred</t>
        </is>
      </c>
      <c r="H232" s="12" t="n">
        <v>1</v>
      </c>
      <c r="I232" s="10" t="inlineStr">
        <is>
          <t>single</t>
        </is>
      </c>
      <c r="J232" s="14" t="inlineStr">
        <is>
          <t>high</t>
        </is>
      </c>
      <c r="K232" s="10" t="inlineStr">
        <is>
          <t>explicit_member</t>
        </is>
      </c>
      <c r="L232" s="11" t="inlineStr">
        <is>
          <t>Guénette &amp; Diallo 2004 Table 6 p.131 explicitly lists this taxon in the named group(s); printed and accepted names checked against WoRMS.</t>
        </is>
      </c>
      <c r="M232" s="10" t="n">
        <v>37644.847</v>
      </c>
    </row>
    <row r="233" ht="36" customHeight="1">
      <c r="A233" s="10" t="inlineStr">
        <is>
          <t>LME_028</t>
        </is>
      </c>
      <c r="B233" s="11" t="inlineStr">
        <is>
          <t>28_646_Guinea_(1998)</t>
        </is>
      </c>
      <c r="C233" s="11" t="inlineStr">
        <is>
          <t>Isurus oxyrinchus</t>
        </is>
      </c>
      <c r="D233" s="10" t="inlineStr">
        <is>
          <t>Shortfin mako</t>
        </is>
      </c>
      <c r="E233" s="10" t="inlineStr">
        <is>
          <t>Large sharks (&gt;=90 cm)</t>
        </is>
      </c>
      <c r="F233" s="10" t="inlineStr">
        <is>
          <t>Sharks &amp; rays</t>
        </is>
      </c>
      <c r="G233" s="11" t="inlineStr">
        <is>
          <t>Sélaciens L prof</t>
        </is>
      </c>
      <c r="H233" s="12" t="n">
        <v>1</v>
      </c>
      <c r="I233" s="10" t="inlineStr">
        <is>
          <t>single</t>
        </is>
      </c>
      <c r="J233" s="14" t="inlineStr">
        <is>
          <t>high</t>
        </is>
      </c>
      <c r="K233" s="10" t="inlineStr">
        <is>
          <t>explicit_member</t>
        </is>
      </c>
      <c r="L233" s="11" t="inlineStr">
        <is>
          <t>Guénette &amp; Diallo 2004 Table 6 p.131 explicitly lists this taxon in the named group(s); printed and accepted names checked against WoRMS.</t>
        </is>
      </c>
      <c r="M233" s="10" t="n">
        <v>37387.723</v>
      </c>
    </row>
    <row r="234" ht="36" customHeight="1">
      <c r="A234" s="10" t="inlineStr">
        <is>
          <t>LME_028</t>
        </is>
      </c>
      <c r="B234" s="11" t="inlineStr">
        <is>
          <t>28_646_Guinea_(1998)</t>
        </is>
      </c>
      <c r="C234" s="11" t="inlineStr">
        <is>
          <t>Lutjanus endecacanthus</t>
        </is>
      </c>
      <c r="D234" s="10" t="inlineStr">
        <is>
          <t>Guinea snapper</t>
        </is>
      </c>
      <c r="E234" s="10" t="inlineStr">
        <is>
          <t>Medium reef assoc. fish (30 - 89 cm)</t>
        </is>
      </c>
      <c r="F234" s="10" t="inlineStr">
        <is>
          <t>Perch-likes</t>
        </is>
      </c>
      <c r="G234" s="11" t="inlineStr">
        <is>
          <t>Côtier L pred</t>
        </is>
      </c>
      <c r="H234" s="12" t="n">
        <v>1</v>
      </c>
      <c r="I234" s="10" t="inlineStr">
        <is>
          <t>single</t>
        </is>
      </c>
      <c r="J234" s="14" t="inlineStr">
        <is>
          <t>high</t>
        </is>
      </c>
      <c r="K234" s="10" t="inlineStr">
        <is>
          <t>explicit_member</t>
        </is>
      </c>
      <c r="L234" s="11" t="inlineStr">
        <is>
          <t>Guénette &amp; Diallo 2004 Table 6 p.131 explicitly lists this taxon in the named group(s); printed and accepted names checked against WoRMS.</t>
        </is>
      </c>
      <c r="M234" s="10" t="n">
        <v>36935.128</v>
      </c>
    </row>
    <row r="235" ht="51" customHeight="1">
      <c r="A235" s="10" t="inlineStr">
        <is>
          <t>LME_028</t>
        </is>
      </c>
      <c r="B235" s="11" t="inlineStr">
        <is>
          <t>28_646_Guinea_(1998)</t>
        </is>
      </c>
      <c r="C235" s="11" t="inlineStr">
        <is>
          <t>Scorpaeniformes</t>
        </is>
      </c>
      <c r="D235" s="10" t="inlineStr">
        <is>
          <t>Scorpionfishes, flatheads</t>
        </is>
      </c>
      <c r="E235" s="10" t="inlineStr">
        <is>
          <t>Medium demersals (30 - 89 cm)</t>
        </is>
      </c>
      <c r="F235" s="10" t="inlineStr">
        <is>
          <t>Scorpionfishes</t>
        </is>
      </c>
      <c r="G235" s="11" t="inlineStr">
        <is>
          <t>Unresolved</t>
        </is>
      </c>
      <c r="H235" s="12" t="n"/>
      <c r="I235" s="10" t="inlineStr"/>
      <c r="J235" s="16" t="inlineStr">
        <is>
          <t>unresolved</t>
        </is>
      </c>
      <c r="K235" s="10" t="inlineStr">
        <is>
          <t>none</t>
        </is>
      </c>
      <c r="L23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35" s="10" t="n">
        <v>32825.769</v>
      </c>
    </row>
    <row r="236" ht="36" customHeight="1">
      <c r="A236" s="10" t="inlineStr">
        <is>
          <t>LME_028</t>
        </is>
      </c>
      <c r="B236" s="11" t="inlineStr">
        <is>
          <t>28_646_Guinea_(1998)</t>
        </is>
      </c>
      <c r="C236" s="11" t="inlineStr">
        <is>
          <t>Mullidae</t>
        </is>
      </c>
      <c r="D236" s="10" t="inlineStr">
        <is>
          <t>Goatfishes</t>
        </is>
      </c>
      <c r="E236" s="10" t="inlineStr">
        <is>
          <t>Medium reef assoc. fish (30 - 89 cm)</t>
        </is>
      </c>
      <c r="F236" s="10" t="inlineStr">
        <is>
          <t>Perch-likes</t>
        </is>
      </c>
      <c r="G236" s="11" t="inlineStr">
        <is>
          <t>Dem M inv</t>
        </is>
      </c>
      <c r="H236" s="12" t="n">
        <v>1</v>
      </c>
      <c r="I236" s="10" t="inlineStr">
        <is>
          <t>single</t>
        </is>
      </c>
      <c r="J236" s="15" t="inlineStr">
        <is>
          <t>medium</t>
        </is>
      </c>
      <c r="K236" s="10" t="inlineStr">
        <is>
          <t>taxonomic_containment</t>
        </is>
      </c>
      <c r="L236" s="11" t="inlineStr">
        <is>
          <t>Family catch spans the union of all Table 6 member groups belonging to Mullidae under WoRMS. Every candidate is supported by a source member; source placement outranks SAU habitat class.</t>
        </is>
      </c>
      <c r="M236" s="10" t="n">
        <v>32334.591</v>
      </c>
    </row>
    <row r="237" ht="51" customHeight="1">
      <c r="A237" s="10" t="inlineStr">
        <is>
          <t>LME_028</t>
        </is>
      </c>
      <c r="B237" s="11" t="inlineStr">
        <is>
          <t>28_646_Guinea_(1998)</t>
        </is>
      </c>
      <c r="C237" s="11" t="inlineStr">
        <is>
          <t>Carcharhinidae</t>
        </is>
      </c>
      <c r="D237" s="10" t="inlineStr">
        <is>
          <t>Requiem sharks</t>
        </is>
      </c>
      <c r="E237" s="10" t="inlineStr">
        <is>
          <t>Large sharks (&gt;=90 cm)</t>
        </is>
      </c>
      <c r="F237" s="10" t="inlineStr">
        <is>
          <t>Sharks &amp; rays</t>
        </is>
      </c>
      <c r="G237" s="11" t="inlineStr">
        <is>
          <t>Sélaciens L côtiers</t>
        </is>
      </c>
      <c r="H237" s="12" t="n">
        <v>0.1103590714806073</v>
      </c>
      <c r="I237" s="10" t="inlineStr">
        <is>
          <t>catch_composition</t>
        </is>
      </c>
      <c r="J237" s="15" t="inlineStr">
        <is>
          <t>medium</t>
        </is>
      </c>
      <c r="K237" s="10" t="inlineStr">
        <is>
          <t>composite_split</t>
        </is>
      </c>
      <c r="L237" s="11" t="inlineStr">
        <is>
          <t>Family catch spans the union of all Table 6 member groups belonging to Carcharhinidae under WoRMS. Every candidate is supported by a source member; source placement outranks SAU habitat class.</t>
        </is>
      </c>
      <c r="M237" s="10" t="n">
        <v>32100.807</v>
      </c>
    </row>
    <row r="238" ht="51" customHeight="1">
      <c r="A238" s="10" t="inlineStr">
        <is>
          <t>LME_028</t>
        </is>
      </c>
      <c r="B238" s="11" t="inlineStr">
        <is>
          <t>28_646_Guinea_(1998)</t>
        </is>
      </c>
      <c r="C238" s="11" t="inlineStr">
        <is>
          <t>Carcharhinidae</t>
        </is>
      </c>
      <c r="D238" s="10" t="inlineStr">
        <is>
          <t>Requiem sharks</t>
        </is>
      </c>
      <c r="E238" s="10" t="inlineStr">
        <is>
          <t>Large sharks (&gt;=90 cm)</t>
        </is>
      </c>
      <c r="F238" s="10" t="inlineStr">
        <is>
          <t>Sharks &amp; rays</t>
        </is>
      </c>
      <c r="G238" s="11" t="inlineStr">
        <is>
          <t>Sélaciens L prof</t>
        </is>
      </c>
      <c r="H238" s="12" t="n">
        <v>0.8896409285193926</v>
      </c>
      <c r="I238" s="10" t="inlineStr">
        <is>
          <t>catch_composition</t>
        </is>
      </c>
      <c r="J238" s="15" t="inlineStr">
        <is>
          <t>medium</t>
        </is>
      </c>
      <c r="K238" s="10" t="inlineStr">
        <is>
          <t>composite_split</t>
        </is>
      </c>
      <c r="L238" s="11" t="inlineStr">
        <is>
          <t>Family catch spans the union of all Table 6 member groups belonging to Carcharhinidae under WoRMS. Every candidate is supported by a source member; source placement outranks SAU habitat class.</t>
        </is>
      </c>
      <c r="M238" s="10" t="n">
        <v>32100.807</v>
      </c>
    </row>
    <row r="239" ht="51" customHeight="1">
      <c r="A239" s="10" t="inlineStr">
        <is>
          <t>LME_028</t>
        </is>
      </c>
      <c r="B239" s="11" t="inlineStr">
        <is>
          <t>28_646_Guinea_(1998)</t>
        </is>
      </c>
      <c r="C239" s="11" t="inlineStr">
        <is>
          <t>Guentherus altivela</t>
        </is>
      </c>
      <c r="D239" s="10" t="inlineStr">
        <is>
          <t>Jellynose</t>
        </is>
      </c>
      <c r="E239" s="10" t="inlineStr">
        <is>
          <t>Large bathydemersals (&gt;=90 cm)</t>
        </is>
      </c>
      <c r="F239" s="10" t="inlineStr">
        <is>
          <t>Other fishes &amp; inverts</t>
        </is>
      </c>
      <c r="G239" s="11" t="inlineStr">
        <is>
          <t>Unresolved</t>
        </is>
      </c>
      <c r="H239" s="12" t="n"/>
      <c r="I239" s="10" t="inlineStr"/>
      <c r="J239" s="16" t="inlineStr">
        <is>
          <t>unresolved</t>
        </is>
      </c>
      <c r="K239" s="10" t="inlineStr">
        <is>
          <t>none</t>
        </is>
      </c>
      <c r="L23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39" s="10" t="n">
        <v>31760.118</v>
      </c>
    </row>
    <row r="240" ht="36" customHeight="1">
      <c r="A240" s="10" t="inlineStr">
        <is>
          <t>LME_028</t>
        </is>
      </c>
      <c r="B240" s="11" t="inlineStr">
        <is>
          <t>28_646_Guinea_(1998)</t>
        </is>
      </c>
      <c r="C240" s="11" t="inlineStr">
        <is>
          <t>Lobotes surinamensis</t>
        </is>
      </c>
      <c r="D240" s="10" t="inlineStr">
        <is>
          <t>Tripletail</t>
        </is>
      </c>
      <c r="E240" s="10" t="inlineStr">
        <is>
          <t>Large benthopelagics (&gt;=90 cm)</t>
        </is>
      </c>
      <c r="F240" s="10" t="inlineStr">
        <is>
          <t>Perch-likes</t>
        </is>
      </c>
      <c r="G240" s="11" t="inlineStr">
        <is>
          <t>Côtier L pred</t>
        </is>
      </c>
      <c r="H240" s="12" t="n">
        <v>1</v>
      </c>
      <c r="I240" s="10" t="inlineStr">
        <is>
          <t>single</t>
        </is>
      </c>
      <c r="J240" s="14" t="inlineStr">
        <is>
          <t>high</t>
        </is>
      </c>
      <c r="K240" s="10" t="inlineStr">
        <is>
          <t>explicit_member</t>
        </is>
      </c>
      <c r="L240" s="11" t="inlineStr">
        <is>
          <t>Guénette &amp; Diallo 2004 Table 6 p.131 explicitly lists this taxon in the named group(s); printed and accepted names checked against WoRMS.</t>
        </is>
      </c>
      <c r="M240" s="10" t="n">
        <v>31453.521</v>
      </c>
    </row>
    <row r="241" ht="36" customHeight="1">
      <c r="A241" s="10" t="inlineStr">
        <is>
          <t>LME_028</t>
        </is>
      </c>
      <c r="B241" s="11" t="inlineStr">
        <is>
          <t>28_646_Guinea_(1998)</t>
        </is>
      </c>
      <c r="C241" s="11" t="inlineStr">
        <is>
          <t>Lethrinus atlanticus</t>
        </is>
      </c>
      <c r="D241" s="10" t="inlineStr">
        <is>
          <t>Atlantic emperor</t>
        </is>
      </c>
      <c r="E241" s="10" t="inlineStr">
        <is>
          <t>Medium reef assoc. fish (30 - 89 cm)</t>
        </is>
      </c>
      <c r="F241" s="10" t="inlineStr">
        <is>
          <t>Perch-likes</t>
        </is>
      </c>
      <c r="G241" s="11" t="inlineStr">
        <is>
          <t>Côtier M inv</t>
        </is>
      </c>
      <c r="H241" s="12" t="n">
        <v>1</v>
      </c>
      <c r="I241" s="10" t="inlineStr">
        <is>
          <t>single</t>
        </is>
      </c>
      <c r="J241" s="14" t="inlineStr">
        <is>
          <t>high</t>
        </is>
      </c>
      <c r="K241" s="10" t="inlineStr">
        <is>
          <t>explicit_member</t>
        </is>
      </c>
      <c r="L241" s="11" t="inlineStr">
        <is>
          <t>Guénette &amp; Diallo 2004 Table 6 p.131 explicitly lists this taxon in the named group(s); printed and accepted names checked against WoRMS.</t>
        </is>
      </c>
      <c r="M241" s="10" t="n">
        <v>31149.141</v>
      </c>
    </row>
    <row r="242" ht="36" customHeight="1">
      <c r="A242" s="10" t="inlineStr">
        <is>
          <t>LME_028</t>
        </is>
      </c>
      <c r="B242" s="11" t="inlineStr">
        <is>
          <t>28_646_Guinea_(1998)</t>
        </is>
      </c>
      <c r="C242" s="11" t="inlineStr">
        <is>
          <t>Sphyrna</t>
        </is>
      </c>
      <c r="D242" s="10" t="inlineStr">
        <is>
          <t>Hammerhead sharks</t>
        </is>
      </c>
      <c r="E242" s="10" t="inlineStr">
        <is>
          <t>Large sharks (&gt;=90 cm)</t>
        </is>
      </c>
      <c r="F242" s="10" t="inlineStr">
        <is>
          <t>Sharks &amp; rays</t>
        </is>
      </c>
      <c r="G242" s="11" t="inlineStr">
        <is>
          <t>Sélaciens L prof</t>
        </is>
      </c>
      <c r="H242" s="12" t="n">
        <v>1</v>
      </c>
      <c r="I242" s="10" t="inlineStr">
        <is>
          <t>single</t>
        </is>
      </c>
      <c r="J242" s="15" t="inlineStr">
        <is>
          <t>medium</t>
        </is>
      </c>
      <c r="K242" s="10" t="inlineStr">
        <is>
          <t>taxonomic_containment</t>
        </is>
      </c>
      <c r="L242" s="11" t="inlineStr">
        <is>
          <t>Genus-level catch spans exactly the Table 6 groups containing its documented species. No habitat class overrides those placements.</t>
        </is>
      </c>
      <c r="M242" s="10" t="n">
        <v>30105.966</v>
      </c>
    </row>
    <row r="243" ht="36" customHeight="1">
      <c r="A243" s="10" t="inlineStr">
        <is>
          <t>LME_028</t>
        </is>
      </c>
      <c r="B243" s="11" t="inlineStr">
        <is>
          <t>28_646_Guinea_(1998)</t>
        </is>
      </c>
      <c r="C243" s="11" t="inlineStr">
        <is>
          <t>Rhinobatos</t>
        </is>
      </c>
      <c r="D243" s="10" t="inlineStr">
        <is>
          <t>Guitarfishes</t>
        </is>
      </c>
      <c r="E243" s="10" t="inlineStr">
        <is>
          <t>Large rays (&gt;=90 cm)</t>
        </is>
      </c>
      <c r="F243" s="10" t="inlineStr">
        <is>
          <t>Sharks &amp; rays</t>
        </is>
      </c>
      <c r="G243" s="11" t="inlineStr">
        <is>
          <t>Sélaciens L côtiers</t>
        </is>
      </c>
      <c r="H243" s="12" t="n">
        <v>0.9341440838011543</v>
      </c>
      <c r="I243" s="10" t="inlineStr">
        <is>
          <t>catch_composition</t>
        </is>
      </c>
      <c r="J243" s="15" t="inlineStr">
        <is>
          <t>medium</t>
        </is>
      </c>
      <c r="K243" s="10" t="inlineStr">
        <is>
          <t>composite_split</t>
        </is>
      </c>
      <c r="L243" s="11" t="inlineStr">
        <is>
          <t>Genus-level catch spans exactly the Table 6 groups containing its documented species. No habitat class overrides those placements.</t>
        </is>
      </c>
      <c r="M243" s="10" t="n">
        <v>29710.026</v>
      </c>
    </row>
    <row r="244" ht="36" customHeight="1">
      <c r="A244" s="10" t="inlineStr">
        <is>
          <t>LME_028</t>
        </is>
      </c>
      <c r="B244" s="11" t="inlineStr">
        <is>
          <t>28_646_Guinea_(1998)</t>
        </is>
      </c>
      <c r="C244" s="11" t="inlineStr">
        <is>
          <t>Rhinobatos</t>
        </is>
      </c>
      <c r="D244" s="10" t="inlineStr">
        <is>
          <t>Guitarfishes</t>
        </is>
      </c>
      <c r="E244" s="10" t="inlineStr">
        <is>
          <t>Large rays (&gt;=90 cm)</t>
        </is>
      </c>
      <c r="F244" s="10" t="inlineStr">
        <is>
          <t>Sharks &amp; rays</t>
        </is>
      </c>
      <c r="G244" s="11" t="inlineStr">
        <is>
          <t>Sélaciens M côtiers</t>
        </is>
      </c>
      <c r="H244" s="12" t="n">
        <v>0.06585591619884575</v>
      </c>
      <c r="I244" s="10" t="inlineStr">
        <is>
          <t>catch_composition</t>
        </is>
      </c>
      <c r="J244" s="15" t="inlineStr">
        <is>
          <t>medium</t>
        </is>
      </c>
      <c r="K244" s="10" t="inlineStr">
        <is>
          <t>composite_split</t>
        </is>
      </c>
      <c r="L244" s="11" t="inlineStr">
        <is>
          <t>Genus-level catch spans exactly the Table 6 groups containing its documented species. No habitat class overrides those placements.</t>
        </is>
      </c>
      <c r="M244" s="10" t="n">
        <v>29710.026</v>
      </c>
    </row>
    <row r="245" ht="51" customHeight="1">
      <c r="A245" s="10" t="inlineStr">
        <is>
          <t>LME_028</t>
        </is>
      </c>
      <c r="B245" s="11" t="inlineStr">
        <is>
          <t>28_646_Guinea_(1998)</t>
        </is>
      </c>
      <c r="C245" s="11" t="inlineStr">
        <is>
          <t>Lithognathus mormyrus</t>
        </is>
      </c>
      <c r="D245" s="10" t="inlineStr">
        <is>
          <t>Sand steenbras</t>
        </is>
      </c>
      <c r="E245" s="10" t="inlineStr">
        <is>
          <t>Medium benthopelagics (30 - 89 cm)</t>
        </is>
      </c>
      <c r="F245" s="10" t="inlineStr">
        <is>
          <t>Perch-likes</t>
        </is>
      </c>
      <c r="G245" s="11" t="inlineStr">
        <is>
          <t>Unresolved</t>
        </is>
      </c>
      <c r="H245" s="12" t="n"/>
      <c r="I245" s="10" t="inlineStr"/>
      <c r="J245" s="16" t="inlineStr">
        <is>
          <t>unresolved</t>
        </is>
      </c>
      <c r="K245" s="10" t="inlineStr">
        <is>
          <t>none</t>
        </is>
      </c>
      <c r="L24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45" s="10" t="n">
        <v>29680.528</v>
      </c>
    </row>
    <row r="246" ht="36" customHeight="1">
      <c r="A246" s="10" t="inlineStr">
        <is>
          <t>LME_028</t>
        </is>
      </c>
      <c r="B246" s="11" t="inlineStr">
        <is>
          <t>28_646_Guinea_(1998)</t>
        </is>
      </c>
      <c r="C246" s="11" t="inlineStr">
        <is>
          <t>Palinuridae</t>
        </is>
      </c>
      <c r="D246" s="10" t="inlineStr">
        <is>
          <t>Spiny lobsters</t>
        </is>
      </c>
      <c r="E246" s="10" t="inlineStr">
        <is>
          <t>Lobsters, crabs</t>
        </is>
      </c>
      <c r="F246" s="10" t="inlineStr">
        <is>
          <t>Crustaceans</t>
        </is>
      </c>
      <c r="G246" s="11" t="inlineStr">
        <is>
          <t>Crustacés</t>
        </is>
      </c>
      <c r="H246" s="12" t="n">
        <v>1</v>
      </c>
      <c r="I246" s="10" t="inlineStr">
        <is>
          <t>single</t>
        </is>
      </c>
      <c r="J246" s="14" t="inlineStr">
        <is>
          <t>high</t>
        </is>
      </c>
      <c r="K246" s="10" t="inlineStr">
        <is>
          <t>taxonomic_containment</t>
        </is>
      </c>
      <c r="L246" s="11" t="inlineStr">
        <is>
          <t>WoRMS crustacean taxonomy and SAU shrimp/crab/lobster class agree with the source Crustacés definition on p.125.</t>
        </is>
      </c>
      <c r="M246" s="10" t="n">
        <v>29150.583</v>
      </c>
    </row>
    <row r="247" ht="36" customHeight="1">
      <c r="A247" s="10" t="inlineStr">
        <is>
          <t>LME_028</t>
        </is>
      </c>
      <c r="B247" s="11" t="inlineStr">
        <is>
          <t>28_646_Guinea_(1998)</t>
        </is>
      </c>
      <c r="C247" s="11" t="inlineStr">
        <is>
          <t>Raja</t>
        </is>
      </c>
      <c r="D247" s="10" t="inlineStr">
        <is>
          <t>Stingrays, skates</t>
        </is>
      </c>
      <c r="E247" s="10" t="inlineStr">
        <is>
          <t>Small to medium rays (&lt;90 cm)</t>
        </is>
      </c>
      <c r="F247" s="10" t="inlineStr">
        <is>
          <t>Sharks &amp; rays</t>
        </is>
      </c>
      <c r="G247" s="11" t="inlineStr">
        <is>
          <t>Sélaciens L prof</t>
        </is>
      </c>
      <c r="H247" s="12" t="n">
        <v>0.8097255094841217</v>
      </c>
      <c r="I247" s="10" t="inlineStr">
        <is>
          <t>catch_composition</t>
        </is>
      </c>
      <c r="J247" s="15" t="inlineStr">
        <is>
          <t>medium</t>
        </is>
      </c>
      <c r="K247" s="10" t="inlineStr">
        <is>
          <t>composite_split</t>
        </is>
      </c>
      <c r="L247" s="11" t="inlineStr">
        <is>
          <t>Genus-level catch spans exactly the Table 6 groups containing its documented species. No habitat class overrides those placements.</t>
        </is>
      </c>
      <c r="M247" s="10" t="n">
        <v>27930.81</v>
      </c>
    </row>
    <row r="248" ht="36" customHeight="1">
      <c r="A248" s="10" t="inlineStr">
        <is>
          <t>LME_028</t>
        </is>
      </c>
      <c r="B248" s="11" t="inlineStr">
        <is>
          <t>28_646_Guinea_(1998)</t>
        </is>
      </c>
      <c r="C248" s="11" t="inlineStr">
        <is>
          <t>Raja</t>
        </is>
      </c>
      <c r="D248" s="10" t="inlineStr">
        <is>
          <t>Stingrays, skates</t>
        </is>
      </c>
      <c r="E248" s="10" t="inlineStr">
        <is>
          <t>Small to medium rays (&lt;90 cm)</t>
        </is>
      </c>
      <c r="F248" s="10" t="inlineStr">
        <is>
          <t>Sharks &amp; rays</t>
        </is>
      </c>
      <c r="G248" s="11" t="inlineStr">
        <is>
          <t>Sélaciens M prof</t>
        </is>
      </c>
      <c r="H248" s="12" t="n">
        <v>0.1902744905158783</v>
      </c>
      <c r="I248" s="10" t="inlineStr">
        <is>
          <t>catch_composition</t>
        </is>
      </c>
      <c r="J248" s="15" t="inlineStr">
        <is>
          <t>medium</t>
        </is>
      </c>
      <c r="K248" s="10" t="inlineStr">
        <is>
          <t>composite_split</t>
        </is>
      </c>
      <c r="L248" s="11" t="inlineStr">
        <is>
          <t>Genus-level catch spans exactly the Table 6 groups containing its documented species. No habitat class overrides those placements.</t>
        </is>
      </c>
      <c r="M248" s="10" t="n">
        <v>27930.81</v>
      </c>
    </row>
    <row r="249" ht="36" customHeight="1">
      <c r="A249" s="10" t="inlineStr">
        <is>
          <t>LME_028</t>
        </is>
      </c>
      <c r="B249" s="11" t="inlineStr">
        <is>
          <t>28_646_Guinea_(1998)</t>
        </is>
      </c>
      <c r="C249" s="11" t="inlineStr">
        <is>
          <t>Pomatomus saltatrix</t>
        </is>
      </c>
      <c r="D249" s="10" t="inlineStr">
        <is>
          <t>Bluefish</t>
        </is>
      </c>
      <c r="E249" s="10" t="inlineStr">
        <is>
          <t>Large pelagics (&gt;=90 cm)</t>
        </is>
      </c>
      <c r="F249" s="10" t="inlineStr">
        <is>
          <t>Perch-likes</t>
        </is>
      </c>
      <c r="G249" s="11" t="inlineStr">
        <is>
          <t>Côtier pel L pred</t>
        </is>
      </c>
      <c r="H249" s="12" t="n">
        <v>1</v>
      </c>
      <c r="I249" s="10" t="inlineStr">
        <is>
          <t>single</t>
        </is>
      </c>
      <c r="J249" s="14" t="inlineStr">
        <is>
          <t>high</t>
        </is>
      </c>
      <c r="K249" s="10" t="inlineStr">
        <is>
          <t>explicit_member</t>
        </is>
      </c>
      <c r="L249" s="11" t="inlineStr">
        <is>
          <t>Guénette &amp; Diallo 2004 Table 6 p.131 explicitly lists this taxon in the named group(s); printed and accepted names checked against WoRMS.</t>
        </is>
      </c>
      <c r="M249" s="10" t="n">
        <v>27567.242</v>
      </c>
    </row>
    <row r="250" ht="36" customHeight="1">
      <c r="A250" s="10" t="inlineStr">
        <is>
          <t>LME_028</t>
        </is>
      </c>
      <c r="B250" s="11" t="inlineStr">
        <is>
          <t>28_646_Guinea_(1998)</t>
        </is>
      </c>
      <c r="C250" s="11" t="inlineStr">
        <is>
          <t>Parapenaeopsis atlantica</t>
        </is>
      </c>
      <c r="D250" s="10" t="inlineStr">
        <is>
          <t>Guinea shrimp</t>
        </is>
      </c>
      <c r="E250" s="10" t="inlineStr">
        <is>
          <t>Shrimps</t>
        </is>
      </c>
      <c r="F250" s="10" t="inlineStr">
        <is>
          <t>Crustaceans</t>
        </is>
      </c>
      <c r="G250" s="11" t="inlineStr">
        <is>
          <t>Crustacés</t>
        </is>
      </c>
      <c r="H250" s="12" t="n">
        <v>1</v>
      </c>
      <c r="I250" s="10" t="inlineStr">
        <is>
          <t>single</t>
        </is>
      </c>
      <c r="J250" s="14" t="inlineStr">
        <is>
          <t>high</t>
        </is>
      </c>
      <c r="K250" s="10" t="inlineStr">
        <is>
          <t>taxonomic_containment</t>
        </is>
      </c>
      <c r="L250" s="11" t="inlineStr">
        <is>
          <t>WoRMS crustacean taxonomy and SAU shrimp/crab/lobster class agree with the source Crustacés definition on p.125.</t>
        </is>
      </c>
      <c r="M250" s="10" t="n">
        <v>24645.831</v>
      </c>
    </row>
    <row r="251" ht="36" customHeight="1">
      <c r="A251" s="10" t="inlineStr">
        <is>
          <t>LME_028</t>
        </is>
      </c>
      <c r="B251" s="11" t="inlineStr">
        <is>
          <t>28_646_Guinea_(1998)</t>
        </is>
      </c>
      <c r="C251" s="11" t="inlineStr">
        <is>
          <t>Hemiramphus brasiliensis</t>
        </is>
      </c>
      <c r="D251" s="10" t="inlineStr">
        <is>
          <t>Ballyhoo halfbeak</t>
        </is>
      </c>
      <c r="E251" s="10" t="inlineStr">
        <is>
          <t>Medium pelagics (30 - 89 cm)</t>
        </is>
      </c>
      <c r="F251" s="10" t="inlineStr">
        <is>
          <t>Other fishes &amp; inverts</t>
        </is>
      </c>
      <c r="G251" s="11" t="inlineStr">
        <is>
          <t>Côtier pel S inv</t>
        </is>
      </c>
      <c r="H251" s="12" t="n">
        <v>1</v>
      </c>
      <c r="I251" s="10" t="inlineStr">
        <is>
          <t>single</t>
        </is>
      </c>
      <c r="J251" s="14" t="inlineStr">
        <is>
          <t>high</t>
        </is>
      </c>
      <c r="K251" s="10" t="inlineStr">
        <is>
          <t>explicit_member</t>
        </is>
      </c>
      <c r="L251" s="11" t="inlineStr">
        <is>
          <t>Guénette &amp; Diallo 2004 Table 6 p.131 explicitly lists this taxon in the named group(s); printed and accepted names checked against WoRMS.</t>
        </is>
      </c>
      <c r="M251" s="10" t="n">
        <v>24638.482</v>
      </c>
    </row>
    <row r="252" ht="36" customHeight="1">
      <c r="A252" s="10" t="inlineStr">
        <is>
          <t>LME_028</t>
        </is>
      </c>
      <c r="B252" s="11" t="inlineStr">
        <is>
          <t>28_646_Guinea_(1998)</t>
        </is>
      </c>
      <c r="C252" s="11" t="inlineStr">
        <is>
          <t>Kajikia albida</t>
        </is>
      </c>
      <c r="D252" s="10" t="inlineStr">
        <is>
          <t>Atlantic white marlin</t>
        </is>
      </c>
      <c r="E252" s="10" t="inlineStr">
        <is>
          <t>Large pelagics (&gt;=90 cm)</t>
        </is>
      </c>
      <c r="F252" s="10" t="inlineStr">
        <is>
          <t>Tuna &amp; billfishes</t>
        </is>
      </c>
      <c r="G252" s="11" t="inlineStr">
        <is>
          <t>Thons majeurs</t>
        </is>
      </c>
      <c r="H252" s="12" t="n">
        <v>1</v>
      </c>
      <c r="I252" s="10" t="inlineStr">
        <is>
          <t>single</t>
        </is>
      </c>
      <c r="J252" s="14" t="inlineStr">
        <is>
          <t>high</t>
        </is>
      </c>
      <c r="K252" s="10" t="inlineStr">
        <is>
          <t>explicit_member</t>
        </is>
      </c>
      <c r="L252" s="11" t="inlineStr">
        <is>
          <t>Guénette &amp; Diallo 2004 Table 6 p.131 explicitly lists this taxon in the named group(s); printed and accepted names checked against WoRMS.</t>
        </is>
      </c>
      <c r="M252" s="10" t="n">
        <v>24175.695</v>
      </c>
    </row>
    <row r="253" ht="36" customHeight="1">
      <c r="A253" s="10" t="inlineStr">
        <is>
          <t>LME_028</t>
        </is>
      </c>
      <c r="B253" s="11" t="inlineStr">
        <is>
          <t>28_646_Guinea_(1998)</t>
        </is>
      </c>
      <c r="C253" s="11" t="inlineStr">
        <is>
          <t>Trichiurus</t>
        </is>
      </c>
      <c r="D253" s="10" t="inlineStr">
        <is>
          <t>Hairtails</t>
        </is>
      </c>
      <c r="E253" s="10" t="inlineStr">
        <is>
          <t>Large benthopelagics (&gt;=90 cm)</t>
        </is>
      </c>
      <c r="F253" s="10" t="inlineStr">
        <is>
          <t>Perch-likes</t>
        </is>
      </c>
      <c r="G253" s="11" t="inlineStr">
        <is>
          <t>Côtier L pred</t>
        </is>
      </c>
      <c r="H253" s="12" t="n">
        <v>1</v>
      </c>
      <c r="I253" s="10" t="inlineStr">
        <is>
          <t>single</t>
        </is>
      </c>
      <c r="J253" s="15" t="inlineStr">
        <is>
          <t>medium</t>
        </is>
      </c>
      <c r="K253" s="10" t="inlineStr">
        <is>
          <t>taxonomic_containment</t>
        </is>
      </c>
      <c r="L253" s="11" t="inlineStr">
        <is>
          <t>Genus-level catch spans exactly the Table 6 groups containing its documented species. No habitat class overrides those placements.</t>
        </is>
      </c>
      <c r="M253" s="10" t="n">
        <v>23850.236</v>
      </c>
    </row>
    <row r="254" ht="51" customHeight="1">
      <c r="A254" s="10" t="inlineStr">
        <is>
          <t>LME_028</t>
        </is>
      </c>
      <c r="B254" s="11" t="inlineStr">
        <is>
          <t>28_646_Guinea_(1998)</t>
        </is>
      </c>
      <c r="C254" s="11" t="inlineStr">
        <is>
          <t>Brama brama</t>
        </is>
      </c>
      <c r="D254" s="10" t="inlineStr">
        <is>
          <t>Atlantic pomfret</t>
        </is>
      </c>
      <c r="E254" s="10" t="inlineStr">
        <is>
          <t>Medium bathypelagics (30 - 89 cm)</t>
        </is>
      </c>
      <c r="F254" s="10" t="inlineStr">
        <is>
          <t>Perch-likes</t>
        </is>
      </c>
      <c r="G254" s="11" t="inlineStr">
        <is>
          <t>Unresolved</t>
        </is>
      </c>
      <c r="H254" s="12" t="n"/>
      <c r="I254" s="10" t="inlineStr"/>
      <c r="J254" s="16" t="inlineStr">
        <is>
          <t>unresolved</t>
        </is>
      </c>
      <c r="K254" s="10" t="inlineStr">
        <is>
          <t>none</t>
        </is>
      </c>
      <c r="L254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54" s="10" t="n">
        <v>23313.008</v>
      </c>
    </row>
    <row r="255" ht="36" customHeight="1">
      <c r="A255" s="10" t="inlineStr">
        <is>
          <t>LME_028</t>
        </is>
      </c>
      <c r="B255" s="11" t="inlineStr">
        <is>
          <t>28_646_Guinea_(1998)</t>
        </is>
      </c>
      <c r="C255" s="11" t="inlineStr">
        <is>
          <t>Pagrus caeruleostictus</t>
        </is>
      </c>
      <c r="D255" s="10" t="inlineStr">
        <is>
          <t>Bluespotted seabream</t>
        </is>
      </c>
      <c r="E255" s="10" t="inlineStr">
        <is>
          <t>Large benthopelagics (&gt;=90 cm)</t>
        </is>
      </c>
      <c r="F255" s="10" t="inlineStr">
        <is>
          <t>Perch-likes</t>
        </is>
      </c>
      <c r="G255" s="11" t="inlineStr">
        <is>
          <t>Dem L pred</t>
        </is>
      </c>
      <c r="H255" s="12" t="n">
        <v>1</v>
      </c>
      <c r="I255" s="10" t="inlineStr">
        <is>
          <t>single</t>
        </is>
      </c>
      <c r="J255" s="14" t="inlineStr">
        <is>
          <t>high</t>
        </is>
      </c>
      <c r="K255" s="10" t="inlineStr">
        <is>
          <t>explicit_member</t>
        </is>
      </c>
      <c r="L255" s="11" t="inlineStr">
        <is>
          <t>Guénette &amp; Diallo 2004 Table 6 p.131 explicitly lists this taxon in the named group(s); printed and accepted names checked against WoRMS.</t>
        </is>
      </c>
      <c r="M255" s="10" t="n">
        <v>22192.926</v>
      </c>
    </row>
    <row r="256" ht="36" customHeight="1">
      <c r="A256" s="10" t="inlineStr">
        <is>
          <t>LME_028</t>
        </is>
      </c>
      <c r="B256" s="11" t="inlineStr">
        <is>
          <t>28_646_Guinea_(1998)</t>
        </is>
      </c>
      <c r="C256" s="11" t="inlineStr">
        <is>
          <t>Gerres</t>
        </is>
      </c>
      <c r="D256" s="10" t="inlineStr">
        <is>
          <t>Silver biddies</t>
        </is>
      </c>
      <c r="E256" s="10" t="inlineStr">
        <is>
          <t>Small benthopelagics (&lt;30 cm)</t>
        </is>
      </c>
      <c r="F256" s="10" t="inlineStr">
        <is>
          <t>Perch-likes</t>
        </is>
      </c>
      <c r="G256" s="11" t="inlineStr">
        <is>
          <t>Côtier S inv</t>
        </is>
      </c>
      <c r="H256" s="12" t="n">
        <v>1</v>
      </c>
      <c r="I256" s="10" t="inlineStr">
        <is>
          <t>single</t>
        </is>
      </c>
      <c r="J256" s="15" t="inlineStr">
        <is>
          <t>medium</t>
        </is>
      </c>
      <c r="K256" s="10" t="inlineStr">
        <is>
          <t>taxonomic_containment</t>
        </is>
      </c>
      <c r="L256" s="11" t="inlineStr">
        <is>
          <t>Genus-level catch spans exactly the Table 6 groups containing its documented species. No habitat class overrides those placements.</t>
        </is>
      </c>
      <c r="M256" s="10" t="n">
        <v>22142.745</v>
      </c>
    </row>
    <row r="257" ht="36" customHeight="1">
      <c r="A257" s="10" t="inlineStr">
        <is>
          <t>LME_028</t>
        </is>
      </c>
      <c r="B257" s="11" t="inlineStr">
        <is>
          <t>28_646_Guinea_(1998)</t>
        </is>
      </c>
      <c r="C257" s="11" t="inlineStr">
        <is>
          <t>Carcharhinus limbatus</t>
        </is>
      </c>
      <c r="D257" s="10" t="inlineStr">
        <is>
          <t>Blacktip shark</t>
        </is>
      </c>
      <c r="E257" s="10" t="inlineStr">
        <is>
          <t>Large sharks (&gt;=90 cm)</t>
        </is>
      </c>
      <c r="F257" s="10" t="inlineStr">
        <is>
          <t>Sharks &amp; rays</t>
        </is>
      </c>
      <c r="G257" s="11" t="inlineStr">
        <is>
          <t>Sélaciens L côtiers</t>
        </is>
      </c>
      <c r="H257" s="12" t="n">
        <v>1</v>
      </c>
      <c r="I257" s="10" t="inlineStr">
        <is>
          <t>single</t>
        </is>
      </c>
      <c r="J257" s="14" t="inlineStr">
        <is>
          <t>high</t>
        </is>
      </c>
      <c r="K257" s="10" t="inlineStr">
        <is>
          <t>explicit_member</t>
        </is>
      </c>
      <c r="L257" s="11" t="inlineStr">
        <is>
          <t>Guénette &amp; Diallo 2004 Table 6 p.131 explicitly lists this taxon in the named group(s); printed and accepted names checked against WoRMS.</t>
        </is>
      </c>
      <c r="M257" s="10" t="n">
        <v>21586.935</v>
      </c>
    </row>
    <row r="258" ht="36" customHeight="1">
      <c r="A258" s="10" t="inlineStr">
        <is>
          <t>LME_028</t>
        </is>
      </c>
      <c r="B258" s="11" t="inlineStr">
        <is>
          <t>28_646_Guinea_(1998)</t>
        </is>
      </c>
      <c r="C258" s="11" t="inlineStr">
        <is>
          <t>Merluccius</t>
        </is>
      </c>
      <c r="D258" s="10" t="inlineStr">
        <is>
          <t>Hakes</t>
        </is>
      </c>
      <c r="E258" s="10" t="inlineStr">
        <is>
          <t>Medium bathydemersals (30 - 89 cm)</t>
        </is>
      </c>
      <c r="F258" s="10" t="inlineStr">
        <is>
          <t>Cod-likes</t>
        </is>
      </c>
      <c r="G258" s="11" t="inlineStr">
        <is>
          <t>Dem L pred</t>
        </is>
      </c>
      <c r="H258" s="12" t="n">
        <v>1</v>
      </c>
      <c r="I258" s="10" t="inlineStr">
        <is>
          <t>single</t>
        </is>
      </c>
      <c r="J258" s="15" t="inlineStr">
        <is>
          <t>medium</t>
        </is>
      </c>
      <c r="K258" s="10" t="inlineStr">
        <is>
          <t>taxonomic_containment</t>
        </is>
      </c>
      <c r="L258" s="11" t="inlineStr">
        <is>
          <t>Genus-level catch spans exactly the Table 6 groups containing its documented species. No habitat class overrides those placements.</t>
        </is>
      </c>
      <c r="M258" s="10" t="n">
        <v>20505.902</v>
      </c>
    </row>
    <row r="259" ht="51" customHeight="1">
      <c r="A259" s="10" t="inlineStr">
        <is>
          <t>LME_028</t>
        </is>
      </c>
      <c r="B259" s="11" t="inlineStr">
        <is>
          <t>28_646_Guinea_(1998)</t>
        </is>
      </c>
      <c r="C259" s="11" t="inlineStr">
        <is>
          <t>Torpedinidae</t>
        </is>
      </c>
      <c r="D259" s="10" t="inlineStr">
        <is>
          <t>Electric rays</t>
        </is>
      </c>
      <c r="E259" s="10" t="inlineStr">
        <is>
          <t>Small to medium rays (&lt;90 cm)</t>
        </is>
      </c>
      <c r="F259" s="10" t="inlineStr">
        <is>
          <t>Sharks &amp; rays</t>
        </is>
      </c>
      <c r="G259" s="11" t="inlineStr">
        <is>
          <t>Sélaciens L côtiers</t>
        </is>
      </c>
      <c r="H259" s="12" t="n">
        <v>0.1095070879561124</v>
      </c>
      <c r="I259" s="10" t="inlineStr">
        <is>
          <t>catch_composition</t>
        </is>
      </c>
      <c r="J259" s="15" t="inlineStr">
        <is>
          <t>medium</t>
        </is>
      </c>
      <c r="K259" s="10" t="inlineStr">
        <is>
          <t>composite_split</t>
        </is>
      </c>
      <c r="L259" s="11" t="inlineStr">
        <is>
          <t>Family catch spans the union of all Table 6 member groups belonging to Torpedinidae under WoRMS. Every candidate is supported by a source member; source placement outranks SAU habitat class.</t>
        </is>
      </c>
      <c r="M259" s="10" t="n">
        <v>19797.249</v>
      </c>
    </row>
    <row r="260" ht="51" customHeight="1">
      <c r="A260" s="10" t="inlineStr">
        <is>
          <t>LME_028</t>
        </is>
      </c>
      <c r="B260" s="11" t="inlineStr">
        <is>
          <t>28_646_Guinea_(1998)</t>
        </is>
      </c>
      <c r="C260" s="11" t="inlineStr">
        <is>
          <t>Torpedinidae</t>
        </is>
      </c>
      <c r="D260" s="10" t="inlineStr">
        <is>
          <t>Electric rays</t>
        </is>
      </c>
      <c r="E260" s="10" t="inlineStr">
        <is>
          <t>Small to medium rays (&lt;90 cm)</t>
        </is>
      </c>
      <c r="F260" s="10" t="inlineStr">
        <is>
          <t>Sharks &amp; rays</t>
        </is>
      </c>
      <c r="G260" s="11" t="inlineStr">
        <is>
          <t>Sélaciens L prof</t>
        </is>
      </c>
      <c r="H260" s="12" t="n">
        <v>0.8827728079050571</v>
      </c>
      <c r="I260" s="10" t="inlineStr">
        <is>
          <t>catch_composition</t>
        </is>
      </c>
      <c r="J260" s="15" t="inlineStr">
        <is>
          <t>medium</t>
        </is>
      </c>
      <c r="K260" s="10" t="inlineStr">
        <is>
          <t>composite_split</t>
        </is>
      </c>
      <c r="L260" s="11" t="inlineStr">
        <is>
          <t>Family catch spans the union of all Table 6 member groups belonging to Torpedinidae under WoRMS. Every candidate is supported by a source member; source placement outranks SAU habitat class.</t>
        </is>
      </c>
      <c r="M260" s="10" t="n">
        <v>19797.249</v>
      </c>
    </row>
    <row r="261" ht="51" customHeight="1">
      <c r="A261" s="10" t="inlineStr">
        <is>
          <t>LME_028</t>
        </is>
      </c>
      <c r="B261" s="11" t="inlineStr">
        <is>
          <t>28_646_Guinea_(1998)</t>
        </is>
      </c>
      <c r="C261" s="11" t="inlineStr">
        <is>
          <t>Torpedinidae</t>
        </is>
      </c>
      <c r="D261" s="10" t="inlineStr">
        <is>
          <t>Electric rays</t>
        </is>
      </c>
      <c r="E261" s="10" t="inlineStr">
        <is>
          <t>Small to medium rays (&lt;90 cm)</t>
        </is>
      </c>
      <c r="F261" s="10" t="inlineStr">
        <is>
          <t>Sharks &amp; rays</t>
        </is>
      </c>
      <c r="G261" s="11" t="inlineStr">
        <is>
          <t>Sélaciens M côtiers</t>
        </is>
      </c>
      <c r="H261" s="12" t="n">
        <v>0.007720104138830557</v>
      </c>
      <c r="I261" s="10" t="inlineStr">
        <is>
          <t>catch_composition</t>
        </is>
      </c>
      <c r="J261" s="15" t="inlineStr">
        <is>
          <t>medium</t>
        </is>
      </c>
      <c r="K261" s="10" t="inlineStr">
        <is>
          <t>composite_split</t>
        </is>
      </c>
      <c r="L261" s="11" t="inlineStr">
        <is>
          <t>Family catch spans the union of all Table 6 member groups belonging to Torpedinidae under WoRMS. Every candidate is supported by a source member; source placement outranks SAU habitat class.</t>
        </is>
      </c>
      <c r="M261" s="10" t="n">
        <v>19797.249</v>
      </c>
    </row>
    <row r="262" ht="51" customHeight="1">
      <c r="A262" s="10" t="inlineStr">
        <is>
          <t>LME_028</t>
        </is>
      </c>
      <c r="B262" s="11" t="inlineStr">
        <is>
          <t>28_646_Guinea_(1998)</t>
        </is>
      </c>
      <c r="C262" s="11" t="inlineStr">
        <is>
          <t>Peristediidae</t>
        </is>
      </c>
      <c r="D262" s="10" t="inlineStr">
        <is>
          <t>Armored searobins, gurnards</t>
        </is>
      </c>
      <c r="E262" s="10" t="inlineStr">
        <is>
          <t>Medium bathydemersals (30 - 89 cm)</t>
        </is>
      </c>
      <c r="F262" s="10" t="inlineStr">
        <is>
          <t>Scorpionfishes</t>
        </is>
      </c>
      <c r="G262" s="11" t="inlineStr">
        <is>
          <t>Unresolved</t>
        </is>
      </c>
      <c r="H262" s="12" t="n"/>
      <c r="I262" s="10" t="inlineStr"/>
      <c r="J262" s="16" t="inlineStr">
        <is>
          <t>unresolved</t>
        </is>
      </c>
      <c r="K262" s="10" t="inlineStr">
        <is>
          <t>none</t>
        </is>
      </c>
      <c r="L262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62" s="10" t="n">
        <v>18606.44</v>
      </c>
    </row>
    <row r="263" ht="36" customHeight="1">
      <c r="A263" s="10" t="inlineStr">
        <is>
          <t>LME_028</t>
        </is>
      </c>
      <c r="B263" s="11" t="inlineStr">
        <is>
          <t>28_646_Guinea_(1998)</t>
        </is>
      </c>
      <c r="C263" s="11" t="inlineStr">
        <is>
          <t>Eucinostomus melanopterus</t>
        </is>
      </c>
      <c r="D263" s="10" t="inlineStr">
        <is>
          <t>Flagfin mojarra</t>
        </is>
      </c>
      <c r="E263" s="10" t="inlineStr">
        <is>
          <t>Large reef assoc. fish (&gt;=90 cm)</t>
        </is>
      </c>
      <c r="F263" s="10" t="inlineStr">
        <is>
          <t>Perch-likes</t>
        </is>
      </c>
      <c r="G263" s="11" t="inlineStr">
        <is>
          <t>Côtier S pred</t>
        </is>
      </c>
      <c r="H263" s="12" t="n">
        <v>1</v>
      </c>
      <c r="I263" s="10" t="inlineStr">
        <is>
          <t>single</t>
        </is>
      </c>
      <c r="J263" s="14" t="inlineStr">
        <is>
          <t>high</t>
        </is>
      </c>
      <c r="K263" s="10" t="inlineStr">
        <is>
          <t>explicit_member</t>
        </is>
      </c>
      <c r="L263" s="11" t="inlineStr">
        <is>
          <t>Guénette &amp; Diallo 2004 Table 6 p.131 explicitly lists this taxon in the named group(s); printed and accepted names checked against WoRMS.</t>
        </is>
      </c>
      <c r="M263" s="10" t="n">
        <v>18526.987</v>
      </c>
    </row>
    <row r="264" ht="51" customHeight="1">
      <c r="A264" s="10" t="inlineStr">
        <is>
          <t>LME_028</t>
        </is>
      </c>
      <c r="B264" s="11" t="inlineStr">
        <is>
          <t>28_646_Guinea_(1998)</t>
        </is>
      </c>
      <c r="C264" s="11" t="inlineStr">
        <is>
          <t>Hemiramphidae</t>
        </is>
      </c>
      <c r="D264" s="10" t="inlineStr">
        <is>
          <t>Halfbeaks, garfishes</t>
        </is>
      </c>
      <c r="E264" s="10" t="inlineStr">
        <is>
          <t>Medium pelagics (30 - 89 cm)</t>
        </is>
      </c>
      <c r="F264" s="10" t="inlineStr">
        <is>
          <t>Other fishes &amp; inverts</t>
        </is>
      </c>
      <c r="G264" s="11" t="inlineStr">
        <is>
          <t>Côtier pel S inv</t>
        </is>
      </c>
      <c r="H264" s="12" t="n">
        <v>1</v>
      </c>
      <c r="I264" s="10" t="inlineStr">
        <is>
          <t>single</t>
        </is>
      </c>
      <c r="J264" s="15" t="inlineStr">
        <is>
          <t>medium</t>
        </is>
      </c>
      <c r="K264" s="10" t="inlineStr">
        <is>
          <t>taxonomic_containment</t>
        </is>
      </c>
      <c r="L264" s="11" t="inlineStr">
        <is>
          <t>Family catch spans the union of all Table 6 member groups belonging to Hemiramphidae under WoRMS. Every candidate is supported by a source member; source placement outranks SAU habitat class.</t>
        </is>
      </c>
      <c r="M264" s="10" t="n">
        <v>18318.036</v>
      </c>
    </row>
    <row r="265" ht="36" customHeight="1">
      <c r="A265" s="10" t="inlineStr">
        <is>
          <t>LME_028</t>
        </is>
      </c>
      <c r="B265" s="11" t="inlineStr">
        <is>
          <t>28_646_Guinea_(1998)</t>
        </is>
      </c>
      <c r="C265" s="11" t="inlineStr">
        <is>
          <t>Sphyraena barracuda</t>
        </is>
      </c>
      <c r="D265" s="10" t="inlineStr">
        <is>
          <t>Great barracuda</t>
        </is>
      </c>
      <c r="E265" s="10" t="inlineStr">
        <is>
          <t>Large pelagics (&gt;=90 cm)</t>
        </is>
      </c>
      <c r="F265" s="10" t="inlineStr">
        <is>
          <t>Perch-likes</t>
        </is>
      </c>
      <c r="G265" s="11" t="inlineStr">
        <is>
          <t>Côtier pel L pred</t>
        </is>
      </c>
      <c r="H265" s="12" t="n">
        <v>1</v>
      </c>
      <c r="I265" s="10" t="inlineStr">
        <is>
          <t>single</t>
        </is>
      </c>
      <c r="J265" s="15" t="inlineStr">
        <is>
          <t>medium</t>
        </is>
      </c>
      <c r="K265" s="10" t="inlineStr">
        <is>
          <t>analogue</t>
        </is>
      </c>
      <c r="L265" s="11" t="inlineStr">
        <is>
          <t>Species not individually listed: its genus has one documented Table 6 group, supported by the catch's Large pelagics (&gt;=90 cm) class. Congeneric extension is inference.</t>
        </is>
      </c>
      <c r="M265" s="10" t="n">
        <v>17460.557</v>
      </c>
    </row>
    <row r="266" ht="36" customHeight="1">
      <c r="A266" s="10" t="inlineStr">
        <is>
          <t>LME_028</t>
        </is>
      </c>
      <c r="B266" s="11" t="inlineStr">
        <is>
          <t>28_646_Guinea_(1998)</t>
        </is>
      </c>
      <c r="C266" s="11" t="inlineStr">
        <is>
          <t>Decapoda</t>
        </is>
      </c>
      <c r="D266" s="10" t="inlineStr">
        <is>
          <t>Crabs, lobsters, shrimps</t>
        </is>
      </c>
      <c r="E266" s="10" t="inlineStr">
        <is>
          <t>Lobsters, crabs</t>
        </is>
      </c>
      <c r="F266" s="10" t="inlineStr">
        <is>
          <t>Crustaceans</t>
        </is>
      </c>
      <c r="G266" s="11" t="inlineStr">
        <is>
          <t>Crustacés</t>
        </is>
      </c>
      <c r="H266" s="12" t="n">
        <v>1</v>
      </c>
      <c r="I266" s="10" t="inlineStr">
        <is>
          <t>single</t>
        </is>
      </c>
      <c r="J266" s="14" t="inlineStr">
        <is>
          <t>high</t>
        </is>
      </c>
      <c r="K266" s="10" t="inlineStr">
        <is>
          <t>taxonomic_containment</t>
        </is>
      </c>
      <c r="L266" s="11" t="inlineStr">
        <is>
          <t>Source p.125 explicitly includes commercial/noncommercial shrimp, lobsters and crabs in Crustacés.</t>
        </is>
      </c>
      <c r="M266" s="10" t="n">
        <v>16525.58</v>
      </c>
    </row>
    <row r="267" ht="51" customHeight="1">
      <c r="A267" s="10" t="inlineStr">
        <is>
          <t>LME_028</t>
        </is>
      </c>
      <c r="B267" s="11" t="inlineStr">
        <is>
          <t>28_646_Guinea_(1998)</t>
        </is>
      </c>
      <c r="C267" s="11" t="inlineStr">
        <is>
          <t>Tetraodontidae</t>
        </is>
      </c>
      <c r="D267" s="10" t="inlineStr">
        <is>
          <t>Puffers, tobies</t>
        </is>
      </c>
      <c r="E267" s="10" t="inlineStr">
        <is>
          <t>Large reef assoc. fish (&gt;=90 cm)</t>
        </is>
      </c>
      <c r="F267" s="10" t="inlineStr">
        <is>
          <t>Other fishes &amp; inverts</t>
        </is>
      </c>
      <c r="G267" s="11" t="inlineStr">
        <is>
          <t>Côtier L pred</t>
        </is>
      </c>
      <c r="H267" s="12" t="n">
        <v>0.949790873555595</v>
      </c>
      <c r="I267" s="10" t="inlineStr">
        <is>
          <t>catch_composition</t>
        </is>
      </c>
      <c r="J267" s="15" t="inlineStr">
        <is>
          <t>medium</t>
        </is>
      </c>
      <c r="K267" s="10" t="inlineStr">
        <is>
          <t>composite_split</t>
        </is>
      </c>
      <c r="L267" s="11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7" s="10" t="n">
        <v>16070.431</v>
      </c>
    </row>
    <row r="268" ht="51" customHeight="1">
      <c r="A268" s="10" t="inlineStr">
        <is>
          <t>LME_028</t>
        </is>
      </c>
      <c r="B268" s="11" t="inlineStr">
        <is>
          <t>28_646_Guinea_(1998)</t>
        </is>
      </c>
      <c r="C268" s="11" t="inlineStr">
        <is>
          <t>Tetraodontidae</t>
        </is>
      </c>
      <c r="D268" s="10" t="inlineStr">
        <is>
          <t>Puffers, tobies</t>
        </is>
      </c>
      <c r="E268" s="10" t="inlineStr">
        <is>
          <t>Large reef assoc. fish (&gt;=90 cm)</t>
        </is>
      </c>
      <c r="F268" s="10" t="inlineStr">
        <is>
          <t>Other fishes &amp; inverts</t>
        </is>
      </c>
      <c r="G268" s="11" t="inlineStr">
        <is>
          <t>Dem M pred</t>
        </is>
      </c>
      <c r="H268" s="12" t="n">
        <v>0.04687761917368424</v>
      </c>
      <c r="I268" s="10" t="inlineStr">
        <is>
          <t>catch_composition</t>
        </is>
      </c>
      <c r="J268" s="15" t="inlineStr">
        <is>
          <t>medium</t>
        </is>
      </c>
      <c r="K268" s="10" t="inlineStr">
        <is>
          <t>composite_split</t>
        </is>
      </c>
      <c r="L268" s="11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8" s="10" t="n">
        <v>16070.431</v>
      </c>
    </row>
    <row r="269" ht="51" customHeight="1">
      <c r="A269" s="10" t="inlineStr">
        <is>
          <t>LME_028</t>
        </is>
      </c>
      <c r="B269" s="11" t="inlineStr">
        <is>
          <t>28_646_Guinea_(1998)</t>
        </is>
      </c>
      <c r="C269" s="11" t="inlineStr">
        <is>
          <t>Tetraodontidae</t>
        </is>
      </c>
      <c r="D269" s="10" t="inlineStr">
        <is>
          <t>Puffers, tobies</t>
        </is>
      </c>
      <c r="E269" s="10" t="inlineStr">
        <is>
          <t>Large reef assoc. fish (&gt;=90 cm)</t>
        </is>
      </c>
      <c r="F269" s="10" t="inlineStr">
        <is>
          <t>Other fishes &amp; inverts</t>
        </is>
      </c>
      <c r="G269" s="11" t="inlineStr">
        <is>
          <t>Dem S inv</t>
        </is>
      </c>
      <c r="H269" s="12" t="n">
        <v>0.003331507270720664</v>
      </c>
      <c r="I269" s="10" t="inlineStr">
        <is>
          <t>catch_composition</t>
        </is>
      </c>
      <c r="J269" s="15" t="inlineStr">
        <is>
          <t>medium</t>
        </is>
      </c>
      <c r="K269" s="10" t="inlineStr">
        <is>
          <t>composite_split</t>
        </is>
      </c>
      <c r="L269" s="11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9" s="10" t="n">
        <v>16070.431</v>
      </c>
    </row>
    <row r="270" ht="51" customHeight="1">
      <c r="A270" s="10" t="inlineStr">
        <is>
          <t>LME_028</t>
        </is>
      </c>
      <c r="B270" s="11" t="inlineStr">
        <is>
          <t>28_646_Guinea_(1998)</t>
        </is>
      </c>
      <c r="C270" s="11" t="inlineStr">
        <is>
          <t>Dentex congoensis</t>
        </is>
      </c>
      <c r="D270" s="10" t="inlineStr">
        <is>
          <t>Congo dentex</t>
        </is>
      </c>
      <c r="E270" s="10" t="inlineStr">
        <is>
          <t>Medium demersals (30 - 89 cm)</t>
        </is>
      </c>
      <c r="F270" s="10" t="inlineStr">
        <is>
          <t>Perch-likes</t>
        </is>
      </c>
      <c r="G270" s="11" t="inlineStr">
        <is>
          <t>Unresolved</t>
        </is>
      </c>
      <c r="H270" s="12" t="n"/>
      <c r="I270" s="10" t="inlineStr"/>
      <c r="J270" s="16" t="inlineStr">
        <is>
          <t>unresolved</t>
        </is>
      </c>
      <c r="K270" s="10" t="inlineStr">
        <is>
          <t>none</t>
        </is>
      </c>
      <c r="L27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70" s="10" t="n">
        <v>14469.685</v>
      </c>
    </row>
    <row r="271" ht="36" customHeight="1">
      <c r="A271" s="10" t="inlineStr">
        <is>
          <t>LME_028</t>
        </is>
      </c>
      <c r="B271" s="11" t="inlineStr">
        <is>
          <t>28_646_Guinea_(1998)</t>
        </is>
      </c>
      <c r="C271" s="11" t="inlineStr">
        <is>
          <t>Triglidae</t>
        </is>
      </c>
      <c r="D271" s="10" t="inlineStr">
        <is>
          <t>Searobins, gurnards</t>
        </is>
      </c>
      <c r="E271" s="10" t="inlineStr">
        <is>
          <t>Medium demersals (30 - 89 cm)</t>
        </is>
      </c>
      <c r="F271" s="10" t="inlineStr">
        <is>
          <t>Scorpionfishes</t>
        </is>
      </c>
      <c r="G271" s="11" t="inlineStr">
        <is>
          <t>Bathy SM inv</t>
        </is>
      </c>
      <c r="H271" s="12" t="n">
        <v>0</v>
      </c>
      <c r="I271" s="10" t="inlineStr">
        <is>
          <t>catch_composition</t>
        </is>
      </c>
      <c r="J271" s="15" t="inlineStr">
        <is>
          <t>medium</t>
        </is>
      </c>
      <c r="K271" s="10" t="inlineStr">
        <is>
          <t>composite_split</t>
        </is>
      </c>
      <c r="L271" s="11" t="inlineStr">
        <is>
          <t>Family catch spans the union of all Table 6 member groups belonging to Triglidae under WoRMS. Every candidate is supported by a source member; source placement outranks SAU habitat class.</t>
        </is>
      </c>
      <c r="M271" s="10" t="n">
        <v>13809.254</v>
      </c>
    </row>
    <row r="272" ht="36" customHeight="1">
      <c r="A272" s="10" t="inlineStr">
        <is>
          <t>LME_028</t>
        </is>
      </c>
      <c r="B272" s="11" t="inlineStr">
        <is>
          <t>28_646_Guinea_(1998)</t>
        </is>
      </c>
      <c r="C272" s="11" t="inlineStr">
        <is>
          <t>Triglidae</t>
        </is>
      </c>
      <c r="D272" s="10" t="inlineStr">
        <is>
          <t>Searobins, gurnards</t>
        </is>
      </c>
      <c r="E272" s="10" t="inlineStr">
        <is>
          <t>Medium demersals (30 - 89 cm)</t>
        </is>
      </c>
      <c r="F272" s="10" t="inlineStr">
        <is>
          <t>Scorpionfishes</t>
        </is>
      </c>
      <c r="G272" s="11" t="inlineStr">
        <is>
          <t>Dem M inv</t>
        </is>
      </c>
      <c r="H272" s="12" t="n">
        <v>0.926638714760093</v>
      </c>
      <c r="I272" s="10" t="inlineStr">
        <is>
          <t>catch_composition</t>
        </is>
      </c>
      <c r="J272" s="15" t="inlineStr">
        <is>
          <t>medium</t>
        </is>
      </c>
      <c r="K272" s="10" t="inlineStr">
        <is>
          <t>composite_split</t>
        </is>
      </c>
      <c r="L272" s="11" t="inlineStr">
        <is>
          <t>Family catch spans the union of all Table 6 member groups belonging to Triglidae under WoRMS. Every candidate is supported by a source member; source placement outranks SAU habitat class.</t>
        </is>
      </c>
      <c r="M272" s="10" t="n">
        <v>13809.254</v>
      </c>
    </row>
    <row r="273" ht="36" customHeight="1">
      <c r="A273" s="10" t="inlineStr">
        <is>
          <t>LME_028</t>
        </is>
      </c>
      <c r="B273" s="11" t="inlineStr">
        <is>
          <t>28_646_Guinea_(1998)</t>
        </is>
      </c>
      <c r="C273" s="11" t="inlineStr">
        <is>
          <t>Triglidae</t>
        </is>
      </c>
      <c r="D273" s="10" t="inlineStr">
        <is>
          <t>Searobins, gurnards</t>
        </is>
      </c>
      <c r="E273" s="10" t="inlineStr">
        <is>
          <t>Medium demersals (30 - 89 cm)</t>
        </is>
      </c>
      <c r="F273" s="10" t="inlineStr">
        <is>
          <t>Scorpionfishes</t>
        </is>
      </c>
      <c r="G273" s="11" t="inlineStr">
        <is>
          <t>Dem M pred</t>
        </is>
      </c>
      <c r="H273" s="12" t="n">
        <v>0.073361285239907</v>
      </c>
      <c r="I273" s="10" t="inlineStr">
        <is>
          <t>catch_composition</t>
        </is>
      </c>
      <c r="J273" s="15" t="inlineStr">
        <is>
          <t>medium</t>
        </is>
      </c>
      <c r="K273" s="10" t="inlineStr">
        <is>
          <t>composite_split</t>
        </is>
      </c>
      <c r="L273" s="11" t="inlineStr">
        <is>
          <t>Family catch spans the union of all Table 6 member groups belonging to Triglidae under WoRMS. Every candidate is supported by a source member; source placement outranks SAU habitat class.</t>
        </is>
      </c>
      <c r="M273" s="10" t="n">
        <v>13809.254</v>
      </c>
    </row>
    <row r="274" ht="51" customHeight="1">
      <c r="A274" s="10" t="inlineStr">
        <is>
          <t>LME_028</t>
        </is>
      </c>
      <c r="B274" s="11" t="inlineStr">
        <is>
          <t>28_646_Guinea_(1998)</t>
        </is>
      </c>
      <c r="C274" s="11" t="inlineStr">
        <is>
          <t>Muraenidae</t>
        </is>
      </c>
      <c r="D274" s="10" t="inlineStr">
        <is>
          <t>Moray eels</t>
        </is>
      </c>
      <c r="E274" s="10" t="inlineStr">
        <is>
          <t>Large reef assoc. fish (&gt;=90 cm)</t>
        </is>
      </c>
      <c r="F274" s="10" t="inlineStr">
        <is>
          <t>Other fishes &amp; inverts</t>
        </is>
      </c>
      <c r="G274" s="11" t="inlineStr">
        <is>
          <t>Côtier L pred</t>
        </is>
      </c>
      <c r="H274" s="12" t="n">
        <v>0.9998243344530821</v>
      </c>
      <c r="I274" s="10" t="inlineStr">
        <is>
          <t>catch_composition</t>
        </is>
      </c>
      <c r="J274" s="15" t="inlineStr">
        <is>
          <t>medium</t>
        </is>
      </c>
      <c r="K274" s="10" t="inlineStr">
        <is>
          <t>composite_split</t>
        </is>
      </c>
      <c r="L274" s="11" t="inlineStr">
        <is>
          <t>Family catch spans the union of all Table 6 member groups belonging to Muraenidae under WoRMS. Every candidate is supported by a source member; source placement outranks SAU habitat class.</t>
        </is>
      </c>
      <c r="M274" s="10" t="n">
        <v>12023.983</v>
      </c>
    </row>
    <row r="275" ht="51" customHeight="1">
      <c r="A275" s="10" t="inlineStr">
        <is>
          <t>LME_028</t>
        </is>
      </c>
      <c r="B275" s="11" t="inlineStr">
        <is>
          <t>28_646_Guinea_(1998)</t>
        </is>
      </c>
      <c r="C275" s="11" t="inlineStr">
        <is>
          <t>Muraenidae</t>
        </is>
      </c>
      <c r="D275" s="10" t="inlineStr">
        <is>
          <t>Moray eels</t>
        </is>
      </c>
      <c r="E275" s="10" t="inlineStr">
        <is>
          <t>Large reef assoc. fish (&gt;=90 cm)</t>
        </is>
      </c>
      <c r="F275" s="10" t="inlineStr">
        <is>
          <t>Other fishes &amp; inverts</t>
        </is>
      </c>
      <c r="G275" s="11" t="inlineStr">
        <is>
          <t>Côtier M pred</t>
        </is>
      </c>
      <c r="H275" s="12" t="n">
        <v>0.0001756655469179479</v>
      </c>
      <c r="I275" s="10" t="inlineStr">
        <is>
          <t>catch_composition</t>
        </is>
      </c>
      <c r="J275" s="15" t="inlineStr">
        <is>
          <t>medium</t>
        </is>
      </c>
      <c r="K275" s="10" t="inlineStr">
        <is>
          <t>composite_split</t>
        </is>
      </c>
      <c r="L275" s="11" t="inlineStr">
        <is>
          <t>Family catch spans the union of all Table 6 member groups belonging to Muraenidae under WoRMS. Every candidate is supported by a source member; source placement outranks SAU habitat class.</t>
        </is>
      </c>
      <c r="M275" s="10" t="n">
        <v>12023.983</v>
      </c>
    </row>
    <row r="276" ht="36" customHeight="1">
      <c r="A276" s="10" t="inlineStr">
        <is>
          <t>LME_028</t>
        </is>
      </c>
      <c r="B276" s="11" t="inlineStr">
        <is>
          <t>28_646_Guinea_(1998)</t>
        </is>
      </c>
      <c r="C276" s="11" t="inlineStr">
        <is>
          <t>Penaeus kerathurus</t>
        </is>
      </c>
      <c r="D276" s="10" t="inlineStr">
        <is>
          <t>Caramote prawn</t>
        </is>
      </c>
      <c r="E276" s="10" t="inlineStr">
        <is>
          <t>Shrimps</t>
        </is>
      </c>
      <c r="F276" s="10" t="inlineStr">
        <is>
          <t>Crustaceans</t>
        </is>
      </c>
      <c r="G276" s="11" t="inlineStr">
        <is>
          <t>Crustacés</t>
        </is>
      </c>
      <c r="H276" s="12" t="n">
        <v>1</v>
      </c>
      <c r="I276" s="10" t="inlineStr">
        <is>
          <t>single</t>
        </is>
      </c>
      <c r="J276" s="14" t="inlineStr">
        <is>
          <t>high</t>
        </is>
      </c>
      <c r="K276" s="10" t="inlineStr">
        <is>
          <t>taxonomic_containment</t>
        </is>
      </c>
      <c r="L276" s="11" t="inlineStr">
        <is>
          <t>WoRMS crustacean taxonomy and SAU shrimp/crab/lobster class agree with the source Crustacés definition on p.125.</t>
        </is>
      </c>
      <c r="M276" s="10" t="n">
        <v>11713.135</v>
      </c>
    </row>
    <row r="277" ht="36" customHeight="1">
      <c r="A277" s="10" t="inlineStr">
        <is>
          <t>LME_028</t>
        </is>
      </c>
      <c r="B277" s="11" t="inlineStr">
        <is>
          <t>28_646_Guinea_(1998)</t>
        </is>
      </c>
      <c r="C277" s="11" t="inlineStr">
        <is>
          <t>Lichia amia</t>
        </is>
      </c>
      <c r="D277" s="10" t="inlineStr">
        <is>
          <t>Leerfish</t>
        </is>
      </c>
      <c r="E277" s="10" t="inlineStr">
        <is>
          <t>Large pelagics (&gt;=90 cm)</t>
        </is>
      </c>
      <c r="F277" s="10" t="inlineStr">
        <is>
          <t>Perch-likes</t>
        </is>
      </c>
      <c r="G277" s="11" t="inlineStr">
        <is>
          <t>Côtier pel L pred</t>
        </is>
      </c>
      <c r="H277" s="12" t="n">
        <v>1</v>
      </c>
      <c r="I277" s="10" t="inlineStr">
        <is>
          <t>single</t>
        </is>
      </c>
      <c r="J277" s="14" t="inlineStr">
        <is>
          <t>high</t>
        </is>
      </c>
      <c r="K277" s="10" t="inlineStr">
        <is>
          <t>explicit_member</t>
        </is>
      </c>
      <c r="L277" s="11" t="inlineStr">
        <is>
          <t>Guénette &amp; Diallo 2004 Table 6 p.131 explicitly lists this taxon in the named group(s); printed and accepted names checked against WoRMS.</t>
        </is>
      </c>
      <c r="M277" s="10" t="n">
        <v>11571.547</v>
      </c>
    </row>
    <row r="278" ht="36" customHeight="1">
      <c r="A278" s="10" t="inlineStr">
        <is>
          <t>LME_028</t>
        </is>
      </c>
      <c r="B278" s="11" t="inlineStr">
        <is>
          <t>28_646_Guinea_(1998)</t>
        </is>
      </c>
      <c r="C278" s="11" t="inlineStr">
        <is>
          <t>Pomadasys rogerii</t>
        </is>
      </c>
      <c r="D278" s="10" t="inlineStr">
        <is>
          <t>Pigsnout grunt</t>
        </is>
      </c>
      <c r="E278" s="10" t="inlineStr">
        <is>
          <t>Medium benthopelagics (30 - 89 cm)</t>
        </is>
      </c>
      <c r="F278" s="10" t="inlineStr">
        <is>
          <t>Perch-likes</t>
        </is>
      </c>
      <c r="G278" s="11" t="inlineStr">
        <is>
          <t>Côtier M inv</t>
        </is>
      </c>
      <c r="H278" s="12" t="n">
        <v>1</v>
      </c>
      <c r="I278" s="10" t="inlineStr">
        <is>
          <t>single</t>
        </is>
      </c>
      <c r="J278" s="14" t="inlineStr">
        <is>
          <t>high</t>
        </is>
      </c>
      <c r="K278" s="10" t="inlineStr">
        <is>
          <t>explicit_member</t>
        </is>
      </c>
      <c r="L278" s="11" t="inlineStr">
        <is>
          <t>Guénette &amp; Diallo 2004 Table 6 p.131 explicitly lists this taxon in the named group(s); printed and accepted names checked against WoRMS.</t>
        </is>
      </c>
      <c r="M278" s="10" t="n">
        <v>11378.707</v>
      </c>
    </row>
    <row r="279" ht="36" customHeight="1">
      <c r="A279" s="10" t="inlineStr">
        <is>
          <t>LME_028</t>
        </is>
      </c>
      <c r="B279" s="11" t="inlineStr">
        <is>
          <t>28_646_Guinea_(1998)</t>
        </is>
      </c>
      <c r="C279" s="11" t="inlineStr">
        <is>
          <t>Sphyrna mokarran</t>
        </is>
      </c>
      <c r="D279" s="10" t="inlineStr">
        <is>
          <t>Great hammerhead</t>
        </is>
      </c>
      <c r="E279" s="10" t="inlineStr">
        <is>
          <t>Large sharks (&gt;=90 cm)</t>
        </is>
      </c>
      <c r="F279" s="10" t="inlineStr">
        <is>
          <t>Sharks &amp; rays</t>
        </is>
      </c>
      <c r="G279" s="11" t="inlineStr">
        <is>
          <t>Sélaciens L prof</t>
        </is>
      </c>
      <c r="H279" s="12" t="n">
        <v>1</v>
      </c>
      <c r="I279" s="10" t="inlineStr">
        <is>
          <t>single</t>
        </is>
      </c>
      <c r="J279" s="15" t="inlineStr">
        <is>
          <t>medium</t>
        </is>
      </c>
      <c r="K279" s="10" t="inlineStr">
        <is>
          <t>analogue</t>
        </is>
      </c>
      <c r="L279" s="11" t="inlineStr">
        <is>
          <t>Species not individually listed: its genus has one documented Table 6 group, supported by the catch's Large sharks (&gt;=90 cm) class. Congeneric extension is inference.</t>
        </is>
      </c>
      <c r="M279" s="10" t="n">
        <v>11241.295</v>
      </c>
    </row>
    <row r="280" ht="51" customHeight="1">
      <c r="A280" s="10" t="inlineStr">
        <is>
          <t>LME_028</t>
        </is>
      </c>
      <c r="B280" s="11" t="inlineStr">
        <is>
          <t>28_646_Guinea_(1998)</t>
        </is>
      </c>
      <c r="C280" s="11" t="inlineStr">
        <is>
          <t>Holocentridae</t>
        </is>
      </c>
      <c r="D280" s="10" t="inlineStr">
        <is>
          <t>Squirrel-, soldierfishes</t>
        </is>
      </c>
      <c r="E280" s="10" t="inlineStr">
        <is>
          <t>Small reef assoc. fish (&lt;30 cm)</t>
        </is>
      </c>
      <c r="F280" s="10" t="inlineStr">
        <is>
          <t>Other fishes &amp; inverts</t>
        </is>
      </c>
      <c r="G280" s="11" t="inlineStr">
        <is>
          <t>Dem S inv</t>
        </is>
      </c>
      <c r="H280" s="12" t="n">
        <v>1</v>
      </c>
      <c r="I280" s="10" t="inlineStr">
        <is>
          <t>single</t>
        </is>
      </c>
      <c r="J280" s="15" t="inlineStr">
        <is>
          <t>medium</t>
        </is>
      </c>
      <c r="K280" s="10" t="inlineStr">
        <is>
          <t>taxonomic_containment</t>
        </is>
      </c>
      <c r="L280" s="11" t="inlineStr">
        <is>
          <t>Family catch spans the union of all Table 6 member groups belonging to Holocentridae under WoRMS. Every candidate is supported by a source member; source placement outranks SAU habitat class.</t>
        </is>
      </c>
      <c r="M280" s="10" t="n">
        <v>10765.964</v>
      </c>
    </row>
    <row r="281" ht="51" customHeight="1">
      <c r="A281" s="10" t="inlineStr">
        <is>
          <t>LME_028</t>
        </is>
      </c>
      <c r="B281" s="11" t="inlineStr">
        <is>
          <t>28_646_Guinea_(1998)</t>
        </is>
      </c>
      <c r="C281" s="11" t="inlineStr">
        <is>
          <t>Pellonula leonensis</t>
        </is>
      </c>
      <c r="D281" s="10" t="inlineStr">
        <is>
          <t>Smalltoothed pellonula</t>
        </is>
      </c>
      <c r="E281" s="10" t="inlineStr">
        <is>
          <t>Small pelagics (&lt;30 cm)</t>
        </is>
      </c>
      <c r="F281" s="10" t="inlineStr">
        <is>
          <t>Herring-likes</t>
        </is>
      </c>
      <c r="G281" s="11" t="inlineStr">
        <is>
          <t>Unresolved</t>
        </is>
      </c>
      <c r="H281" s="12" t="n"/>
      <c r="I281" s="10" t="inlineStr"/>
      <c r="J281" s="16" t="inlineStr">
        <is>
          <t>unresolved</t>
        </is>
      </c>
      <c r="K281" s="10" t="inlineStr">
        <is>
          <t>none</t>
        </is>
      </c>
      <c r="L28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81" s="10" t="n">
        <v>10729.87</v>
      </c>
    </row>
    <row r="282" ht="36" customHeight="1">
      <c r="A282" s="10" t="inlineStr">
        <is>
          <t>LME_028</t>
        </is>
      </c>
      <c r="B282" s="11" t="inlineStr">
        <is>
          <t>28_646_Guinea_(1998)</t>
        </is>
      </c>
      <c r="C282" s="11" t="inlineStr">
        <is>
          <t>Plectorhinchus macrolepis</t>
        </is>
      </c>
      <c r="D282" s="10" t="inlineStr">
        <is>
          <t>Biglip grunt</t>
        </is>
      </c>
      <c r="E282" s="10" t="inlineStr">
        <is>
          <t>Medium benthopelagics (30 - 89 cm)</t>
        </is>
      </c>
      <c r="F282" s="10" t="inlineStr">
        <is>
          <t>Perch-likes</t>
        </is>
      </c>
      <c r="G282" s="11" t="inlineStr">
        <is>
          <t>Côtier M inv</t>
        </is>
      </c>
      <c r="H282" s="12" t="n">
        <v>1</v>
      </c>
      <c r="I282" s="10" t="inlineStr">
        <is>
          <t>single</t>
        </is>
      </c>
      <c r="J282" s="14" t="inlineStr">
        <is>
          <t>high</t>
        </is>
      </c>
      <c r="K282" s="10" t="inlineStr">
        <is>
          <t>explicit_member</t>
        </is>
      </c>
      <c r="L282" s="11" t="inlineStr">
        <is>
          <t>Guénette &amp; Diallo 2004 Table 6 p.131 explicitly lists this taxon in the named group(s); printed and accepted names checked against WoRMS.</t>
        </is>
      </c>
      <c r="M282" s="10" t="n">
        <v>10665.671</v>
      </c>
    </row>
    <row r="283" ht="36" customHeight="1">
      <c r="A283" s="10" t="inlineStr">
        <is>
          <t>LME_028</t>
        </is>
      </c>
      <c r="B283" s="11" t="inlineStr">
        <is>
          <t>28_646_Guinea_(1998)</t>
        </is>
      </c>
      <c r="C283" s="11" t="inlineStr">
        <is>
          <t>Makaira</t>
        </is>
      </c>
      <c r="D283" s="10" t="inlineStr">
        <is>
          <t>Blue marlins</t>
        </is>
      </c>
      <c r="E283" s="10" t="inlineStr">
        <is>
          <t>Large pelagics (&gt;=90 cm)</t>
        </is>
      </c>
      <c r="F283" s="10" t="inlineStr">
        <is>
          <t>Tuna &amp; billfishes</t>
        </is>
      </c>
      <c r="G283" s="11" t="inlineStr">
        <is>
          <t>Thons majeurs</t>
        </is>
      </c>
      <c r="H283" s="12" t="n">
        <v>1</v>
      </c>
      <c r="I283" s="10" t="inlineStr">
        <is>
          <t>single</t>
        </is>
      </c>
      <c r="J283" s="15" t="inlineStr">
        <is>
          <t>medium</t>
        </is>
      </c>
      <c r="K283" s="10" t="inlineStr">
        <is>
          <t>taxonomic_containment</t>
        </is>
      </c>
      <c r="L283" s="11" t="inlineStr">
        <is>
          <t>Genus-level catch spans exactly the Table 6 groups containing its documented species. No habitat class overrides those placements.</t>
        </is>
      </c>
      <c r="M283" s="10" t="n">
        <v>10628.089</v>
      </c>
    </row>
    <row r="284" ht="36" customHeight="1">
      <c r="A284" s="10" t="inlineStr">
        <is>
          <t>LME_028</t>
        </is>
      </c>
      <c r="B284" s="11" t="inlineStr">
        <is>
          <t>28_646_Guinea_(1998)</t>
        </is>
      </c>
      <c r="C284" s="11" t="inlineStr">
        <is>
          <t>Albulidae</t>
        </is>
      </c>
      <c r="D284" s="10" t="inlineStr">
        <is>
          <t>Bonefishes</t>
        </is>
      </c>
      <c r="E284" s="10" t="inlineStr">
        <is>
          <t>Medium reef assoc. fish (30 - 89 cm)</t>
        </is>
      </c>
      <c r="F284" s="10" t="inlineStr">
        <is>
          <t>Other fishes &amp; inverts</t>
        </is>
      </c>
      <c r="G284" s="11" t="inlineStr">
        <is>
          <t>Côtier pel L pred</t>
        </is>
      </c>
      <c r="H284" s="12" t="n">
        <v>1</v>
      </c>
      <c r="I284" s="10" t="inlineStr">
        <is>
          <t>single</t>
        </is>
      </c>
      <c r="J284" s="15" t="inlineStr">
        <is>
          <t>medium</t>
        </is>
      </c>
      <c r="K284" s="10" t="inlineStr">
        <is>
          <t>taxonomic_containment</t>
        </is>
      </c>
      <c r="L284" s="11" t="inlineStr">
        <is>
          <t>Family catch spans the union of all Table 6 member groups belonging to Albulidae under WoRMS. Every candidate is supported by a source member; source placement outranks SAU habitat class.</t>
        </is>
      </c>
      <c r="M284" s="10" t="n">
        <v>10490.749</v>
      </c>
    </row>
    <row r="285" ht="36" customHeight="1">
      <c r="A285" s="10" t="inlineStr">
        <is>
          <t>LME_028</t>
        </is>
      </c>
      <c r="B285" s="11" t="inlineStr">
        <is>
          <t>28_646_Guinea_(1998)</t>
        </is>
      </c>
      <c r="C285" s="11" t="inlineStr">
        <is>
          <t>Epinephelus marginatus</t>
        </is>
      </c>
      <c r="D285" s="10" t="inlineStr">
        <is>
          <t>Dusky grouper</t>
        </is>
      </c>
      <c r="E285" s="10" t="inlineStr">
        <is>
          <t>Large reef assoc. fish (&gt;=90 cm)</t>
        </is>
      </c>
      <c r="F285" s="10" t="inlineStr">
        <is>
          <t>Perch-likes</t>
        </is>
      </c>
      <c r="G285" s="11" t="inlineStr">
        <is>
          <t>Dem L pred</t>
        </is>
      </c>
      <c r="H285" s="12" t="n">
        <v>1</v>
      </c>
      <c r="I285" s="10" t="inlineStr">
        <is>
          <t>single</t>
        </is>
      </c>
      <c r="J285" s="14" t="inlineStr">
        <is>
          <t>high</t>
        </is>
      </c>
      <c r="K285" s="10" t="inlineStr">
        <is>
          <t>explicit_member</t>
        </is>
      </c>
      <c r="L285" s="11" t="inlineStr">
        <is>
          <t>Guénette &amp; Diallo 2004 Table 6 p.131 explicitly lists this taxon in the named group(s); printed and accepted names checked against WoRMS.</t>
        </is>
      </c>
      <c r="M285" s="10" t="n">
        <v>10340.518</v>
      </c>
    </row>
    <row r="286" ht="36" customHeight="1">
      <c r="A286" s="10" t="inlineStr">
        <is>
          <t>LME_028</t>
        </is>
      </c>
      <c r="B286" s="11" t="inlineStr">
        <is>
          <t>28_646_Guinea_(1998)</t>
        </is>
      </c>
      <c r="C286" s="11" t="inlineStr">
        <is>
          <t>Epinephelus goreensis</t>
        </is>
      </c>
      <c r="D286" s="10" t="inlineStr">
        <is>
          <t>Dungat grouper</t>
        </is>
      </c>
      <c r="E286" s="10" t="inlineStr">
        <is>
          <t>Large demersals (&gt;=90 cm)</t>
        </is>
      </c>
      <c r="F286" s="10" t="inlineStr">
        <is>
          <t>Perch-likes</t>
        </is>
      </c>
      <c r="G286" s="11" t="inlineStr">
        <is>
          <t>Dem L pred</t>
        </is>
      </c>
      <c r="H286" s="12" t="n">
        <v>1</v>
      </c>
      <c r="I286" s="10" t="inlineStr">
        <is>
          <t>single</t>
        </is>
      </c>
      <c r="J286" s="14" t="inlineStr">
        <is>
          <t>high</t>
        </is>
      </c>
      <c r="K286" s="10" t="inlineStr">
        <is>
          <t>explicit_member</t>
        </is>
      </c>
      <c r="L286" s="11" t="inlineStr">
        <is>
          <t>Guénette &amp; Diallo 2004 Table 6 p.131 explicitly lists this taxon in the named group(s); printed and accepted names checked against WoRMS.</t>
        </is>
      </c>
      <c r="M286" s="10" t="n">
        <v>10264.459</v>
      </c>
    </row>
    <row r="287" ht="36" customHeight="1">
      <c r="A287" s="10" t="inlineStr">
        <is>
          <t>LME_028</t>
        </is>
      </c>
      <c r="B287" s="11" t="inlineStr">
        <is>
          <t>28_646_Guinea_(1998)</t>
        </is>
      </c>
      <c r="C287" s="11" t="inlineStr">
        <is>
          <t>Abudefduf</t>
        </is>
      </c>
      <c r="D287" s="10" t="inlineStr">
        <is>
          <t>Sergeants</t>
        </is>
      </c>
      <c r="E287" s="10" t="inlineStr">
        <is>
          <t>Small reef assoc. fish (&lt;30 cm)</t>
        </is>
      </c>
      <c r="F287" s="10" t="inlineStr">
        <is>
          <t>Perch-likes</t>
        </is>
      </c>
      <c r="G287" s="11" t="inlineStr">
        <is>
          <t>Côtier S inv</t>
        </is>
      </c>
      <c r="H287" s="12" t="n">
        <v>1</v>
      </c>
      <c r="I287" s="10" t="inlineStr">
        <is>
          <t>single</t>
        </is>
      </c>
      <c r="J287" s="15" t="inlineStr">
        <is>
          <t>medium</t>
        </is>
      </c>
      <c r="K287" s="10" t="inlineStr">
        <is>
          <t>taxonomic_containment</t>
        </is>
      </c>
      <c r="L287" s="11" t="inlineStr">
        <is>
          <t>Genus-level catch spans exactly the Table 6 groups containing its documented species. No habitat class overrides those placements.</t>
        </is>
      </c>
      <c r="M287" s="10" t="n">
        <v>10184.75</v>
      </c>
    </row>
    <row r="288" ht="36" customHeight="1">
      <c r="A288" s="10" t="inlineStr">
        <is>
          <t>LME_028</t>
        </is>
      </c>
      <c r="B288" s="11" t="inlineStr">
        <is>
          <t>28_646_Guinea_(1998)</t>
        </is>
      </c>
      <c r="C288" s="11" t="inlineStr">
        <is>
          <t>Priacanthus</t>
        </is>
      </c>
      <c r="D288" s="10" t="inlineStr">
        <is>
          <t>Bigeyes</t>
        </is>
      </c>
      <c r="E288" s="10" t="inlineStr">
        <is>
          <t>Medium reef assoc. fish (30 - 89 cm)</t>
        </is>
      </c>
      <c r="F288" s="10" t="inlineStr">
        <is>
          <t>Perch-likes</t>
        </is>
      </c>
      <c r="G288" s="11" t="inlineStr">
        <is>
          <t>Dem M pred</t>
        </is>
      </c>
      <c r="H288" s="12" t="n">
        <v>1</v>
      </c>
      <c r="I288" s="10" t="inlineStr">
        <is>
          <t>single</t>
        </is>
      </c>
      <c r="J288" s="15" t="inlineStr">
        <is>
          <t>medium</t>
        </is>
      </c>
      <c r="K288" s="10" t="inlineStr">
        <is>
          <t>taxonomic_containment</t>
        </is>
      </c>
      <c r="L288" s="11" t="inlineStr">
        <is>
          <t>Genus-level catch spans exactly the Table 6 groups containing its documented species. No habitat class overrides those placements.</t>
        </is>
      </c>
      <c r="M288" s="10" t="n">
        <v>9934.699000000001</v>
      </c>
    </row>
    <row r="289" ht="21" customHeight="1">
      <c r="A289" s="10" t="inlineStr">
        <is>
          <t>LME_028</t>
        </is>
      </c>
      <c r="B289" s="11" t="inlineStr">
        <is>
          <t>28_646_Guinea_(1998)</t>
        </is>
      </c>
      <c r="C289" s="11" t="inlineStr">
        <is>
          <t>Octopodidae</t>
        </is>
      </c>
      <c r="D289" s="10" t="inlineStr">
        <is>
          <t>Octopuses</t>
        </is>
      </c>
      <c r="E289" s="10" t="inlineStr">
        <is>
          <t>Cephalopods</t>
        </is>
      </c>
      <c r="F289" s="10" t="inlineStr">
        <is>
          <t>Other fishes &amp; inverts</t>
        </is>
      </c>
      <c r="G289" s="11" t="inlineStr">
        <is>
          <t>Céphalopodes</t>
        </is>
      </c>
      <c r="H289" s="12" t="n">
        <v>1</v>
      </c>
      <c r="I289" s="10" t="inlineStr">
        <is>
          <t>single</t>
        </is>
      </c>
      <c r="J289" s="14" t="inlineStr">
        <is>
          <t>high</t>
        </is>
      </c>
      <c r="K289" s="10" t="inlineStr">
        <is>
          <t>taxonomic_containment</t>
        </is>
      </c>
      <c r="L289" s="11" t="inlineStr">
        <is>
          <t>Source p.125 explicitly includes all cephalopods, including octopus, cuttlefish and squid.</t>
        </is>
      </c>
      <c r="M289" s="10" t="n">
        <v>9248.424000000001</v>
      </c>
    </row>
    <row r="290" ht="36" customHeight="1">
      <c r="A290" s="10" t="inlineStr">
        <is>
          <t>LME_028</t>
        </is>
      </c>
      <c r="B290" s="11" t="inlineStr">
        <is>
          <t>28_646_Guinea_(1998)</t>
        </is>
      </c>
      <c r="C290" s="11" t="inlineStr">
        <is>
          <t>Boops boops</t>
        </is>
      </c>
      <c r="D290" s="10" t="inlineStr">
        <is>
          <t>Bogue</t>
        </is>
      </c>
      <c r="E290" s="10" t="inlineStr">
        <is>
          <t>Medium demersals (30 - 89 cm)</t>
        </is>
      </c>
      <c r="F290" s="10" t="inlineStr">
        <is>
          <t>Perch-likes</t>
        </is>
      </c>
      <c r="G290" s="11" t="inlineStr">
        <is>
          <t>Dem M inv</t>
        </is>
      </c>
      <c r="H290" s="12" t="n">
        <v>1</v>
      </c>
      <c r="I290" s="10" t="inlineStr">
        <is>
          <t>single</t>
        </is>
      </c>
      <c r="J290" s="14" t="inlineStr">
        <is>
          <t>high</t>
        </is>
      </c>
      <c r="K290" s="10" t="inlineStr">
        <is>
          <t>explicit_member</t>
        </is>
      </c>
      <c r="L290" s="11" t="inlineStr">
        <is>
          <t>Guénette &amp; Diallo 2004 Table 6 p.131 explicitly lists this taxon in the named group(s); printed and accepted names checked against WoRMS.</t>
        </is>
      </c>
      <c r="M290" s="10" t="n">
        <v>9138.450000000001</v>
      </c>
    </row>
    <row r="291" ht="51" customHeight="1">
      <c r="A291" s="10" t="inlineStr">
        <is>
          <t>LME_028</t>
        </is>
      </c>
      <c r="B291" s="11" t="inlineStr">
        <is>
          <t>28_646_Guinea_(1998)</t>
        </is>
      </c>
      <c r="C291" s="11" t="inlineStr">
        <is>
          <t>Ginglymostoma cirratum</t>
        </is>
      </c>
      <c r="D291" s="10" t="inlineStr">
        <is>
          <t>Nurse shark</t>
        </is>
      </c>
      <c r="E291" s="10" t="inlineStr">
        <is>
          <t>Large sharks (&gt;=90 cm)</t>
        </is>
      </c>
      <c r="F291" s="10" t="inlineStr">
        <is>
          <t>Sharks &amp; rays</t>
        </is>
      </c>
      <c r="G291" s="11" t="inlineStr">
        <is>
          <t>Unresolved</t>
        </is>
      </c>
      <c r="H291" s="12" t="n"/>
      <c r="I291" s="10" t="inlineStr"/>
      <c r="J291" s="16" t="inlineStr">
        <is>
          <t>unresolved</t>
        </is>
      </c>
      <c r="K291" s="10" t="inlineStr">
        <is>
          <t>none</t>
        </is>
      </c>
      <c r="L29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291" s="10" t="n">
        <v>8784.412</v>
      </c>
    </row>
    <row r="292" ht="36" customHeight="1">
      <c r="A292" s="10" t="inlineStr">
        <is>
          <t>LME_028</t>
        </is>
      </c>
      <c r="B292" s="11" t="inlineStr">
        <is>
          <t>28_646_Guinea_(1998)</t>
        </is>
      </c>
      <c r="C292" s="11" t="inlineStr">
        <is>
          <t>Galeocerdo cuvier</t>
        </is>
      </c>
      <c r="D292" s="10" t="inlineStr">
        <is>
          <t>Tiger shark</t>
        </is>
      </c>
      <c r="E292" s="10" t="inlineStr">
        <is>
          <t>Large sharks (&gt;=90 cm)</t>
        </is>
      </c>
      <c r="F292" s="10" t="inlineStr">
        <is>
          <t>Sharks &amp; rays</t>
        </is>
      </c>
      <c r="G292" s="11" t="inlineStr">
        <is>
          <t>Sélaciens L côtiers</t>
        </is>
      </c>
      <c r="H292" s="12" t="n">
        <v>1</v>
      </c>
      <c r="I292" s="10" t="inlineStr">
        <is>
          <t>single</t>
        </is>
      </c>
      <c r="J292" s="14" t="inlineStr">
        <is>
          <t>high</t>
        </is>
      </c>
      <c r="K292" s="10" t="inlineStr">
        <is>
          <t>explicit_member</t>
        </is>
      </c>
      <c r="L292" s="11" t="inlineStr">
        <is>
          <t>Guénette &amp; Diallo 2004 Table 6 p.131 explicitly lists this taxon in the named group(s); printed and accepted names checked against WoRMS.</t>
        </is>
      </c>
      <c r="M292" s="10" t="n">
        <v>8733.236000000001</v>
      </c>
    </row>
    <row r="293" ht="51" customHeight="1">
      <c r="A293" s="10" t="inlineStr">
        <is>
          <t>LME_028</t>
        </is>
      </c>
      <c r="B293" s="11" t="inlineStr">
        <is>
          <t>28_646_Guinea_(1998)</t>
        </is>
      </c>
      <c r="C293" s="11" t="inlineStr">
        <is>
          <t>Gempylidae</t>
        </is>
      </c>
      <c r="D293" s="10" t="inlineStr">
        <is>
          <t>Snake mackerels</t>
        </is>
      </c>
      <c r="E293" s="10" t="inlineStr">
        <is>
          <t>Large benthopelagics (&gt;=90 cm)</t>
        </is>
      </c>
      <c r="F293" s="10" t="inlineStr">
        <is>
          <t>Perch-likes</t>
        </is>
      </c>
      <c r="G293" s="11" t="inlineStr">
        <is>
          <t>Bathy L pred</t>
        </is>
      </c>
      <c r="H293" s="12" t="n">
        <v>1</v>
      </c>
      <c r="I293" s="10" t="inlineStr">
        <is>
          <t>single</t>
        </is>
      </c>
      <c r="J293" s="15" t="inlineStr">
        <is>
          <t>medium</t>
        </is>
      </c>
      <c r="K293" s="10" t="inlineStr">
        <is>
          <t>taxonomic_containment</t>
        </is>
      </c>
      <c r="L293" s="11" t="inlineStr">
        <is>
          <t>Family catch spans the union of all Table 6 member groups belonging to Gempylidae under WoRMS. Every candidate is supported by a source member; source placement outranks SAU habitat class.</t>
        </is>
      </c>
      <c r="M293" s="10" t="n">
        <v>8329.102999999999</v>
      </c>
    </row>
    <row r="294" ht="36" customHeight="1">
      <c r="A294" s="10" t="inlineStr">
        <is>
          <t>LME_028</t>
        </is>
      </c>
      <c r="B294" s="11" t="inlineStr">
        <is>
          <t>28_646_Guinea_(1998)</t>
        </is>
      </c>
      <c r="C294" s="11" t="inlineStr">
        <is>
          <t>Xiphiidae</t>
        </is>
      </c>
      <c r="D294" s="10" t="inlineStr">
        <is>
          <t>Swordfishes</t>
        </is>
      </c>
      <c r="E294" s="10" t="inlineStr">
        <is>
          <t>Large pelagics (&gt;=90 cm)</t>
        </is>
      </c>
      <c r="F294" s="10" t="inlineStr">
        <is>
          <t>Tuna &amp; billfishes</t>
        </is>
      </c>
      <c r="G294" s="11" t="inlineStr">
        <is>
          <t>Thons majeurs</t>
        </is>
      </c>
      <c r="H294" s="12" t="n">
        <v>1</v>
      </c>
      <c r="I294" s="10" t="inlineStr">
        <is>
          <t>single</t>
        </is>
      </c>
      <c r="J294" s="15" t="inlineStr">
        <is>
          <t>medium</t>
        </is>
      </c>
      <c r="K294" s="10" t="inlineStr">
        <is>
          <t>taxonomic_containment</t>
        </is>
      </c>
      <c r="L294" s="11" t="inlineStr">
        <is>
          <t>Family catch spans the union of all Table 6 member groups belonging to Xiphiidae under WoRMS. Every candidate is supported by a source member; source placement outranks SAU habitat class.</t>
        </is>
      </c>
      <c r="M294" s="10" t="n">
        <v>8182.409</v>
      </c>
    </row>
    <row r="295" ht="51" customHeight="1">
      <c r="A295" s="10" t="inlineStr">
        <is>
          <t>LME_028</t>
        </is>
      </c>
      <c r="B295" s="11" t="inlineStr">
        <is>
          <t>28_646_Guinea_(1998)</t>
        </is>
      </c>
      <c r="C295" s="11" t="inlineStr">
        <is>
          <t>Spondyliosoma cantharus</t>
        </is>
      </c>
      <c r="D295" s="10" t="inlineStr">
        <is>
          <t>Black seabream</t>
        </is>
      </c>
      <c r="E295" s="10" t="inlineStr">
        <is>
          <t>Medium benthopelagics (30 - 89 cm)</t>
        </is>
      </c>
      <c r="F295" s="10" t="inlineStr">
        <is>
          <t>Perch-likes</t>
        </is>
      </c>
      <c r="G295" s="11" t="inlineStr">
        <is>
          <t>Unresolved</t>
        </is>
      </c>
      <c r="H295" s="12" t="n"/>
      <c r="I295" s="10" t="inlineStr"/>
      <c r="J295" s="16" t="inlineStr">
        <is>
          <t>unresolved</t>
        </is>
      </c>
      <c r="K295" s="10" t="inlineStr">
        <is>
          <t>none</t>
        </is>
      </c>
      <c r="L29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95" s="10" t="n">
        <v>8158.495</v>
      </c>
    </row>
    <row r="296" ht="36" customHeight="1">
      <c r="A296" s="10" t="inlineStr">
        <is>
          <t>LME_028</t>
        </is>
      </c>
      <c r="B296" s="11" t="inlineStr">
        <is>
          <t>28_646_Guinea_(1998)</t>
        </is>
      </c>
      <c r="C296" s="11" t="inlineStr">
        <is>
          <t>Batoidea</t>
        </is>
      </c>
      <c r="D296" s="10" t="inlineStr">
        <is>
          <t>Batoids, skates, rays, sawfishes</t>
        </is>
      </c>
      <c r="E296" s="10" t="inlineStr">
        <is>
          <t>Large rays (&gt;=90 cm)</t>
        </is>
      </c>
      <c r="F296" s="10" t="inlineStr">
        <is>
          <t>Sharks &amp; rays</t>
        </is>
      </c>
      <c r="G296" s="11" t="inlineStr">
        <is>
          <t>Sélaciens L prof</t>
        </is>
      </c>
      <c r="H296" s="12" t="n">
        <v>0.7311113520321565</v>
      </c>
      <c r="I296" s="10" t="inlineStr">
        <is>
          <t>catch_composition</t>
        </is>
      </c>
      <c r="J296" s="15" t="inlineStr">
        <is>
          <t>medium</t>
        </is>
      </c>
      <c r="K296" s="10" t="inlineStr">
        <is>
          <t>composite_split</t>
        </is>
      </c>
      <c r="L296" s="11" t="inlineStr">
        <is>
          <t>Ray members occur in all four selacian groups in Table 6; coastal and depth size classes all have explicit ray representatives.</t>
        </is>
      </c>
      <c r="M296" s="10" t="n">
        <v>7964.928</v>
      </c>
    </row>
    <row r="297" ht="36" customHeight="1">
      <c r="A297" s="10" t="inlineStr">
        <is>
          <t>LME_028</t>
        </is>
      </c>
      <c r="B297" s="11" t="inlineStr">
        <is>
          <t>28_646_Guinea_(1998)</t>
        </is>
      </c>
      <c r="C297" s="11" t="inlineStr">
        <is>
          <t>Batoidea</t>
        </is>
      </c>
      <c r="D297" s="10" t="inlineStr">
        <is>
          <t>Batoids, skates, rays, sawfishes</t>
        </is>
      </c>
      <c r="E297" s="10" t="inlineStr">
        <is>
          <t>Large rays (&gt;=90 cm)</t>
        </is>
      </c>
      <c r="F297" s="10" t="inlineStr">
        <is>
          <t>Sharks &amp; rays</t>
        </is>
      </c>
      <c r="G297" s="11" t="inlineStr">
        <is>
          <t>Sélaciens L côtiers</t>
        </is>
      </c>
      <c r="H297" s="12" t="n">
        <v>0.09069363534508455</v>
      </c>
      <c r="I297" s="10" t="inlineStr">
        <is>
          <t>catch_composition</t>
        </is>
      </c>
      <c r="J297" s="15" t="inlineStr">
        <is>
          <t>medium</t>
        </is>
      </c>
      <c r="K297" s="10" t="inlineStr">
        <is>
          <t>composite_split</t>
        </is>
      </c>
      <c r="L297" s="11" t="inlineStr">
        <is>
          <t>Ray members occur in all four selacian groups in Table 6; coastal and depth size classes all have explicit ray representatives.</t>
        </is>
      </c>
      <c r="M297" s="10" t="n">
        <v>7964.928</v>
      </c>
    </row>
    <row r="298" ht="36" customHeight="1">
      <c r="A298" s="10" t="inlineStr">
        <is>
          <t>LME_028</t>
        </is>
      </c>
      <c r="B298" s="11" t="inlineStr">
        <is>
          <t>28_646_Guinea_(1998)</t>
        </is>
      </c>
      <c r="C298" s="11" t="inlineStr">
        <is>
          <t>Batoidea</t>
        </is>
      </c>
      <c r="D298" s="10" t="inlineStr">
        <is>
          <t>Batoids, skates, rays, sawfishes</t>
        </is>
      </c>
      <c r="E298" s="10" t="inlineStr">
        <is>
          <t>Large rays (&gt;=90 cm)</t>
        </is>
      </c>
      <c r="F298" s="10" t="inlineStr">
        <is>
          <t>Sharks &amp; rays</t>
        </is>
      </c>
      <c r="G298" s="11" t="inlineStr">
        <is>
          <t>Sélaciens M prof</t>
        </is>
      </c>
      <c r="H298" s="12" t="n">
        <v>0.171801231885262</v>
      </c>
      <c r="I298" s="10" t="inlineStr">
        <is>
          <t>catch_composition</t>
        </is>
      </c>
      <c r="J298" s="15" t="inlineStr">
        <is>
          <t>medium</t>
        </is>
      </c>
      <c r="K298" s="10" t="inlineStr">
        <is>
          <t>composite_split</t>
        </is>
      </c>
      <c r="L298" s="11" t="inlineStr">
        <is>
          <t>Ray members occur in all four selacian groups in Table 6; coastal and depth size classes all have explicit ray representatives.</t>
        </is>
      </c>
      <c r="M298" s="10" t="n">
        <v>7964.928</v>
      </c>
    </row>
    <row r="299" ht="36" customHeight="1">
      <c r="A299" s="10" t="inlineStr">
        <is>
          <t>LME_028</t>
        </is>
      </c>
      <c r="B299" s="11" t="inlineStr">
        <is>
          <t>28_646_Guinea_(1998)</t>
        </is>
      </c>
      <c r="C299" s="11" t="inlineStr">
        <is>
          <t>Batoidea</t>
        </is>
      </c>
      <c r="D299" s="10" t="inlineStr">
        <is>
          <t>Batoids, skates, rays, sawfishes</t>
        </is>
      </c>
      <c r="E299" s="10" t="inlineStr">
        <is>
          <t>Large rays (&gt;=90 cm)</t>
        </is>
      </c>
      <c r="F299" s="10" t="inlineStr">
        <is>
          <t>Sharks &amp; rays</t>
        </is>
      </c>
      <c r="G299" s="11" t="inlineStr">
        <is>
          <t>Sélaciens M côtiers</t>
        </is>
      </c>
      <c r="H299" s="12" t="n">
        <v>0.006393780737496957</v>
      </c>
      <c r="I299" s="10" t="inlineStr">
        <is>
          <t>catch_composition</t>
        </is>
      </c>
      <c r="J299" s="15" t="inlineStr">
        <is>
          <t>medium</t>
        </is>
      </c>
      <c r="K299" s="10" t="inlineStr">
        <is>
          <t>composite_split</t>
        </is>
      </c>
      <c r="L299" s="11" t="inlineStr">
        <is>
          <t>Ray members occur in all four selacian groups in Table 6; coastal and depth size classes all have explicit ray representatives.</t>
        </is>
      </c>
      <c r="M299" s="10" t="n">
        <v>7964.928</v>
      </c>
    </row>
    <row r="300" ht="36" customHeight="1">
      <c r="A300" s="10" t="inlineStr">
        <is>
          <t>LME_028</t>
        </is>
      </c>
      <c r="B300" s="11" t="inlineStr">
        <is>
          <t>28_646_Guinea_(1998)</t>
        </is>
      </c>
      <c r="C300" s="11" t="inlineStr">
        <is>
          <t>Caranx senegallus</t>
        </is>
      </c>
      <c r="D300" s="10" t="inlineStr">
        <is>
          <t>Senegal jack</t>
        </is>
      </c>
      <c r="E300" s="10" t="inlineStr">
        <is>
          <t>Medium benthopelagics (30 - 89 cm)</t>
        </is>
      </c>
      <c r="F300" s="10" t="inlineStr">
        <is>
          <t>Perch-likes</t>
        </is>
      </c>
      <c r="G300" s="11" t="inlineStr">
        <is>
          <t>Côtier pel L pred</t>
        </is>
      </c>
      <c r="H300" s="12" t="n">
        <v>1</v>
      </c>
      <c r="I300" s="10" t="inlineStr">
        <is>
          <t>single</t>
        </is>
      </c>
      <c r="J300" s="14" t="inlineStr">
        <is>
          <t>high</t>
        </is>
      </c>
      <c r="K300" s="10" t="inlineStr">
        <is>
          <t>explicit_member</t>
        </is>
      </c>
      <c r="L300" s="11" t="inlineStr">
        <is>
          <t>Guénette &amp; Diallo 2004 Table 6 p.131 explicitly lists this taxon in the named group(s); printed and accepted names checked against WoRMS.</t>
        </is>
      </c>
      <c r="M300" s="10" t="n">
        <v>7900.316</v>
      </c>
    </row>
    <row r="301" ht="51" customHeight="1">
      <c r="A301" s="10" t="inlineStr">
        <is>
          <t>LME_028</t>
        </is>
      </c>
      <c r="B301" s="11" t="inlineStr">
        <is>
          <t>28_646_Guinea_(1998)</t>
        </is>
      </c>
      <c r="C301" s="11" t="inlineStr">
        <is>
          <t>Rhinobatidae</t>
        </is>
      </c>
      <c r="D301" s="10" t="inlineStr">
        <is>
          <t>Guitarfishes, fanrays</t>
        </is>
      </c>
      <c r="E301" s="10" t="inlineStr">
        <is>
          <t>Large rays (&gt;=90 cm)</t>
        </is>
      </c>
      <c r="F301" s="10" t="inlineStr">
        <is>
          <t>Sharks &amp; rays</t>
        </is>
      </c>
      <c r="G301" s="11" t="inlineStr">
        <is>
          <t>Sélaciens L côtiers</t>
        </is>
      </c>
      <c r="H301" s="12" t="n">
        <v>0.9341440838011543</v>
      </c>
      <c r="I301" s="10" t="inlineStr">
        <is>
          <t>catch_composition</t>
        </is>
      </c>
      <c r="J301" s="15" t="inlineStr">
        <is>
          <t>medium</t>
        </is>
      </c>
      <c r="K301" s="10" t="inlineStr">
        <is>
          <t>composite_split</t>
        </is>
      </c>
      <c r="L301" s="11" t="inlineStr">
        <is>
          <t>Family catch spans the union of all Table 6 member groups belonging to Rhinobatidae under WoRMS. Every candidate is supported by a source member; source placement outranks SAU habitat class.</t>
        </is>
      </c>
      <c r="M301" s="10" t="n">
        <v>7868.545</v>
      </c>
    </row>
    <row r="302" ht="51" customHeight="1">
      <c r="A302" s="10" t="inlineStr">
        <is>
          <t>LME_028</t>
        </is>
      </c>
      <c r="B302" s="11" t="inlineStr">
        <is>
          <t>28_646_Guinea_(1998)</t>
        </is>
      </c>
      <c r="C302" s="11" t="inlineStr">
        <is>
          <t>Rhinobatidae</t>
        </is>
      </c>
      <c r="D302" s="10" t="inlineStr">
        <is>
          <t>Guitarfishes, fanrays</t>
        </is>
      </c>
      <c r="E302" s="10" t="inlineStr">
        <is>
          <t>Large rays (&gt;=90 cm)</t>
        </is>
      </c>
      <c r="F302" s="10" t="inlineStr">
        <is>
          <t>Sharks &amp; rays</t>
        </is>
      </c>
      <c r="G302" s="11" t="inlineStr">
        <is>
          <t>Sélaciens M côtiers</t>
        </is>
      </c>
      <c r="H302" s="12" t="n">
        <v>0.06585591619884575</v>
      </c>
      <c r="I302" s="10" t="inlineStr">
        <is>
          <t>catch_composition</t>
        </is>
      </c>
      <c r="J302" s="15" t="inlineStr">
        <is>
          <t>medium</t>
        </is>
      </c>
      <c r="K302" s="10" t="inlineStr">
        <is>
          <t>composite_split</t>
        </is>
      </c>
      <c r="L302" s="11" t="inlineStr">
        <is>
          <t>Family catch spans the union of all Table 6 member groups belonging to Rhinobatidae under WoRMS. Every candidate is supported by a source member; source placement outranks SAU habitat class.</t>
        </is>
      </c>
      <c r="M302" s="10" t="n">
        <v>7868.545</v>
      </c>
    </row>
    <row r="303" ht="36" customHeight="1">
      <c r="A303" s="10" t="inlineStr">
        <is>
          <t>LME_028</t>
        </is>
      </c>
      <c r="B303" s="11" t="inlineStr">
        <is>
          <t>28_646_Guinea_(1998)</t>
        </is>
      </c>
      <c r="C303" s="11" t="inlineStr">
        <is>
          <t>Lophiidae</t>
        </is>
      </c>
      <c r="D303" s="10" t="inlineStr">
        <is>
          <t>Goosefishes</t>
        </is>
      </c>
      <c r="E303" s="10" t="inlineStr">
        <is>
          <t>Medium bathydemersals (30 - 89 cm)</t>
        </is>
      </c>
      <c r="F303" s="10" t="inlineStr">
        <is>
          <t>Other fishes &amp; inverts</t>
        </is>
      </c>
      <c r="G303" s="11" t="inlineStr">
        <is>
          <t>Bathy L pred</t>
        </is>
      </c>
      <c r="H303" s="12" t="n">
        <v>0.08341676878013328</v>
      </c>
      <c r="I303" s="10" t="inlineStr">
        <is>
          <t>catch_composition</t>
        </is>
      </c>
      <c r="J303" s="15" t="inlineStr">
        <is>
          <t>medium</t>
        </is>
      </c>
      <c r="K303" s="10" t="inlineStr">
        <is>
          <t>composite_split</t>
        </is>
      </c>
      <c r="L303" s="11" t="inlineStr">
        <is>
          <t>Family catch spans the union of all Table 6 member groups belonging to Lophiidae under WoRMS. Every candidate is supported by a source member; source placement outranks SAU habitat class.</t>
        </is>
      </c>
      <c r="M303" s="10" t="n">
        <v>7439.708</v>
      </c>
    </row>
    <row r="304" ht="36" customHeight="1">
      <c r="A304" s="10" t="inlineStr">
        <is>
          <t>LME_028</t>
        </is>
      </c>
      <c r="B304" s="11" t="inlineStr">
        <is>
          <t>28_646_Guinea_(1998)</t>
        </is>
      </c>
      <c r="C304" s="11" t="inlineStr">
        <is>
          <t>Lophiidae</t>
        </is>
      </c>
      <c r="D304" s="10" t="inlineStr">
        <is>
          <t>Goosefishes</t>
        </is>
      </c>
      <c r="E304" s="10" t="inlineStr">
        <is>
          <t>Medium bathydemersals (30 - 89 cm)</t>
        </is>
      </c>
      <c r="F304" s="10" t="inlineStr">
        <is>
          <t>Other fishes &amp; inverts</t>
        </is>
      </c>
      <c r="G304" s="11" t="inlineStr">
        <is>
          <t>Dem M pred</t>
        </is>
      </c>
      <c r="H304" s="12" t="n">
        <v>0.9165832312198667</v>
      </c>
      <c r="I304" s="10" t="inlineStr">
        <is>
          <t>catch_composition</t>
        </is>
      </c>
      <c r="J304" s="15" t="inlineStr">
        <is>
          <t>medium</t>
        </is>
      </c>
      <c r="K304" s="10" t="inlineStr">
        <is>
          <t>composite_split</t>
        </is>
      </c>
      <c r="L304" s="11" t="inlineStr">
        <is>
          <t>Family catch spans the union of all Table 6 member groups belonging to Lophiidae under WoRMS. Every candidate is supported by a source member; source placement outranks SAU habitat class.</t>
        </is>
      </c>
      <c r="M304" s="10" t="n">
        <v>7439.708</v>
      </c>
    </row>
    <row r="305" ht="36" customHeight="1">
      <c r="A305" s="10" t="inlineStr">
        <is>
          <t>LME_028</t>
        </is>
      </c>
      <c r="B305" s="11" t="inlineStr">
        <is>
          <t>28_646_Guinea_(1998)</t>
        </is>
      </c>
      <c r="C305" s="11" t="inlineStr">
        <is>
          <t>Tetrapturus pfluegeri</t>
        </is>
      </c>
      <c r="D305" s="10" t="inlineStr">
        <is>
          <t>Longbill spearfish</t>
        </is>
      </c>
      <c r="E305" s="10" t="inlineStr">
        <is>
          <t>Large pelagics (&gt;=90 cm)</t>
        </is>
      </c>
      <c r="F305" s="10" t="inlineStr">
        <is>
          <t>Tuna &amp; billfishes</t>
        </is>
      </c>
      <c r="G305" s="11" t="inlineStr">
        <is>
          <t>Thons majeurs</t>
        </is>
      </c>
      <c r="H305" s="12" t="n">
        <v>1</v>
      </c>
      <c r="I305" s="10" t="inlineStr">
        <is>
          <t>single</t>
        </is>
      </c>
      <c r="J305" s="15" t="inlineStr">
        <is>
          <t>medium</t>
        </is>
      </c>
      <c r="K305" s="10" t="inlineStr">
        <is>
          <t>analogue</t>
        </is>
      </c>
      <c r="L305" s="11" t="inlineStr">
        <is>
          <t>Species not individually listed: its genus has one documented Table 6 group, supported by the catch's Large pelagics (&gt;=90 cm) class. Congeneric extension is inference.</t>
        </is>
      </c>
      <c r="M305" s="10" t="n">
        <v>7357.842</v>
      </c>
    </row>
    <row r="306" ht="51" customHeight="1">
      <c r="A306" s="10" t="inlineStr">
        <is>
          <t>LME_028</t>
        </is>
      </c>
      <c r="B306" s="11" t="inlineStr">
        <is>
          <t>28_646_Guinea_(1998)</t>
        </is>
      </c>
      <c r="C306" s="11" t="inlineStr">
        <is>
          <t>Gadiformes</t>
        </is>
      </c>
      <c r="D306" s="10" t="inlineStr">
        <is>
          <t>Cods</t>
        </is>
      </c>
      <c r="E306" s="10" t="inlineStr">
        <is>
          <t>Medium benthopelagics (30 - 89 cm)</t>
        </is>
      </c>
      <c r="F306" s="10" t="inlineStr">
        <is>
          <t>Cod-likes</t>
        </is>
      </c>
      <c r="G306" s="11" t="inlineStr">
        <is>
          <t>Unresolved</t>
        </is>
      </c>
      <c r="H306" s="12" t="n"/>
      <c r="I306" s="10" t="inlineStr"/>
      <c r="J306" s="16" t="inlineStr">
        <is>
          <t>unresolved</t>
        </is>
      </c>
      <c r="K306" s="10" t="inlineStr">
        <is>
          <t>none</t>
        </is>
      </c>
      <c r="L306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06" s="10" t="n">
        <v>7288.103</v>
      </c>
    </row>
    <row r="307" ht="36" customHeight="1">
      <c r="A307" s="10" t="inlineStr">
        <is>
          <t>LME_028</t>
        </is>
      </c>
      <c r="B307" s="11" t="inlineStr">
        <is>
          <t>28_646_Guinea_(1998)</t>
        </is>
      </c>
      <c r="C307" s="11" t="inlineStr">
        <is>
          <t>Pagrus africanus</t>
        </is>
      </c>
      <c r="D307" s="10" t="inlineStr">
        <is>
          <t>Southern common seabream</t>
        </is>
      </c>
      <c r="E307" s="10" t="inlineStr">
        <is>
          <t>Medium benthopelagics (30 - 89 cm)</t>
        </is>
      </c>
      <c r="F307" s="10" t="inlineStr">
        <is>
          <t>Perch-likes</t>
        </is>
      </c>
      <c r="G307" s="11" t="inlineStr">
        <is>
          <t>Dem L pred</t>
        </is>
      </c>
      <c r="H307" s="12" t="n">
        <v>1</v>
      </c>
      <c r="I307" s="10" t="inlineStr">
        <is>
          <t>single</t>
        </is>
      </c>
      <c r="J307" s="15" t="inlineStr">
        <is>
          <t>medium</t>
        </is>
      </c>
      <c r="K307" s="10" t="inlineStr">
        <is>
          <t>analogue</t>
        </is>
      </c>
      <c r="L307" s="11" t="inlineStr">
        <is>
          <t>Species not individually listed: its genus has one documented Table 6 group, supported by the catch's Medium benthopelagics (30 - 89 cm) class. Congeneric extension is inference.</t>
        </is>
      </c>
      <c r="M307" s="10" t="n">
        <v>6905.167</v>
      </c>
    </row>
    <row r="308" ht="21" customHeight="1">
      <c r="A308" s="10" t="inlineStr">
        <is>
          <t>LME_028</t>
        </is>
      </c>
      <c r="B308" s="11" t="inlineStr">
        <is>
          <t>28_646_Guinea_(1998)</t>
        </is>
      </c>
      <c r="C308" s="11" t="inlineStr">
        <is>
          <t>Loliginidae</t>
        </is>
      </c>
      <c r="D308" s="10" t="inlineStr">
        <is>
          <t>Common pencil squids</t>
        </is>
      </c>
      <c r="E308" s="10" t="inlineStr">
        <is>
          <t>Cephalopods</t>
        </is>
      </c>
      <c r="F308" s="10" t="inlineStr">
        <is>
          <t>Other fishes &amp; inverts</t>
        </is>
      </c>
      <c r="G308" s="11" t="inlineStr">
        <is>
          <t>Céphalopodes</t>
        </is>
      </c>
      <c r="H308" s="12" t="n">
        <v>1</v>
      </c>
      <c r="I308" s="10" t="inlineStr">
        <is>
          <t>single</t>
        </is>
      </c>
      <c r="J308" s="14" t="inlineStr">
        <is>
          <t>high</t>
        </is>
      </c>
      <c r="K308" s="10" t="inlineStr">
        <is>
          <t>taxonomic_containment</t>
        </is>
      </c>
      <c r="L308" s="11" t="inlineStr">
        <is>
          <t>Source p.125 explicitly includes all cephalopods, including octopus, cuttlefish and squid.</t>
        </is>
      </c>
      <c r="M308" s="10" t="n">
        <v>6640.276</v>
      </c>
    </row>
    <row r="309" ht="36" customHeight="1">
      <c r="A309" s="10" t="inlineStr">
        <is>
          <t>LME_028</t>
        </is>
      </c>
      <c r="B309" s="11" t="inlineStr">
        <is>
          <t>28_646_Guinea_(1998)</t>
        </is>
      </c>
      <c r="C309" s="11" t="inlineStr">
        <is>
          <t>Actinopterygii</t>
        </is>
      </c>
      <c r="D309" s="10" t="inlineStr">
        <is>
          <t>Ray-finned fishes</t>
        </is>
      </c>
      <c r="E309" s="10" t="inlineStr">
        <is>
          <t>Medium demersals (30 - 89 cm)</t>
        </is>
      </c>
      <c r="F309" s="10" t="inlineStr">
        <is>
          <t>Other fishes &amp; inverts</t>
        </is>
      </c>
      <c r="G309" s="11" t="inlineStr">
        <is>
          <t>Côtier L pred</t>
        </is>
      </c>
      <c r="H309" s="12" t="n">
        <v>0.2388584407159509</v>
      </c>
      <c r="I309" s="10" t="inlineStr">
        <is>
          <t>catch_composition</t>
        </is>
      </c>
      <c r="J309" s="13" t="inlineStr">
        <is>
          <t>low</t>
        </is>
      </c>
      <c r="K309" s="10" t="inlineStr">
        <is>
          <t>composite_split</t>
        </is>
      </c>
      <c r="L309" s="11" t="inlineStr">
        <is>
          <t>Broad ray-finned fish centred on the SAU medium-demersal class; restrict to broad coastal and shelf guilds with adjacent sizes, excluding named single stocks and offshore/bathyal pools.</t>
        </is>
      </c>
      <c r="M309" s="10" t="n">
        <v>6564.842</v>
      </c>
    </row>
    <row r="310" ht="36" customHeight="1">
      <c r="A310" s="10" t="inlineStr">
        <is>
          <t>LME_028</t>
        </is>
      </c>
      <c r="B310" s="11" t="inlineStr">
        <is>
          <t>28_646_Guinea_(1998)</t>
        </is>
      </c>
      <c r="C310" s="11" t="inlineStr">
        <is>
          <t>Actinopterygii</t>
        </is>
      </c>
      <c r="D310" s="10" t="inlineStr">
        <is>
          <t>Ray-finned fishes</t>
        </is>
      </c>
      <c r="E310" s="10" t="inlineStr">
        <is>
          <t>Medium demersals (30 - 89 cm)</t>
        </is>
      </c>
      <c r="F310" s="10" t="inlineStr">
        <is>
          <t>Other fishes &amp; inverts</t>
        </is>
      </c>
      <c r="G310" s="11" t="inlineStr">
        <is>
          <t>Côtier M pred</t>
        </is>
      </c>
      <c r="H310" s="12" t="n">
        <v>4.196657070493092e-05</v>
      </c>
      <c r="I310" s="10" t="inlineStr">
        <is>
          <t>catch_composition</t>
        </is>
      </c>
      <c r="J310" s="13" t="inlineStr">
        <is>
          <t>low</t>
        </is>
      </c>
      <c r="K310" s="10" t="inlineStr">
        <is>
          <t>composite_split</t>
        </is>
      </c>
      <c r="L310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0" s="10" t="n">
        <v>6564.842</v>
      </c>
    </row>
    <row r="311" ht="36" customHeight="1">
      <c r="A311" s="10" t="inlineStr">
        <is>
          <t>LME_028</t>
        </is>
      </c>
      <c r="B311" s="11" t="inlineStr">
        <is>
          <t>28_646_Guinea_(1998)</t>
        </is>
      </c>
      <c r="C311" s="11" t="inlineStr">
        <is>
          <t>Actinopterygii</t>
        </is>
      </c>
      <c r="D311" s="10" t="inlineStr">
        <is>
          <t>Ray-finned fishes</t>
        </is>
      </c>
      <c r="E311" s="10" t="inlineStr">
        <is>
          <t>Medium demersals (30 - 89 cm)</t>
        </is>
      </c>
      <c r="F311" s="10" t="inlineStr">
        <is>
          <t>Other fishes &amp; inverts</t>
        </is>
      </c>
      <c r="G311" s="11" t="inlineStr">
        <is>
          <t>Côtier M inv</t>
        </is>
      </c>
      <c r="H311" s="12" t="n">
        <v>0.2316287011995438</v>
      </c>
      <c r="I311" s="10" t="inlineStr">
        <is>
          <t>catch_composition</t>
        </is>
      </c>
      <c r="J311" s="13" t="inlineStr">
        <is>
          <t>low</t>
        </is>
      </c>
      <c r="K311" s="10" t="inlineStr">
        <is>
          <t>composite_split</t>
        </is>
      </c>
      <c r="L311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1" s="10" t="n">
        <v>6564.842</v>
      </c>
    </row>
    <row r="312" ht="36" customHeight="1">
      <c r="A312" s="10" t="inlineStr">
        <is>
          <t>LME_028</t>
        </is>
      </c>
      <c r="B312" s="11" t="inlineStr">
        <is>
          <t>28_646_Guinea_(1998)</t>
        </is>
      </c>
      <c r="C312" s="11" t="inlineStr">
        <is>
          <t>Actinopterygii</t>
        </is>
      </c>
      <c r="D312" s="10" t="inlineStr">
        <is>
          <t>Ray-finned fishes</t>
        </is>
      </c>
      <c r="E312" s="10" t="inlineStr">
        <is>
          <t>Medium demersals (30 - 89 cm)</t>
        </is>
      </c>
      <c r="F312" s="10" t="inlineStr">
        <is>
          <t>Other fishes &amp; inverts</t>
        </is>
      </c>
      <c r="G312" s="11" t="inlineStr">
        <is>
          <t>Côtier S pred</t>
        </is>
      </c>
      <c r="H312" s="12" t="n">
        <v>0.0507096633636098</v>
      </c>
      <c r="I312" s="10" t="inlineStr">
        <is>
          <t>catch_composition</t>
        </is>
      </c>
      <c r="J312" s="13" t="inlineStr">
        <is>
          <t>low</t>
        </is>
      </c>
      <c r="K312" s="10" t="inlineStr">
        <is>
          <t>composite_split</t>
        </is>
      </c>
      <c r="L312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2" s="10" t="n">
        <v>6564.842</v>
      </c>
    </row>
    <row r="313" ht="36" customHeight="1">
      <c r="A313" s="10" t="inlineStr">
        <is>
          <t>LME_028</t>
        </is>
      </c>
      <c r="B313" s="11" t="inlineStr">
        <is>
          <t>28_646_Guinea_(1998)</t>
        </is>
      </c>
      <c r="C313" s="11" t="inlineStr">
        <is>
          <t>Actinopterygii</t>
        </is>
      </c>
      <c r="D313" s="10" t="inlineStr">
        <is>
          <t>Ray-finned fishes</t>
        </is>
      </c>
      <c r="E313" s="10" t="inlineStr">
        <is>
          <t>Medium demersals (30 - 89 cm)</t>
        </is>
      </c>
      <c r="F313" s="10" t="inlineStr">
        <is>
          <t>Other fishes &amp; inverts</t>
        </is>
      </c>
      <c r="G313" s="11" t="inlineStr">
        <is>
          <t>Côtier S inv</t>
        </is>
      </c>
      <c r="H313" s="12" t="n">
        <v>0.2643456221628991</v>
      </c>
      <c r="I313" s="10" t="inlineStr">
        <is>
          <t>catch_composition</t>
        </is>
      </c>
      <c r="J313" s="13" t="inlineStr">
        <is>
          <t>low</t>
        </is>
      </c>
      <c r="K313" s="10" t="inlineStr">
        <is>
          <t>composite_split</t>
        </is>
      </c>
      <c r="L313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3" s="10" t="n">
        <v>6564.842</v>
      </c>
    </row>
    <row r="314" ht="36" customHeight="1">
      <c r="A314" s="10" t="inlineStr">
        <is>
          <t>LME_028</t>
        </is>
      </c>
      <c r="B314" s="11" t="inlineStr">
        <is>
          <t>28_646_Guinea_(1998)</t>
        </is>
      </c>
      <c r="C314" s="11" t="inlineStr">
        <is>
          <t>Actinopterygii</t>
        </is>
      </c>
      <c r="D314" s="10" t="inlineStr">
        <is>
          <t>Ray-finned fishes</t>
        </is>
      </c>
      <c r="E314" s="10" t="inlineStr">
        <is>
          <t>Medium demersals (30 - 89 cm)</t>
        </is>
      </c>
      <c r="F314" s="10" t="inlineStr">
        <is>
          <t>Other fishes &amp; inverts</t>
        </is>
      </c>
      <c r="G314" s="11" t="inlineStr">
        <is>
          <t>Dem L pred</t>
        </is>
      </c>
      <c r="H314" s="12" t="n">
        <v>0.04663860094435774</v>
      </c>
      <c r="I314" s="10" t="inlineStr">
        <is>
          <t>catch_composition</t>
        </is>
      </c>
      <c r="J314" s="13" t="inlineStr">
        <is>
          <t>low</t>
        </is>
      </c>
      <c r="K314" s="10" t="inlineStr">
        <is>
          <t>composite_split</t>
        </is>
      </c>
      <c r="L314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4" s="10" t="n">
        <v>6564.842</v>
      </c>
    </row>
    <row r="315" ht="36" customHeight="1">
      <c r="A315" s="10" t="inlineStr">
        <is>
          <t>LME_028</t>
        </is>
      </c>
      <c r="B315" s="11" t="inlineStr">
        <is>
          <t>28_646_Guinea_(1998)</t>
        </is>
      </c>
      <c r="C315" s="11" t="inlineStr">
        <is>
          <t>Actinopterygii</t>
        </is>
      </c>
      <c r="D315" s="10" t="inlineStr">
        <is>
          <t>Ray-finned fishes</t>
        </is>
      </c>
      <c r="E315" s="10" t="inlineStr">
        <is>
          <t>Medium demersals (30 - 89 cm)</t>
        </is>
      </c>
      <c r="F315" s="10" t="inlineStr">
        <is>
          <t>Other fishes &amp; inverts</t>
        </is>
      </c>
      <c r="G315" s="11" t="inlineStr">
        <is>
          <t>Dem L inv</t>
        </is>
      </c>
      <c r="H315" s="12" t="n">
        <v>0.006216712433041634</v>
      </c>
      <c r="I315" s="10" t="inlineStr">
        <is>
          <t>catch_composition</t>
        </is>
      </c>
      <c r="J315" s="13" t="inlineStr">
        <is>
          <t>low</t>
        </is>
      </c>
      <c r="K315" s="10" t="inlineStr">
        <is>
          <t>composite_split</t>
        </is>
      </c>
      <c r="L315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5" s="10" t="n">
        <v>6564.842</v>
      </c>
    </row>
    <row r="316" ht="36" customHeight="1">
      <c r="A316" s="10" t="inlineStr">
        <is>
          <t>LME_028</t>
        </is>
      </c>
      <c r="B316" s="11" t="inlineStr">
        <is>
          <t>28_646_Guinea_(1998)</t>
        </is>
      </c>
      <c r="C316" s="11" t="inlineStr">
        <is>
          <t>Actinopterygii</t>
        </is>
      </c>
      <c r="D316" s="10" t="inlineStr">
        <is>
          <t>Ray-finned fishes</t>
        </is>
      </c>
      <c r="E316" s="10" t="inlineStr">
        <is>
          <t>Medium demersals (30 - 89 cm)</t>
        </is>
      </c>
      <c r="F316" s="10" t="inlineStr">
        <is>
          <t>Other fishes &amp; inverts</t>
        </is>
      </c>
      <c r="G316" s="11" t="inlineStr">
        <is>
          <t>Dem M pred</t>
        </is>
      </c>
      <c r="H316" s="12" t="n">
        <v>0.01178903201963329</v>
      </c>
      <c r="I316" s="10" t="inlineStr">
        <is>
          <t>catch_composition</t>
        </is>
      </c>
      <c r="J316" s="13" t="inlineStr">
        <is>
          <t>low</t>
        </is>
      </c>
      <c r="K316" s="10" t="inlineStr">
        <is>
          <t>composite_split</t>
        </is>
      </c>
      <c r="L316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6" s="10" t="n">
        <v>6564.842</v>
      </c>
    </row>
    <row r="317" ht="36" customHeight="1">
      <c r="A317" s="10" t="inlineStr">
        <is>
          <t>LME_028</t>
        </is>
      </c>
      <c r="B317" s="11" t="inlineStr">
        <is>
          <t>28_646_Guinea_(1998)</t>
        </is>
      </c>
      <c r="C317" s="11" t="inlineStr">
        <is>
          <t>Actinopterygii</t>
        </is>
      </c>
      <c r="D317" s="10" t="inlineStr">
        <is>
          <t>Ray-finned fishes</t>
        </is>
      </c>
      <c r="E317" s="10" t="inlineStr">
        <is>
          <t>Medium demersals (30 - 89 cm)</t>
        </is>
      </c>
      <c r="F317" s="10" t="inlineStr">
        <is>
          <t>Other fishes &amp; inverts</t>
        </is>
      </c>
      <c r="G317" s="11" t="inlineStr">
        <is>
          <t>Dem M inv</t>
        </is>
      </c>
      <c r="H317" s="12" t="n">
        <v>0.1489092433865384</v>
      </c>
      <c r="I317" s="10" t="inlineStr">
        <is>
          <t>catch_composition</t>
        </is>
      </c>
      <c r="J317" s="13" t="inlineStr">
        <is>
          <t>low</t>
        </is>
      </c>
      <c r="K317" s="10" t="inlineStr">
        <is>
          <t>composite_split</t>
        </is>
      </c>
      <c r="L317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7" s="10" t="n">
        <v>6564.842</v>
      </c>
    </row>
    <row r="318" ht="36" customHeight="1">
      <c r="A318" s="10" t="inlineStr">
        <is>
          <t>LME_028</t>
        </is>
      </c>
      <c r="B318" s="11" t="inlineStr">
        <is>
          <t>28_646_Guinea_(1998)</t>
        </is>
      </c>
      <c r="C318" s="11" t="inlineStr">
        <is>
          <t>Actinopterygii</t>
        </is>
      </c>
      <c r="D318" s="10" t="inlineStr">
        <is>
          <t>Ray-finned fishes</t>
        </is>
      </c>
      <c r="E318" s="10" t="inlineStr">
        <is>
          <t>Medium demersals (30 - 89 cm)</t>
        </is>
      </c>
      <c r="F318" s="10" t="inlineStr">
        <is>
          <t>Other fishes &amp; inverts</t>
        </is>
      </c>
      <c r="G318" s="11" t="inlineStr">
        <is>
          <t>Dem S pred</t>
        </is>
      </c>
      <c r="H318" s="12" t="n">
        <v>2.419210550778104e-05</v>
      </c>
      <c r="I318" s="10" t="inlineStr">
        <is>
          <t>catch_composition</t>
        </is>
      </c>
      <c r="J318" s="13" t="inlineStr">
        <is>
          <t>low</t>
        </is>
      </c>
      <c r="K318" s="10" t="inlineStr">
        <is>
          <t>composite_split</t>
        </is>
      </c>
      <c r="L318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8" s="10" t="n">
        <v>6564.842</v>
      </c>
    </row>
    <row r="319" ht="36" customHeight="1">
      <c r="A319" s="10" t="inlineStr">
        <is>
          <t>LME_028</t>
        </is>
      </c>
      <c r="B319" s="11" t="inlineStr">
        <is>
          <t>28_646_Guinea_(1998)</t>
        </is>
      </c>
      <c r="C319" s="11" t="inlineStr">
        <is>
          <t>Actinopterygii</t>
        </is>
      </c>
      <c r="D319" s="10" t="inlineStr">
        <is>
          <t>Ray-finned fishes</t>
        </is>
      </c>
      <c r="E319" s="10" t="inlineStr">
        <is>
          <t>Medium demersals (30 - 89 cm)</t>
        </is>
      </c>
      <c r="F319" s="10" t="inlineStr">
        <is>
          <t>Other fishes &amp; inverts</t>
        </is>
      </c>
      <c r="G319" s="11" t="inlineStr">
        <is>
          <t>Dem S inv</t>
        </is>
      </c>
      <c r="H319" s="12" t="n">
        <v>0.0008378250982126461</v>
      </c>
      <c r="I319" s="10" t="inlineStr">
        <is>
          <t>catch_composition</t>
        </is>
      </c>
      <c r="J319" s="13" t="inlineStr">
        <is>
          <t>low</t>
        </is>
      </c>
      <c r="K319" s="10" t="inlineStr">
        <is>
          <t>composite_split</t>
        </is>
      </c>
      <c r="L319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9" s="10" t="n">
        <v>6564.842</v>
      </c>
    </row>
    <row r="320" ht="36" customHeight="1">
      <c r="A320" s="10" t="inlineStr">
        <is>
          <t>LME_028</t>
        </is>
      </c>
      <c r="B320" s="11" t="inlineStr">
        <is>
          <t>28_646_Guinea_(1998)</t>
        </is>
      </c>
      <c r="C320" s="11" t="inlineStr">
        <is>
          <t>Trachurus capensis</t>
        </is>
      </c>
      <c r="D320" s="10" t="inlineStr">
        <is>
          <t>Cape horse mackerel</t>
        </is>
      </c>
      <c r="E320" s="10" t="inlineStr">
        <is>
          <t>Medium pelagics (30 - 89 cm)</t>
        </is>
      </c>
      <c r="F320" s="10" t="inlineStr">
        <is>
          <t>Perch-likes</t>
        </is>
      </c>
      <c r="G320" s="11" t="inlineStr">
        <is>
          <t>Pel S inv</t>
        </is>
      </c>
      <c r="H320" s="12" t="n">
        <v>1</v>
      </c>
      <c r="I320" s="10" t="inlineStr">
        <is>
          <t>single</t>
        </is>
      </c>
      <c r="J320" s="14" t="inlineStr">
        <is>
          <t>high</t>
        </is>
      </c>
      <c r="K320" s="10" t="inlineStr">
        <is>
          <t>explicit_member</t>
        </is>
      </c>
      <c r="L320" s="11" t="inlineStr">
        <is>
          <t>Guénette &amp; Diallo 2004 Table 6 p.131 explicitly lists this taxon in the named group(s); printed and accepted names checked against WoRMS.</t>
        </is>
      </c>
      <c r="M320" s="10" t="n">
        <v>6045.723</v>
      </c>
    </row>
    <row r="321" ht="36" customHeight="1">
      <c r="A321" s="10" t="inlineStr">
        <is>
          <t>LME_028</t>
        </is>
      </c>
      <c r="B321" s="11" t="inlineStr">
        <is>
          <t>28_646_Guinea_(1998)</t>
        </is>
      </c>
      <c r="C321" s="11" t="inlineStr">
        <is>
          <t>Gerreidae</t>
        </is>
      </c>
      <c r="D321" s="10" t="inlineStr">
        <is>
          <t>Mojarras, silverbellies</t>
        </is>
      </c>
      <c r="E321" s="10" t="inlineStr">
        <is>
          <t>Small benthopelagics (&lt;30 cm)</t>
        </is>
      </c>
      <c r="F321" s="10" t="inlineStr">
        <is>
          <t>Perch-likes</t>
        </is>
      </c>
      <c r="G321" s="11" t="inlineStr">
        <is>
          <t>Côtier S inv</t>
        </is>
      </c>
      <c r="H321" s="12" t="n">
        <v>0.8390451908182855</v>
      </c>
      <c r="I321" s="10" t="inlineStr">
        <is>
          <t>catch_composition</t>
        </is>
      </c>
      <c r="J321" s="15" t="inlineStr">
        <is>
          <t>medium</t>
        </is>
      </c>
      <c r="K321" s="10" t="inlineStr">
        <is>
          <t>composite_split</t>
        </is>
      </c>
      <c r="L321" s="11" t="inlineStr">
        <is>
          <t>Family catch spans the union of all Table 6 member groups belonging to Gerreidae under WoRMS. Every candidate is supported by a source member; source placement outranks SAU habitat class.</t>
        </is>
      </c>
      <c r="M321" s="10" t="n">
        <v>6037.437</v>
      </c>
    </row>
    <row r="322" ht="36" customHeight="1">
      <c r="A322" s="10" t="inlineStr">
        <is>
          <t>LME_028</t>
        </is>
      </c>
      <c r="B322" s="11" t="inlineStr">
        <is>
          <t>28_646_Guinea_(1998)</t>
        </is>
      </c>
      <c r="C322" s="11" t="inlineStr">
        <is>
          <t>Gerreidae</t>
        </is>
      </c>
      <c r="D322" s="10" t="inlineStr">
        <is>
          <t>Mojarras, silverbellies</t>
        </is>
      </c>
      <c r="E322" s="10" t="inlineStr">
        <is>
          <t>Small benthopelagics (&lt;30 cm)</t>
        </is>
      </c>
      <c r="F322" s="10" t="inlineStr">
        <is>
          <t>Perch-likes</t>
        </is>
      </c>
      <c r="G322" s="11" t="inlineStr">
        <is>
          <t>Côtier S pred</t>
        </is>
      </c>
      <c r="H322" s="12" t="n">
        <v>0.1609548091817144</v>
      </c>
      <c r="I322" s="10" t="inlineStr">
        <is>
          <t>catch_composition</t>
        </is>
      </c>
      <c r="J322" s="15" t="inlineStr">
        <is>
          <t>medium</t>
        </is>
      </c>
      <c r="K322" s="10" t="inlineStr">
        <is>
          <t>composite_split</t>
        </is>
      </c>
      <c r="L322" s="11" t="inlineStr">
        <is>
          <t>Family catch spans the union of all Table 6 member groups belonging to Gerreidae under WoRMS. Every candidate is supported by a source member; source placement outranks SAU habitat class.</t>
        </is>
      </c>
      <c r="M322" s="10" t="n">
        <v>6037.437</v>
      </c>
    </row>
    <row r="323" ht="36" customHeight="1">
      <c r="A323" s="10" t="inlineStr">
        <is>
          <t>LME_028</t>
        </is>
      </c>
      <c r="B323" s="11" t="inlineStr">
        <is>
          <t>28_646_Guinea_(1998)</t>
        </is>
      </c>
      <c r="C323" s="11" t="inlineStr">
        <is>
          <t>Sphyraena guachancho</t>
        </is>
      </c>
      <c r="D323" s="10" t="inlineStr">
        <is>
          <t>Guachanche barracuda</t>
        </is>
      </c>
      <c r="E323" s="10" t="inlineStr">
        <is>
          <t>Large pelagics (&gt;=90 cm)</t>
        </is>
      </c>
      <c r="F323" s="10" t="inlineStr">
        <is>
          <t>Perch-likes</t>
        </is>
      </c>
      <c r="G323" s="11" t="inlineStr">
        <is>
          <t>Côtier pel L pred</t>
        </is>
      </c>
      <c r="H323" s="12" t="n">
        <v>1</v>
      </c>
      <c r="I323" s="10" t="inlineStr">
        <is>
          <t>single</t>
        </is>
      </c>
      <c r="J323" s="14" t="inlineStr">
        <is>
          <t>high</t>
        </is>
      </c>
      <c r="K323" s="10" t="inlineStr">
        <is>
          <t>explicit_member</t>
        </is>
      </c>
      <c r="L323" s="11" t="inlineStr">
        <is>
          <t>Guénette &amp; Diallo 2004 Table 6 p.131 explicitly lists this taxon in the named group(s); printed and accepted names checked against WoRMS.</t>
        </is>
      </c>
      <c r="M323" s="10" t="n">
        <v>6016.86</v>
      </c>
    </row>
    <row r="324" ht="36" customHeight="1">
      <c r="A324" s="10" t="inlineStr">
        <is>
          <t>LME_028</t>
        </is>
      </c>
      <c r="B324" s="11" t="inlineStr">
        <is>
          <t>28_646_Guinea_(1998)</t>
        </is>
      </c>
      <c r="C324" s="11" t="inlineStr">
        <is>
          <t>Calappa rubroguttata</t>
        </is>
      </c>
      <c r="D324" s="10" t="inlineStr">
        <is>
          <t>Spotted box crab</t>
        </is>
      </c>
      <c r="E324" s="10" t="inlineStr">
        <is>
          <t>Lobsters, crabs</t>
        </is>
      </c>
      <c r="F324" s="10" t="inlineStr">
        <is>
          <t>Crustaceans</t>
        </is>
      </c>
      <c r="G324" s="11" t="inlineStr">
        <is>
          <t>Crustacés</t>
        </is>
      </c>
      <c r="H324" s="12" t="n">
        <v>1</v>
      </c>
      <c r="I324" s="10" t="inlineStr">
        <is>
          <t>single</t>
        </is>
      </c>
      <c r="J324" s="14" t="inlineStr">
        <is>
          <t>high</t>
        </is>
      </c>
      <c r="K324" s="10" t="inlineStr">
        <is>
          <t>taxonomic_containment</t>
        </is>
      </c>
      <c r="L324" s="11" t="inlineStr">
        <is>
          <t>WoRMS crustacean taxonomy and SAU shrimp/crab/lobster class agree with the source Crustacés definition on p.125.</t>
        </is>
      </c>
      <c r="M324" s="10" t="n">
        <v>5711.212</v>
      </c>
    </row>
    <row r="325" ht="36" customHeight="1">
      <c r="A325" s="10" t="inlineStr">
        <is>
          <t>LME_028</t>
        </is>
      </c>
      <c r="B325" s="11" t="inlineStr">
        <is>
          <t>28_646_Guinea_(1998)</t>
        </is>
      </c>
      <c r="C325" s="11" t="inlineStr">
        <is>
          <t>Abudefduf saxatilis</t>
        </is>
      </c>
      <c r="D325" s="10" t="inlineStr">
        <is>
          <t>Sergeant-major</t>
        </is>
      </c>
      <c r="E325" s="10" t="inlineStr">
        <is>
          <t>Small reef assoc. fish (&lt;30 cm)</t>
        </is>
      </c>
      <c r="F325" s="10" t="inlineStr">
        <is>
          <t>Perch-likes</t>
        </is>
      </c>
      <c r="G325" s="11" t="inlineStr">
        <is>
          <t>Côtier S inv</t>
        </is>
      </c>
      <c r="H325" s="12" t="n">
        <v>1</v>
      </c>
      <c r="I325" s="10" t="inlineStr">
        <is>
          <t>single</t>
        </is>
      </c>
      <c r="J325" s="14" t="inlineStr">
        <is>
          <t>high</t>
        </is>
      </c>
      <c r="K325" s="10" t="inlineStr">
        <is>
          <t>explicit_member</t>
        </is>
      </c>
      <c r="L325" s="11" t="inlineStr">
        <is>
          <t>Guénette &amp; Diallo 2004 Table 6 p.131 explicitly lists this taxon in the named group(s); printed and accepted names checked against WoRMS.</t>
        </is>
      </c>
      <c r="M325" s="10" t="n">
        <v>5677.769</v>
      </c>
    </row>
    <row r="326" ht="36" customHeight="1">
      <c r="A326" s="10" t="inlineStr">
        <is>
          <t>LME_028</t>
        </is>
      </c>
      <c r="B326" s="11" t="inlineStr">
        <is>
          <t>28_646_Guinea_(1998)</t>
        </is>
      </c>
      <c r="C326" s="11" t="inlineStr">
        <is>
          <t>Callinectes pallidus</t>
        </is>
      </c>
      <c r="D326" s="10" t="inlineStr">
        <is>
          <t>Gladiator swimcrab</t>
        </is>
      </c>
      <c r="E326" s="10" t="inlineStr">
        <is>
          <t>Lobsters, crabs</t>
        </is>
      </c>
      <c r="F326" s="10" t="inlineStr">
        <is>
          <t>Crustaceans</t>
        </is>
      </c>
      <c r="G326" s="11" t="inlineStr">
        <is>
          <t>Crustacés</t>
        </is>
      </c>
      <c r="H326" s="12" t="n">
        <v>1</v>
      </c>
      <c r="I326" s="10" t="inlineStr">
        <is>
          <t>single</t>
        </is>
      </c>
      <c r="J326" s="14" t="inlineStr">
        <is>
          <t>high</t>
        </is>
      </c>
      <c r="K326" s="10" t="inlineStr">
        <is>
          <t>taxonomic_containment</t>
        </is>
      </c>
      <c r="L326" s="11" t="inlineStr">
        <is>
          <t>WoRMS crustacean taxonomy and SAU shrimp/crab/lobster class agree with the source Crustacés definition on p.125.</t>
        </is>
      </c>
      <c r="M326" s="10" t="n">
        <v>5509.457</v>
      </c>
    </row>
    <row r="327" ht="51" customHeight="1">
      <c r="A327" s="10" t="inlineStr">
        <is>
          <t>LME_028</t>
        </is>
      </c>
      <c r="B327" s="11" t="inlineStr">
        <is>
          <t>28_646_Guinea_(1998)</t>
        </is>
      </c>
      <c r="C327" s="11" t="inlineStr">
        <is>
          <t>Stromateidae</t>
        </is>
      </c>
      <c r="D327" s="10" t="inlineStr">
        <is>
          <t>Butterfishes</t>
        </is>
      </c>
      <c r="E327" s="10" t="inlineStr">
        <is>
          <t>Small benthopelagics (&lt;30 cm)</t>
        </is>
      </c>
      <c r="F327" s="10" t="inlineStr">
        <is>
          <t>Perch-likes</t>
        </is>
      </c>
      <c r="G327" s="11" t="inlineStr">
        <is>
          <t>Côtier S pred</t>
        </is>
      </c>
      <c r="H327" s="12" t="n">
        <v>1</v>
      </c>
      <c r="I327" s="10" t="inlineStr">
        <is>
          <t>single</t>
        </is>
      </c>
      <c r="J327" s="15" t="inlineStr">
        <is>
          <t>medium</t>
        </is>
      </c>
      <c r="K327" s="10" t="inlineStr">
        <is>
          <t>taxonomic_containment</t>
        </is>
      </c>
      <c r="L327" s="11" t="inlineStr">
        <is>
          <t>Family catch spans the union of all Table 6 member groups belonging to Stromateidae under WoRMS. Every candidate is supported by a source member; source placement outranks SAU habitat class.</t>
        </is>
      </c>
      <c r="M327" s="10" t="n">
        <v>5344.279</v>
      </c>
    </row>
    <row r="328" ht="51" customHeight="1">
      <c r="A328" s="10" t="inlineStr">
        <is>
          <t>LME_028</t>
        </is>
      </c>
      <c r="B328" s="11" t="inlineStr">
        <is>
          <t>28_646_Guinea_(1998)</t>
        </is>
      </c>
      <c r="C328" s="11" t="inlineStr">
        <is>
          <t>Myliobatidae</t>
        </is>
      </c>
      <c r="D328" s="10" t="inlineStr">
        <is>
          <t>Eagle/manta rays</t>
        </is>
      </c>
      <c r="E328" s="10" t="inlineStr">
        <is>
          <t>Large rays (&gt;=90 cm)</t>
        </is>
      </c>
      <c r="F328" s="10" t="inlineStr">
        <is>
          <t>Sharks &amp; rays</t>
        </is>
      </c>
      <c r="G328" s="11" t="inlineStr">
        <is>
          <t>Sélaciens L côtiers</t>
        </is>
      </c>
      <c r="H328" s="12" t="n">
        <v>1</v>
      </c>
      <c r="I328" s="10" t="inlineStr">
        <is>
          <t>single</t>
        </is>
      </c>
      <c r="J328" s="15" t="inlineStr">
        <is>
          <t>medium</t>
        </is>
      </c>
      <c r="K328" s="10" t="inlineStr">
        <is>
          <t>taxonomic_containment</t>
        </is>
      </c>
      <c r="L328" s="11" t="inlineStr">
        <is>
          <t>Family catch spans the union of all Table 6 member groups belonging to Myliobatidae under WoRMS. Every candidate is supported by a source member; source placement outranks SAU habitat class.</t>
        </is>
      </c>
      <c r="M328" s="10" t="n">
        <v>4801.056</v>
      </c>
    </row>
    <row r="329" ht="51" customHeight="1">
      <c r="A329" s="10" t="inlineStr">
        <is>
          <t>LME_028</t>
        </is>
      </c>
      <c r="B329" s="11" t="inlineStr">
        <is>
          <t>28_646_Guinea_(1998)</t>
        </is>
      </c>
      <c r="C329" s="11" t="inlineStr">
        <is>
          <t>Lagocephalus laevigatus</t>
        </is>
      </c>
      <c r="D329" s="10" t="inlineStr">
        <is>
          <t>Smooth puffer</t>
        </is>
      </c>
      <c r="E329" s="10" t="inlineStr">
        <is>
          <t>Medium pelagics (30 - 89 cm)</t>
        </is>
      </c>
      <c r="F329" s="10" t="inlineStr">
        <is>
          <t>Other fishes &amp; inverts</t>
        </is>
      </c>
      <c r="G329" s="11" t="inlineStr">
        <is>
          <t>Unresolved</t>
        </is>
      </c>
      <c r="H329" s="12" t="n"/>
      <c r="I329" s="10" t="inlineStr"/>
      <c r="J329" s="16" t="inlineStr">
        <is>
          <t>unresolved</t>
        </is>
      </c>
      <c r="K329" s="10" t="inlineStr">
        <is>
          <t>none</t>
        </is>
      </c>
      <c r="L32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29" s="10" t="n">
        <v>4539.023</v>
      </c>
    </row>
    <row r="330" ht="51" customHeight="1">
      <c r="A330" s="10" t="inlineStr">
        <is>
          <t>LME_028</t>
        </is>
      </c>
      <c r="B330" s="11" t="inlineStr">
        <is>
          <t>28_646_Guinea_(1998)</t>
        </is>
      </c>
      <c r="C330" s="11" t="inlineStr">
        <is>
          <t>Bathygobius soporator</t>
        </is>
      </c>
      <c r="D330" s="10" t="inlineStr">
        <is>
          <t>Frillfin goby</t>
        </is>
      </c>
      <c r="E330" s="10" t="inlineStr">
        <is>
          <t>Large reef assoc. fish (&gt;=90 cm)</t>
        </is>
      </c>
      <c r="F330" s="10" t="inlineStr">
        <is>
          <t>Perch-likes</t>
        </is>
      </c>
      <c r="G330" s="11" t="inlineStr">
        <is>
          <t>Unresolved</t>
        </is>
      </c>
      <c r="H330" s="12" t="n"/>
      <c r="I330" s="10" t="inlineStr"/>
      <c r="J330" s="16" t="inlineStr">
        <is>
          <t>unresolved</t>
        </is>
      </c>
      <c r="K330" s="10" t="inlineStr">
        <is>
          <t>none</t>
        </is>
      </c>
      <c r="L33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30" s="10" t="n">
        <v>4415.61</v>
      </c>
    </row>
    <row r="331" ht="36" customHeight="1">
      <c r="A331" s="10" t="inlineStr">
        <is>
          <t>LME_028</t>
        </is>
      </c>
      <c r="B331" s="11" t="inlineStr">
        <is>
          <t>28_646_Guinea_(1998)</t>
        </is>
      </c>
      <c r="C331" s="11" t="inlineStr">
        <is>
          <t>Dicologlossa cuneata</t>
        </is>
      </c>
      <c r="D331" s="10" t="inlineStr">
        <is>
          <t>Wedge sole</t>
        </is>
      </c>
      <c r="E331" s="10" t="inlineStr">
        <is>
          <t>Small to medium flatfishes (&lt;90 cm)</t>
        </is>
      </c>
      <c r="F331" s="10" t="inlineStr">
        <is>
          <t>Flatfishes</t>
        </is>
      </c>
      <c r="G331" s="11" t="inlineStr">
        <is>
          <t>Côtier S inv</t>
        </is>
      </c>
      <c r="H331" s="12" t="n">
        <v>1</v>
      </c>
      <c r="I331" s="10" t="inlineStr">
        <is>
          <t>single</t>
        </is>
      </c>
      <c r="J331" s="14" t="inlineStr">
        <is>
          <t>high</t>
        </is>
      </c>
      <c r="K331" s="10" t="inlineStr">
        <is>
          <t>explicit_member</t>
        </is>
      </c>
      <c r="L331" s="11" t="inlineStr">
        <is>
          <t>Guénette &amp; Diallo 2004 Table 6 p.131 explicitly lists this taxon in the named group(s); printed and accepted names checked against WoRMS.</t>
        </is>
      </c>
      <c r="M331" s="10" t="n">
        <v>4126.444</v>
      </c>
    </row>
    <row r="332" ht="36" customHeight="1">
      <c r="A332" s="10" t="inlineStr">
        <is>
          <t>LME_028</t>
        </is>
      </c>
      <c r="B332" s="11" t="inlineStr">
        <is>
          <t>28_646_Guinea_(1998)</t>
        </is>
      </c>
      <c r="C332" s="11" t="inlineStr">
        <is>
          <t>Lutjanus agennes</t>
        </is>
      </c>
      <c r="D332" s="10" t="inlineStr">
        <is>
          <t>African red snapper</t>
        </is>
      </c>
      <c r="E332" s="10" t="inlineStr">
        <is>
          <t>Large reef assoc. fish (&gt;=90 cm)</t>
        </is>
      </c>
      <c r="F332" s="10" t="inlineStr">
        <is>
          <t>Perch-likes</t>
        </is>
      </c>
      <c r="G332" s="11" t="inlineStr">
        <is>
          <t>Côtier L pred</t>
        </is>
      </c>
      <c r="H332" s="12" t="n">
        <v>1</v>
      </c>
      <c r="I332" s="10" t="inlineStr">
        <is>
          <t>single</t>
        </is>
      </c>
      <c r="J332" s="14" t="inlineStr">
        <is>
          <t>high</t>
        </is>
      </c>
      <c r="K332" s="10" t="inlineStr">
        <is>
          <t>explicit_member</t>
        </is>
      </c>
      <c r="L332" s="11" t="inlineStr">
        <is>
          <t>Guénette &amp; Diallo 2004 Table 6 p.131 explicitly lists this taxon in the named group(s); printed and accepted names checked against WoRMS.</t>
        </is>
      </c>
      <c r="M332" s="10" t="n">
        <v>4123.826</v>
      </c>
    </row>
    <row r="333" ht="21" customHeight="1">
      <c r="A333" s="10" t="inlineStr">
        <is>
          <t>LME_028</t>
        </is>
      </c>
      <c r="B333" s="11" t="inlineStr">
        <is>
          <t>28_646_Guinea_(1998)</t>
        </is>
      </c>
      <c r="C333" s="11" t="inlineStr">
        <is>
          <t>Loligo</t>
        </is>
      </c>
      <c r="D333" s="10" t="inlineStr">
        <is>
          <t>Common squids</t>
        </is>
      </c>
      <c r="E333" s="10" t="inlineStr">
        <is>
          <t>Cephalopods</t>
        </is>
      </c>
      <c r="F333" s="10" t="inlineStr">
        <is>
          <t>Other fishes &amp; inverts</t>
        </is>
      </c>
      <c r="G333" s="11" t="inlineStr">
        <is>
          <t>Céphalopodes</t>
        </is>
      </c>
      <c r="H333" s="12" t="n">
        <v>1</v>
      </c>
      <c r="I333" s="10" t="inlineStr">
        <is>
          <t>single</t>
        </is>
      </c>
      <c r="J333" s="14" t="inlineStr">
        <is>
          <t>high</t>
        </is>
      </c>
      <c r="K333" s="10" t="inlineStr">
        <is>
          <t>taxonomic_containment</t>
        </is>
      </c>
      <c r="L333" s="11" t="inlineStr">
        <is>
          <t>Source p.125 explicitly includes all cephalopods, including octopus, cuttlefish and squid.</t>
        </is>
      </c>
      <c r="M333" s="10" t="n">
        <v>3838.002</v>
      </c>
    </row>
    <row r="334" ht="36" customHeight="1">
      <c r="A334" s="10" t="inlineStr">
        <is>
          <t>LME_028</t>
        </is>
      </c>
      <c r="B334" s="11" t="inlineStr">
        <is>
          <t>28_646_Guinea_(1998)</t>
        </is>
      </c>
      <c r="C334" s="11" t="inlineStr">
        <is>
          <t>Istiophorus</t>
        </is>
      </c>
      <c r="D334" s="10" t="inlineStr">
        <is>
          <t>Sailfishes</t>
        </is>
      </c>
      <c r="E334" s="10" t="inlineStr">
        <is>
          <t>Large pelagics (&gt;=90 cm)</t>
        </is>
      </c>
      <c r="F334" s="10" t="inlineStr">
        <is>
          <t>Tuna &amp; billfishes</t>
        </is>
      </c>
      <c r="G334" s="11" t="inlineStr">
        <is>
          <t>Thons majeurs</t>
        </is>
      </c>
      <c r="H334" s="12" t="n">
        <v>1</v>
      </c>
      <c r="I334" s="10" t="inlineStr">
        <is>
          <t>single</t>
        </is>
      </c>
      <c r="J334" s="15" t="inlineStr">
        <is>
          <t>medium</t>
        </is>
      </c>
      <c r="K334" s="10" t="inlineStr">
        <is>
          <t>taxonomic_containment</t>
        </is>
      </c>
      <c r="L334" s="11" t="inlineStr">
        <is>
          <t>Genus-level catch spans exactly the Table 6 groups containing its documented species. No habitat class overrides those placements.</t>
        </is>
      </c>
      <c r="M334" s="10" t="n">
        <v>3681.983</v>
      </c>
    </row>
    <row r="335" ht="51" customHeight="1">
      <c r="A335" s="10" t="inlineStr">
        <is>
          <t>LME_028</t>
        </is>
      </c>
      <c r="B335" s="11" t="inlineStr">
        <is>
          <t>28_646_Guinea_(1998)</t>
        </is>
      </c>
      <c r="C335" s="11" t="inlineStr">
        <is>
          <t>Carcharhinus brevipinna</t>
        </is>
      </c>
      <c r="D335" s="10" t="inlineStr">
        <is>
          <t>Spinner shark</t>
        </is>
      </c>
      <c r="E335" s="10" t="inlineStr">
        <is>
          <t>Large sharks (&gt;=90 cm)</t>
        </is>
      </c>
      <c r="F335" s="10" t="inlineStr">
        <is>
          <t>Sharks &amp; rays</t>
        </is>
      </c>
      <c r="G335" s="11" t="inlineStr">
        <is>
          <t>Unresolved</t>
        </is>
      </c>
      <c r="H335" s="12" t="n"/>
      <c r="I335" s="10" t="inlineStr"/>
      <c r="J335" s="16" t="inlineStr">
        <is>
          <t>unresolved</t>
        </is>
      </c>
      <c r="K335" s="10" t="inlineStr">
        <is>
          <t>none</t>
        </is>
      </c>
      <c r="L33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35" s="10" t="n">
        <v>3178.433</v>
      </c>
    </row>
    <row r="336" ht="36" customHeight="1">
      <c r="A336" s="10" t="inlineStr">
        <is>
          <t>LME_028</t>
        </is>
      </c>
      <c r="B336" s="11" t="inlineStr">
        <is>
          <t>28_646_Guinea_(1998)</t>
        </is>
      </c>
      <c r="C336" s="11" t="inlineStr">
        <is>
          <t>Congridae</t>
        </is>
      </c>
      <c r="D336" s="10" t="inlineStr">
        <is>
          <t>Conger, garden eels</t>
        </is>
      </c>
      <c r="E336" s="10" t="inlineStr">
        <is>
          <t>Large demersals (&gt;=90 cm)</t>
        </is>
      </c>
      <c r="F336" s="10" t="inlineStr">
        <is>
          <t>Other fishes &amp; inverts</t>
        </is>
      </c>
      <c r="G336" s="11" t="inlineStr">
        <is>
          <t>Dem L pred</t>
        </is>
      </c>
      <c r="H336" s="12" t="n">
        <v>1</v>
      </c>
      <c r="I336" s="10" t="inlineStr">
        <is>
          <t>single</t>
        </is>
      </c>
      <c r="J336" s="14" t="inlineStr">
        <is>
          <t>high</t>
        </is>
      </c>
      <c r="K336" s="10" t="inlineStr">
        <is>
          <t>explicit_member</t>
        </is>
      </c>
      <c r="L336" s="11" t="inlineStr">
        <is>
          <t>Guénette &amp; Diallo 2004 Table 6 p.131 explicitly lists this taxon in the named group(s); printed and accepted names checked against WoRMS.</t>
        </is>
      </c>
      <c r="M336" s="10" t="n">
        <v>3078.289</v>
      </c>
    </row>
    <row r="337" ht="36" customHeight="1">
      <c r="A337" s="10" t="inlineStr">
        <is>
          <t>LME_028</t>
        </is>
      </c>
      <c r="B337" s="11" t="inlineStr">
        <is>
          <t>28_646_Guinea_(1998)</t>
        </is>
      </c>
      <c r="C337" s="11" t="inlineStr">
        <is>
          <t>Scorpaena</t>
        </is>
      </c>
      <c r="D337" s="10" t="inlineStr">
        <is>
          <t>Scorpionfishes</t>
        </is>
      </c>
      <c r="E337" s="10" t="inlineStr">
        <is>
          <t>Large reef assoc. fish (&gt;=90 cm)</t>
        </is>
      </c>
      <c r="F337" s="10" t="inlineStr">
        <is>
          <t>Scorpionfishes</t>
        </is>
      </c>
      <c r="G337" s="11" t="inlineStr">
        <is>
          <t>Dem M pred</t>
        </is>
      </c>
      <c r="H337" s="12" t="n">
        <v>1</v>
      </c>
      <c r="I337" s="10" t="inlineStr">
        <is>
          <t>single</t>
        </is>
      </c>
      <c r="J337" s="15" t="inlineStr">
        <is>
          <t>medium</t>
        </is>
      </c>
      <c r="K337" s="10" t="inlineStr">
        <is>
          <t>taxonomic_containment</t>
        </is>
      </c>
      <c r="L337" s="11" t="inlineStr">
        <is>
          <t>Genus-level catch spans exactly the Table 6 groups containing its documented species. No habitat class overrides those placements.</t>
        </is>
      </c>
      <c r="M337" s="10" t="n">
        <v>3037.942</v>
      </c>
    </row>
    <row r="338" ht="36" customHeight="1">
      <c r="A338" s="10" t="inlineStr">
        <is>
          <t>LME_028</t>
        </is>
      </c>
      <c r="B338" s="11" t="inlineStr">
        <is>
          <t>28_646_Guinea_(1998)</t>
        </is>
      </c>
      <c r="C338" s="11" t="inlineStr">
        <is>
          <t>Dasyatis pastinaca</t>
        </is>
      </c>
      <c r="D338" s="10" t="inlineStr">
        <is>
          <t>Common stingray</t>
        </is>
      </c>
      <c r="E338" s="10" t="inlineStr">
        <is>
          <t>Large rays (&gt;=90 cm)</t>
        </is>
      </c>
      <c r="F338" s="10" t="inlineStr">
        <is>
          <t>Sharks &amp; rays</t>
        </is>
      </c>
      <c r="G338" s="11" t="inlineStr">
        <is>
          <t>Sélaciens M côtiers</t>
        </is>
      </c>
      <c r="H338" s="12" t="n">
        <v>1</v>
      </c>
      <c r="I338" s="10" t="inlineStr">
        <is>
          <t>single</t>
        </is>
      </c>
      <c r="J338" s="14" t="inlineStr">
        <is>
          <t>high</t>
        </is>
      </c>
      <c r="K338" s="10" t="inlineStr">
        <is>
          <t>explicit_member</t>
        </is>
      </c>
      <c r="L338" s="11" t="inlineStr">
        <is>
          <t>Guénette &amp; Diallo 2004 Table 6 p.131 explicitly lists this taxon in the named group(s); printed and accepted names checked against WoRMS.</t>
        </is>
      </c>
      <c r="M338" s="10" t="n">
        <v>2987.573</v>
      </c>
    </row>
    <row r="339" ht="51" customHeight="1">
      <c r="A339" s="10" t="inlineStr">
        <is>
          <t>LME_028</t>
        </is>
      </c>
      <c r="B339" s="11" t="inlineStr">
        <is>
          <t>28_646_Guinea_(1998)</t>
        </is>
      </c>
      <c r="C339" s="11" t="inlineStr">
        <is>
          <t>Berycidae</t>
        </is>
      </c>
      <c r="D339" s="10" t="inlineStr">
        <is>
          <t>Alfonsinos, redfishes</t>
        </is>
      </c>
      <c r="E339" s="10" t="inlineStr">
        <is>
          <t>Medium benthopelagics (30 - 89 cm)</t>
        </is>
      </c>
      <c r="F339" s="10" t="inlineStr">
        <is>
          <t>Other fishes &amp; inverts</t>
        </is>
      </c>
      <c r="G339" s="11" t="inlineStr">
        <is>
          <t>Unresolved</t>
        </is>
      </c>
      <c r="H339" s="12" t="n"/>
      <c r="I339" s="10" t="inlineStr"/>
      <c r="J339" s="16" t="inlineStr">
        <is>
          <t>unresolved</t>
        </is>
      </c>
      <c r="K339" s="10" t="inlineStr">
        <is>
          <t>none</t>
        </is>
      </c>
      <c r="L33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39" s="10" t="n">
        <v>2932.604</v>
      </c>
    </row>
    <row r="340" ht="51" customHeight="1">
      <c r="A340" s="10" t="inlineStr">
        <is>
          <t>LME_028</t>
        </is>
      </c>
      <c r="B340" s="11" t="inlineStr">
        <is>
          <t>28_646_Guinea_(1998)</t>
        </is>
      </c>
      <c r="C340" s="11" t="inlineStr">
        <is>
          <t>Elagatis bipinnulata</t>
        </is>
      </c>
      <c r="D340" s="10" t="inlineStr">
        <is>
          <t>Rainbow runner</t>
        </is>
      </c>
      <c r="E340" s="10" t="inlineStr">
        <is>
          <t>Large pelagics (&gt;=90 cm)</t>
        </is>
      </c>
      <c r="F340" s="10" t="inlineStr">
        <is>
          <t>Perch-likes</t>
        </is>
      </c>
      <c r="G340" s="11" t="inlineStr">
        <is>
          <t>Unresolved</t>
        </is>
      </c>
      <c r="H340" s="12" t="n"/>
      <c r="I340" s="10" t="inlineStr"/>
      <c r="J340" s="16" t="inlineStr">
        <is>
          <t>unresolved</t>
        </is>
      </c>
      <c r="K340" s="10" t="inlineStr">
        <is>
          <t>none</t>
        </is>
      </c>
      <c r="L34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40" s="10" t="n">
        <v>2920.22</v>
      </c>
    </row>
    <row r="341" ht="36" customHeight="1">
      <c r="A341" s="10" t="inlineStr">
        <is>
          <t>LME_028</t>
        </is>
      </c>
      <c r="B341" s="11" t="inlineStr">
        <is>
          <t>28_646_Guinea_(1998)</t>
        </is>
      </c>
      <c r="C341" s="11" t="inlineStr">
        <is>
          <t>Gerres nigri</t>
        </is>
      </c>
      <c r="D341" s="10" t="inlineStr">
        <is>
          <t>Guinean striped mojarra</t>
        </is>
      </c>
      <c r="E341" s="10" t="inlineStr">
        <is>
          <t>Small benthopelagics (&lt;30 cm)</t>
        </is>
      </c>
      <c r="F341" s="10" t="inlineStr">
        <is>
          <t>Perch-likes</t>
        </is>
      </c>
      <c r="G341" s="11" t="inlineStr">
        <is>
          <t>Côtier S inv</t>
        </is>
      </c>
      <c r="H341" s="12" t="n">
        <v>1</v>
      </c>
      <c r="I341" s="10" t="inlineStr">
        <is>
          <t>single</t>
        </is>
      </c>
      <c r="J341" s="14" t="inlineStr">
        <is>
          <t>high</t>
        </is>
      </c>
      <c r="K341" s="10" t="inlineStr">
        <is>
          <t>explicit_member</t>
        </is>
      </c>
      <c r="L341" s="11" t="inlineStr">
        <is>
          <t>Guénette &amp; Diallo 2004 Table 6 p.131 explicitly lists this taxon in the named group(s); printed and accepted names checked against WoRMS.</t>
        </is>
      </c>
      <c r="M341" s="10" t="n">
        <v>2840.96</v>
      </c>
    </row>
    <row r="342" ht="36" customHeight="1">
      <c r="A342" s="10" t="inlineStr">
        <is>
          <t>LME_028</t>
        </is>
      </c>
      <c r="B342" s="11" t="inlineStr">
        <is>
          <t>28_646_Guinea_(1998)</t>
        </is>
      </c>
      <c r="C342" s="11" t="inlineStr">
        <is>
          <t>Rhinobatos rhinobatos</t>
        </is>
      </c>
      <c r="D342" s="10" t="inlineStr">
        <is>
          <t>Common guitarfish</t>
        </is>
      </c>
      <c r="E342" s="10" t="inlineStr">
        <is>
          <t>Large rays (&gt;=90 cm)</t>
        </is>
      </c>
      <c r="F342" s="10" t="inlineStr">
        <is>
          <t>Sharks &amp; rays</t>
        </is>
      </c>
      <c r="G342" s="11" t="inlineStr">
        <is>
          <t>Sélaciens L côtiers</t>
        </is>
      </c>
      <c r="H342" s="12" t="n">
        <v>1</v>
      </c>
      <c r="I342" s="10" t="inlineStr">
        <is>
          <t>single</t>
        </is>
      </c>
      <c r="J342" s="14" t="inlineStr">
        <is>
          <t>high</t>
        </is>
      </c>
      <c r="K342" s="10" t="inlineStr">
        <is>
          <t>explicit_member</t>
        </is>
      </c>
      <c r="L342" s="11" t="inlineStr">
        <is>
          <t>Guénette &amp; Diallo 2004 Table 6 p.131 explicitly lists this taxon in the named group(s); printed and accepted names checked against WoRMS.</t>
        </is>
      </c>
      <c r="M342" s="10" t="n">
        <v>2531.523</v>
      </c>
    </row>
    <row r="343" ht="51" customHeight="1">
      <c r="A343" s="10" t="inlineStr">
        <is>
          <t>LME_028</t>
        </is>
      </c>
      <c r="B343" s="11" t="inlineStr">
        <is>
          <t>28_646_Guinea_(1998)</t>
        </is>
      </c>
      <c r="C343" s="11" t="inlineStr">
        <is>
          <t>Carcharhinus signatus</t>
        </is>
      </c>
      <c r="D343" s="10" t="inlineStr">
        <is>
          <t>Night shark</t>
        </is>
      </c>
      <c r="E343" s="10" t="inlineStr">
        <is>
          <t>Large sharks (&gt;=90 cm)</t>
        </is>
      </c>
      <c r="F343" s="10" t="inlineStr">
        <is>
          <t>Sharks &amp; rays</t>
        </is>
      </c>
      <c r="G343" s="11" t="inlineStr">
        <is>
          <t>Unresolved</t>
        </is>
      </c>
      <c r="H343" s="12" t="n"/>
      <c r="I343" s="10" t="inlineStr"/>
      <c r="J343" s="16" t="inlineStr">
        <is>
          <t>unresolved</t>
        </is>
      </c>
      <c r="K343" s="10" t="inlineStr">
        <is>
          <t>none</t>
        </is>
      </c>
      <c r="L343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3" s="10" t="n">
        <v>2510.4</v>
      </c>
    </row>
    <row r="344" ht="36" customHeight="1">
      <c r="A344" s="10" t="inlineStr">
        <is>
          <t>LME_028</t>
        </is>
      </c>
      <c r="B344" s="11" t="inlineStr">
        <is>
          <t>28_646_Guinea_(1998)</t>
        </is>
      </c>
      <c r="C344" s="11" t="inlineStr">
        <is>
          <t>Alectis ciliaris</t>
        </is>
      </c>
      <c r="D344" s="10" t="inlineStr">
        <is>
          <t>African pompano</t>
        </is>
      </c>
      <c r="E344" s="10" t="inlineStr">
        <is>
          <t>Large pelagics (&gt;=90 cm)</t>
        </is>
      </c>
      <c r="F344" s="10" t="inlineStr">
        <is>
          <t>Perch-likes</t>
        </is>
      </c>
      <c r="G344" s="11" t="inlineStr">
        <is>
          <t>Pel L pred</t>
        </is>
      </c>
      <c r="H344" s="12" t="n">
        <v>1</v>
      </c>
      <c r="I344" s="10" t="inlineStr">
        <is>
          <t>single</t>
        </is>
      </c>
      <c r="J344" s="14" t="inlineStr">
        <is>
          <t>high</t>
        </is>
      </c>
      <c r="K344" s="10" t="inlineStr">
        <is>
          <t>explicit_member</t>
        </is>
      </c>
      <c r="L344" s="11" t="inlineStr">
        <is>
          <t>Guénette &amp; Diallo 2004 Table 6 p.131 explicitly lists this taxon in the named group(s); printed and accepted names checked against WoRMS.</t>
        </is>
      </c>
      <c r="M344" s="10" t="n">
        <v>2454.235</v>
      </c>
    </row>
    <row r="345" ht="51" customHeight="1">
      <c r="A345" s="10" t="inlineStr">
        <is>
          <t>LME_028</t>
        </is>
      </c>
      <c r="B345" s="11" t="inlineStr">
        <is>
          <t>28_646_Guinea_(1998)</t>
        </is>
      </c>
      <c r="C345" s="11" t="inlineStr">
        <is>
          <t>Glaucostegus cemiculus</t>
        </is>
      </c>
      <c r="D345" s="10" t="inlineStr">
        <is>
          <t>Blackchin guitarfish</t>
        </is>
      </c>
      <c r="E345" s="10" t="inlineStr">
        <is>
          <t>Large rays (&gt;=90 cm)</t>
        </is>
      </c>
      <c r="F345" s="10" t="inlineStr">
        <is>
          <t>Sharks &amp; rays</t>
        </is>
      </c>
      <c r="G345" s="11" t="inlineStr">
        <is>
          <t>Unresolved</t>
        </is>
      </c>
      <c r="H345" s="12" t="n"/>
      <c r="I345" s="10" t="inlineStr"/>
      <c r="J345" s="16" t="inlineStr">
        <is>
          <t>unresolved</t>
        </is>
      </c>
      <c r="K345" s="10" t="inlineStr">
        <is>
          <t>none</t>
        </is>
      </c>
      <c r="L34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5" s="10" t="n">
        <v>2416.955</v>
      </c>
    </row>
    <row r="346" ht="36" customHeight="1">
      <c r="A346" s="10" t="inlineStr">
        <is>
          <t>LME_028</t>
        </is>
      </c>
      <c r="B346" s="11" t="inlineStr">
        <is>
          <t>28_646_Guinea_(1998)</t>
        </is>
      </c>
      <c r="C346" s="11" t="inlineStr">
        <is>
          <t>Bothidae</t>
        </is>
      </c>
      <c r="D346" s="10" t="inlineStr">
        <is>
          <t>Lefteye flounders</t>
        </is>
      </c>
      <c r="E346" s="10" t="inlineStr">
        <is>
          <t>Small to medium flatfishes (&lt;90 cm)</t>
        </is>
      </c>
      <c r="F346" s="10" t="inlineStr">
        <is>
          <t>Flatfishes</t>
        </is>
      </c>
      <c r="G346" s="11" t="inlineStr">
        <is>
          <t>Côtier M inv</t>
        </is>
      </c>
      <c r="H346" s="12" t="n">
        <v>0.9998955674364234</v>
      </c>
      <c r="I346" s="10" t="inlineStr">
        <is>
          <t>catch_composition</t>
        </is>
      </c>
      <c r="J346" s="15" t="inlineStr">
        <is>
          <t>medium</t>
        </is>
      </c>
      <c r="K346" s="10" t="inlineStr">
        <is>
          <t>composite_split</t>
        </is>
      </c>
      <c r="L346" s="11" t="inlineStr">
        <is>
          <t>Family catch spans the union of all Table 6 member groups belonging to Bothidae under WoRMS. Every candidate is supported by a source member; source placement outranks SAU habitat class.</t>
        </is>
      </c>
      <c r="M346" s="10" t="n">
        <v>2108.759</v>
      </c>
    </row>
    <row r="347" ht="36" customHeight="1">
      <c r="A347" s="10" t="inlineStr">
        <is>
          <t>LME_028</t>
        </is>
      </c>
      <c r="B347" s="11" t="inlineStr">
        <is>
          <t>28_646_Guinea_(1998)</t>
        </is>
      </c>
      <c r="C347" s="11" t="inlineStr">
        <is>
          <t>Bothidae</t>
        </is>
      </c>
      <c r="D347" s="10" t="inlineStr">
        <is>
          <t>Lefteye flounders</t>
        </is>
      </c>
      <c r="E347" s="10" t="inlineStr">
        <is>
          <t>Small to medium flatfishes (&lt;90 cm)</t>
        </is>
      </c>
      <c r="F347" s="10" t="inlineStr">
        <is>
          <t>Flatfishes</t>
        </is>
      </c>
      <c r="G347" s="11" t="inlineStr">
        <is>
          <t>Dem S pred</t>
        </is>
      </c>
      <c r="H347" s="12" t="n">
        <v>0.000104432563576591</v>
      </c>
      <c r="I347" s="10" t="inlineStr">
        <is>
          <t>catch_composition</t>
        </is>
      </c>
      <c r="J347" s="15" t="inlineStr">
        <is>
          <t>medium</t>
        </is>
      </c>
      <c r="K347" s="10" t="inlineStr">
        <is>
          <t>composite_split</t>
        </is>
      </c>
      <c r="L347" s="11" t="inlineStr">
        <is>
          <t>Family catch spans the union of all Table 6 member groups belonging to Bothidae under WoRMS. Every candidate is supported by a source member; source placement outranks SAU habitat class.</t>
        </is>
      </c>
      <c r="M347" s="10" t="n">
        <v>2108.759</v>
      </c>
    </row>
    <row r="348" ht="36" customHeight="1">
      <c r="A348" s="10" t="inlineStr">
        <is>
          <t>LME_028</t>
        </is>
      </c>
      <c r="B348" s="11" t="inlineStr">
        <is>
          <t>28_646_Guinea_(1998)</t>
        </is>
      </c>
      <c r="C348" s="11" t="inlineStr">
        <is>
          <t>Triakidae</t>
        </is>
      </c>
      <c r="D348" s="10" t="inlineStr">
        <is>
          <t>Houndsharks</t>
        </is>
      </c>
      <c r="E348" s="10" t="inlineStr">
        <is>
          <t>Large sharks (&gt;=90 cm)</t>
        </is>
      </c>
      <c r="F348" s="10" t="inlineStr">
        <is>
          <t>Sharks &amp; rays</t>
        </is>
      </c>
      <c r="G348" s="11" t="inlineStr">
        <is>
          <t>Sélaciens L côtiers</t>
        </is>
      </c>
      <c r="H348" s="12" t="n">
        <v>1</v>
      </c>
      <c r="I348" s="10" t="inlineStr">
        <is>
          <t>single</t>
        </is>
      </c>
      <c r="J348" s="15" t="inlineStr">
        <is>
          <t>medium</t>
        </is>
      </c>
      <c r="K348" s="10" t="inlineStr">
        <is>
          <t>taxonomic_containment</t>
        </is>
      </c>
      <c r="L348" s="11" t="inlineStr">
        <is>
          <t>Family catch spans the union of all Table 6 member groups belonging to Triakidae under WoRMS. Every candidate is supported by a source member; source placement outranks SAU habitat class.</t>
        </is>
      </c>
      <c r="M348" s="10" t="n">
        <v>2022.063</v>
      </c>
    </row>
    <row r="349" ht="51" customHeight="1">
      <c r="A349" s="10" t="inlineStr">
        <is>
          <t>LME_028</t>
        </is>
      </c>
      <c r="B349" s="11" t="inlineStr">
        <is>
          <t>28_646_Guinea_(1998)</t>
        </is>
      </c>
      <c r="C349" s="11" t="inlineStr">
        <is>
          <t>Rostroraja alba</t>
        </is>
      </c>
      <c r="D349" s="10" t="inlineStr">
        <is>
          <t>White skate</t>
        </is>
      </c>
      <c r="E349" s="10" t="inlineStr">
        <is>
          <t>Large rays (&gt;=90 cm)</t>
        </is>
      </c>
      <c r="F349" s="10" t="inlineStr">
        <is>
          <t>Sharks &amp; rays</t>
        </is>
      </c>
      <c r="G349" s="11" t="inlineStr">
        <is>
          <t>Unresolved</t>
        </is>
      </c>
      <c r="H349" s="12" t="n"/>
      <c r="I349" s="10" t="inlineStr"/>
      <c r="J349" s="16" t="inlineStr">
        <is>
          <t>unresolved</t>
        </is>
      </c>
      <c r="K349" s="10" t="inlineStr">
        <is>
          <t>none</t>
        </is>
      </c>
      <c r="L349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9" s="10" t="n">
        <v>1998.069</v>
      </c>
    </row>
    <row r="350" ht="51" customHeight="1">
      <c r="A350" s="10" t="inlineStr">
        <is>
          <t>LME_028</t>
        </is>
      </c>
      <c r="B350" s="11" t="inlineStr">
        <is>
          <t>28_646_Guinea_(1998)</t>
        </is>
      </c>
      <c r="C350" s="11" t="inlineStr">
        <is>
          <t>Tylosurus crocodilus</t>
        </is>
      </c>
      <c r="D350" s="10" t="inlineStr">
        <is>
          <t>Hound needlefish</t>
        </is>
      </c>
      <c r="E350" s="10" t="inlineStr">
        <is>
          <t>Large pelagics (&gt;=90 cm)</t>
        </is>
      </c>
      <c r="F350" s="10" t="inlineStr">
        <is>
          <t>Other fishes &amp; inverts</t>
        </is>
      </c>
      <c r="G350" s="11" t="inlineStr">
        <is>
          <t>Unresolved</t>
        </is>
      </c>
      <c r="H350" s="12" t="n"/>
      <c r="I350" s="10" t="inlineStr"/>
      <c r="J350" s="16" t="inlineStr">
        <is>
          <t>unresolved</t>
        </is>
      </c>
      <c r="K350" s="10" t="inlineStr">
        <is>
          <t>none</t>
        </is>
      </c>
      <c r="L35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50" s="10" t="n">
        <v>1633.281</v>
      </c>
    </row>
    <row r="351" ht="51" customHeight="1">
      <c r="A351" s="10" t="inlineStr">
        <is>
          <t>LME_028</t>
        </is>
      </c>
      <c r="B351" s="11" t="inlineStr">
        <is>
          <t>28_646_Guinea_(1998)</t>
        </is>
      </c>
      <c r="C351" s="11" t="inlineStr">
        <is>
          <t>Uraspis secunda</t>
        </is>
      </c>
      <c r="D351" s="10" t="inlineStr">
        <is>
          <t>Cottonmouth jack</t>
        </is>
      </c>
      <c r="E351" s="10" t="inlineStr">
        <is>
          <t>Medium pelagics (30 - 89 cm)</t>
        </is>
      </c>
      <c r="F351" s="10" t="inlineStr">
        <is>
          <t>Perch-likes</t>
        </is>
      </c>
      <c r="G351" s="11" t="inlineStr">
        <is>
          <t>Unresolved</t>
        </is>
      </c>
      <c r="H351" s="12" t="n"/>
      <c r="I351" s="10" t="inlineStr"/>
      <c r="J351" s="16" t="inlineStr">
        <is>
          <t>unresolved</t>
        </is>
      </c>
      <c r="K351" s="10" t="inlineStr">
        <is>
          <t>none</t>
        </is>
      </c>
      <c r="L35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51" s="10" t="n">
        <v>1614.67</v>
      </c>
    </row>
    <row r="352" ht="36" customHeight="1">
      <c r="A352" s="10" t="inlineStr">
        <is>
          <t>LME_028</t>
        </is>
      </c>
      <c r="B352" s="11" t="inlineStr">
        <is>
          <t>28_646_Guinea_(1998)</t>
        </is>
      </c>
      <c r="C352" s="11" t="inlineStr">
        <is>
          <t>Polyprion americanus</t>
        </is>
      </c>
      <c r="D352" s="10" t="inlineStr">
        <is>
          <t>Wreckfish</t>
        </is>
      </c>
      <c r="E352" s="10" t="inlineStr">
        <is>
          <t>Large bathydemersals (&gt;=90 cm)</t>
        </is>
      </c>
      <c r="F352" s="10" t="inlineStr">
        <is>
          <t>Perch-likes</t>
        </is>
      </c>
      <c r="G352" s="11" t="inlineStr">
        <is>
          <t>Bathy L pred</t>
        </is>
      </c>
      <c r="H352" s="12" t="n">
        <v>1</v>
      </c>
      <c r="I352" s="10" t="inlineStr">
        <is>
          <t>single</t>
        </is>
      </c>
      <c r="J352" s="14" t="inlineStr">
        <is>
          <t>high</t>
        </is>
      </c>
      <c r="K352" s="10" t="inlineStr">
        <is>
          <t>explicit_member</t>
        </is>
      </c>
      <c r="L352" s="11" t="inlineStr">
        <is>
          <t>Guénette &amp; Diallo 2004 Table 6 p.131 explicitly lists this taxon in the named group(s); printed and accepted names checked against WoRMS.</t>
        </is>
      </c>
      <c r="M352" s="10" t="n">
        <v>1530.274</v>
      </c>
    </row>
    <row r="353" ht="36" customHeight="1">
      <c r="A353" s="10" t="inlineStr">
        <is>
          <t>LME_028</t>
        </is>
      </c>
      <c r="B353" s="11" t="inlineStr">
        <is>
          <t>28_646_Guinea_(1998)</t>
        </is>
      </c>
      <c r="C353" s="11" t="inlineStr">
        <is>
          <t>Bathysaurus ferox</t>
        </is>
      </c>
      <c r="D353" s="10" t="inlineStr">
        <is>
          <t>Deep-sea lizardfish</t>
        </is>
      </c>
      <c r="E353" s="10" t="inlineStr">
        <is>
          <t>Medium bathydemersals (30 - 89 cm)</t>
        </is>
      </c>
      <c r="F353" s="10" t="inlineStr">
        <is>
          <t>Other fishes &amp; inverts</t>
        </is>
      </c>
      <c r="G353" s="11" t="inlineStr">
        <is>
          <t>Bathy L pred</t>
        </is>
      </c>
      <c r="H353" s="12" t="n">
        <v>1</v>
      </c>
      <c r="I353" s="10" t="inlineStr">
        <is>
          <t>single</t>
        </is>
      </c>
      <c r="J353" s="14" t="inlineStr">
        <is>
          <t>high</t>
        </is>
      </c>
      <c r="K353" s="10" t="inlineStr">
        <is>
          <t>explicit_member</t>
        </is>
      </c>
      <c r="L353" s="11" t="inlineStr">
        <is>
          <t>Guénette &amp; Diallo 2004 Table 6 p.131 explicitly lists this taxon in the named group(s); printed and accepted names checked against WoRMS.</t>
        </is>
      </c>
      <c r="M353" s="10" t="n">
        <v>1523.205</v>
      </c>
    </row>
    <row r="354" ht="36" customHeight="1">
      <c r="A354" s="10" t="inlineStr">
        <is>
          <t>LME_028</t>
        </is>
      </c>
      <c r="B354" s="11" t="inlineStr">
        <is>
          <t>28_646_Guinea_(1998)</t>
        </is>
      </c>
      <c r="C354" s="11" t="inlineStr">
        <is>
          <t>Coryphaena</t>
        </is>
      </c>
      <c r="D354" s="10" t="inlineStr">
        <is>
          <t>Dolphinfishes</t>
        </is>
      </c>
      <c r="E354" s="10" t="inlineStr">
        <is>
          <t>Large pelagics (&gt;=90 cm)</t>
        </is>
      </c>
      <c r="F354" s="10" t="inlineStr">
        <is>
          <t>Perch-likes</t>
        </is>
      </c>
      <c r="G354" s="11" t="inlineStr">
        <is>
          <t>Pel L pred</t>
        </is>
      </c>
      <c r="H354" s="12" t="n">
        <v>1</v>
      </c>
      <c r="I354" s="10" t="inlineStr">
        <is>
          <t>single</t>
        </is>
      </c>
      <c r="J354" s="15" t="inlineStr">
        <is>
          <t>medium</t>
        </is>
      </c>
      <c r="K354" s="10" t="inlineStr">
        <is>
          <t>taxonomic_containment</t>
        </is>
      </c>
      <c r="L354" s="11" t="inlineStr">
        <is>
          <t>Genus-level catch spans exactly the Table 6 groups containing its documented species. No habitat class overrides those placements.</t>
        </is>
      </c>
      <c r="M354" s="10" t="n">
        <v>1481.011</v>
      </c>
    </row>
    <row r="355" ht="36" customHeight="1">
      <c r="A355" s="10" t="inlineStr">
        <is>
          <t>LME_028</t>
        </is>
      </c>
      <c r="B355" s="11" t="inlineStr">
        <is>
          <t>28_646_Guinea_(1998)</t>
        </is>
      </c>
      <c r="C355" s="11" t="inlineStr">
        <is>
          <t>Myctophidae</t>
        </is>
      </c>
      <c r="D355" s="10" t="inlineStr">
        <is>
          <t>Lanternfishes</t>
        </is>
      </c>
      <c r="E355" s="10" t="inlineStr">
        <is>
          <t>Small pelagics (&lt;30 cm)</t>
        </is>
      </c>
      <c r="F355" s="10" t="inlineStr">
        <is>
          <t>Other fishes &amp; inverts</t>
        </is>
      </c>
      <c r="G355" s="11" t="inlineStr">
        <is>
          <t>Mésopélagiques</t>
        </is>
      </c>
      <c r="H355" s="12" t="n">
        <v>1</v>
      </c>
      <c r="I355" s="10" t="inlineStr">
        <is>
          <t>single</t>
        </is>
      </c>
      <c r="J355" s="14" t="inlineStr">
        <is>
          <t>high</t>
        </is>
      </c>
      <c r="K355" s="10" t="inlineStr">
        <is>
          <t>explicit_member</t>
        </is>
      </c>
      <c r="L355" s="11" t="inlineStr">
        <is>
          <t>Guénette &amp; Diallo 2004 Table 6 p.131 explicitly lists this taxon in the named group(s); printed and accepted names checked against WoRMS.</t>
        </is>
      </c>
      <c r="M355" s="10" t="n">
        <v>1443.208</v>
      </c>
    </row>
    <row r="356" ht="36" customHeight="1">
      <c r="A356" s="10" t="inlineStr">
        <is>
          <t>LME_028</t>
        </is>
      </c>
      <c r="B356" s="11" t="inlineStr">
        <is>
          <t>28_646_Guinea_(1998)</t>
        </is>
      </c>
      <c r="C356" s="11" t="inlineStr">
        <is>
          <t>Acanthurus monroviae</t>
        </is>
      </c>
      <c r="D356" s="10" t="inlineStr">
        <is>
          <t>Monrovia doctorfish</t>
        </is>
      </c>
      <c r="E356" s="10" t="inlineStr">
        <is>
          <t>Medium demersals (30 - 89 cm)</t>
        </is>
      </c>
      <c r="F356" s="10" t="inlineStr">
        <is>
          <t>Perch-likes</t>
        </is>
      </c>
      <c r="G356" s="11" t="inlineStr">
        <is>
          <t>Mulets</t>
        </is>
      </c>
      <c r="H356" s="12" t="n">
        <v>1</v>
      </c>
      <c r="I356" s="10" t="inlineStr">
        <is>
          <t>single</t>
        </is>
      </c>
      <c r="J356" s="14" t="inlineStr">
        <is>
          <t>high</t>
        </is>
      </c>
      <c r="K356" s="10" t="inlineStr">
        <is>
          <t>explicit_member</t>
        </is>
      </c>
      <c r="L356" s="11" t="inlineStr">
        <is>
          <t>Guénette &amp; Diallo 2004 Table 6 p.131 explicitly lists this taxon in the named group(s); printed and accepted names checked against WoRMS.</t>
        </is>
      </c>
      <c r="M356" s="10" t="n">
        <v>1401.667</v>
      </c>
    </row>
    <row r="357" ht="51" customHeight="1">
      <c r="A357" s="10" t="inlineStr">
        <is>
          <t>LME_028</t>
        </is>
      </c>
      <c r="B357" s="11" t="inlineStr">
        <is>
          <t>28_646_Guinea_(1998)</t>
        </is>
      </c>
      <c r="C357" s="11" t="inlineStr">
        <is>
          <t>Scaridae</t>
        </is>
      </c>
      <c r="D357" s="10" t="inlineStr">
        <is>
          <t>Parrotfishes</t>
        </is>
      </c>
      <c r="E357" s="10" t="inlineStr">
        <is>
          <t>Medium reef assoc. fish (30 - 89 cm)</t>
        </is>
      </c>
      <c r="F357" s="10" t="inlineStr">
        <is>
          <t>Perch-likes</t>
        </is>
      </c>
      <c r="G357" s="11" t="inlineStr">
        <is>
          <t>Unresolved</t>
        </is>
      </c>
      <c r="H357" s="12" t="n"/>
      <c r="I357" s="10" t="inlineStr"/>
      <c r="J357" s="16" t="inlineStr">
        <is>
          <t>unresolved</t>
        </is>
      </c>
      <c r="K357" s="10" t="inlineStr">
        <is>
          <t>none</t>
        </is>
      </c>
      <c r="L357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57" s="10" t="n">
        <v>1304.318</v>
      </c>
    </row>
    <row r="358" ht="36" customHeight="1">
      <c r="A358" s="10" t="inlineStr">
        <is>
          <t>LME_028</t>
        </is>
      </c>
      <c r="B358" s="11" t="inlineStr">
        <is>
          <t>28_646_Guinea_(1998)</t>
        </is>
      </c>
      <c r="C358" s="11" t="inlineStr">
        <is>
          <t>Pontinus kuhlii</t>
        </is>
      </c>
      <c r="D358" s="10" t="inlineStr">
        <is>
          <t>Offshore rockfish</t>
        </is>
      </c>
      <c r="E358" s="10" t="inlineStr">
        <is>
          <t>Medium bathydemersals (30 - 89 cm)</t>
        </is>
      </c>
      <c r="F358" s="10" t="inlineStr">
        <is>
          <t>Scorpionfishes</t>
        </is>
      </c>
      <c r="G358" s="11" t="inlineStr">
        <is>
          <t>Bathy L pred</t>
        </is>
      </c>
      <c r="H358" s="12" t="n">
        <v>1</v>
      </c>
      <c r="I358" s="10" t="inlineStr">
        <is>
          <t>single</t>
        </is>
      </c>
      <c r="J358" s="14" t="inlineStr">
        <is>
          <t>high</t>
        </is>
      </c>
      <c r="K358" s="10" t="inlineStr">
        <is>
          <t>explicit_member</t>
        </is>
      </c>
      <c r="L358" s="11" t="inlineStr">
        <is>
          <t>Guénette &amp; Diallo 2004 Table 6 p.131 explicitly lists this taxon in the named group(s); printed and accepted names checked against WoRMS.</t>
        </is>
      </c>
      <c r="M358" s="10" t="n">
        <v>1273.606</v>
      </c>
    </row>
    <row r="359" ht="36" customHeight="1">
      <c r="A359" s="10" t="inlineStr">
        <is>
          <t>LME_028</t>
        </is>
      </c>
      <c r="B359" s="11" t="inlineStr">
        <is>
          <t>28_646_Guinea_(1998)</t>
        </is>
      </c>
      <c r="C359" s="11" t="inlineStr">
        <is>
          <t>Solenocera africana</t>
        </is>
      </c>
      <c r="D359" s="10" t="inlineStr">
        <is>
          <t>African mud shrimp</t>
        </is>
      </c>
      <c r="E359" s="10" t="inlineStr">
        <is>
          <t>Shrimps</t>
        </is>
      </c>
      <c r="F359" s="10" t="inlineStr">
        <is>
          <t>Crustaceans</t>
        </is>
      </c>
      <c r="G359" s="11" t="inlineStr">
        <is>
          <t>Crustacés</t>
        </is>
      </c>
      <c r="H359" s="12" t="n">
        <v>1</v>
      </c>
      <c r="I359" s="10" t="inlineStr">
        <is>
          <t>single</t>
        </is>
      </c>
      <c r="J359" s="14" t="inlineStr">
        <is>
          <t>high</t>
        </is>
      </c>
      <c r="K359" s="10" t="inlineStr">
        <is>
          <t>taxonomic_containment</t>
        </is>
      </c>
      <c r="L359" s="11" t="inlineStr">
        <is>
          <t>WoRMS crustacean taxonomy and SAU shrimp/crab/lobster class agree with the source Crustacés definition on p.125.</t>
        </is>
      </c>
      <c r="M359" s="10" t="n">
        <v>1234.062</v>
      </c>
    </row>
    <row r="360" ht="51" customHeight="1">
      <c r="A360" s="10" t="inlineStr">
        <is>
          <t>LME_028</t>
        </is>
      </c>
      <c r="B360" s="11" t="inlineStr">
        <is>
          <t>28_646_Guinea_(1998)</t>
        </is>
      </c>
      <c r="C360" s="11" t="inlineStr">
        <is>
          <t>Squaliformes</t>
        </is>
      </c>
      <c r="D360" s="10" t="inlineStr">
        <is>
          <t>Bramble, sleeper, dogfish sharks</t>
        </is>
      </c>
      <c r="E360" s="10" t="inlineStr">
        <is>
          <t>Large sharks (&gt;=90 cm)</t>
        </is>
      </c>
      <c r="F360" s="10" t="inlineStr">
        <is>
          <t>Sharks &amp; rays</t>
        </is>
      </c>
      <c r="G360" s="11" t="inlineStr">
        <is>
          <t>Unresolved</t>
        </is>
      </c>
      <c r="H360" s="12" t="n"/>
      <c r="I360" s="10" t="inlineStr"/>
      <c r="J360" s="16" t="inlineStr">
        <is>
          <t>unresolved</t>
        </is>
      </c>
      <c r="K360" s="10" t="inlineStr">
        <is>
          <t>none</t>
        </is>
      </c>
      <c r="L360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0" s="10" t="n">
        <v>1232.563</v>
      </c>
    </row>
    <row r="361" ht="36" customHeight="1">
      <c r="A361" s="10" t="inlineStr">
        <is>
          <t>LME_028</t>
        </is>
      </c>
      <c r="B361" s="11" t="inlineStr">
        <is>
          <t>28_646_Guinea_(1998)</t>
        </is>
      </c>
      <c r="C361" s="11" t="inlineStr">
        <is>
          <t>Psettodes belcheri</t>
        </is>
      </c>
      <c r="D361" s="10" t="inlineStr">
        <is>
          <t>Spottail spiny turbot</t>
        </is>
      </c>
      <c r="E361" s="10" t="inlineStr">
        <is>
          <t>Small to medium flatfishes (&lt;90 cm)</t>
        </is>
      </c>
      <c r="F361" s="10" t="inlineStr">
        <is>
          <t>Flatfishes</t>
        </is>
      </c>
      <c r="G361" s="11" t="inlineStr">
        <is>
          <t>Côtier L pred</t>
        </is>
      </c>
      <c r="H361" s="12" t="n">
        <v>1</v>
      </c>
      <c r="I361" s="10" t="inlineStr">
        <is>
          <t>single</t>
        </is>
      </c>
      <c r="J361" s="14" t="inlineStr">
        <is>
          <t>high</t>
        </is>
      </c>
      <c r="K361" s="10" t="inlineStr">
        <is>
          <t>explicit_member</t>
        </is>
      </c>
      <c r="L361" s="11" t="inlineStr">
        <is>
          <t>Guénette &amp; Diallo 2004 Table 6 p.131 explicitly lists this taxon in the named group(s); printed and accepted names checked against WoRMS.</t>
        </is>
      </c>
      <c r="M361" s="10" t="n">
        <v>1104.206</v>
      </c>
    </row>
    <row r="362" ht="51" customHeight="1">
      <c r="A362" s="10" t="inlineStr">
        <is>
          <t>LME_028</t>
        </is>
      </c>
      <c r="B362" s="11" t="inlineStr">
        <is>
          <t>28_646_Guinea_(1998)</t>
        </is>
      </c>
      <c r="C362" s="11" t="inlineStr">
        <is>
          <t>Carcharhinus leucas</t>
        </is>
      </c>
      <c r="D362" s="10" t="inlineStr">
        <is>
          <t>Bull shark</t>
        </is>
      </c>
      <c r="E362" s="10" t="inlineStr">
        <is>
          <t>Large sharks (&gt;=90 cm)</t>
        </is>
      </c>
      <c r="F362" s="10" t="inlineStr">
        <is>
          <t>Sharks &amp; rays</t>
        </is>
      </c>
      <c r="G362" s="11" t="inlineStr">
        <is>
          <t>Unresolved</t>
        </is>
      </c>
      <c r="H362" s="12" t="n"/>
      <c r="I362" s="10" t="inlineStr"/>
      <c r="J362" s="16" t="inlineStr">
        <is>
          <t>unresolved</t>
        </is>
      </c>
      <c r="K362" s="10" t="inlineStr">
        <is>
          <t>none</t>
        </is>
      </c>
      <c r="L36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2" s="10" t="n">
        <v>1101.745</v>
      </c>
    </row>
    <row r="363" ht="51" customHeight="1">
      <c r="A363" s="10" t="inlineStr">
        <is>
          <t>LME_028</t>
        </is>
      </c>
      <c r="B363" s="11" t="inlineStr">
        <is>
          <t>28_646_Guinea_(1998)</t>
        </is>
      </c>
      <c r="C363" s="11" t="inlineStr">
        <is>
          <t>Apsilus fuscus</t>
        </is>
      </c>
      <c r="D363" s="10" t="inlineStr">
        <is>
          <t>African forktail snapper</t>
        </is>
      </c>
      <c r="E363" s="10" t="inlineStr">
        <is>
          <t>Medium demersals (30 - 89 cm)</t>
        </is>
      </c>
      <c r="F363" s="10" t="inlineStr">
        <is>
          <t>Perch-likes</t>
        </is>
      </c>
      <c r="G363" s="11" t="inlineStr">
        <is>
          <t>Unresolved</t>
        </is>
      </c>
      <c r="H363" s="12" t="n"/>
      <c r="I363" s="10" t="inlineStr"/>
      <c r="J363" s="16" t="inlineStr">
        <is>
          <t>unresolved</t>
        </is>
      </c>
      <c r="K363" s="10" t="inlineStr">
        <is>
          <t>none</t>
        </is>
      </c>
      <c r="L36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63" s="10" t="n">
        <v>1079.881</v>
      </c>
    </row>
    <row r="364" ht="51" customHeight="1">
      <c r="A364" s="10" t="inlineStr">
        <is>
          <t>LME_028</t>
        </is>
      </c>
      <c r="B364" s="11" t="inlineStr">
        <is>
          <t>28_646_Guinea_(1998)</t>
        </is>
      </c>
      <c r="C364" s="11" t="inlineStr">
        <is>
          <t>Carcharhinus falciformis</t>
        </is>
      </c>
      <c r="D364" s="10" t="inlineStr">
        <is>
          <t>Silky shark</t>
        </is>
      </c>
      <c r="E364" s="10" t="inlineStr">
        <is>
          <t>Large sharks (&gt;=90 cm)</t>
        </is>
      </c>
      <c r="F364" s="10" t="inlineStr">
        <is>
          <t>Sharks &amp; rays</t>
        </is>
      </c>
      <c r="G364" s="11" t="inlineStr">
        <is>
          <t>Unresolved</t>
        </is>
      </c>
      <c r="H364" s="12" t="n"/>
      <c r="I364" s="10" t="inlineStr"/>
      <c r="J364" s="16" t="inlineStr">
        <is>
          <t>unresolved</t>
        </is>
      </c>
      <c r="K364" s="10" t="inlineStr">
        <is>
          <t>none</t>
        </is>
      </c>
      <c r="L36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4" s="10" t="n">
        <v>1019.413</v>
      </c>
    </row>
    <row r="365" ht="36" customHeight="1">
      <c r="A365" s="10" t="inlineStr">
        <is>
          <t>LME_028</t>
        </is>
      </c>
      <c r="B365" s="11" t="inlineStr">
        <is>
          <t>28_646_Guinea_(1998)</t>
        </is>
      </c>
      <c r="C365" s="11" t="inlineStr">
        <is>
          <t>Alopias</t>
        </is>
      </c>
      <c r="D365" s="10" t="inlineStr">
        <is>
          <t>Thresher sharks</t>
        </is>
      </c>
      <c r="E365" s="10" t="inlineStr">
        <is>
          <t>Large sharks (&gt;=90 cm)</t>
        </is>
      </c>
      <c r="F365" s="10" t="inlineStr">
        <is>
          <t>Sharks &amp; rays</t>
        </is>
      </c>
      <c r="G365" s="11" t="inlineStr">
        <is>
          <t>Sélaciens L côtiers</t>
        </is>
      </c>
      <c r="H365" s="12" t="n">
        <v>1</v>
      </c>
      <c r="I365" s="10" t="inlineStr">
        <is>
          <t>single</t>
        </is>
      </c>
      <c r="J365" s="15" t="inlineStr">
        <is>
          <t>medium</t>
        </is>
      </c>
      <c r="K365" s="10" t="inlineStr">
        <is>
          <t>taxonomic_containment</t>
        </is>
      </c>
      <c r="L365" s="11" t="inlineStr">
        <is>
          <t>Genus-level catch spans exactly the Table 6 groups containing its documented species. No habitat class overrides those placements.</t>
        </is>
      </c>
      <c r="M365" s="10" t="n">
        <v>984.3200000000001</v>
      </c>
    </row>
    <row r="366" ht="36" customHeight="1">
      <c r="A366" s="10" t="inlineStr">
        <is>
          <t>LME_028</t>
        </is>
      </c>
      <c r="B366" s="11" t="inlineStr">
        <is>
          <t>28_646_Guinea_(1998)</t>
        </is>
      </c>
      <c r="C366" s="11" t="inlineStr">
        <is>
          <t>Stomias affinis</t>
        </is>
      </c>
      <c r="D366" s="10" t="inlineStr">
        <is>
          <t>Gunther's boafish</t>
        </is>
      </c>
      <c r="E366" s="10" t="inlineStr">
        <is>
          <t>Small bathypelagics (&lt;30 cm)</t>
        </is>
      </c>
      <c r="F366" s="10" t="inlineStr">
        <is>
          <t>Other fishes &amp; inverts</t>
        </is>
      </c>
      <c r="G366" s="11" t="inlineStr">
        <is>
          <t>Bathy S pred</t>
        </is>
      </c>
      <c r="H366" s="12" t="n">
        <v>1</v>
      </c>
      <c r="I366" s="10" t="inlineStr">
        <is>
          <t>single</t>
        </is>
      </c>
      <c r="J366" s="14" t="inlineStr">
        <is>
          <t>high</t>
        </is>
      </c>
      <c r="K366" s="10" t="inlineStr">
        <is>
          <t>explicit_member</t>
        </is>
      </c>
      <c r="L366" s="11" t="inlineStr">
        <is>
          <t>Guénette &amp; Diallo 2004 Table 6 p.131 explicitly lists this taxon in the named group(s); printed and accepted names checked against WoRMS.</t>
        </is>
      </c>
      <c r="M366" s="10" t="n">
        <v>887.537</v>
      </c>
    </row>
    <row r="367" ht="36" customHeight="1">
      <c r="A367" s="10" t="inlineStr">
        <is>
          <t>LME_028</t>
        </is>
      </c>
      <c r="B367" s="11" t="inlineStr">
        <is>
          <t>28_646_Guinea_(1998)</t>
        </is>
      </c>
      <c r="C367" s="11" t="inlineStr">
        <is>
          <t>Fistularia tabacaria</t>
        </is>
      </c>
      <c r="D367" s="10" t="inlineStr">
        <is>
          <t>Cornetfish</t>
        </is>
      </c>
      <c r="E367" s="10" t="inlineStr">
        <is>
          <t>Large reef assoc. fish (&gt;=90 cm)</t>
        </is>
      </c>
      <c r="F367" s="10" t="inlineStr">
        <is>
          <t>Other fishes &amp; inverts</t>
        </is>
      </c>
      <c r="G367" s="11" t="inlineStr">
        <is>
          <t>Côtier L pred</t>
        </is>
      </c>
      <c r="H367" s="12" t="n">
        <v>1</v>
      </c>
      <c r="I367" s="10" t="inlineStr">
        <is>
          <t>single</t>
        </is>
      </c>
      <c r="J367" s="14" t="inlineStr">
        <is>
          <t>high</t>
        </is>
      </c>
      <c r="K367" s="10" t="inlineStr">
        <is>
          <t>explicit_member</t>
        </is>
      </c>
      <c r="L367" s="11" t="inlineStr">
        <is>
          <t>Guénette &amp; Diallo 2004 Table 6 p.131 explicitly lists this taxon in the named group(s); printed and accepted names checked against WoRMS.</t>
        </is>
      </c>
      <c r="M367" s="10" t="n">
        <v>857.146</v>
      </c>
    </row>
    <row r="368" ht="36" customHeight="1">
      <c r="A368" s="10" t="inlineStr">
        <is>
          <t>LME_028</t>
        </is>
      </c>
      <c r="B368" s="11" t="inlineStr">
        <is>
          <t>28_646_Guinea_(1998)</t>
        </is>
      </c>
      <c r="C368" s="11" t="inlineStr">
        <is>
          <t>Sphyrna lewini</t>
        </is>
      </c>
      <c r="D368" s="10" t="inlineStr">
        <is>
          <t>Scalloped hammerhead</t>
        </is>
      </c>
      <c r="E368" s="10" t="inlineStr">
        <is>
          <t>Large sharks (&gt;=90 cm)</t>
        </is>
      </c>
      <c r="F368" s="10" t="inlineStr">
        <is>
          <t>Sharks &amp; rays</t>
        </is>
      </c>
      <c r="G368" s="11" t="inlineStr">
        <is>
          <t>Sélaciens L prof</t>
        </is>
      </c>
      <c r="H368" s="12" t="n">
        <v>1</v>
      </c>
      <c r="I368" s="10" t="inlineStr">
        <is>
          <t>single</t>
        </is>
      </c>
      <c r="J368" s="15" t="inlineStr">
        <is>
          <t>medium</t>
        </is>
      </c>
      <c r="K368" s="10" t="inlineStr">
        <is>
          <t>analogue</t>
        </is>
      </c>
      <c r="L368" s="11" t="inlineStr">
        <is>
          <t>Species not individually listed: its genus has one documented Table 6 group, supported by the catch's Large sharks (&gt;=90 cm) class. Congeneric extension is inference.</t>
        </is>
      </c>
      <c r="M368" s="10" t="n">
        <v>853.194</v>
      </c>
    </row>
    <row r="369" ht="36" customHeight="1">
      <c r="A369" s="10" t="inlineStr">
        <is>
          <t>LME_028</t>
        </is>
      </c>
      <c r="B369" s="11" t="inlineStr">
        <is>
          <t>28_646_Guinea_(1998)</t>
        </is>
      </c>
      <c r="C369" s="11" t="inlineStr">
        <is>
          <t>Panulirus</t>
        </is>
      </c>
      <c r="D369" s="10" t="inlineStr">
        <is>
          <t>Spiny lobsters</t>
        </is>
      </c>
      <c r="E369" s="10" t="inlineStr">
        <is>
          <t>Lobsters, crabs</t>
        </is>
      </c>
      <c r="F369" s="10" t="inlineStr">
        <is>
          <t>Crustaceans</t>
        </is>
      </c>
      <c r="G369" s="11" t="inlineStr">
        <is>
          <t>Crustacés</t>
        </is>
      </c>
      <c r="H369" s="12" t="n">
        <v>1</v>
      </c>
      <c r="I369" s="10" t="inlineStr">
        <is>
          <t>single</t>
        </is>
      </c>
      <c r="J369" s="14" t="inlineStr">
        <is>
          <t>high</t>
        </is>
      </c>
      <c r="K369" s="10" t="inlineStr">
        <is>
          <t>taxonomic_containment</t>
        </is>
      </c>
      <c r="L369" s="11" t="inlineStr">
        <is>
          <t>WoRMS crustacean taxonomy and SAU shrimp/crab/lobster class agree with the source Crustacés definition on p.125.</t>
        </is>
      </c>
      <c r="M369" s="10" t="n">
        <v>832.082</v>
      </c>
    </row>
    <row r="370" ht="36" customHeight="1">
      <c r="A370" s="10" t="inlineStr">
        <is>
          <t>LME_028</t>
        </is>
      </c>
      <c r="B370" s="11" t="inlineStr">
        <is>
          <t>28_646_Guinea_(1998)</t>
        </is>
      </c>
      <c r="C370" s="11" t="inlineStr">
        <is>
          <t>Alopias vulpinus</t>
        </is>
      </c>
      <c r="D370" s="10" t="inlineStr">
        <is>
          <t>Thresher</t>
        </is>
      </c>
      <c r="E370" s="10" t="inlineStr">
        <is>
          <t>Large sharks (&gt;=90 cm)</t>
        </is>
      </c>
      <c r="F370" s="10" t="inlineStr">
        <is>
          <t>Sharks &amp; rays</t>
        </is>
      </c>
      <c r="G370" s="11" t="inlineStr">
        <is>
          <t>Sélaciens L côtiers</t>
        </is>
      </c>
      <c r="H370" s="12" t="n">
        <v>1</v>
      </c>
      <c r="I370" s="10" t="inlineStr">
        <is>
          <t>single</t>
        </is>
      </c>
      <c r="J370" s="14" t="inlineStr">
        <is>
          <t>high</t>
        </is>
      </c>
      <c r="K370" s="10" t="inlineStr">
        <is>
          <t>explicit_member</t>
        </is>
      </c>
      <c r="L370" s="11" t="inlineStr">
        <is>
          <t>Guénette &amp; Diallo 2004 Table 6 p.131 explicitly lists this taxon in the named group(s); printed and accepted names checked against WoRMS.</t>
        </is>
      </c>
      <c r="M370" s="10" t="n">
        <v>722.502</v>
      </c>
    </row>
    <row r="371" ht="36" customHeight="1">
      <c r="A371" s="10" t="inlineStr">
        <is>
          <t>LME_028</t>
        </is>
      </c>
      <c r="B371" s="11" t="inlineStr">
        <is>
          <t>28_646_Guinea_(1998)</t>
        </is>
      </c>
      <c r="C371" s="11" t="inlineStr">
        <is>
          <t>Helicolenus dactylopterus</t>
        </is>
      </c>
      <c r="D371" s="10" t="inlineStr">
        <is>
          <t>Blackbelly rosefish</t>
        </is>
      </c>
      <c r="E371" s="10" t="inlineStr">
        <is>
          <t>Medium bathydemersals (30 - 89 cm)</t>
        </is>
      </c>
      <c r="F371" s="10" t="inlineStr">
        <is>
          <t>Scorpionfishes</t>
        </is>
      </c>
      <c r="G371" s="11" t="inlineStr">
        <is>
          <t>Bathy L pred</t>
        </is>
      </c>
      <c r="H371" s="12" t="n">
        <v>1</v>
      </c>
      <c r="I371" s="10" t="inlineStr">
        <is>
          <t>single</t>
        </is>
      </c>
      <c r="J371" s="14" t="inlineStr">
        <is>
          <t>high</t>
        </is>
      </c>
      <c r="K371" s="10" t="inlineStr">
        <is>
          <t>explicit_member</t>
        </is>
      </c>
      <c r="L371" s="11" t="inlineStr">
        <is>
          <t>Guénette &amp; Diallo 2004 Table 6 p.131 explicitly lists this taxon in the named group(s); printed and accepted names checked against WoRMS.</t>
        </is>
      </c>
      <c r="M371" s="10" t="n">
        <v>682.806</v>
      </c>
    </row>
    <row r="372" ht="36" customHeight="1">
      <c r="A372" s="10" t="inlineStr">
        <is>
          <t>LME_028</t>
        </is>
      </c>
      <c r="B372" s="11" t="inlineStr">
        <is>
          <t>28_646_Guinea_(1998)</t>
        </is>
      </c>
      <c r="C372" s="11" t="inlineStr">
        <is>
          <t>Marine finfishes not identified</t>
        </is>
      </c>
      <c r="D372" s="10" t="inlineStr">
        <is>
          <t>Finfishes</t>
        </is>
      </c>
      <c r="E372" s="10" t="inlineStr">
        <is>
          <t>Medium demersals (30 - 89 cm)</t>
        </is>
      </c>
      <c r="F372" s="10" t="inlineStr">
        <is>
          <t>Other fishes &amp; inverts</t>
        </is>
      </c>
      <c r="G372" s="11" t="inlineStr">
        <is>
          <t>Côtier L pred</t>
        </is>
      </c>
      <c r="H372" s="12" t="n">
        <v>0.2388584407159509</v>
      </c>
      <c r="I372" s="10" t="inlineStr">
        <is>
          <t>catch_composition</t>
        </is>
      </c>
      <c r="J372" s="13" t="inlineStr">
        <is>
          <t>low</t>
        </is>
      </c>
      <c r="K372" s="10" t="inlineStr">
        <is>
          <t>composite_split</t>
        </is>
      </c>
      <c r="L372" s="11" t="inlineStr">
        <is>
          <t>Same medium-demersal catch class as Marine fishes not identified; broad coastal and shelf guilds, excluding named single stocks and offshore/bathyal pools.</t>
        </is>
      </c>
      <c r="M372" s="10" t="n">
        <v>672.39</v>
      </c>
    </row>
    <row r="373" ht="36" customHeight="1">
      <c r="A373" s="10" t="inlineStr">
        <is>
          <t>LME_028</t>
        </is>
      </c>
      <c r="B373" s="11" t="inlineStr">
        <is>
          <t>28_646_Guinea_(1998)</t>
        </is>
      </c>
      <c r="C373" s="11" t="inlineStr">
        <is>
          <t>Marine finfishes not identified</t>
        </is>
      </c>
      <c r="D373" s="10" t="inlineStr">
        <is>
          <t>Finfishes</t>
        </is>
      </c>
      <c r="E373" s="10" t="inlineStr">
        <is>
          <t>Medium demersals (30 - 89 cm)</t>
        </is>
      </c>
      <c r="F373" s="10" t="inlineStr">
        <is>
          <t>Other fishes &amp; inverts</t>
        </is>
      </c>
      <c r="G373" s="11" t="inlineStr">
        <is>
          <t>Côtier M pred</t>
        </is>
      </c>
      <c r="H373" s="12" t="n">
        <v>4.196657070493092e-05</v>
      </c>
      <c r="I373" s="10" t="inlineStr">
        <is>
          <t>catch_composition</t>
        </is>
      </c>
      <c r="J373" s="13" t="inlineStr">
        <is>
          <t>low</t>
        </is>
      </c>
      <c r="K373" s="10" t="inlineStr">
        <is>
          <t>composite_split</t>
        </is>
      </c>
      <c r="L373" s="11" t="inlineStr">
        <is>
          <t>Same medium-demersal catch class as Marine fishes not identified; broad coastal and shelf guilds, excluding named single stocks and offshore/bathyal pools.</t>
        </is>
      </c>
      <c r="M373" s="10" t="n">
        <v>672.39</v>
      </c>
    </row>
    <row r="374" ht="36" customHeight="1">
      <c r="A374" s="10" t="inlineStr">
        <is>
          <t>LME_028</t>
        </is>
      </c>
      <c r="B374" s="11" t="inlineStr">
        <is>
          <t>28_646_Guinea_(1998)</t>
        </is>
      </c>
      <c r="C374" s="11" t="inlineStr">
        <is>
          <t>Marine finfishes not identified</t>
        </is>
      </c>
      <c r="D374" s="10" t="inlineStr">
        <is>
          <t>Finfishes</t>
        </is>
      </c>
      <c r="E374" s="10" t="inlineStr">
        <is>
          <t>Medium demersals (30 - 89 cm)</t>
        </is>
      </c>
      <c r="F374" s="10" t="inlineStr">
        <is>
          <t>Other fishes &amp; inverts</t>
        </is>
      </c>
      <c r="G374" s="11" t="inlineStr">
        <is>
          <t>Côtier M inv</t>
        </is>
      </c>
      <c r="H374" s="12" t="n">
        <v>0.2316287011995438</v>
      </c>
      <c r="I374" s="10" t="inlineStr">
        <is>
          <t>catch_composition</t>
        </is>
      </c>
      <c r="J374" s="13" t="inlineStr">
        <is>
          <t>low</t>
        </is>
      </c>
      <c r="K374" s="10" t="inlineStr">
        <is>
          <t>composite_split</t>
        </is>
      </c>
      <c r="L374" s="11" t="inlineStr">
        <is>
          <t>Same medium-demersal catch class as Marine fishes not identified; broad coastal and shelf guilds, excluding named single stocks and offshore/bathyal pools.</t>
        </is>
      </c>
      <c r="M374" s="10" t="n">
        <v>672.39</v>
      </c>
    </row>
    <row r="375" ht="36" customHeight="1">
      <c r="A375" s="10" t="inlineStr">
        <is>
          <t>LME_028</t>
        </is>
      </c>
      <c r="B375" s="11" t="inlineStr">
        <is>
          <t>28_646_Guinea_(1998)</t>
        </is>
      </c>
      <c r="C375" s="11" t="inlineStr">
        <is>
          <t>Marine finfishes not identified</t>
        </is>
      </c>
      <c r="D375" s="10" t="inlineStr">
        <is>
          <t>Finfishes</t>
        </is>
      </c>
      <c r="E375" s="10" t="inlineStr">
        <is>
          <t>Medium demersals (30 - 89 cm)</t>
        </is>
      </c>
      <c r="F375" s="10" t="inlineStr">
        <is>
          <t>Other fishes &amp; inverts</t>
        </is>
      </c>
      <c r="G375" s="11" t="inlineStr">
        <is>
          <t>Côtier S pred</t>
        </is>
      </c>
      <c r="H375" s="12" t="n">
        <v>0.0507096633636098</v>
      </c>
      <c r="I375" s="10" t="inlineStr">
        <is>
          <t>catch_composition</t>
        </is>
      </c>
      <c r="J375" s="13" t="inlineStr">
        <is>
          <t>low</t>
        </is>
      </c>
      <c r="K375" s="10" t="inlineStr">
        <is>
          <t>composite_split</t>
        </is>
      </c>
      <c r="L375" s="11" t="inlineStr">
        <is>
          <t>Same medium-demersal catch class as Marine fishes not identified; broad coastal and shelf guilds, excluding named single stocks and offshore/bathyal pools.</t>
        </is>
      </c>
      <c r="M375" s="10" t="n">
        <v>672.39</v>
      </c>
    </row>
    <row r="376" ht="36" customHeight="1">
      <c r="A376" s="10" t="inlineStr">
        <is>
          <t>LME_028</t>
        </is>
      </c>
      <c r="B376" s="11" t="inlineStr">
        <is>
          <t>28_646_Guinea_(1998)</t>
        </is>
      </c>
      <c r="C376" s="11" t="inlineStr">
        <is>
          <t>Marine finfishes not identified</t>
        </is>
      </c>
      <c r="D376" s="10" t="inlineStr">
        <is>
          <t>Finfishes</t>
        </is>
      </c>
      <c r="E376" s="10" t="inlineStr">
        <is>
          <t>Medium demersals (30 - 89 cm)</t>
        </is>
      </c>
      <c r="F376" s="10" t="inlineStr">
        <is>
          <t>Other fishes &amp; inverts</t>
        </is>
      </c>
      <c r="G376" s="11" t="inlineStr">
        <is>
          <t>Côtier S inv</t>
        </is>
      </c>
      <c r="H376" s="12" t="n">
        <v>0.2643456221628991</v>
      </c>
      <c r="I376" s="10" t="inlineStr">
        <is>
          <t>catch_composition</t>
        </is>
      </c>
      <c r="J376" s="13" t="inlineStr">
        <is>
          <t>low</t>
        </is>
      </c>
      <c r="K376" s="10" t="inlineStr">
        <is>
          <t>composite_split</t>
        </is>
      </c>
      <c r="L376" s="11" t="inlineStr">
        <is>
          <t>Same medium-demersal catch class as Marine fishes not identified; broad coastal and shelf guilds, excluding named single stocks and offshore/bathyal pools.</t>
        </is>
      </c>
      <c r="M376" s="10" t="n">
        <v>672.39</v>
      </c>
    </row>
    <row r="377" ht="36" customHeight="1">
      <c r="A377" s="10" t="inlineStr">
        <is>
          <t>LME_028</t>
        </is>
      </c>
      <c r="B377" s="11" t="inlineStr">
        <is>
          <t>28_646_Guinea_(1998)</t>
        </is>
      </c>
      <c r="C377" s="11" t="inlineStr">
        <is>
          <t>Marine finfishes not identified</t>
        </is>
      </c>
      <c r="D377" s="10" t="inlineStr">
        <is>
          <t>Finfishes</t>
        </is>
      </c>
      <c r="E377" s="10" t="inlineStr">
        <is>
          <t>Medium demersals (30 - 89 cm)</t>
        </is>
      </c>
      <c r="F377" s="10" t="inlineStr">
        <is>
          <t>Other fishes &amp; inverts</t>
        </is>
      </c>
      <c r="G377" s="11" t="inlineStr">
        <is>
          <t>Dem L pred</t>
        </is>
      </c>
      <c r="H377" s="12" t="n">
        <v>0.04663860094435774</v>
      </c>
      <c r="I377" s="10" t="inlineStr">
        <is>
          <t>catch_composition</t>
        </is>
      </c>
      <c r="J377" s="13" t="inlineStr">
        <is>
          <t>low</t>
        </is>
      </c>
      <c r="K377" s="10" t="inlineStr">
        <is>
          <t>composite_split</t>
        </is>
      </c>
      <c r="L377" s="11" t="inlineStr">
        <is>
          <t>Same medium-demersal catch class as Marine fishes not identified; broad coastal and shelf guilds, excluding named single stocks and offshore/bathyal pools.</t>
        </is>
      </c>
      <c r="M377" s="10" t="n">
        <v>672.39</v>
      </c>
    </row>
    <row r="378" ht="36" customHeight="1">
      <c r="A378" s="10" t="inlineStr">
        <is>
          <t>LME_028</t>
        </is>
      </c>
      <c r="B378" s="11" t="inlineStr">
        <is>
          <t>28_646_Guinea_(1998)</t>
        </is>
      </c>
      <c r="C378" s="11" t="inlineStr">
        <is>
          <t>Marine finfishes not identified</t>
        </is>
      </c>
      <c r="D378" s="10" t="inlineStr">
        <is>
          <t>Finfishes</t>
        </is>
      </c>
      <c r="E378" s="10" t="inlineStr">
        <is>
          <t>Medium demersals (30 - 89 cm)</t>
        </is>
      </c>
      <c r="F378" s="10" t="inlineStr">
        <is>
          <t>Other fishes &amp; inverts</t>
        </is>
      </c>
      <c r="G378" s="11" t="inlineStr">
        <is>
          <t>Dem L inv</t>
        </is>
      </c>
      <c r="H378" s="12" t="n">
        <v>0.006216712433041634</v>
      </c>
      <c r="I378" s="10" t="inlineStr">
        <is>
          <t>catch_composition</t>
        </is>
      </c>
      <c r="J378" s="13" t="inlineStr">
        <is>
          <t>low</t>
        </is>
      </c>
      <c r="K378" s="10" t="inlineStr">
        <is>
          <t>composite_split</t>
        </is>
      </c>
      <c r="L378" s="11" t="inlineStr">
        <is>
          <t>Same medium-demersal catch class as Marine fishes not identified; broad coastal and shelf guilds, excluding named single stocks and offshore/bathyal pools.</t>
        </is>
      </c>
      <c r="M378" s="10" t="n">
        <v>672.39</v>
      </c>
    </row>
    <row r="379" ht="36" customHeight="1">
      <c r="A379" s="10" t="inlineStr">
        <is>
          <t>LME_028</t>
        </is>
      </c>
      <c r="B379" s="11" t="inlineStr">
        <is>
          <t>28_646_Guinea_(1998)</t>
        </is>
      </c>
      <c r="C379" s="11" t="inlineStr">
        <is>
          <t>Marine finfishes not identified</t>
        </is>
      </c>
      <c r="D379" s="10" t="inlineStr">
        <is>
          <t>Finfishes</t>
        </is>
      </c>
      <c r="E379" s="10" t="inlineStr">
        <is>
          <t>Medium demersals (30 - 89 cm)</t>
        </is>
      </c>
      <c r="F379" s="10" t="inlineStr">
        <is>
          <t>Other fishes &amp; inverts</t>
        </is>
      </c>
      <c r="G379" s="11" t="inlineStr">
        <is>
          <t>Dem M pred</t>
        </is>
      </c>
      <c r="H379" s="12" t="n">
        <v>0.01178903201963329</v>
      </c>
      <c r="I379" s="10" t="inlineStr">
        <is>
          <t>catch_composition</t>
        </is>
      </c>
      <c r="J379" s="13" t="inlineStr">
        <is>
          <t>low</t>
        </is>
      </c>
      <c r="K379" s="10" t="inlineStr">
        <is>
          <t>composite_split</t>
        </is>
      </c>
      <c r="L379" s="11" t="inlineStr">
        <is>
          <t>Same medium-demersal catch class as Marine fishes not identified; broad coastal and shelf guilds, excluding named single stocks and offshore/bathyal pools.</t>
        </is>
      </c>
      <c r="M379" s="10" t="n">
        <v>672.39</v>
      </c>
    </row>
    <row r="380" ht="36" customHeight="1">
      <c r="A380" s="10" t="inlineStr">
        <is>
          <t>LME_028</t>
        </is>
      </c>
      <c r="B380" s="11" t="inlineStr">
        <is>
          <t>28_646_Guinea_(1998)</t>
        </is>
      </c>
      <c r="C380" s="11" t="inlineStr">
        <is>
          <t>Marine finfishes not identified</t>
        </is>
      </c>
      <c r="D380" s="10" t="inlineStr">
        <is>
          <t>Finfishes</t>
        </is>
      </c>
      <c r="E380" s="10" t="inlineStr">
        <is>
          <t>Medium demersals (30 - 89 cm)</t>
        </is>
      </c>
      <c r="F380" s="10" t="inlineStr">
        <is>
          <t>Other fishes &amp; inverts</t>
        </is>
      </c>
      <c r="G380" s="11" t="inlineStr">
        <is>
          <t>Dem M inv</t>
        </is>
      </c>
      <c r="H380" s="12" t="n">
        <v>0.1489092433865384</v>
      </c>
      <c r="I380" s="10" t="inlineStr">
        <is>
          <t>catch_composition</t>
        </is>
      </c>
      <c r="J380" s="13" t="inlineStr">
        <is>
          <t>low</t>
        </is>
      </c>
      <c r="K380" s="10" t="inlineStr">
        <is>
          <t>composite_split</t>
        </is>
      </c>
      <c r="L380" s="11" t="inlineStr">
        <is>
          <t>Same medium-demersal catch class as Marine fishes not identified; broad coastal and shelf guilds, excluding named single stocks and offshore/bathyal pools.</t>
        </is>
      </c>
      <c r="M380" s="10" t="n">
        <v>672.39</v>
      </c>
    </row>
    <row r="381" ht="36" customHeight="1">
      <c r="A381" s="10" t="inlineStr">
        <is>
          <t>LME_028</t>
        </is>
      </c>
      <c r="B381" s="11" t="inlineStr">
        <is>
          <t>28_646_Guinea_(1998)</t>
        </is>
      </c>
      <c r="C381" s="11" t="inlineStr">
        <is>
          <t>Marine finfishes not identified</t>
        </is>
      </c>
      <c r="D381" s="10" t="inlineStr">
        <is>
          <t>Finfishes</t>
        </is>
      </c>
      <c r="E381" s="10" t="inlineStr">
        <is>
          <t>Medium demersals (30 - 89 cm)</t>
        </is>
      </c>
      <c r="F381" s="10" t="inlineStr">
        <is>
          <t>Other fishes &amp; inverts</t>
        </is>
      </c>
      <c r="G381" s="11" t="inlineStr">
        <is>
          <t>Dem S pred</t>
        </is>
      </c>
      <c r="H381" s="12" t="n">
        <v>2.419210550778104e-05</v>
      </c>
      <c r="I381" s="10" t="inlineStr">
        <is>
          <t>catch_composition</t>
        </is>
      </c>
      <c r="J381" s="13" t="inlineStr">
        <is>
          <t>low</t>
        </is>
      </c>
      <c r="K381" s="10" t="inlineStr">
        <is>
          <t>composite_split</t>
        </is>
      </c>
      <c r="L381" s="11" t="inlineStr">
        <is>
          <t>Same medium-demersal catch class as Marine fishes not identified; broad coastal and shelf guilds, excluding named single stocks and offshore/bathyal pools.</t>
        </is>
      </c>
      <c r="M381" s="10" t="n">
        <v>672.39</v>
      </c>
    </row>
    <row r="382" ht="36" customHeight="1">
      <c r="A382" s="10" t="inlineStr">
        <is>
          <t>LME_028</t>
        </is>
      </c>
      <c r="B382" s="11" t="inlineStr">
        <is>
          <t>28_646_Guinea_(1998)</t>
        </is>
      </c>
      <c r="C382" s="11" t="inlineStr">
        <is>
          <t>Marine finfishes not identified</t>
        </is>
      </c>
      <c r="D382" s="10" t="inlineStr">
        <is>
          <t>Finfishes</t>
        </is>
      </c>
      <c r="E382" s="10" t="inlineStr">
        <is>
          <t>Medium demersals (30 - 89 cm)</t>
        </is>
      </c>
      <c r="F382" s="10" t="inlineStr">
        <is>
          <t>Other fishes &amp; inverts</t>
        </is>
      </c>
      <c r="G382" s="11" t="inlineStr">
        <is>
          <t>Dem S inv</t>
        </is>
      </c>
      <c r="H382" s="12" t="n">
        <v>0.0008378250982126461</v>
      </c>
      <c r="I382" s="10" t="inlineStr">
        <is>
          <t>catch_composition</t>
        </is>
      </c>
      <c r="J382" s="13" t="inlineStr">
        <is>
          <t>low</t>
        </is>
      </c>
      <c r="K382" s="10" t="inlineStr">
        <is>
          <t>composite_split</t>
        </is>
      </c>
      <c r="L382" s="11" t="inlineStr">
        <is>
          <t>Same medium-demersal catch class as Marine fishes not identified; broad coastal and shelf guilds, excluding named single stocks and offshore/bathyal pools.</t>
        </is>
      </c>
      <c r="M382" s="10" t="n">
        <v>672.39</v>
      </c>
    </row>
    <row r="383" ht="51" customHeight="1">
      <c r="A383" s="10" t="inlineStr">
        <is>
          <t>LME_028</t>
        </is>
      </c>
      <c r="B383" s="11" t="inlineStr">
        <is>
          <t>28_646_Guinea_(1998)</t>
        </is>
      </c>
      <c r="C383" s="11" t="inlineStr">
        <is>
          <t>Holocentrus adscensionis</t>
        </is>
      </c>
      <c r="D383" s="10" t="inlineStr">
        <is>
          <t>Squirrelfish</t>
        </is>
      </c>
      <c r="E383" s="10" t="inlineStr">
        <is>
          <t>Medium reef assoc. fish (30 - 89 cm)</t>
        </is>
      </c>
      <c r="F383" s="10" t="inlineStr">
        <is>
          <t>Other fishes &amp; inverts</t>
        </is>
      </c>
      <c r="G383" s="11" t="inlineStr">
        <is>
          <t>Unresolved</t>
        </is>
      </c>
      <c r="H383" s="12" t="n"/>
      <c r="I383" s="10" t="inlineStr"/>
      <c r="J383" s="16" t="inlineStr">
        <is>
          <t>unresolved</t>
        </is>
      </c>
      <c r="K383" s="10" t="inlineStr">
        <is>
          <t>none</t>
        </is>
      </c>
      <c r="L38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83" s="10" t="n">
        <v>671.748</v>
      </c>
    </row>
    <row r="384" ht="51" customHeight="1">
      <c r="A384" s="10" t="inlineStr">
        <is>
          <t>LME_028</t>
        </is>
      </c>
      <c r="B384" s="11" t="inlineStr">
        <is>
          <t>28_646_Guinea_(1998)</t>
        </is>
      </c>
      <c r="C384" s="11" t="inlineStr">
        <is>
          <t>Centrophorus granulosus</t>
        </is>
      </c>
      <c r="D384" s="10" t="inlineStr">
        <is>
          <t>Gulper shark</t>
        </is>
      </c>
      <c r="E384" s="10" t="inlineStr">
        <is>
          <t>Large sharks (&gt;=90 cm)</t>
        </is>
      </c>
      <c r="F384" s="10" t="inlineStr">
        <is>
          <t>Sharks &amp; rays</t>
        </is>
      </c>
      <c r="G384" s="11" t="inlineStr">
        <is>
          <t>Unresolved</t>
        </is>
      </c>
      <c r="H384" s="12" t="n"/>
      <c r="I384" s="10" t="inlineStr"/>
      <c r="J384" s="16" t="inlineStr">
        <is>
          <t>unresolved</t>
        </is>
      </c>
      <c r="K384" s="10" t="inlineStr">
        <is>
          <t>none</t>
        </is>
      </c>
      <c r="L38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84" s="10" t="n">
        <v>566.607</v>
      </c>
    </row>
    <row r="385" ht="51" customHeight="1">
      <c r="A385" s="10" t="inlineStr">
        <is>
          <t>LME_028</t>
        </is>
      </c>
      <c r="B385" s="11" t="inlineStr">
        <is>
          <t>28_646_Guinea_(1998)</t>
        </is>
      </c>
      <c r="C385" s="11" t="inlineStr">
        <is>
          <t>Galeorhinus galeus</t>
        </is>
      </c>
      <c r="D385" s="10" t="inlineStr">
        <is>
          <t>Tope shark</t>
        </is>
      </c>
      <c r="E385" s="10" t="inlineStr">
        <is>
          <t>Large sharks (&gt;=90 cm)</t>
        </is>
      </c>
      <c r="F385" s="10" t="inlineStr">
        <is>
          <t>Sharks &amp; rays</t>
        </is>
      </c>
      <c r="G385" s="11" t="inlineStr">
        <is>
          <t>Unresolved</t>
        </is>
      </c>
      <c r="H385" s="12" t="n"/>
      <c r="I385" s="10" t="inlineStr"/>
      <c r="J385" s="16" t="inlineStr">
        <is>
          <t>unresolved</t>
        </is>
      </c>
      <c r="K385" s="10" t="inlineStr">
        <is>
          <t>none</t>
        </is>
      </c>
      <c r="L38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85" s="10" t="n">
        <v>552.307</v>
      </c>
    </row>
    <row r="386" ht="36" customHeight="1">
      <c r="A386" s="10" t="inlineStr">
        <is>
          <t>LME_028</t>
        </is>
      </c>
      <c r="B386" s="11" t="inlineStr">
        <is>
          <t>28_646_Guinea_(1998)</t>
        </is>
      </c>
      <c r="C386" s="11" t="inlineStr">
        <is>
          <t>Gymnothorax</t>
        </is>
      </c>
      <c r="D386" s="10" t="inlineStr">
        <is>
          <t>Morays</t>
        </is>
      </c>
      <c r="E386" s="10" t="inlineStr">
        <is>
          <t>Large reef assoc. fish (&gt;=90 cm)</t>
        </is>
      </c>
      <c r="F386" s="10" t="inlineStr">
        <is>
          <t>Other fishes &amp; inverts</t>
        </is>
      </c>
      <c r="G386" s="11" t="inlineStr">
        <is>
          <t>Côtier M pred</t>
        </is>
      </c>
      <c r="H386" s="12" t="n">
        <v>1</v>
      </c>
      <c r="I386" s="10" t="inlineStr">
        <is>
          <t>single</t>
        </is>
      </c>
      <c r="J386" s="15" t="inlineStr">
        <is>
          <t>medium</t>
        </is>
      </c>
      <c r="K386" s="10" t="inlineStr">
        <is>
          <t>taxonomic_containment</t>
        </is>
      </c>
      <c r="L386" s="11" t="inlineStr">
        <is>
          <t>Genus-level catch spans exactly the Table 6 groups containing its documented species. No habitat class overrides those placements.</t>
        </is>
      </c>
      <c r="M386" s="10" t="n">
        <v>538.797</v>
      </c>
    </row>
    <row r="387" ht="51" customHeight="1">
      <c r="A387" s="10" t="inlineStr">
        <is>
          <t>LME_028</t>
        </is>
      </c>
      <c r="B387" s="11" t="inlineStr">
        <is>
          <t>28_646_Guinea_(1998)</t>
        </is>
      </c>
      <c r="C387" s="11" t="inlineStr">
        <is>
          <t>Echeneidae</t>
        </is>
      </c>
      <c r="D387" s="10" t="inlineStr">
        <is>
          <t>Remoras</t>
        </is>
      </c>
      <c r="E387" s="10" t="inlineStr">
        <is>
          <t>Large pelagics (&gt;=90 cm)</t>
        </is>
      </c>
      <c r="F387" s="10" t="inlineStr">
        <is>
          <t>Perch-likes</t>
        </is>
      </c>
      <c r="G387" s="11" t="inlineStr">
        <is>
          <t>Dem L inv</t>
        </is>
      </c>
      <c r="H387" s="12" t="n">
        <v>1</v>
      </c>
      <c r="I387" s="10" t="inlineStr">
        <is>
          <t>single</t>
        </is>
      </c>
      <c r="J387" s="15" t="inlineStr">
        <is>
          <t>medium</t>
        </is>
      </c>
      <c r="K387" s="10" t="inlineStr">
        <is>
          <t>taxonomic_containment</t>
        </is>
      </c>
      <c r="L387" s="11" t="inlineStr">
        <is>
          <t>Family catch spans the union of all Table 6 member groups belonging to Echeneidae under WoRMS. Every candidate is supported by a source member; source placement outranks SAU habitat class.</t>
        </is>
      </c>
      <c r="M387" s="10" t="n">
        <v>529.242</v>
      </c>
    </row>
    <row r="388" ht="51" customHeight="1">
      <c r="A388" s="10" t="inlineStr">
        <is>
          <t>LME_028</t>
        </is>
      </c>
      <c r="B388" s="11" t="inlineStr">
        <is>
          <t>28_646_Guinea_(1998)</t>
        </is>
      </c>
      <c r="C388" s="11" t="inlineStr">
        <is>
          <t>Dicentrarchus punctatus</t>
        </is>
      </c>
      <c r="D388" s="10" t="inlineStr">
        <is>
          <t>Spotted seabass</t>
        </is>
      </c>
      <c r="E388" s="10" t="inlineStr">
        <is>
          <t>Medium pelagics (30 - 89 cm)</t>
        </is>
      </c>
      <c r="F388" s="10" t="inlineStr">
        <is>
          <t>Perch-likes</t>
        </is>
      </c>
      <c r="G388" s="11" t="inlineStr">
        <is>
          <t>Unresolved</t>
        </is>
      </c>
      <c r="H388" s="12" t="n"/>
      <c r="I388" s="10" t="inlineStr"/>
      <c r="J388" s="16" t="inlineStr">
        <is>
          <t>unresolved</t>
        </is>
      </c>
      <c r="K388" s="10" t="inlineStr">
        <is>
          <t>none</t>
        </is>
      </c>
      <c r="L38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88" s="10" t="n">
        <v>528.553</v>
      </c>
    </row>
    <row r="389" ht="36" customHeight="1">
      <c r="A389" s="10" t="inlineStr">
        <is>
          <t>LME_028</t>
        </is>
      </c>
      <c r="B389" s="11" t="inlineStr">
        <is>
          <t>28_646_Guinea_(1998)</t>
        </is>
      </c>
      <c r="C389" s="11" t="inlineStr">
        <is>
          <t>Caranx lugubris</t>
        </is>
      </c>
      <c r="D389" s="10" t="inlineStr">
        <is>
          <t>Black jack</t>
        </is>
      </c>
      <c r="E389" s="10" t="inlineStr">
        <is>
          <t>Large benthopelagics (&gt;=90 cm)</t>
        </is>
      </c>
      <c r="F389" s="10" t="inlineStr">
        <is>
          <t>Perch-likes</t>
        </is>
      </c>
      <c r="G389" s="11" t="inlineStr">
        <is>
          <t>Côtier pel L pred</t>
        </is>
      </c>
      <c r="H389" s="12" t="n">
        <v>1</v>
      </c>
      <c r="I389" s="10" t="inlineStr">
        <is>
          <t>single</t>
        </is>
      </c>
      <c r="J389" s="15" t="inlineStr">
        <is>
          <t>medium</t>
        </is>
      </c>
      <c r="K389" s="10" t="inlineStr">
        <is>
          <t>analogue</t>
        </is>
      </c>
      <c r="L389" s="11" t="inlineStr">
        <is>
          <t>Species not individually listed: its genus has one documented Table 6 group, supported by the catch's Large benthopelagics (&gt;=90 cm) class. Congeneric extension is inference.</t>
        </is>
      </c>
      <c r="M389" s="10" t="n">
        <v>523.231</v>
      </c>
    </row>
    <row r="390" ht="36" customHeight="1">
      <c r="A390" s="10" t="inlineStr">
        <is>
          <t>LME_028</t>
        </is>
      </c>
      <c r="B390" s="11" t="inlineStr">
        <is>
          <t>28_646_Guinea_(1998)</t>
        </is>
      </c>
      <c r="C390" s="11" t="inlineStr">
        <is>
          <t>Holothuriidae</t>
        </is>
      </c>
      <c r="D390" s="10" t="inlineStr">
        <is>
          <t>Fleshy sea cucumbers</t>
        </is>
      </c>
      <c r="E390" s="10" t="inlineStr">
        <is>
          <t>Other demersal invertebrates</t>
        </is>
      </c>
      <c r="F390" s="10" t="inlineStr">
        <is>
          <t>Other fishes &amp; inverts</t>
        </is>
      </c>
      <c r="G390" s="11" t="inlineStr">
        <is>
          <t>Benthos</t>
        </is>
      </c>
      <c r="H390" s="12" t="n">
        <v>1</v>
      </c>
      <c r="I390" s="10" t="inlineStr">
        <is>
          <t>single</t>
        </is>
      </c>
      <c r="J390" s="14" t="inlineStr">
        <is>
          <t>high</t>
        </is>
      </c>
      <c r="K390" s="10" t="inlineStr">
        <is>
          <t>taxonomic_containment</t>
        </is>
      </c>
      <c r="L390" s="11" t="inlineStr">
        <is>
          <t>Holothuriid sea cucumbers are echinoderms, explicitly included in the Benthos definition on source p.126.</t>
        </is>
      </c>
      <c r="M390" s="10" t="n">
        <v>461.929</v>
      </c>
    </row>
    <row r="391" ht="51" customHeight="1">
      <c r="A391" s="10" t="inlineStr">
        <is>
          <t>LME_028</t>
        </is>
      </c>
      <c r="B391" s="11" t="inlineStr">
        <is>
          <t>28_646_Guinea_(1998)</t>
        </is>
      </c>
      <c r="C391" s="11" t="inlineStr">
        <is>
          <t>Centrophorus squamosus</t>
        </is>
      </c>
      <c r="D391" s="10" t="inlineStr">
        <is>
          <t>Leafscale gulper shark</t>
        </is>
      </c>
      <c r="E391" s="10" t="inlineStr">
        <is>
          <t>Large sharks (&gt;=90 cm)</t>
        </is>
      </c>
      <c r="F391" s="10" t="inlineStr">
        <is>
          <t>Sharks &amp; rays</t>
        </is>
      </c>
      <c r="G391" s="11" t="inlineStr">
        <is>
          <t>Unresolved</t>
        </is>
      </c>
      <c r="H391" s="12" t="n"/>
      <c r="I391" s="10" t="inlineStr"/>
      <c r="J391" s="16" t="inlineStr">
        <is>
          <t>unresolved</t>
        </is>
      </c>
      <c r="K391" s="10" t="inlineStr">
        <is>
          <t>none</t>
        </is>
      </c>
      <c r="L39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1" s="10" t="n">
        <v>386.572</v>
      </c>
    </row>
    <row r="392" ht="36" customHeight="1">
      <c r="A392" s="10" t="inlineStr">
        <is>
          <t>LME_028</t>
        </is>
      </c>
      <c r="B392" s="11" t="inlineStr">
        <is>
          <t>28_646_Guinea_(1998)</t>
        </is>
      </c>
      <c r="C392" s="11" t="inlineStr">
        <is>
          <t>Sarpa salpa</t>
        </is>
      </c>
      <c r="D392" s="10" t="inlineStr">
        <is>
          <t>Salema</t>
        </is>
      </c>
      <c r="E392" s="10" t="inlineStr">
        <is>
          <t>Medium benthopelagics (30 - 89 cm)</t>
        </is>
      </c>
      <c r="F392" s="10" t="inlineStr">
        <is>
          <t>Perch-likes</t>
        </is>
      </c>
      <c r="G392" s="11" t="inlineStr">
        <is>
          <t>Mulets</t>
        </is>
      </c>
      <c r="H392" s="12" t="n">
        <v>1</v>
      </c>
      <c r="I392" s="10" t="inlineStr">
        <is>
          <t>single</t>
        </is>
      </c>
      <c r="J392" s="14" t="inlineStr">
        <is>
          <t>high</t>
        </is>
      </c>
      <c r="K392" s="10" t="inlineStr">
        <is>
          <t>explicit_member</t>
        </is>
      </c>
      <c r="L392" s="11" t="inlineStr">
        <is>
          <t>Guénette &amp; Diallo 2004 Table 6 p.131 explicitly lists this taxon in the named group(s); printed and accepted names checked against WoRMS.</t>
        </is>
      </c>
      <c r="M392" s="10" t="n">
        <v>370.54</v>
      </c>
    </row>
    <row r="393" ht="36" customHeight="1">
      <c r="A393" s="10" t="inlineStr">
        <is>
          <t>LME_028</t>
        </is>
      </c>
      <c r="B393" s="11" t="inlineStr">
        <is>
          <t>28_646_Guinea_(1998)</t>
        </is>
      </c>
      <c r="C393" s="11" t="inlineStr">
        <is>
          <t>Chaceon maritae</t>
        </is>
      </c>
      <c r="D393" s="10" t="inlineStr">
        <is>
          <t>West African geryon</t>
        </is>
      </c>
      <c r="E393" s="10" t="inlineStr">
        <is>
          <t>Lobsters, crabs</t>
        </is>
      </c>
      <c r="F393" s="10" t="inlineStr">
        <is>
          <t>Crustaceans</t>
        </is>
      </c>
      <c r="G393" s="11" t="inlineStr">
        <is>
          <t>Crustacés</t>
        </is>
      </c>
      <c r="H393" s="12" t="n">
        <v>1</v>
      </c>
      <c r="I393" s="10" t="inlineStr">
        <is>
          <t>single</t>
        </is>
      </c>
      <c r="J393" s="14" t="inlineStr">
        <is>
          <t>high</t>
        </is>
      </c>
      <c r="K393" s="10" t="inlineStr">
        <is>
          <t>taxonomic_containment</t>
        </is>
      </c>
      <c r="L393" s="11" t="inlineStr">
        <is>
          <t>WoRMS crustacean taxonomy and SAU shrimp/crab/lobster class agree with the source Crustacés definition on p.125.</t>
        </is>
      </c>
      <c r="M393" s="10" t="n">
        <v>358.231</v>
      </c>
    </row>
    <row r="394" ht="36" customHeight="1">
      <c r="A394" s="10" t="inlineStr">
        <is>
          <t>LME_028</t>
        </is>
      </c>
      <c r="B394" s="11" t="inlineStr">
        <is>
          <t>28_646_Guinea_(1998)</t>
        </is>
      </c>
      <c r="C394" s="11" t="inlineStr">
        <is>
          <t>Isurus paucus</t>
        </is>
      </c>
      <c r="D394" s="10" t="inlineStr">
        <is>
          <t>Longfin mako</t>
        </is>
      </c>
      <c r="E394" s="10" t="inlineStr">
        <is>
          <t>Large sharks (&gt;=90 cm)</t>
        </is>
      </c>
      <c r="F394" s="10" t="inlineStr">
        <is>
          <t>Sharks &amp; rays</t>
        </is>
      </c>
      <c r="G394" s="11" t="inlineStr">
        <is>
          <t>Sélaciens L prof</t>
        </is>
      </c>
      <c r="H394" s="12" t="n">
        <v>1</v>
      </c>
      <c r="I394" s="10" t="inlineStr">
        <is>
          <t>single</t>
        </is>
      </c>
      <c r="J394" s="15" t="inlineStr">
        <is>
          <t>medium</t>
        </is>
      </c>
      <c r="K394" s="10" t="inlineStr">
        <is>
          <t>analogue</t>
        </is>
      </c>
      <c r="L394" s="11" t="inlineStr">
        <is>
          <t>Species not individually listed: its genus has one documented Table 6 group, supported by the catch's Large sharks (&gt;=90 cm) class. Congeneric extension is inference.</t>
        </is>
      </c>
      <c r="M394" s="10" t="n">
        <v>347.986</v>
      </c>
    </row>
    <row r="395" ht="51" customHeight="1">
      <c r="A395" s="10" t="inlineStr">
        <is>
          <t>LME_028</t>
        </is>
      </c>
      <c r="B395" s="11" t="inlineStr">
        <is>
          <t>28_646_Guinea_(1998)</t>
        </is>
      </c>
      <c r="C395" s="11" t="inlineStr">
        <is>
          <t>Carcharodon carcharias</t>
        </is>
      </c>
      <c r="D395" s="10" t="inlineStr">
        <is>
          <t>Great white shark</t>
        </is>
      </c>
      <c r="E395" s="10" t="inlineStr">
        <is>
          <t>Large sharks (&gt;=90 cm)</t>
        </is>
      </c>
      <c r="F395" s="10" t="inlineStr">
        <is>
          <t>Sharks &amp; rays</t>
        </is>
      </c>
      <c r="G395" s="11" t="inlineStr">
        <is>
          <t>Unresolved</t>
        </is>
      </c>
      <c r="H395" s="12" t="n"/>
      <c r="I395" s="10" t="inlineStr"/>
      <c r="J395" s="16" t="inlineStr">
        <is>
          <t>unresolved</t>
        </is>
      </c>
      <c r="K395" s="10" t="inlineStr">
        <is>
          <t>none</t>
        </is>
      </c>
      <c r="L39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5" s="10" t="n">
        <v>342.22</v>
      </c>
    </row>
    <row r="396" ht="51" customHeight="1">
      <c r="A396" s="10" t="inlineStr">
        <is>
          <t>LME_028</t>
        </is>
      </c>
      <c r="B396" s="11" t="inlineStr">
        <is>
          <t>28_646_Guinea_(1998)</t>
        </is>
      </c>
      <c r="C396" s="11" t="inlineStr">
        <is>
          <t>Ruvettus pretiosus</t>
        </is>
      </c>
      <c r="D396" s="10" t="inlineStr">
        <is>
          <t>Oilfish</t>
        </is>
      </c>
      <c r="E396" s="10" t="inlineStr">
        <is>
          <t>Large benthopelagics (&gt;=90 cm)</t>
        </is>
      </c>
      <c r="F396" s="10" t="inlineStr">
        <is>
          <t>Perch-likes</t>
        </is>
      </c>
      <c r="G396" s="11" t="inlineStr">
        <is>
          <t>Unresolved</t>
        </is>
      </c>
      <c r="H396" s="12" t="n"/>
      <c r="I396" s="10" t="inlineStr"/>
      <c r="J396" s="16" t="inlineStr">
        <is>
          <t>unresolved</t>
        </is>
      </c>
      <c r="K396" s="10" t="inlineStr">
        <is>
          <t>none</t>
        </is>
      </c>
      <c r="L396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96" s="10" t="n">
        <v>332.463</v>
      </c>
    </row>
    <row r="397" ht="51" customHeight="1">
      <c r="A397" s="10" t="inlineStr">
        <is>
          <t>LME_028</t>
        </is>
      </c>
      <c r="B397" s="11" t="inlineStr">
        <is>
          <t>28_646_Guinea_(1998)</t>
        </is>
      </c>
      <c r="C397" s="11" t="inlineStr">
        <is>
          <t>Centroscymnus coelolepis</t>
        </is>
      </c>
      <c r="D397" s="10" t="inlineStr">
        <is>
          <t>Portuguese dogfish</t>
        </is>
      </c>
      <c r="E397" s="10" t="inlineStr">
        <is>
          <t>Large sharks (&gt;=90 cm)</t>
        </is>
      </c>
      <c r="F397" s="10" t="inlineStr">
        <is>
          <t>Sharks &amp; rays</t>
        </is>
      </c>
      <c r="G397" s="11" t="inlineStr">
        <is>
          <t>Unresolved</t>
        </is>
      </c>
      <c r="H397" s="12" t="n"/>
      <c r="I397" s="10" t="inlineStr"/>
      <c r="J397" s="16" t="inlineStr">
        <is>
          <t>unresolved</t>
        </is>
      </c>
      <c r="K397" s="10" t="inlineStr">
        <is>
          <t>none</t>
        </is>
      </c>
      <c r="L397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7" s="10" t="n">
        <v>330.597</v>
      </c>
    </row>
    <row r="398" ht="36" customHeight="1">
      <c r="A398" s="10" t="inlineStr">
        <is>
          <t>LME_028</t>
        </is>
      </c>
      <c r="B398" s="11" t="inlineStr">
        <is>
          <t>28_646_Guinea_(1998)</t>
        </is>
      </c>
      <c r="C398" s="11" t="inlineStr">
        <is>
          <t>Mustelus</t>
        </is>
      </c>
      <c r="D398" s="10" t="inlineStr">
        <is>
          <t>Smoothhounds</t>
        </is>
      </c>
      <c r="E398" s="10" t="inlineStr">
        <is>
          <t>Large sharks (&gt;=90 cm)</t>
        </is>
      </c>
      <c r="F398" s="10" t="inlineStr">
        <is>
          <t>Sharks &amp; rays</t>
        </is>
      </c>
      <c r="G398" s="11" t="inlineStr">
        <is>
          <t>Sélaciens L côtiers</t>
        </is>
      </c>
      <c r="H398" s="12" t="n">
        <v>1</v>
      </c>
      <c r="I398" s="10" t="inlineStr">
        <is>
          <t>single</t>
        </is>
      </c>
      <c r="J398" s="15" t="inlineStr">
        <is>
          <t>medium</t>
        </is>
      </c>
      <c r="K398" s="10" t="inlineStr">
        <is>
          <t>taxonomic_containment</t>
        </is>
      </c>
      <c r="L398" s="11" t="inlineStr">
        <is>
          <t>Genus-level catch spans exactly the Table 6 groups containing its documented species. No habitat class overrides those placements.</t>
        </is>
      </c>
      <c r="M398" s="10" t="n">
        <v>317.865</v>
      </c>
    </row>
    <row r="399" ht="36" customHeight="1">
      <c r="A399" s="10" t="inlineStr">
        <is>
          <t>LME_028</t>
        </is>
      </c>
      <c r="B399" s="11" t="inlineStr">
        <is>
          <t>28_646_Guinea_(1998)</t>
        </is>
      </c>
      <c r="C399" s="11" t="inlineStr">
        <is>
          <t>Arnoglossus laterna</t>
        </is>
      </c>
      <c r="D399" s="10" t="inlineStr">
        <is>
          <t>Mediterranean scaldfish</t>
        </is>
      </c>
      <c r="E399" s="10" t="inlineStr">
        <is>
          <t>Small to medium flatfishes (&lt;90 cm)</t>
        </is>
      </c>
      <c r="F399" s="10" t="inlineStr">
        <is>
          <t>Flatfishes</t>
        </is>
      </c>
      <c r="G399" s="11" t="inlineStr">
        <is>
          <t>Dem S pred</t>
        </is>
      </c>
      <c r="H399" s="12" t="n">
        <v>1</v>
      </c>
      <c r="I399" s="10" t="inlineStr">
        <is>
          <t>single</t>
        </is>
      </c>
      <c r="J399" s="15" t="inlineStr">
        <is>
          <t>medium</t>
        </is>
      </c>
      <c r="K399" s="10" t="inlineStr">
        <is>
          <t>analogue</t>
        </is>
      </c>
      <c r="L399" s="11" t="inlineStr">
        <is>
          <t>Species not individually listed: its genus has one documented Table 6 group, supported by the catch's Small to medium flatfishes (&lt;90 cm) class. Congeneric extension is inference.</t>
        </is>
      </c>
      <c r="M399" s="10" t="n">
        <v>310.866</v>
      </c>
    </row>
    <row r="400" ht="51" customHeight="1">
      <c r="A400" s="10" t="inlineStr">
        <is>
          <t>LME_028</t>
        </is>
      </c>
      <c r="B400" s="11" t="inlineStr">
        <is>
          <t>28_646_Guinea_(1998)</t>
        </is>
      </c>
      <c r="C400" s="11" t="inlineStr">
        <is>
          <t>Carcharhinus amboinensis</t>
        </is>
      </c>
      <c r="D400" s="10" t="inlineStr">
        <is>
          <t>Pigeye shark</t>
        </is>
      </c>
      <c r="E400" s="10" t="inlineStr">
        <is>
          <t>Large sharks (&gt;=90 cm)</t>
        </is>
      </c>
      <c r="F400" s="10" t="inlineStr">
        <is>
          <t>Sharks &amp; rays</t>
        </is>
      </c>
      <c r="G400" s="11" t="inlineStr">
        <is>
          <t>Unresolved</t>
        </is>
      </c>
      <c r="H400" s="12" t="n"/>
      <c r="I400" s="10" t="inlineStr"/>
      <c r="J400" s="16" t="inlineStr">
        <is>
          <t>unresolved</t>
        </is>
      </c>
      <c r="K400" s="10" t="inlineStr">
        <is>
          <t>none</t>
        </is>
      </c>
      <c r="L400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00" s="10" t="n">
        <v>300.31</v>
      </c>
    </row>
    <row r="401" ht="36" customHeight="1">
      <c r="A401" s="10" t="inlineStr">
        <is>
          <t>LME_028</t>
        </is>
      </c>
      <c r="B401" s="11" t="inlineStr">
        <is>
          <t>28_646_Guinea_(1998)</t>
        </is>
      </c>
      <c r="C401" s="11" t="inlineStr">
        <is>
          <t>Epinephelus caninus</t>
        </is>
      </c>
      <c r="D401" s="10" t="inlineStr">
        <is>
          <t>Dogtooth grouper</t>
        </is>
      </c>
      <c r="E401" s="10" t="inlineStr">
        <is>
          <t>Large demersals (&gt;=90 cm)</t>
        </is>
      </c>
      <c r="F401" s="10" t="inlineStr">
        <is>
          <t>Perch-likes</t>
        </is>
      </c>
      <c r="G401" s="11" t="inlineStr">
        <is>
          <t>Dem L pred</t>
        </is>
      </c>
      <c r="H401" s="12" t="n">
        <v>1</v>
      </c>
      <c r="I401" s="10" t="inlineStr">
        <is>
          <t>single</t>
        </is>
      </c>
      <c r="J401" s="14" t="inlineStr">
        <is>
          <t>high</t>
        </is>
      </c>
      <c r="K401" s="10" t="inlineStr">
        <is>
          <t>explicit_member</t>
        </is>
      </c>
      <c r="L401" s="11" t="inlineStr">
        <is>
          <t>Guénette &amp; Diallo 2004 Table 6 p.131 explicitly lists this taxon in the named group(s); printed and accepted names checked against WoRMS.</t>
        </is>
      </c>
      <c r="M401" s="10" t="n">
        <v>292.701</v>
      </c>
    </row>
    <row r="402" ht="51" customHeight="1">
      <c r="A402" s="10" t="inlineStr">
        <is>
          <t>LME_028</t>
        </is>
      </c>
      <c r="B402" s="11" t="inlineStr">
        <is>
          <t>28_646_Guinea_(1998)</t>
        </is>
      </c>
      <c r="C402" s="11" t="inlineStr">
        <is>
          <t>Beryx</t>
        </is>
      </c>
      <c r="D402" s="10" t="inlineStr">
        <is>
          <t>Alfonsinos</t>
        </is>
      </c>
      <c r="E402" s="10" t="inlineStr">
        <is>
          <t>Medium benthopelagics (30 - 89 cm)</t>
        </is>
      </c>
      <c r="F402" s="10" t="inlineStr">
        <is>
          <t>Other fishes &amp; inverts</t>
        </is>
      </c>
      <c r="G402" s="11" t="inlineStr">
        <is>
          <t>Unresolved</t>
        </is>
      </c>
      <c r="H402" s="12" t="n"/>
      <c r="I402" s="10" t="inlineStr"/>
      <c r="J402" s="16" t="inlineStr">
        <is>
          <t>unresolved</t>
        </is>
      </c>
      <c r="K402" s="10" t="inlineStr">
        <is>
          <t>none</t>
        </is>
      </c>
      <c r="L402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02" s="10" t="n">
        <v>257.635</v>
      </c>
    </row>
    <row r="403" ht="36" customHeight="1">
      <c r="A403" s="10" t="inlineStr">
        <is>
          <t>LME_028</t>
        </is>
      </c>
      <c r="B403" s="11" t="inlineStr">
        <is>
          <t>28_646_Guinea_(1998)</t>
        </is>
      </c>
      <c r="C403" s="11" t="inlineStr">
        <is>
          <t>Mustelus mustelus</t>
        </is>
      </c>
      <c r="D403" s="10" t="inlineStr">
        <is>
          <t>Smooth-hound</t>
        </is>
      </c>
      <c r="E403" s="10" t="inlineStr">
        <is>
          <t>Large sharks (&gt;=90 cm)</t>
        </is>
      </c>
      <c r="F403" s="10" t="inlineStr">
        <is>
          <t>Sharks &amp; rays</t>
        </is>
      </c>
      <c r="G403" s="11" t="inlineStr">
        <is>
          <t>Sélaciens L côtiers</t>
        </is>
      </c>
      <c r="H403" s="12" t="n">
        <v>1</v>
      </c>
      <c r="I403" s="10" t="inlineStr">
        <is>
          <t>single</t>
        </is>
      </c>
      <c r="J403" s="14" t="inlineStr">
        <is>
          <t>high</t>
        </is>
      </c>
      <c r="K403" s="10" t="inlineStr">
        <is>
          <t>explicit_member</t>
        </is>
      </c>
      <c r="L403" s="11" t="inlineStr">
        <is>
          <t>Guénette &amp; Diallo 2004 Table 6 p.131 explicitly lists this taxon in the named group(s); printed and accepted names checked against WoRMS.</t>
        </is>
      </c>
      <c r="M403" s="10" t="n">
        <v>255.355</v>
      </c>
    </row>
    <row r="404" ht="36" customHeight="1">
      <c r="A404" s="10" t="inlineStr">
        <is>
          <t>LME_028</t>
        </is>
      </c>
      <c r="B404" s="11" t="inlineStr">
        <is>
          <t>28_646_Guinea_(1998)</t>
        </is>
      </c>
      <c r="C404" s="11" t="inlineStr">
        <is>
          <t>Alopias superciliosus</t>
        </is>
      </c>
      <c r="D404" s="10" t="inlineStr">
        <is>
          <t>Bigeye thresher</t>
        </is>
      </c>
      <c r="E404" s="10" t="inlineStr">
        <is>
          <t>Large sharks (&gt;=90 cm)</t>
        </is>
      </c>
      <c r="F404" s="10" t="inlineStr">
        <is>
          <t>Sharks &amp; rays</t>
        </is>
      </c>
      <c r="G404" s="11" t="inlineStr">
        <is>
          <t>Sélaciens L côtiers</t>
        </is>
      </c>
      <c r="H404" s="12" t="n">
        <v>1</v>
      </c>
      <c r="I404" s="10" t="inlineStr">
        <is>
          <t>single</t>
        </is>
      </c>
      <c r="J404" s="15" t="inlineStr">
        <is>
          <t>medium</t>
        </is>
      </c>
      <c r="K404" s="10" t="inlineStr">
        <is>
          <t>analogue</t>
        </is>
      </c>
      <c r="L404" s="11" t="inlineStr">
        <is>
          <t>Species not individually listed: its genus has one documented Table 6 group, supported by the catch's Large sharks (&gt;=90 cm) class. Congeneric extension is inference.</t>
        </is>
      </c>
      <c r="M404" s="10" t="n">
        <v>254.544</v>
      </c>
    </row>
    <row r="405" ht="36" customHeight="1">
      <c r="A405" s="10" t="inlineStr">
        <is>
          <t>LME_028</t>
        </is>
      </c>
      <c r="B405" s="11" t="inlineStr">
        <is>
          <t>28_646_Guinea_(1998)</t>
        </is>
      </c>
      <c r="C405" s="11" t="inlineStr">
        <is>
          <t>Maja squinado</t>
        </is>
      </c>
      <c r="D405" s="10" t="inlineStr">
        <is>
          <t>Spinous spider crab</t>
        </is>
      </c>
      <c r="E405" s="10" t="inlineStr">
        <is>
          <t>Lobsters, crabs</t>
        </is>
      </c>
      <c r="F405" s="10" t="inlineStr">
        <is>
          <t>Crustaceans</t>
        </is>
      </c>
      <c r="G405" s="11" t="inlineStr">
        <is>
          <t>Crustacés</t>
        </is>
      </c>
      <c r="H405" s="12" t="n">
        <v>1</v>
      </c>
      <c r="I405" s="10" t="inlineStr">
        <is>
          <t>single</t>
        </is>
      </c>
      <c r="J405" s="14" t="inlineStr">
        <is>
          <t>high</t>
        </is>
      </c>
      <c r="K405" s="10" t="inlineStr">
        <is>
          <t>taxonomic_containment</t>
        </is>
      </c>
      <c r="L405" s="11" t="inlineStr">
        <is>
          <t>WoRMS crustacean taxonomy and SAU shrimp/crab/lobster class agree with the source Crustacés definition on p.125.</t>
        </is>
      </c>
      <c r="M405" s="10" t="n">
        <v>253.532</v>
      </c>
    </row>
    <row r="406" ht="36" customHeight="1">
      <c r="A406" s="10" t="inlineStr">
        <is>
          <t>LME_028</t>
        </is>
      </c>
      <c r="B406" s="11" t="inlineStr">
        <is>
          <t>28_646_Guinea_(1998)</t>
        </is>
      </c>
      <c r="C406" s="11" t="inlineStr">
        <is>
          <t>Cynoglossus senegalensis</t>
        </is>
      </c>
      <c r="D406" s="10" t="inlineStr">
        <is>
          <t>Senegalese tonguesole</t>
        </is>
      </c>
      <c r="E406" s="10" t="inlineStr">
        <is>
          <t>Small to medium flatfishes (&lt;90 cm)</t>
        </is>
      </c>
      <c r="F406" s="10" t="inlineStr">
        <is>
          <t>Flatfishes</t>
        </is>
      </c>
      <c r="G406" s="11" t="inlineStr">
        <is>
          <t>Côtier M inv</t>
        </is>
      </c>
      <c r="H406" s="12" t="n">
        <v>1</v>
      </c>
      <c r="I406" s="10" t="inlineStr">
        <is>
          <t>single</t>
        </is>
      </c>
      <c r="J406" s="14" t="inlineStr">
        <is>
          <t>high</t>
        </is>
      </c>
      <c r="K406" s="10" t="inlineStr">
        <is>
          <t>explicit_member</t>
        </is>
      </c>
      <c r="L406" s="11" t="inlineStr">
        <is>
          <t>Guénette &amp; Diallo 2004 Table 6 p.131 explicitly lists this taxon in the named group(s); printed and accepted names checked against WoRMS.</t>
        </is>
      </c>
      <c r="M406" s="10" t="n">
        <v>244.316</v>
      </c>
    </row>
    <row r="407" ht="36" customHeight="1">
      <c r="A407" s="10" t="inlineStr">
        <is>
          <t>LME_028</t>
        </is>
      </c>
      <c r="B407" s="11" t="inlineStr">
        <is>
          <t>28_646_Guinea_(1998)</t>
        </is>
      </c>
      <c r="C407" s="11" t="inlineStr">
        <is>
          <t>Panulirus regius</t>
        </is>
      </c>
      <c r="D407" s="10" t="inlineStr">
        <is>
          <t>Royal spiny lobster</t>
        </is>
      </c>
      <c r="E407" s="10" t="inlineStr">
        <is>
          <t>Lobsters, crabs</t>
        </is>
      </c>
      <c r="F407" s="10" t="inlineStr">
        <is>
          <t>Crustaceans</t>
        </is>
      </c>
      <c r="G407" s="11" t="inlineStr">
        <is>
          <t>Crustacés</t>
        </is>
      </c>
      <c r="H407" s="12" t="n">
        <v>1</v>
      </c>
      <c r="I407" s="10" t="inlineStr">
        <is>
          <t>single</t>
        </is>
      </c>
      <c r="J407" s="14" t="inlineStr">
        <is>
          <t>high</t>
        </is>
      </c>
      <c r="K407" s="10" t="inlineStr">
        <is>
          <t>taxonomic_containment</t>
        </is>
      </c>
      <c r="L407" s="11" t="inlineStr">
        <is>
          <t>WoRMS crustacean taxonomy and SAU shrimp/crab/lobster class agree with the source Crustacés definition on p.125.</t>
        </is>
      </c>
      <c r="M407" s="10" t="n">
        <v>219.327</v>
      </c>
    </row>
    <row r="408" ht="51" customHeight="1">
      <c r="A408" s="10" t="inlineStr">
        <is>
          <t>LME_028</t>
        </is>
      </c>
      <c r="B408" s="11" t="inlineStr">
        <is>
          <t>28_646_Guinea_(1998)</t>
        </is>
      </c>
      <c r="C408" s="11" t="inlineStr">
        <is>
          <t>Trachichthyidae</t>
        </is>
      </c>
      <c r="D408" s="10" t="inlineStr">
        <is>
          <t>Slimeheads</t>
        </is>
      </c>
      <c r="E408" s="10" t="inlineStr">
        <is>
          <t>Medium bathypelagics (30 - 89 cm)</t>
        </is>
      </c>
      <c r="F408" s="10" t="inlineStr">
        <is>
          <t>Other fishes &amp; inverts</t>
        </is>
      </c>
      <c r="G408" s="11" t="inlineStr">
        <is>
          <t>Bathy L pred</t>
        </is>
      </c>
      <c r="H408" s="12" t="n">
        <v>1</v>
      </c>
      <c r="I408" s="10" t="inlineStr">
        <is>
          <t>single</t>
        </is>
      </c>
      <c r="J408" s="15" t="inlineStr">
        <is>
          <t>medium</t>
        </is>
      </c>
      <c r="K408" s="10" t="inlineStr">
        <is>
          <t>taxonomic_containment</t>
        </is>
      </c>
      <c r="L408" s="11" t="inlineStr">
        <is>
          <t>Family catch spans the union of all Table 6 member groups belonging to Trachichthyidae under WoRMS. Every candidate is supported by a source member; source placement outranks SAU habitat class.</t>
        </is>
      </c>
      <c r="M408" s="10" t="n">
        <v>167.948</v>
      </c>
    </row>
    <row r="409" ht="36" customHeight="1">
      <c r="A409" s="10" t="inlineStr">
        <is>
          <t>LME_028</t>
        </is>
      </c>
      <c r="B409" s="11" t="inlineStr">
        <is>
          <t>28_646_Guinea_(1998)</t>
        </is>
      </c>
      <c r="C409" s="11" t="inlineStr">
        <is>
          <t>Leptocharias smithii</t>
        </is>
      </c>
      <c r="D409" s="10" t="inlineStr">
        <is>
          <t>Barbeled houndshark</t>
        </is>
      </c>
      <c r="E409" s="10" t="inlineStr">
        <is>
          <t>Small to medium sharks (&lt;90 cm)</t>
        </is>
      </c>
      <c r="F409" s="10" t="inlineStr">
        <is>
          <t>Sharks &amp; rays</t>
        </is>
      </c>
      <c r="G409" s="11" t="inlineStr">
        <is>
          <t>Sélaciens L côtiers</t>
        </is>
      </c>
      <c r="H409" s="12" t="n">
        <v>1</v>
      </c>
      <c r="I409" s="10" t="inlineStr">
        <is>
          <t>single</t>
        </is>
      </c>
      <c r="J409" s="14" t="inlineStr">
        <is>
          <t>high</t>
        </is>
      </c>
      <c r="K409" s="10" t="inlineStr">
        <is>
          <t>explicit_member</t>
        </is>
      </c>
      <c r="L409" s="11" t="inlineStr">
        <is>
          <t>Guénette &amp; Diallo 2004 Table 6 p.131 explicitly lists this taxon in the named group(s); printed and accepted names checked against WoRMS.</t>
        </is>
      </c>
      <c r="M409" s="10" t="n">
        <v>167.706</v>
      </c>
    </row>
    <row r="410" ht="36" customHeight="1">
      <c r="A410" s="10" t="inlineStr">
        <is>
          <t>LME_028</t>
        </is>
      </c>
      <c r="B410" s="11" t="inlineStr">
        <is>
          <t>28_646_Guinea_(1998)</t>
        </is>
      </c>
      <c r="C410" s="11" t="inlineStr">
        <is>
          <t>Lophius vaillanti</t>
        </is>
      </c>
      <c r="D410" s="10" t="inlineStr">
        <is>
          <t>Shortspine African angler</t>
        </is>
      </c>
      <c r="E410" s="10" t="inlineStr">
        <is>
          <t>Medium bathydemersals (30 - 89 cm)</t>
        </is>
      </c>
      <c r="F410" s="10" t="inlineStr">
        <is>
          <t>Other fishes &amp; inverts</t>
        </is>
      </c>
      <c r="G410" s="11" t="inlineStr">
        <is>
          <t>Bathy L pred</t>
        </is>
      </c>
      <c r="H410" s="12" t="n">
        <v>1</v>
      </c>
      <c r="I410" s="10" t="inlineStr">
        <is>
          <t>single</t>
        </is>
      </c>
      <c r="J410" s="14" t="inlineStr">
        <is>
          <t>high</t>
        </is>
      </c>
      <c r="K410" s="10" t="inlineStr">
        <is>
          <t>explicit_member</t>
        </is>
      </c>
      <c r="L410" s="11" t="inlineStr">
        <is>
          <t>Guénette &amp; Diallo 2004 Table 6 p.131 explicitly lists this taxon in the named group(s); printed and accepted names checked against WoRMS.</t>
        </is>
      </c>
      <c r="M410" s="10" t="n">
        <v>158.193</v>
      </c>
    </row>
    <row r="411" ht="36" customHeight="1">
      <c r="A411" s="10" t="inlineStr">
        <is>
          <t>LME_028</t>
        </is>
      </c>
      <c r="B411" s="11" t="inlineStr">
        <is>
          <t>28_646_Guinea_(1998)</t>
        </is>
      </c>
      <c r="C411" s="11" t="inlineStr">
        <is>
          <t>Zenopsis conchifer</t>
        </is>
      </c>
      <c r="D411" s="10" t="inlineStr">
        <is>
          <t>Silvery John dory</t>
        </is>
      </c>
      <c r="E411" s="10" t="inlineStr">
        <is>
          <t>Medium benthopelagics (30 - 89 cm)</t>
        </is>
      </c>
      <c r="F411" s="10" t="inlineStr">
        <is>
          <t>Other fishes &amp; inverts</t>
        </is>
      </c>
      <c r="G411" s="11" t="inlineStr">
        <is>
          <t>Dem M pred</t>
        </is>
      </c>
      <c r="H411" s="12" t="n">
        <v>1</v>
      </c>
      <c r="I411" s="10" t="inlineStr">
        <is>
          <t>single</t>
        </is>
      </c>
      <c r="J411" s="14" t="inlineStr">
        <is>
          <t>high</t>
        </is>
      </c>
      <c r="K411" s="10" t="inlineStr">
        <is>
          <t>explicit_member</t>
        </is>
      </c>
      <c r="L411" s="11" t="inlineStr">
        <is>
          <t>Guénette &amp; Diallo 2004 Table 6 p.131 explicitly lists this taxon in the named group(s); printed and accepted names checked against WoRMS.</t>
        </is>
      </c>
      <c r="M411" s="10" t="n">
        <v>148.915</v>
      </c>
    </row>
    <row r="412" ht="51" customHeight="1">
      <c r="A412" s="10" t="inlineStr">
        <is>
          <t>LME_028</t>
        </is>
      </c>
      <c r="B412" s="11" t="inlineStr">
        <is>
          <t>28_646_Guinea_(1998)</t>
        </is>
      </c>
      <c r="C412" s="11" t="inlineStr">
        <is>
          <t>Cyprinidae</t>
        </is>
      </c>
      <c r="D412" s="10" t="inlineStr">
        <is>
          <t>Carps, barbels, other cyprinids</t>
        </is>
      </c>
      <c r="E412" s="10" t="inlineStr">
        <is>
          <t>Medium demersals (30 - 89 cm)</t>
        </is>
      </c>
      <c r="F412" s="10" t="inlineStr">
        <is>
          <t>Other fishes &amp; inverts</t>
        </is>
      </c>
      <c r="G412" s="11" t="inlineStr">
        <is>
          <t>Unresolved</t>
        </is>
      </c>
      <c r="H412" s="12" t="n"/>
      <c r="I412" s="10" t="inlineStr"/>
      <c r="J412" s="16" t="inlineStr">
        <is>
          <t>unresolved</t>
        </is>
      </c>
      <c r="K412" s="10" t="inlineStr">
        <is>
          <t>none</t>
        </is>
      </c>
      <c r="L412" s="11" t="inlineStr">
        <is>
          <t>Freshwater/brackish-water catch has no documented cichlid/cyprinid group in the offshore-Guinea source. Extending the named Mulets pool would require diet and habitat evidence for this taxon.</t>
        </is>
      </c>
      <c r="M412" s="10" t="n">
        <v>148.272</v>
      </c>
    </row>
    <row r="413" ht="51" customHeight="1">
      <c r="A413" s="10" t="inlineStr">
        <is>
          <t>LME_028</t>
        </is>
      </c>
      <c r="B413" s="11" t="inlineStr">
        <is>
          <t>28_646_Guinea_(1998)</t>
        </is>
      </c>
      <c r="C413" s="11" t="inlineStr">
        <is>
          <t>Inermiidae</t>
        </is>
      </c>
      <c r="D413" s="10" t="inlineStr">
        <is>
          <t>Bonnetmouths</t>
        </is>
      </c>
      <c r="E413" s="10" t="inlineStr">
        <is>
          <t>Small pelagics (&lt;30 cm)</t>
        </is>
      </c>
      <c r="F413" s="10" t="inlineStr">
        <is>
          <t>Perch-likes</t>
        </is>
      </c>
      <c r="G413" s="11" t="inlineStr">
        <is>
          <t>Unresolved</t>
        </is>
      </c>
      <c r="H413" s="12" t="n"/>
      <c r="I413" s="10" t="inlineStr"/>
      <c r="J413" s="16" t="inlineStr">
        <is>
          <t>unresolved</t>
        </is>
      </c>
      <c r="K413" s="10" t="inlineStr">
        <is>
          <t>none</t>
        </is>
      </c>
      <c r="L41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13" s="10" t="n">
        <v>136.766</v>
      </c>
    </row>
    <row r="414" ht="51" customHeight="1">
      <c r="A414" s="10" t="inlineStr">
        <is>
          <t>LME_028</t>
        </is>
      </c>
      <c r="B414" s="11" t="inlineStr">
        <is>
          <t>28_646_Guinea_(1998)</t>
        </is>
      </c>
      <c r="C414" s="11" t="inlineStr">
        <is>
          <t>Pristidae</t>
        </is>
      </c>
      <c r="D414" s="10" t="inlineStr">
        <is>
          <t>Sawfishes</t>
        </is>
      </c>
      <c r="E414" s="10" t="inlineStr">
        <is>
          <t>Large rays (&gt;=90 cm)</t>
        </is>
      </c>
      <c r="F414" s="10" t="inlineStr">
        <is>
          <t>Sharks &amp; rays</t>
        </is>
      </c>
      <c r="G414" s="11" t="inlineStr">
        <is>
          <t>Unresolved</t>
        </is>
      </c>
      <c r="H414" s="12" t="n"/>
      <c r="I414" s="10" t="inlineStr"/>
      <c r="J414" s="16" t="inlineStr">
        <is>
          <t>unresolved</t>
        </is>
      </c>
      <c r="K414" s="10" t="inlineStr">
        <is>
          <t>none</t>
        </is>
      </c>
      <c r="L41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14" s="10" t="n">
        <v>135.992</v>
      </c>
    </row>
    <row r="415" ht="51" customHeight="1">
      <c r="A415" s="10" t="inlineStr">
        <is>
          <t>LME_028</t>
        </is>
      </c>
      <c r="B415" s="11" t="inlineStr">
        <is>
          <t>28_646_Guinea_(1998)</t>
        </is>
      </c>
      <c r="C415" s="11" t="inlineStr">
        <is>
          <t>Beryx splendens</t>
        </is>
      </c>
      <c r="D415" s="10" t="inlineStr">
        <is>
          <t>Splendid alfonsino</t>
        </is>
      </c>
      <c r="E415" s="10" t="inlineStr">
        <is>
          <t>Medium benthopelagics (30 - 89 cm)</t>
        </is>
      </c>
      <c r="F415" s="10" t="inlineStr">
        <is>
          <t>Other fishes &amp; inverts</t>
        </is>
      </c>
      <c r="G415" s="11" t="inlineStr">
        <is>
          <t>Unresolved</t>
        </is>
      </c>
      <c r="H415" s="12" t="n"/>
      <c r="I415" s="10" t="inlineStr"/>
      <c r="J415" s="16" t="inlineStr">
        <is>
          <t>unresolved</t>
        </is>
      </c>
      <c r="K415" s="10" t="inlineStr">
        <is>
          <t>none</t>
        </is>
      </c>
      <c r="L41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15" s="10" t="n">
        <v>135.787</v>
      </c>
    </row>
    <row r="416" ht="51" customHeight="1">
      <c r="A416" s="10" t="inlineStr">
        <is>
          <t>LME_028</t>
        </is>
      </c>
      <c r="B416" s="11" t="inlineStr">
        <is>
          <t>28_646_Guinea_(1998)</t>
        </is>
      </c>
      <c r="C416" s="11" t="inlineStr">
        <is>
          <t>Aetobatus narinari</t>
        </is>
      </c>
      <c r="D416" s="10" t="inlineStr">
        <is>
          <t>Spotted eagle ray</t>
        </is>
      </c>
      <c r="E416" s="10" t="inlineStr">
        <is>
          <t>Large rays (&gt;=90 cm)</t>
        </is>
      </c>
      <c r="F416" s="10" t="inlineStr">
        <is>
          <t>Sharks &amp; rays</t>
        </is>
      </c>
      <c r="G416" s="11" t="inlineStr">
        <is>
          <t>Unresolved</t>
        </is>
      </c>
      <c r="H416" s="12" t="n"/>
      <c r="I416" s="10" t="inlineStr"/>
      <c r="J416" s="16" t="inlineStr">
        <is>
          <t>unresolved</t>
        </is>
      </c>
      <c r="K416" s="10" t="inlineStr">
        <is>
          <t>none</t>
        </is>
      </c>
      <c r="L41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16" s="10" t="n">
        <v>126.286</v>
      </c>
    </row>
    <row r="417" ht="21" customHeight="1">
      <c r="A417" s="10" t="inlineStr">
        <is>
          <t>LME_028</t>
        </is>
      </c>
      <c r="B417" s="11" t="inlineStr">
        <is>
          <t>28_646_Guinea_(1998)</t>
        </is>
      </c>
      <c r="C417" s="11" t="inlineStr">
        <is>
          <t>Alloteuthis</t>
        </is>
      </c>
      <c r="D417" s="10" t="inlineStr">
        <is>
          <t>Atlantic common squids</t>
        </is>
      </c>
      <c r="E417" s="10" t="inlineStr">
        <is>
          <t>Cephalopods</t>
        </is>
      </c>
      <c r="F417" s="10" t="inlineStr">
        <is>
          <t>Other fishes &amp; inverts</t>
        </is>
      </c>
      <c r="G417" s="11" t="inlineStr">
        <is>
          <t>Céphalopodes</t>
        </is>
      </c>
      <c r="H417" s="12" t="n">
        <v>1</v>
      </c>
      <c r="I417" s="10" t="inlineStr">
        <is>
          <t>single</t>
        </is>
      </c>
      <c r="J417" s="14" t="inlineStr">
        <is>
          <t>high</t>
        </is>
      </c>
      <c r="K417" s="10" t="inlineStr">
        <is>
          <t>taxonomic_containment</t>
        </is>
      </c>
      <c r="L417" s="11" t="inlineStr">
        <is>
          <t>Source p.125 explicitly includes all cephalopods, including octopus, cuttlefish and squid.</t>
        </is>
      </c>
      <c r="M417" s="10" t="n">
        <v>121.114</v>
      </c>
    </row>
    <row r="418" ht="51" customHeight="1">
      <c r="A418" s="10" t="inlineStr">
        <is>
          <t>LME_028</t>
        </is>
      </c>
      <c r="B418" s="11" t="inlineStr">
        <is>
          <t>28_646_Guinea_(1998)</t>
        </is>
      </c>
      <c r="C418" s="11" t="inlineStr">
        <is>
          <t>Schedophilus pemarco</t>
        </is>
      </c>
      <c r="D418" s="10" t="inlineStr">
        <is>
          <t>Pemarco blackfish</t>
        </is>
      </c>
      <c r="E418" s="10" t="inlineStr">
        <is>
          <t>Medium benthopelagics (30 - 89 cm)</t>
        </is>
      </c>
      <c r="F418" s="10" t="inlineStr">
        <is>
          <t>Perch-likes</t>
        </is>
      </c>
      <c r="G418" s="11" t="inlineStr">
        <is>
          <t>Unresolved</t>
        </is>
      </c>
      <c r="H418" s="12" t="n"/>
      <c r="I418" s="10" t="inlineStr"/>
      <c r="J418" s="16" t="inlineStr">
        <is>
          <t>unresolved</t>
        </is>
      </c>
      <c r="K418" s="10" t="inlineStr">
        <is>
          <t>none</t>
        </is>
      </c>
      <c r="L41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18" s="10" t="n">
        <v>120.25</v>
      </c>
    </row>
    <row r="419" ht="36" customHeight="1">
      <c r="A419" s="10" t="inlineStr">
        <is>
          <t>LME_028</t>
        </is>
      </c>
      <c r="B419" s="11" t="inlineStr">
        <is>
          <t>28_646_Guinea_(1998)</t>
        </is>
      </c>
      <c r="C419" s="11" t="inlineStr">
        <is>
          <t>Pagrus auriga</t>
        </is>
      </c>
      <c r="D419" s="10" t="inlineStr">
        <is>
          <t>Redbanded seabream</t>
        </is>
      </c>
      <c r="E419" s="10" t="inlineStr">
        <is>
          <t>Medium benthopelagics (30 - 89 cm)</t>
        </is>
      </c>
      <c r="F419" s="10" t="inlineStr">
        <is>
          <t>Perch-likes</t>
        </is>
      </c>
      <c r="G419" s="11" t="inlineStr">
        <is>
          <t>Dem L pred</t>
        </is>
      </c>
      <c r="H419" s="12" t="n">
        <v>1</v>
      </c>
      <c r="I419" s="10" t="inlineStr">
        <is>
          <t>single</t>
        </is>
      </c>
      <c r="J419" s="15" t="inlineStr">
        <is>
          <t>medium</t>
        </is>
      </c>
      <c r="K419" s="10" t="inlineStr">
        <is>
          <t>analogue</t>
        </is>
      </c>
      <c r="L419" s="11" t="inlineStr">
        <is>
          <t>Species not individually listed: its genus has one documented Table 6 group, supported by the catch's Medium benthopelagics (30 - 89 cm) class. Congeneric extension is inference.</t>
        </is>
      </c>
      <c r="M419" s="10" t="n">
        <v>115.393</v>
      </c>
    </row>
    <row r="420" ht="36" customHeight="1">
      <c r="A420" s="10" t="inlineStr">
        <is>
          <t>LME_028</t>
        </is>
      </c>
      <c r="B420" s="11" t="inlineStr">
        <is>
          <t>28_646_Guinea_(1998)</t>
        </is>
      </c>
      <c r="C420" s="11" t="inlineStr">
        <is>
          <t>Megalops atlanticus</t>
        </is>
      </c>
      <c r="D420" s="10" t="inlineStr">
        <is>
          <t>Tarpon</t>
        </is>
      </c>
      <c r="E420" s="10" t="inlineStr">
        <is>
          <t>Large pelagics (&gt;=90 cm)</t>
        </is>
      </c>
      <c r="F420" s="10" t="inlineStr">
        <is>
          <t>Other fishes &amp; inverts</t>
        </is>
      </c>
      <c r="G420" s="11" t="inlineStr">
        <is>
          <t>Pel L pred</t>
        </is>
      </c>
      <c r="H420" s="12" t="n">
        <v>1</v>
      </c>
      <c r="I420" s="10" t="inlineStr">
        <is>
          <t>single</t>
        </is>
      </c>
      <c r="J420" s="14" t="inlineStr">
        <is>
          <t>high</t>
        </is>
      </c>
      <c r="K420" s="10" t="inlineStr">
        <is>
          <t>explicit_member</t>
        </is>
      </c>
      <c r="L420" s="11" t="inlineStr">
        <is>
          <t>Guénette &amp; Diallo 2004 Table 6 p.131 explicitly lists this taxon in the named group(s); printed and accepted names checked against WoRMS.</t>
        </is>
      </c>
      <c r="M420" s="10" t="n">
        <v>109.562</v>
      </c>
    </row>
    <row r="421" ht="51" customHeight="1">
      <c r="A421" s="10" t="inlineStr">
        <is>
          <t>LME_028</t>
        </is>
      </c>
      <c r="B421" s="11" t="inlineStr">
        <is>
          <t>28_646_Guinea_(1998)</t>
        </is>
      </c>
      <c r="C421" s="11" t="inlineStr">
        <is>
          <t>Hexanchus griseus</t>
        </is>
      </c>
      <c r="D421" s="10" t="inlineStr">
        <is>
          <t>Bluntnose sixgill shark</t>
        </is>
      </c>
      <c r="E421" s="10" t="inlineStr">
        <is>
          <t>Large sharks (&gt;=90 cm)</t>
        </is>
      </c>
      <c r="F421" s="10" t="inlineStr">
        <is>
          <t>Sharks &amp; rays</t>
        </is>
      </c>
      <c r="G421" s="11" t="inlineStr">
        <is>
          <t>Unresolved</t>
        </is>
      </c>
      <c r="H421" s="12" t="n"/>
      <c r="I421" s="10" t="inlineStr"/>
      <c r="J421" s="16" t="inlineStr">
        <is>
          <t>unresolved</t>
        </is>
      </c>
      <c r="K421" s="10" t="inlineStr">
        <is>
          <t>none</t>
        </is>
      </c>
      <c r="L42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1" s="10" t="n">
        <v>107.896</v>
      </c>
    </row>
    <row r="422" ht="51" customHeight="1">
      <c r="A422" s="10" t="inlineStr">
        <is>
          <t>LME_028</t>
        </is>
      </c>
      <c r="B422" s="11" t="inlineStr">
        <is>
          <t>28_646_Guinea_(1998)</t>
        </is>
      </c>
      <c r="C422" s="11" t="inlineStr">
        <is>
          <t>Sphyrnidae</t>
        </is>
      </c>
      <c r="D422" s="10" t="inlineStr">
        <is>
          <t>Hammer, bonnet, scoophead sharks</t>
        </is>
      </c>
      <c r="E422" s="10" t="inlineStr">
        <is>
          <t>Large sharks (&gt;=90 cm)</t>
        </is>
      </c>
      <c r="F422" s="10" t="inlineStr">
        <is>
          <t>Sharks &amp; rays</t>
        </is>
      </c>
      <c r="G422" s="11" t="inlineStr">
        <is>
          <t>Sélaciens L prof</t>
        </is>
      </c>
      <c r="H422" s="12" t="n">
        <v>1</v>
      </c>
      <c r="I422" s="10" t="inlineStr">
        <is>
          <t>single</t>
        </is>
      </c>
      <c r="J422" s="15" t="inlineStr">
        <is>
          <t>medium</t>
        </is>
      </c>
      <c r="K422" s="10" t="inlineStr">
        <is>
          <t>taxonomic_containment</t>
        </is>
      </c>
      <c r="L422" s="11" t="inlineStr">
        <is>
          <t>Family catch spans the union of all Table 6 member groups belonging to Sphyrnidae under WoRMS. Every candidate is supported by a source member; source placement outranks SAU habitat class.</t>
        </is>
      </c>
      <c r="M422" s="10" t="n">
        <v>92.923</v>
      </c>
    </row>
    <row r="423" ht="36" customHeight="1">
      <c r="A423" s="10" t="inlineStr">
        <is>
          <t>LME_028</t>
        </is>
      </c>
      <c r="B423" s="11" t="inlineStr">
        <is>
          <t>28_646_Guinea_(1998)</t>
        </is>
      </c>
      <c r="C423" s="11" t="inlineStr">
        <is>
          <t>Lepidocybium flavobrunneum</t>
        </is>
      </c>
      <c r="D423" s="10" t="inlineStr">
        <is>
          <t>Escolar</t>
        </is>
      </c>
      <c r="E423" s="10" t="inlineStr">
        <is>
          <t>Large bathypelagics (&gt;=90 cm)</t>
        </is>
      </c>
      <c r="F423" s="10" t="inlineStr">
        <is>
          <t>Perch-likes</t>
        </is>
      </c>
      <c r="G423" s="11" t="inlineStr">
        <is>
          <t>Bathy L pred</t>
        </is>
      </c>
      <c r="H423" s="12" t="n">
        <v>1</v>
      </c>
      <c r="I423" s="10" t="inlineStr">
        <is>
          <t>single</t>
        </is>
      </c>
      <c r="J423" s="14" t="inlineStr">
        <is>
          <t>high</t>
        </is>
      </c>
      <c r="K423" s="10" t="inlineStr">
        <is>
          <t>explicit_member</t>
        </is>
      </c>
      <c r="L423" s="11" t="inlineStr">
        <is>
          <t>Guénette &amp; Diallo 2004 Table 6 p.131 explicitly lists this taxon in the named group(s); printed and accepted names checked against WoRMS.</t>
        </is>
      </c>
      <c r="M423" s="10" t="n">
        <v>80.408</v>
      </c>
    </row>
    <row r="424" ht="51" customHeight="1">
      <c r="A424" s="10" t="inlineStr">
        <is>
          <t>LME_028</t>
        </is>
      </c>
      <c r="B424" s="11" t="inlineStr">
        <is>
          <t>28_646_Guinea_(1998)</t>
        </is>
      </c>
      <c r="C424" s="11" t="inlineStr">
        <is>
          <t>Centrophorus lusitanicus</t>
        </is>
      </c>
      <c r="D424" s="10" t="inlineStr">
        <is>
          <t>Lowfin gulper shark</t>
        </is>
      </c>
      <c r="E424" s="10" t="inlineStr">
        <is>
          <t>Large sharks (&gt;=90 cm)</t>
        </is>
      </c>
      <c r="F424" s="10" t="inlineStr">
        <is>
          <t>Sharks &amp; rays</t>
        </is>
      </c>
      <c r="G424" s="11" t="inlineStr">
        <is>
          <t>Unresolved</t>
        </is>
      </c>
      <c r="H424" s="12" t="n"/>
      <c r="I424" s="10" t="inlineStr"/>
      <c r="J424" s="16" t="inlineStr">
        <is>
          <t>unresolved</t>
        </is>
      </c>
      <c r="K424" s="10" t="inlineStr">
        <is>
          <t>none</t>
        </is>
      </c>
      <c r="L42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4" s="10" t="n">
        <v>78.874</v>
      </c>
    </row>
    <row r="425" ht="51" customHeight="1">
      <c r="A425" s="10" t="inlineStr">
        <is>
          <t>LME_028</t>
        </is>
      </c>
      <c r="B425" s="11" t="inlineStr">
        <is>
          <t>28_646_Guinea_(1998)</t>
        </is>
      </c>
      <c r="C425" s="11" t="inlineStr">
        <is>
          <t>Branchiostegus</t>
        </is>
      </c>
      <c r="D425" s="10" t="inlineStr">
        <is>
          <t>Indian and Pacific tilefishes</t>
        </is>
      </c>
      <c r="E425" s="10" t="inlineStr">
        <is>
          <t>Medium demersals (30 - 89 cm)</t>
        </is>
      </c>
      <c r="F425" s="10" t="inlineStr">
        <is>
          <t>Perch-likes</t>
        </is>
      </c>
      <c r="G425" s="11" t="inlineStr">
        <is>
          <t>Unresolved</t>
        </is>
      </c>
      <c r="H425" s="12" t="n"/>
      <c r="I425" s="10" t="inlineStr"/>
      <c r="J425" s="16" t="inlineStr">
        <is>
          <t>unresolved</t>
        </is>
      </c>
      <c r="K425" s="10" t="inlineStr">
        <is>
          <t>none</t>
        </is>
      </c>
      <c r="L42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25" s="10" t="n">
        <v>68.095</v>
      </c>
    </row>
    <row r="426" ht="51" customHeight="1">
      <c r="A426" s="10" t="inlineStr">
        <is>
          <t>LME_028</t>
        </is>
      </c>
      <c r="B426" s="11" t="inlineStr">
        <is>
          <t>28_646_Guinea_(1998)</t>
        </is>
      </c>
      <c r="C426" s="11" t="inlineStr">
        <is>
          <t>Dalatias licha</t>
        </is>
      </c>
      <c r="D426" s="10" t="inlineStr">
        <is>
          <t>Kitefin shark</t>
        </is>
      </c>
      <c r="E426" s="10" t="inlineStr">
        <is>
          <t>Large sharks (&gt;=90 cm)</t>
        </is>
      </c>
      <c r="F426" s="10" t="inlineStr">
        <is>
          <t>Sharks &amp; rays</t>
        </is>
      </c>
      <c r="G426" s="11" t="inlineStr">
        <is>
          <t>Unresolved</t>
        </is>
      </c>
      <c r="H426" s="12" t="n"/>
      <c r="I426" s="10" t="inlineStr"/>
      <c r="J426" s="16" t="inlineStr">
        <is>
          <t>unresolved</t>
        </is>
      </c>
      <c r="K426" s="10" t="inlineStr">
        <is>
          <t>none</t>
        </is>
      </c>
      <c r="L42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6" s="10" t="n">
        <v>65.389</v>
      </c>
    </row>
    <row r="427" ht="51" customHeight="1">
      <c r="A427" s="10" t="inlineStr">
        <is>
          <t>LME_028</t>
        </is>
      </c>
      <c r="B427" s="11" t="inlineStr">
        <is>
          <t>28_646_Guinea_(1998)</t>
        </is>
      </c>
      <c r="C427" s="11" t="inlineStr">
        <is>
          <t>Centrolophidae</t>
        </is>
      </c>
      <c r="D427" s="10" t="inlineStr">
        <is>
          <t>Medusafishes</t>
        </is>
      </c>
      <c r="E427" s="10" t="inlineStr">
        <is>
          <t>Medium benthopelagics (30 - 89 cm)</t>
        </is>
      </c>
      <c r="F427" s="10" t="inlineStr">
        <is>
          <t>Perch-likes</t>
        </is>
      </c>
      <c r="G427" s="11" t="inlineStr">
        <is>
          <t>Unresolved</t>
        </is>
      </c>
      <c r="H427" s="12" t="n"/>
      <c r="I427" s="10" t="inlineStr"/>
      <c r="J427" s="16" t="inlineStr">
        <is>
          <t>unresolved</t>
        </is>
      </c>
      <c r="K427" s="10" t="inlineStr">
        <is>
          <t>none</t>
        </is>
      </c>
      <c r="L427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27" s="10" t="n">
        <v>63.2</v>
      </c>
    </row>
    <row r="428" ht="36" customHeight="1">
      <c r="A428" s="10" t="inlineStr">
        <is>
          <t>LME_028</t>
        </is>
      </c>
      <c r="B428" s="11" t="inlineStr">
        <is>
          <t>28_646_Guinea_(1998)</t>
        </is>
      </c>
      <c r="C428" s="11" t="inlineStr">
        <is>
          <t>Squalus blainville</t>
        </is>
      </c>
      <c r="D428" s="10" t="inlineStr">
        <is>
          <t>Longnose spurdog</t>
        </is>
      </c>
      <c r="E428" s="10" t="inlineStr">
        <is>
          <t>Small to medium sharks (&lt;90 cm)</t>
        </is>
      </c>
      <c r="F428" s="10" t="inlineStr">
        <is>
          <t>Sharks &amp; rays</t>
        </is>
      </c>
      <c r="G428" s="11" t="inlineStr">
        <is>
          <t>Sélaciens L prof</t>
        </is>
      </c>
      <c r="H428" s="12" t="n">
        <v>1</v>
      </c>
      <c r="I428" s="10" t="inlineStr">
        <is>
          <t>single</t>
        </is>
      </c>
      <c r="J428" s="14" t="inlineStr">
        <is>
          <t>high</t>
        </is>
      </c>
      <c r="K428" s="10" t="inlineStr">
        <is>
          <t>explicit_member</t>
        </is>
      </c>
      <c r="L428" s="11" t="inlineStr">
        <is>
          <t>Guénette &amp; Diallo 2004 Table 6 p.131 explicitly lists this taxon in the named group(s); printed and accepted names checked against WoRMS.</t>
        </is>
      </c>
      <c r="M428" s="10" t="n">
        <v>57.333</v>
      </c>
    </row>
    <row r="429" ht="21" customHeight="1">
      <c r="A429" s="10" t="inlineStr">
        <is>
          <t>LME_028</t>
        </is>
      </c>
      <c r="B429" s="11" t="inlineStr">
        <is>
          <t>28_646_Guinea_(1998)</t>
        </is>
      </c>
      <c r="C429" s="11" t="inlineStr">
        <is>
          <t>Bivalvia</t>
        </is>
      </c>
      <c r="D429" s="10" t="inlineStr">
        <is>
          <t>Clams</t>
        </is>
      </c>
      <c r="E429" s="10" t="inlineStr">
        <is>
          <t>Other demersal invertebrates</t>
        </is>
      </c>
      <c r="F429" s="10" t="inlineStr">
        <is>
          <t>Molluscs</t>
        </is>
      </c>
      <c r="G429" s="11" t="inlineStr">
        <is>
          <t>Benthos</t>
        </is>
      </c>
      <c r="H429" s="12" t="n">
        <v>1</v>
      </c>
      <c r="I429" s="10" t="inlineStr">
        <is>
          <t>single</t>
        </is>
      </c>
      <c r="J429" s="14" t="inlineStr">
        <is>
          <t>high</t>
        </is>
      </c>
      <c r="K429" s="10" t="inlineStr">
        <is>
          <t>taxonomic_containment</t>
        </is>
      </c>
      <c r="L429" s="11" t="inlineStr">
        <is>
          <t>Non-cephalopod benthic molluscs and echinoderms are explicitly included in Benthos on p.126.</t>
        </is>
      </c>
      <c r="M429" s="10" t="n">
        <v>57.224</v>
      </c>
    </row>
    <row r="430" ht="36" customHeight="1">
      <c r="A430" s="10" t="inlineStr">
        <is>
          <t>LME_028</t>
        </is>
      </c>
      <c r="B430" s="11" t="inlineStr">
        <is>
          <t>28_646_Guinea_(1998)</t>
        </is>
      </c>
      <c r="C430" s="11" t="inlineStr">
        <is>
          <t>Caranx bartholomaei</t>
        </is>
      </c>
      <c r="D430" s="10" t="inlineStr">
        <is>
          <t>Yellow jack</t>
        </is>
      </c>
      <c r="E430" s="10" t="inlineStr">
        <is>
          <t>Medium reef assoc. fish (30 - 89 cm)</t>
        </is>
      </c>
      <c r="F430" s="10" t="inlineStr">
        <is>
          <t>Perch-likes</t>
        </is>
      </c>
      <c r="G430" s="11" t="inlineStr">
        <is>
          <t>Côtier pel L pred</t>
        </is>
      </c>
      <c r="H430" s="12" t="n">
        <v>1</v>
      </c>
      <c r="I430" s="10" t="inlineStr">
        <is>
          <t>single</t>
        </is>
      </c>
      <c r="J430" s="15" t="inlineStr">
        <is>
          <t>medium</t>
        </is>
      </c>
      <c r="K430" s="10" t="inlineStr">
        <is>
          <t>analogue</t>
        </is>
      </c>
      <c r="L430" s="11" t="inlineStr">
        <is>
          <t>Species not individually listed: its genus has one documented Table 6 group, supported by the catch's Medium reef assoc. fish (30 - 89 cm) class. Congeneric extension is inference.</t>
        </is>
      </c>
      <c r="M430" s="10" t="n">
        <v>55.955</v>
      </c>
    </row>
    <row r="431" ht="51" customHeight="1">
      <c r="A431" s="10" t="inlineStr">
        <is>
          <t>LME_028</t>
        </is>
      </c>
      <c r="B431" s="11" t="inlineStr">
        <is>
          <t>28_646_Guinea_(1998)</t>
        </is>
      </c>
      <c r="C431" s="11" t="inlineStr">
        <is>
          <t>Dasyatis marmorata</t>
        </is>
      </c>
      <c r="D431" s="10" t="inlineStr">
        <is>
          <t>Marbled stingray</t>
        </is>
      </c>
      <c r="E431" s="10" t="inlineStr">
        <is>
          <t>Small to medium rays (&lt;90 cm)</t>
        </is>
      </c>
      <c r="F431" s="10" t="inlineStr">
        <is>
          <t>Sharks &amp; rays</t>
        </is>
      </c>
      <c r="G431" s="11" t="inlineStr">
        <is>
          <t>Unresolved</t>
        </is>
      </c>
      <c r="H431" s="12" t="n"/>
      <c r="I431" s="10" t="inlineStr"/>
      <c r="J431" s="16" t="inlineStr">
        <is>
          <t>unresolved</t>
        </is>
      </c>
      <c r="K431" s="10" t="inlineStr">
        <is>
          <t>none</t>
        </is>
      </c>
      <c r="L43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31" s="10" t="n">
        <v>55.451</v>
      </c>
    </row>
    <row r="432" ht="36" customHeight="1">
      <c r="A432" s="10" t="inlineStr">
        <is>
          <t>LME_028</t>
        </is>
      </c>
      <c r="B432" s="11" t="inlineStr">
        <is>
          <t>28_646_Guinea_(1998)</t>
        </is>
      </c>
      <c r="C432" s="11" t="inlineStr">
        <is>
          <t>Seriola rivoliana</t>
        </is>
      </c>
      <c r="D432" s="10" t="inlineStr">
        <is>
          <t>Longfin yellowtail</t>
        </is>
      </c>
      <c r="E432" s="10" t="inlineStr">
        <is>
          <t>Large benthopelagics (&gt;=90 cm)</t>
        </is>
      </c>
      <c r="F432" s="10" t="inlineStr">
        <is>
          <t>Perch-likes</t>
        </is>
      </c>
      <c r="G432" s="11" t="inlineStr">
        <is>
          <t>Côtier pel L pred</t>
        </is>
      </c>
      <c r="H432" s="12" t="n">
        <v>1</v>
      </c>
      <c r="I432" s="10" t="inlineStr">
        <is>
          <t>single</t>
        </is>
      </c>
      <c r="J432" s="15" t="inlineStr">
        <is>
          <t>medium</t>
        </is>
      </c>
      <c r="K432" s="10" t="inlineStr">
        <is>
          <t>analogue</t>
        </is>
      </c>
      <c r="L432" s="11" t="inlineStr">
        <is>
          <t>Species not individually listed: its genus has one documented Table 6 group, supported by the catch's Large benthopelagics (&gt;=90 cm) class. Congeneric extension is inference.</t>
        </is>
      </c>
      <c r="M432" s="10" t="n">
        <v>51.117</v>
      </c>
    </row>
    <row r="433" ht="36" customHeight="1">
      <c r="A433" s="10" t="inlineStr">
        <is>
          <t>LME_028</t>
        </is>
      </c>
      <c r="B433" s="11" t="inlineStr">
        <is>
          <t>28_646_Guinea_(1998)</t>
        </is>
      </c>
      <c r="C433" s="11" t="inlineStr">
        <is>
          <t>Oblada melanurus</t>
        </is>
      </c>
      <c r="D433" s="10" t="inlineStr">
        <is>
          <t>Saddled seabream</t>
        </is>
      </c>
      <c r="E433" s="10" t="inlineStr">
        <is>
          <t>Small benthopelagics (&lt;30 cm)</t>
        </is>
      </c>
      <c r="F433" s="10" t="inlineStr">
        <is>
          <t>Perch-likes</t>
        </is>
      </c>
      <c r="G433" s="11" t="inlineStr">
        <is>
          <t>Côtier S inv</t>
        </is>
      </c>
      <c r="H433" s="12" t="n">
        <v>1</v>
      </c>
      <c r="I433" s="10" t="inlineStr">
        <is>
          <t>single</t>
        </is>
      </c>
      <c r="J433" s="14" t="inlineStr">
        <is>
          <t>high</t>
        </is>
      </c>
      <c r="K433" s="10" t="inlineStr">
        <is>
          <t>explicit_member</t>
        </is>
      </c>
      <c r="L433" s="11" t="inlineStr">
        <is>
          <t>Guénette &amp; Diallo 2004 Table 6 p.131 explicitly lists this taxon in the named group(s); printed and accepted names checked against WoRMS.</t>
        </is>
      </c>
      <c r="M433" s="10" t="n">
        <v>45.842</v>
      </c>
    </row>
    <row r="434" ht="51" customHeight="1">
      <c r="A434" s="10" t="inlineStr">
        <is>
          <t>LME_028</t>
        </is>
      </c>
      <c r="B434" s="11" t="inlineStr">
        <is>
          <t>28_646_Guinea_(1998)</t>
        </is>
      </c>
      <c r="C434" s="11" t="inlineStr">
        <is>
          <t>Carcharhiniformes</t>
        </is>
      </c>
      <c r="D434" s="10" t="inlineStr">
        <is>
          <t>Ground sharks</t>
        </is>
      </c>
      <c r="E434" s="10" t="inlineStr">
        <is>
          <t>Large sharks (&gt;=90 cm)</t>
        </is>
      </c>
      <c r="F434" s="10" t="inlineStr">
        <is>
          <t>Sharks &amp; rays</t>
        </is>
      </c>
      <c r="G434" s="11" t="inlineStr">
        <is>
          <t>Unresolved</t>
        </is>
      </c>
      <c r="H434" s="12" t="n"/>
      <c r="I434" s="10" t="inlineStr"/>
      <c r="J434" s="16" t="inlineStr">
        <is>
          <t>unresolved</t>
        </is>
      </c>
      <c r="K434" s="10" t="inlineStr">
        <is>
          <t>none</t>
        </is>
      </c>
      <c r="L43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34" s="10" t="n">
        <v>39.739</v>
      </c>
    </row>
    <row r="435" ht="51" customHeight="1">
      <c r="A435" s="10" t="inlineStr">
        <is>
          <t>LME_028</t>
        </is>
      </c>
      <c r="B435" s="11" t="inlineStr">
        <is>
          <t>28_646_Guinea_(1998)</t>
        </is>
      </c>
      <c r="C435" s="11" t="inlineStr">
        <is>
          <t>Promethichthys prometheus</t>
        </is>
      </c>
      <c r="D435" s="10" t="inlineStr">
        <is>
          <t>Roudi escolar</t>
        </is>
      </c>
      <c r="E435" s="10" t="inlineStr">
        <is>
          <t>Large benthopelagics (&gt;=90 cm)</t>
        </is>
      </c>
      <c r="F435" s="10" t="inlineStr">
        <is>
          <t>Perch-likes</t>
        </is>
      </c>
      <c r="G435" s="11" t="inlineStr">
        <is>
          <t>Unresolved</t>
        </is>
      </c>
      <c r="H435" s="12" t="n"/>
      <c r="I435" s="10" t="inlineStr"/>
      <c r="J435" s="16" t="inlineStr">
        <is>
          <t>unresolved</t>
        </is>
      </c>
      <c r="K435" s="10" t="inlineStr">
        <is>
          <t>none</t>
        </is>
      </c>
      <c r="L43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35" s="10" t="n">
        <v>38.265</v>
      </c>
    </row>
    <row r="436" ht="36" customHeight="1">
      <c r="A436" s="10" t="inlineStr">
        <is>
          <t>LME_028</t>
        </is>
      </c>
      <c r="B436" s="11" t="inlineStr">
        <is>
          <t>28_646_Guinea_(1998)</t>
        </is>
      </c>
      <c r="C436" s="11" t="inlineStr">
        <is>
          <t>Miscellaneous aquatic invertebrates</t>
        </is>
      </c>
      <c r="D436" s="10" t="inlineStr">
        <is>
          <t>Aquatic invertebrates</t>
        </is>
      </c>
      <c r="E436" s="10" t="inlineStr">
        <is>
          <t>Other demersal invertebrates</t>
        </is>
      </c>
      <c r="F436" s="10" t="inlineStr">
        <is>
          <t>Other fishes &amp; inverts</t>
        </is>
      </c>
      <c r="G436" s="11" t="inlineStr">
        <is>
          <t>Céphalopodes</t>
        </is>
      </c>
      <c r="H436" s="12" t="n">
        <v>0.6376959367743519</v>
      </c>
      <c r="I436" s="10" t="inlineStr">
        <is>
          <t>catch_composition</t>
        </is>
      </c>
      <c r="J436" s="13" t="inlineStr">
        <is>
          <t>low</t>
        </is>
      </c>
      <c r="K436" s="10" t="inlineStr">
        <is>
          <t>composite_split</t>
        </is>
      </c>
      <c r="L436" s="11" t="inlineStr">
        <is>
          <t>Unspecified invertebrates span the three source-defined nonplankton invertebrate compartments; catch does not document its composition.</t>
        </is>
      </c>
      <c r="M436" s="10" t="n">
        <v>35.476</v>
      </c>
    </row>
    <row r="437" ht="36" customHeight="1">
      <c r="A437" s="10" t="inlineStr">
        <is>
          <t>LME_028</t>
        </is>
      </c>
      <c r="B437" s="11" t="inlineStr">
        <is>
          <t>28_646_Guinea_(1998)</t>
        </is>
      </c>
      <c r="C437" s="11" t="inlineStr">
        <is>
          <t>Miscellaneous aquatic invertebrates</t>
        </is>
      </c>
      <c r="D437" s="10" t="inlineStr">
        <is>
          <t>Aquatic invertebrates</t>
        </is>
      </c>
      <c r="E437" s="10" t="inlineStr">
        <is>
          <t>Other demersal invertebrates</t>
        </is>
      </c>
      <c r="F437" s="10" t="inlineStr">
        <is>
          <t>Other fishes &amp; inverts</t>
        </is>
      </c>
      <c r="G437" s="11" t="inlineStr">
        <is>
          <t>Crustacés</t>
        </is>
      </c>
      <c r="H437" s="12" t="n">
        <v>0.3152656143495268</v>
      </c>
      <c r="I437" s="10" t="inlineStr">
        <is>
          <t>catch_composition</t>
        </is>
      </c>
      <c r="J437" s="13" t="inlineStr">
        <is>
          <t>low</t>
        </is>
      </c>
      <c r="K437" s="10" t="inlineStr">
        <is>
          <t>composite_split</t>
        </is>
      </c>
      <c r="L437" s="11" t="inlineStr">
        <is>
          <t>Unspecified invertebrates span the three source-defined nonplankton invertebrate compartments; catch does not document its composition.</t>
        </is>
      </c>
      <c r="M437" s="10" t="n">
        <v>35.476</v>
      </c>
    </row>
    <row r="438" ht="36" customHeight="1">
      <c r="A438" s="10" t="inlineStr">
        <is>
          <t>LME_028</t>
        </is>
      </c>
      <c r="B438" s="11" t="inlineStr">
        <is>
          <t>28_646_Guinea_(1998)</t>
        </is>
      </c>
      <c r="C438" s="11" t="inlineStr">
        <is>
          <t>Miscellaneous aquatic invertebrates</t>
        </is>
      </c>
      <c r="D438" s="10" t="inlineStr">
        <is>
          <t>Aquatic invertebrates</t>
        </is>
      </c>
      <c r="E438" s="10" t="inlineStr">
        <is>
          <t>Other demersal invertebrates</t>
        </is>
      </c>
      <c r="F438" s="10" t="inlineStr">
        <is>
          <t>Other fishes &amp; inverts</t>
        </is>
      </c>
      <c r="G438" s="11" t="inlineStr">
        <is>
          <t>Benthos</t>
        </is>
      </c>
      <c r="H438" s="12" t="n">
        <v>0.04703844887612133</v>
      </c>
      <c r="I438" s="10" t="inlineStr">
        <is>
          <t>catch_composition</t>
        </is>
      </c>
      <c r="J438" s="13" t="inlineStr">
        <is>
          <t>low</t>
        </is>
      </c>
      <c r="K438" s="10" t="inlineStr">
        <is>
          <t>composite_split</t>
        </is>
      </c>
      <c r="L438" s="11" t="inlineStr">
        <is>
          <t>Unspecified invertebrates span the three source-defined nonplankton invertebrate compartments; catch does not document its composition.</t>
        </is>
      </c>
      <c r="M438" s="10" t="n">
        <v>35.476</v>
      </c>
    </row>
    <row r="439" ht="51" customHeight="1">
      <c r="A439" s="10" t="inlineStr">
        <is>
          <t>LME_028</t>
        </is>
      </c>
      <c r="B439" s="11" t="inlineStr">
        <is>
          <t>28_646_Guinea_(1998)</t>
        </is>
      </c>
      <c r="C439" s="11" t="inlineStr">
        <is>
          <t>Schedophilus ovalis</t>
        </is>
      </c>
      <c r="D439" s="10" t="inlineStr">
        <is>
          <t>Imperial blackfish</t>
        </is>
      </c>
      <c r="E439" s="10" t="inlineStr">
        <is>
          <t>Medium demersals (30 - 89 cm)</t>
        </is>
      </c>
      <c r="F439" s="10" t="inlineStr">
        <is>
          <t>Perch-likes</t>
        </is>
      </c>
      <c r="G439" s="11" t="inlineStr">
        <is>
          <t>Unresolved</t>
        </is>
      </c>
      <c r="H439" s="12" t="n"/>
      <c r="I439" s="10" t="inlineStr"/>
      <c r="J439" s="16" t="inlineStr">
        <is>
          <t>unresolved</t>
        </is>
      </c>
      <c r="K439" s="10" t="inlineStr">
        <is>
          <t>none</t>
        </is>
      </c>
      <c r="L43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39" s="10" t="n">
        <v>33.95</v>
      </c>
    </row>
    <row r="440" ht="51" customHeight="1">
      <c r="A440" s="10" t="inlineStr">
        <is>
          <t>LME_028</t>
        </is>
      </c>
      <c r="B440" s="11" t="inlineStr">
        <is>
          <t>28_646_Guinea_(1998)</t>
        </is>
      </c>
      <c r="C440" s="11" t="inlineStr">
        <is>
          <t>Pseudocaranx dentex</t>
        </is>
      </c>
      <c r="D440" s="10" t="inlineStr">
        <is>
          <t>White trevally</t>
        </is>
      </c>
      <c r="E440" s="10" t="inlineStr">
        <is>
          <t>Large reef assoc. fish (&gt;=90 cm)</t>
        </is>
      </c>
      <c r="F440" s="10" t="inlineStr">
        <is>
          <t>Perch-likes</t>
        </is>
      </c>
      <c r="G440" s="11" t="inlineStr">
        <is>
          <t>Unresolved</t>
        </is>
      </c>
      <c r="H440" s="12" t="n"/>
      <c r="I440" s="10" t="inlineStr"/>
      <c r="J440" s="16" t="inlineStr">
        <is>
          <t>unresolved</t>
        </is>
      </c>
      <c r="K440" s="10" t="inlineStr">
        <is>
          <t>none</t>
        </is>
      </c>
      <c r="L44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40" s="10" t="n">
        <v>30.464</v>
      </c>
    </row>
    <row r="441" ht="36" customHeight="1">
      <c r="A441" s="10" t="inlineStr">
        <is>
          <t>LME_028</t>
        </is>
      </c>
      <c r="B441" s="11" t="inlineStr">
        <is>
          <t>28_646_Guinea_(1998)</t>
        </is>
      </c>
      <c r="C441" s="11" t="inlineStr">
        <is>
          <t>Dentex maroccanus</t>
        </is>
      </c>
      <c r="D441" s="10" t="inlineStr">
        <is>
          <t>Morocco dentex</t>
        </is>
      </c>
      <c r="E441" s="10" t="inlineStr">
        <is>
          <t>Medium demersals (30 - 89 cm)</t>
        </is>
      </c>
      <c r="F441" s="10" t="inlineStr">
        <is>
          <t>Perch-likes</t>
        </is>
      </c>
      <c r="G441" s="11" t="inlineStr">
        <is>
          <t>Dem M pred</t>
        </is>
      </c>
      <c r="H441" s="12" t="n">
        <v>1</v>
      </c>
      <c r="I441" s="10" t="inlineStr">
        <is>
          <t>single</t>
        </is>
      </c>
      <c r="J441" s="14" t="inlineStr">
        <is>
          <t>high</t>
        </is>
      </c>
      <c r="K441" s="10" t="inlineStr">
        <is>
          <t>explicit_member</t>
        </is>
      </c>
      <c r="L441" s="11" t="inlineStr">
        <is>
          <t>Guénette &amp; Diallo 2004 Table 6 p.131 explicitly lists this taxon in the named group(s); printed and accepted names checked against WoRMS.</t>
        </is>
      </c>
      <c r="M441" s="10" t="n">
        <v>26.785</v>
      </c>
    </row>
    <row r="442" ht="51" customHeight="1">
      <c r="A442" s="10" t="inlineStr">
        <is>
          <t>LME_028</t>
        </is>
      </c>
      <c r="B442" s="11" t="inlineStr">
        <is>
          <t>28_646_Guinea_(1998)</t>
        </is>
      </c>
      <c r="C442" s="11" t="inlineStr">
        <is>
          <t>Rachycentridae</t>
        </is>
      </c>
      <c r="D442" s="10" t="inlineStr">
        <is>
          <t>Cobias</t>
        </is>
      </c>
      <c r="E442" s="10" t="inlineStr">
        <is>
          <t>Large pelagics (&gt;=90 cm)</t>
        </is>
      </c>
      <c r="F442" s="10" t="inlineStr">
        <is>
          <t>Perch-likes</t>
        </is>
      </c>
      <c r="G442" s="11" t="inlineStr">
        <is>
          <t>Côtier pel L pred</t>
        </is>
      </c>
      <c r="H442" s="12" t="n">
        <v>1</v>
      </c>
      <c r="I442" s="10" t="inlineStr">
        <is>
          <t>single</t>
        </is>
      </c>
      <c r="J442" s="15" t="inlineStr">
        <is>
          <t>medium</t>
        </is>
      </c>
      <c r="K442" s="10" t="inlineStr">
        <is>
          <t>taxonomic_containment</t>
        </is>
      </c>
      <c r="L442" s="11" t="inlineStr">
        <is>
          <t>Family catch spans the union of all Table 6 member groups belonging to Rachycentridae under WoRMS. Every candidate is supported by a source member; source placement outranks SAU habitat class.</t>
        </is>
      </c>
      <c r="M442" s="10" t="n">
        <v>25.052</v>
      </c>
    </row>
    <row r="443" ht="36" customHeight="1">
      <c r="A443" s="10" t="inlineStr">
        <is>
          <t>LME_028</t>
        </is>
      </c>
      <c r="B443" s="11" t="inlineStr">
        <is>
          <t>28_646_Guinea_(1998)</t>
        </is>
      </c>
      <c r="C443" s="11" t="inlineStr">
        <is>
          <t>Lamnidae</t>
        </is>
      </c>
      <c r="D443" s="10" t="inlineStr">
        <is>
          <t>Mackerel/white sharks</t>
        </is>
      </c>
      <c r="E443" s="10" t="inlineStr">
        <is>
          <t>Large sharks (&gt;=90 cm)</t>
        </is>
      </c>
      <c r="F443" s="10" t="inlineStr">
        <is>
          <t>Sharks &amp; rays</t>
        </is>
      </c>
      <c r="G443" s="11" t="inlineStr">
        <is>
          <t>Sélaciens L prof</t>
        </is>
      </c>
      <c r="H443" s="12" t="n">
        <v>1</v>
      </c>
      <c r="I443" s="10" t="inlineStr">
        <is>
          <t>single</t>
        </is>
      </c>
      <c r="J443" s="15" t="inlineStr">
        <is>
          <t>medium</t>
        </is>
      </c>
      <c r="K443" s="10" t="inlineStr">
        <is>
          <t>taxonomic_containment</t>
        </is>
      </c>
      <c r="L443" s="11" t="inlineStr">
        <is>
          <t>Family catch spans the union of all Table 6 member groups belonging to Lamnidae under WoRMS. Every candidate is supported by a source member; source placement outranks SAU habitat class.</t>
        </is>
      </c>
      <c r="M443" s="10" t="n">
        <v>24.614</v>
      </c>
    </row>
    <row r="444" ht="36" customHeight="1">
      <c r="A444" s="10" t="inlineStr">
        <is>
          <t>LME_028</t>
        </is>
      </c>
      <c r="B444" s="11" t="inlineStr">
        <is>
          <t>28_646_Guinea_(1998)</t>
        </is>
      </c>
      <c r="C444" s="11" t="inlineStr">
        <is>
          <t>Sarda</t>
        </is>
      </c>
      <c r="D444" s="10" t="inlineStr">
        <is>
          <t>Bonitos</t>
        </is>
      </c>
      <c r="E444" s="10" t="inlineStr">
        <is>
          <t>Large pelagics (&gt;=90 cm)</t>
        </is>
      </c>
      <c r="F444" s="10" t="inlineStr">
        <is>
          <t>Tuna &amp; billfishes</t>
        </is>
      </c>
      <c r="G444" s="11" t="inlineStr">
        <is>
          <t>Thons mineurs</t>
        </is>
      </c>
      <c r="H444" s="12" t="n">
        <v>1</v>
      </c>
      <c r="I444" s="10" t="inlineStr">
        <is>
          <t>single</t>
        </is>
      </c>
      <c r="J444" s="15" t="inlineStr">
        <is>
          <t>medium</t>
        </is>
      </c>
      <c r="K444" s="10" t="inlineStr">
        <is>
          <t>taxonomic_containment</t>
        </is>
      </c>
      <c r="L444" s="11" t="inlineStr">
        <is>
          <t>Genus-level catch spans exactly the Table 6 groups containing its documented species. No habitat class overrides those placements.</t>
        </is>
      </c>
      <c r="M444" s="10" t="n">
        <v>21.889</v>
      </c>
    </row>
    <row r="445" ht="36" customHeight="1">
      <c r="A445" s="10" t="inlineStr">
        <is>
          <t>LME_028</t>
        </is>
      </c>
      <c r="B445" s="11" t="inlineStr">
        <is>
          <t>28_646_Guinea_(1998)</t>
        </is>
      </c>
      <c r="C445" s="11" t="inlineStr">
        <is>
          <t>Isurus</t>
        </is>
      </c>
      <c r="D445" s="10" t="inlineStr">
        <is>
          <t>Mako sharks</t>
        </is>
      </c>
      <c r="E445" s="10" t="inlineStr">
        <is>
          <t>Large sharks (&gt;=90 cm)</t>
        </is>
      </c>
      <c r="F445" s="10" t="inlineStr">
        <is>
          <t>Sharks &amp; rays</t>
        </is>
      </c>
      <c r="G445" s="11" t="inlineStr">
        <is>
          <t>Sélaciens L prof</t>
        </is>
      </c>
      <c r="H445" s="12" t="n">
        <v>1</v>
      </c>
      <c r="I445" s="10" t="inlineStr">
        <is>
          <t>single</t>
        </is>
      </c>
      <c r="J445" s="15" t="inlineStr">
        <is>
          <t>medium</t>
        </is>
      </c>
      <c r="K445" s="10" t="inlineStr">
        <is>
          <t>taxonomic_containment</t>
        </is>
      </c>
      <c r="L445" s="11" t="inlineStr">
        <is>
          <t>Genus-level catch spans exactly the Table 6 groups containing its documented species. No habitat class overrides those placements.</t>
        </is>
      </c>
      <c r="M445" s="10" t="n">
        <v>20.731</v>
      </c>
    </row>
    <row r="446" ht="36" customHeight="1">
      <c r="A446" s="10" t="inlineStr">
        <is>
          <t>LME_028</t>
        </is>
      </c>
      <c r="B446" s="11" t="inlineStr">
        <is>
          <t>28_646_Guinea_(1998)</t>
        </is>
      </c>
      <c r="C446" s="11" t="inlineStr">
        <is>
          <t>Lophius</t>
        </is>
      </c>
      <c r="D446" s="10" t="inlineStr">
        <is>
          <t>Frogfishes</t>
        </is>
      </c>
      <c r="E446" s="10" t="inlineStr">
        <is>
          <t>Medium bathydemersals (30 - 89 cm)</t>
        </is>
      </c>
      <c r="F446" s="10" t="inlineStr">
        <is>
          <t>Other fishes &amp; inverts</t>
        </is>
      </c>
      <c r="G446" s="11" t="inlineStr">
        <is>
          <t>Bathy L pred</t>
        </is>
      </c>
      <c r="H446" s="12" t="n">
        <v>1</v>
      </c>
      <c r="I446" s="10" t="inlineStr">
        <is>
          <t>single</t>
        </is>
      </c>
      <c r="J446" s="15" t="inlineStr">
        <is>
          <t>medium</t>
        </is>
      </c>
      <c r="K446" s="10" t="inlineStr">
        <is>
          <t>taxonomic_containment</t>
        </is>
      </c>
      <c r="L446" s="11" t="inlineStr">
        <is>
          <t>Genus-level catch spans exactly the Table 6 groups containing its documented species. No habitat class overrides those placements.</t>
        </is>
      </c>
      <c r="M446" s="10" t="n">
        <v>15.601</v>
      </c>
    </row>
    <row r="447" ht="36" customHeight="1">
      <c r="A447" s="10" t="inlineStr">
        <is>
          <t>LME_028</t>
        </is>
      </c>
      <c r="B447" s="11" t="inlineStr">
        <is>
          <t>28_646_Guinea_(1998)</t>
        </is>
      </c>
      <c r="C447" s="11" t="inlineStr">
        <is>
          <t>Hoplostethus atlanticus</t>
        </is>
      </c>
      <c r="D447" s="10" t="inlineStr">
        <is>
          <t>Orange roughy</t>
        </is>
      </c>
      <c r="E447" s="10" t="inlineStr">
        <is>
          <t>Medium bathypelagics (30 - 89 cm)</t>
        </is>
      </c>
      <c r="F447" s="10" t="inlineStr">
        <is>
          <t>Other fishes &amp; inverts</t>
        </is>
      </c>
      <c r="G447" s="11" t="inlineStr">
        <is>
          <t>Bathy L pred</t>
        </is>
      </c>
      <c r="H447" s="12" t="n">
        <v>1</v>
      </c>
      <c r="I447" s="10" t="inlineStr">
        <is>
          <t>single</t>
        </is>
      </c>
      <c r="J447" s="15" t="inlineStr">
        <is>
          <t>medium</t>
        </is>
      </c>
      <c r="K447" s="10" t="inlineStr">
        <is>
          <t>analogue</t>
        </is>
      </c>
      <c r="L447" s="11" t="inlineStr">
        <is>
          <t>Species not individually listed: its genus has one documented Table 6 group, supported by the catch's Medium bathypelagics (30 - 89 cm) class. Congeneric extension is inference.</t>
        </is>
      </c>
      <c r="M447" s="10" t="n">
        <v>13.538</v>
      </c>
    </row>
    <row r="448" ht="36" customHeight="1">
      <c r="A448" s="10" t="inlineStr">
        <is>
          <t>LME_028</t>
        </is>
      </c>
      <c r="B448" s="11" t="inlineStr">
        <is>
          <t>28_646_Guinea_(1998)</t>
        </is>
      </c>
      <c r="C448" s="11" t="inlineStr">
        <is>
          <t>Serranus</t>
        </is>
      </c>
      <c r="D448" s="10" t="inlineStr">
        <is>
          <t>Groupers</t>
        </is>
      </c>
      <c r="E448" s="10" t="inlineStr">
        <is>
          <t>Small reef assoc. fish (&lt;30 cm)</t>
        </is>
      </c>
      <c r="F448" s="10" t="inlineStr">
        <is>
          <t>Perch-likes</t>
        </is>
      </c>
      <c r="G448" s="11" t="inlineStr">
        <is>
          <t>Dem M pred</t>
        </is>
      </c>
      <c r="H448" s="12" t="n">
        <v>1</v>
      </c>
      <c r="I448" s="10" t="inlineStr">
        <is>
          <t>single</t>
        </is>
      </c>
      <c r="J448" s="15" t="inlineStr">
        <is>
          <t>medium</t>
        </is>
      </c>
      <c r="K448" s="10" t="inlineStr">
        <is>
          <t>taxonomic_containment</t>
        </is>
      </c>
      <c r="L448" s="11" t="inlineStr">
        <is>
          <t>Genus-level catch spans exactly the Table 6 groups containing its documented species. No habitat class overrides those placements.</t>
        </is>
      </c>
      <c r="M448" s="10" t="n">
        <v>11.48</v>
      </c>
    </row>
    <row r="449" ht="51" customHeight="1">
      <c r="A449" s="10" t="inlineStr">
        <is>
          <t>LME_028</t>
        </is>
      </c>
      <c r="B449" s="11" t="inlineStr">
        <is>
          <t>28_646_Guinea_(1998)</t>
        </is>
      </c>
      <c r="C449" s="11" t="inlineStr">
        <is>
          <t>Sebastidae</t>
        </is>
      </c>
      <c r="D449" s="10" t="inlineStr">
        <is>
          <t>Rockfishes, rockcods, thornyheads</t>
        </is>
      </c>
      <c r="E449" s="10" t="inlineStr">
        <is>
          <t>Medium demersals (30 - 89 cm)</t>
        </is>
      </c>
      <c r="F449" s="10" t="inlineStr">
        <is>
          <t>Scorpionfishes</t>
        </is>
      </c>
      <c r="G449" s="11" t="inlineStr">
        <is>
          <t>Bathy L pred</t>
        </is>
      </c>
      <c r="H449" s="12" t="n">
        <v>1</v>
      </c>
      <c r="I449" s="10" t="inlineStr">
        <is>
          <t>single</t>
        </is>
      </c>
      <c r="J449" s="15" t="inlineStr">
        <is>
          <t>medium</t>
        </is>
      </c>
      <c r="K449" s="10" t="inlineStr">
        <is>
          <t>taxonomic_containment</t>
        </is>
      </c>
      <c r="L449" s="11" t="inlineStr">
        <is>
          <t>Family catch spans the union of all Table 6 member groups belonging to Sebastidae under WoRMS. Every candidate is supported by a source member; source placement outranks SAU habitat class.</t>
        </is>
      </c>
      <c r="M449" s="10" t="n">
        <v>11.345</v>
      </c>
    </row>
    <row r="450" ht="36" customHeight="1">
      <c r="A450" s="10" t="inlineStr">
        <is>
          <t>LME_028</t>
        </is>
      </c>
      <c r="B450" s="11" t="inlineStr">
        <is>
          <t>28_646_Guinea_(1998)</t>
        </is>
      </c>
      <c r="C450" s="11" t="inlineStr">
        <is>
          <t>Serranus cabrilla</t>
        </is>
      </c>
      <c r="D450" s="10" t="inlineStr">
        <is>
          <t>Comber</t>
        </is>
      </c>
      <c r="E450" s="10" t="inlineStr">
        <is>
          <t>Medium bathydemersals (30 - 89 cm)</t>
        </is>
      </c>
      <c r="F450" s="10" t="inlineStr">
        <is>
          <t>Perch-likes</t>
        </is>
      </c>
      <c r="G450" s="11" t="inlineStr">
        <is>
          <t>Dem M pred</t>
        </is>
      </c>
      <c r="H450" s="12" t="n">
        <v>1</v>
      </c>
      <c r="I450" s="10" t="inlineStr">
        <is>
          <t>single</t>
        </is>
      </c>
      <c r="J450" s="14" t="inlineStr">
        <is>
          <t>high</t>
        </is>
      </c>
      <c r="K450" s="10" t="inlineStr">
        <is>
          <t>explicit_member</t>
        </is>
      </c>
      <c r="L450" s="11" t="inlineStr">
        <is>
          <t>Guénette &amp; Diallo 2004 Table 6 p.131 explicitly lists this taxon in the named group(s); printed and accepted names checked against WoRMS.</t>
        </is>
      </c>
      <c r="M450" s="10" t="n">
        <v>10.806</v>
      </c>
    </row>
    <row r="451" ht="36" customHeight="1">
      <c r="A451" s="10" t="inlineStr">
        <is>
          <t>LME_028</t>
        </is>
      </c>
      <c r="B451" s="11" t="inlineStr">
        <is>
          <t>28_646_Guinea_(1998)</t>
        </is>
      </c>
      <c r="C451" s="11" t="inlineStr">
        <is>
          <t>Diplodus sargus</t>
        </is>
      </c>
      <c r="D451" s="10" t="inlineStr">
        <is>
          <t>White seabream</t>
        </is>
      </c>
      <c r="E451" s="10" t="inlineStr">
        <is>
          <t>Medium demersals (30 - 89 cm)</t>
        </is>
      </c>
      <c r="F451" s="10" t="inlineStr">
        <is>
          <t>Perch-likes</t>
        </is>
      </c>
      <c r="G451" s="11" t="inlineStr">
        <is>
          <t>Côtier M inv</t>
        </is>
      </c>
      <c r="H451" s="12" t="n">
        <v>1</v>
      </c>
      <c r="I451" s="10" t="inlineStr">
        <is>
          <t>single</t>
        </is>
      </c>
      <c r="J451" s="15" t="inlineStr">
        <is>
          <t>medium</t>
        </is>
      </c>
      <c r="K451" s="10" t="inlineStr">
        <is>
          <t>analogue</t>
        </is>
      </c>
      <c r="L451" s="11" t="inlineStr">
        <is>
          <t>Species not individually listed: its genus has one documented Table 6 group, supported by the catch's Medium demersals (30 - 89 cm) class. Congeneric extension is inference.</t>
        </is>
      </c>
      <c r="M451" s="10" t="n">
        <v>10.196</v>
      </c>
    </row>
    <row r="452" ht="51" customHeight="1">
      <c r="A452" s="10" t="inlineStr">
        <is>
          <t>LME_028</t>
        </is>
      </c>
      <c r="B452" s="11" t="inlineStr">
        <is>
          <t>28_646_Guinea_(1998)</t>
        </is>
      </c>
      <c r="C452" s="11" t="inlineStr">
        <is>
          <t>Deania calceus</t>
        </is>
      </c>
      <c r="D452" s="10" t="inlineStr">
        <is>
          <t>Birdbeak dogfish</t>
        </is>
      </c>
      <c r="E452" s="10" t="inlineStr">
        <is>
          <t>Large sharks (&gt;=90 cm)</t>
        </is>
      </c>
      <c r="F452" s="10" t="inlineStr">
        <is>
          <t>Sharks &amp; rays</t>
        </is>
      </c>
      <c r="G452" s="11" t="inlineStr">
        <is>
          <t>Unresolved</t>
        </is>
      </c>
      <c r="H452" s="12" t="n"/>
      <c r="I452" s="10" t="inlineStr"/>
      <c r="J452" s="16" t="inlineStr">
        <is>
          <t>unresolved</t>
        </is>
      </c>
      <c r="K452" s="10" t="inlineStr">
        <is>
          <t>none</t>
        </is>
      </c>
      <c r="L45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2" s="10" t="n">
        <v>10.112</v>
      </c>
    </row>
    <row r="453" ht="51" customHeight="1">
      <c r="A453" s="10" t="inlineStr">
        <is>
          <t>LME_028</t>
        </is>
      </c>
      <c r="B453" s="11" t="inlineStr">
        <is>
          <t>28_646_Guinea_(1998)</t>
        </is>
      </c>
      <c r="C453" s="11" t="inlineStr">
        <is>
          <t>Lamniformes</t>
        </is>
      </c>
      <c r="D453" s="10" t="inlineStr">
        <is>
          <t>Mackerel sharks</t>
        </is>
      </c>
      <c r="E453" s="10" t="inlineStr">
        <is>
          <t>Large sharks (&gt;=90 cm)</t>
        </is>
      </c>
      <c r="F453" s="10" t="inlineStr">
        <is>
          <t>Sharks &amp; rays</t>
        </is>
      </c>
      <c r="G453" s="11" t="inlineStr">
        <is>
          <t>Unresolved</t>
        </is>
      </c>
      <c r="H453" s="12" t="n"/>
      <c r="I453" s="10" t="inlineStr"/>
      <c r="J453" s="16" t="inlineStr">
        <is>
          <t>unresolved</t>
        </is>
      </c>
      <c r="K453" s="10" t="inlineStr">
        <is>
          <t>none</t>
        </is>
      </c>
      <c r="L453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3" s="10" t="n">
        <v>9.935</v>
      </c>
    </row>
    <row r="454" ht="36" customHeight="1">
      <c r="A454" s="10" t="inlineStr">
        <is>
          <t>LME_028</t>
        </is>
      </c>
      <c r="B454" s="11" t="inlineStr">
        <is>
          <t>28_646_Guinea_(1998)</t>
        </is>
      </c>
      <c r="C454" s="11" t="inlineStr">
        <is>
          <t>Dicologlossa hexophthalma</t>
        </is>
      </c>
      <c r="D454" s="10" t="inlineStr">
        <is>
          <t>Ocellated wedge sole</t>
        </is>
      </c>
      <c r="E454" s="10" t="inlineStr">
        <is>
          <t>Small to medium flatfishes (&lt;90 cm)</t>
        </is>
      </c>
      <c r="F454" s="10" t="inlineStr">
        <is>
          <t>Flatfishes</t>
        </is>
      </c>
      <c r="G454" s="11" t="inlineStr">
        <is>
          <t>Côtier M inv</t>
        </is>
      </c>
      <c r="H454" s="12" t="n">
        <v>1</v>
      </c>
      <c r="I454" s="10" t="inlineStr">
        <is>
          <t>single</t>
        </is>
      </c>
      <c r="J454" s="14" t="inlineStr">
        <is>
          <t>high</t>
        </is>
      </c>
      <c r="K454" s="10" t="inlineStr">
        <is>
          <t>explicit_member</t>
        </is>
      </c>
      <c r="L454" s="11" t="inlineStr">
        <is>
          <t>Guénette &amp; Diallo 2004 Table 6 p.131 explicitly lists this taxon in the named group(s); printed and accepted names checked against WoRMS.</t>
        </is>
      </c>
      <c r="M454" s="10" t="n">
        <v>9.268000000000001</v>
      </c>
    </row>
    <row r="455" ht="36" customHeight="1">
      <c r="A455" s="10" t="inlineStr">
        <is>
          <t>LME_028</t>
        </is>
      </c>
      <c r="B455" s="11" t="inlineStr">
        <is>
          <t>28_646_Guinea_(1998)</t>
        </is>
      </c>
      <c r="C455" s="11" t="inlineStr">
        <is>
          <t>Carcharhinus longimanus</t>
        </is>
      </c>
      <c r="D455" s="10" t="inlineStr">
        <is>
          <t>Oceanic whitetip shark</t>
        </is>
      </c>
      <c r="E455" s="10" t="inlineStr">
        <is>
          <t>Large sharks (&gt;=90 cm)</t>
        </is>
      </c>
      <c r="F455" s="10" t="inlineStr">
        <is>
          <t>Sharks &amp; rays</t>
        </is>
      </c>
      <c r="G455" s="11" t="inlineStr">
        <is>
          <t>Sélaciens L prof</t>
        </is>
      </c>
      <c r="H455" s="12" t="n">
        <v>1</v>
      </c>
      <c r="I455" s="10" t="inlineStr">
        <is>
          <t>single</t>
        </is>
      </c>
      <c r="J455" s="14" t="inlineStr">
        <is>
          <t>high</t>
        </is>
      </c>
      <c r="K455" s="10" t="inlineStr">
        <is>
          <t>explicit_member</t>
        </is>
      </c>
      <c r="L455" s="11" t="inlineStr">
        <is>
          <t>Guénette &amp; Diallo 2004 Table 6 p.131 explicitly lists this taxon in the named group(s); printed and accepted names checked against WoRMS.</t>
        </is>
      </c>
      <c r="M455" s="10" t="n">
        <v>8.884</v>
      </c>
    </row>
    <row r="456" ht="51" customHeight="1">
      <c r="A456" s="10" t="inlineStr">
        <is>
          <t>LME_028</t>
        </is>
      </c>
      <c r="B456" s="11" t="inlineStr">
        <is>
          <t>28_646_Guinea_(1998)</t>
        </is>
      </c>
      <c r="C456" s="11" t="inlineStr">
        <is>
          <t>Centroscyllium fabricii</t>
        </is>
      </c>
      <c r="D456" s="10" t="inlineStr">
        <is>
          <t>Black dogfish</t>
        </is>
      </c>
      <c r="E456" s="10" t="inlineStr">
        <is>
          <t>Small to medium sharks (&lt;90 cm)</t>
        </is>
      </c>
      <c r="F456" s="10" t="inlineStr">
        <is>
          <t>Sharks &amp; rays</t>
        </is>
      </c>
      <c r="G456" s="11" t="inlineStr">
        <is>
          <t>Unresolved</t>
        </is>
      </c>
      <c r="H456" s="12" t="n"/>
      <c r="I456" s="10" t="inlineStr"/>
      <c r="J456" s="16" t="inlineStr">
        <is>
          <t>unresolved</t>
        </is>
      </c>
      <c r="K456" s="10" t="inlineStr">
        <is>
          <t>none</t>
        </is>
      </c>
      <c r="L45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6" s="10" t="n">
        <v>8.452</v>
      </c>
    </row>
    <row r="457" ht="36" customHeight="1">
      <c r="A457" s="10" t="inlineStr">
        <is>
          <t>LME_028</t>
        </is>
      </c>
      <c r="B457" s="11" t="inlineStr">
        <is>
          <t>28_646_Guinea_(1998)</t>
        </is>
      </c>
      <c r="C457" s="11" t="inlineStr">
        <is>
          <t>Liza</t>
        </is>
      </c>
      <c r="D457" s="10" t="inlineStr">
        <is>
          <t>Mullets</t>
        </is>
      </c>
      <c r="E457" s="10" t="inlineStr">
        <is>
          <t>Medium pelagics (30 - 89 cm)</t>
        </is>
      </c>
      <c r="F457" s="10" t="inlineStr">
        <is>
          <t>Perch-likes</t>
        </is>
      </c>
      <c r="G457" s="11" t="inlineStr">
        <is>
          <t>Mulets</t>
        </is>
      </c>
      <c r="H457" s="12" t="n">
        <v>1</v>
      </c>
      <c r="I457" s="10" t="inlineStr">
        <is>
          <t>single</t>
        </is>
      </c>
      <c r="J457" s="15" t="inlineStr">
        <is>
          <t>medium</t>
        </is>
      </c>
      <c r="K457" s="10" t="inlineStr">
        <is>
          <t>taxonomic_containment</t>
        </is>
      </c>
      <c r="L457" s="11" t="inlineStr">
        <is>
          <t>Genus-level catch spans exactly the Table 6 groups containing its documented species. No habitat class overrides those placements.</t>
        </is>
      </c>
      <c r="M457" s="10" t="n">
        <v>7.908</v>
      </c>
    </row>
    <row r="458" ht="51" customHeight="1">
      <c r="A458" s="10" t="inlineStr">
        <is>
          <t>LME_028</t>
        </is>
      </c>
      <c r="B458" s="11" t="inlineStr">
        <is>
          <t>28_646_Guinea_(1998)</t>
        </is>
      </c>
      <c r="C458" s="11" t="inlineStr">
        <is>
          <t>Alepisaurus ferox</t>
        </is>
      </c>
      <c r="D458" s="10" t="inlineStr">
        <is>
          <t>Long snouted lancetfish</t>
        </is>
      </c>
      <c r="E458" s="10" t="inlineStr">
        <is>
          <t>Large bathypelagics (&gt;=90 cm)</t>
        </is>
      </c>
      <c r="F458" s="10" t="inlineStr">
        <is>
          <t>Other fishes &amp; inverts</t>
        </is>
      </c>
      <c r="G458" s="11" t="inlineStr">
        <is>
          <t>Unresolved</t>
        </is>
      </c>
      <c r="H458" s="12" t="n"/>
      <c r="I458" s="10" t="inlineStr"/>
      <c r="J458" s="16" t="inlineStr">
        <is>
          <t>unresolved</t>
        </is>
      </c>
      <c r="K458" s="10" t="inlineStr">
        <is>
          <t>none</t>
        </is>
      </c>
      <c r="L45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58" s="10" t="n">
        <v>7.172</v>
      </c>
    </row>
    <row r="459" ht="51" customHeight="1">
      <c r="A459" s="10" t="inlineStr">
        <is>
          <t>LME_028</t>
        </is>
      </c>
      <c r="B459" s="11" t="inlineStr">
        <is>
          <t>28_646_Guinea_(1998)</t>
        </is>
      </c>
      <c r="C459" s="11" t="inlineStr">
        <is>
          <t>Dicentrarchus</t>
        </is>
      </c>
      <c r="D459" s="10" t="inlineStr">
        <is>
          <t>Seabasses</t>
        </is>
      </c>
      <c r="E459" s="10" t="inlineStr">
        <is>
          <t>Large demersals (&gt;=90 cm)</t>
        </is>
      </c>
      <c r="F459" s="10" t="inlineStr">
        <is>
          <t>Perch-likes</t>
        </is>
      </c>
      <c r="G459" s="11" t="inlineStr">
        <is>
          <t>Unresolved</t>
        </is>
      </c>
      <c r="H459" s="12" t="n"/>
      <c r="I459" s="10" t="inlineStr"/>
      <c r="J459" s="16" t="inlineStr">
        <is>
          <t>unresolved</t>
        </is>
      </c>
      <c r="K459" s="10" t="inlineStr">
        <is>
          <t>none</t>
        </is>
      </c>
      <c r="L45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59" s="10" t="n">
        <v>6.756</v>
      </c>
    </row>
    <row r="460" ht="51" customHeight="1">
      <c r="A460" s="10" t="inlineStr">
        <is>
          <t>LME_028</t>
        </is>
      </c>
      <c r="B460" s="11" t="inlineStr">
        <is>
          <t>28_646_Guinea_(1998)</t>
        </is>
      </c>
      <c r="C460" s="11" t="inlineStr">
        <is>
          <t>Gephyroberyx darwinii</t>
        </is>
      </c>
      <c r="D460" s="10" t="inlineStr">
        <is>
          <t>Darwin's slimehead</t>
        </is>
      </c>
      <c r="E460" s="10" t="inlineStr">
        <is>
          <t>Medium benthopelagics (30 - 89 cm)</t>
        </is>
      </c>
      <c r="F460" s="10" t="inlineStr">
        <is>
          <t>Other fishes &amp; inverts</t>
        </is>
      </c>
      <c r="G460" s="11" t="inlineStr">
        <is>
          <t>Unresolved</t>
        </is>
      </c>
      <c r="H460" s="12" t="n"/>
      <c r="I460" s="10" t="inlineStr"/>
      <c r="J460" s="16" t="inlineStr">
        <is>
          <t>unresolved</t>
        </is>
      </c>
      <c r="K460" s="10" t="inlineStr">
        <is>
          <t>none</t>
        </is>
      </c>
      <c r="L46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0" s="10" t="n">
        <v>6.187</v>
      </c>
    </row>
    <row r="461" ht="51" customHeight="1">
      <c r="A461" s="10" t="inlineStr">
        <is>
          <t>LME_028</t>
        </is>
      </c>
      <c r="B461" s="11" t="inlineStr">
        <is>
          <t>28_646_Guinea_(1998)</t>
        </is>
      </c>
      <c r="C461" s="11" t="inlineStr">
        <is>
          <t>Aphanopus intermedius</t>
        </is>
      </c>
      <c r="D461" s="10" t="inlineStr">
        <is>
          <t>Intermediate scabbardfish</t>
        </is>
      </c>
      <c r="E461" s="10" t="inlineStr">
        <is>
          <t>Large benthopelagics (&gt;=90 cm)</t>
        </is>
      </c>
      <c r="F461" s="10" t="inlineStr">
        <is>
          <t>Perch-likes</t>
        </is>
      </c>
      <c r="G461" s="11" t="inlineStr">
        <is>
          <t>Unresolved</t>
        </is>
      </c>
      <c r="H461" s="12" t="n"/>
      <c r="I461" s="10" t="inlineStr"/>
      <c r="J461" s="16" t="inlineStr">
        <is>
          <t>unresolved</t>
        </is>
      </c>
      <c r="K461" s="10" t="inlineStr">
        <is>
          <t>none</t>
        </is>
      </c>
      <c r="L46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1" s="10" t="n">
        <v>6.182</v>
      </c>
    </row>
    <row r="462" ht="51" customHeight="1">
      <c r="A462" s="10" t="inlineStr">
        <is>
          <t>LME_028</t>
        </is>
      </c>
      <c r="B462" s="11" t="inlineStr">
        <is>
          <t>28_646_Guinea_(1998)</t>
        </is>
      </c>
      <c r="C462" s="11" t="inlineStr">
        <is>
          <t>Parapristipoma octolineatum</t>
        </is>
      </c>
      <c r="D462" s="10" t="inlineStr">
        <is>
          <t>African striped grunt</t>
        </is>
      </c>
      <c r="E462" s="10" t="inlineStr">
        <is>
          <t>Medium demersals (30 - 89 cm)</t>
        </is>
      </c>
      <c r="F462" s="10" t="inlineStr">
        <is>
          <t>Perch-likes</t>
        </is>
      </c>
      <c r="G462" s="11" t="inlineStr">
        <is>
          <t>Unresolved</t>
        </is>
      </c>
      <c r="H462" s="12" t="n"/>
      <c r="I462" s="10" t="inlineStr"/>
      <c r="J462" s="16" t="inlineStr">
        <is>
          <t>unresolved</t>
        </is>
      </c>
      <c r="K462" s="10" t="inlineStr">
        <is>
          <t>none</t>
        </is>
      </c>
      <c r="L462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2" s="10" t="n">
        <v>6.052</v>
      </c>
    </row>
    <row r="463" ht="51" customHeight="1">
      <c r="A463" s="10" t="inlineStr">
        <is>
          <t>LME_028</t>
        </is>
      </c>
      <c r="B463" s="11" t="inlineStr">
        <is>
          <t>28_646_Guinea_(1998)</t>
        </is>
      </c>
      <c r="C463" s="11" t="inlineStr">
        <is>
          <t>Priacanthidae</t>
        </is>
      </c>
      <c r="D463" s="10" t="inlineStr">
        <is>
          <t>Bigeyes, catalufas</t>
        </is>
      </c>
      <c r="E463" s="10" t="inlineStr">
        <is>
          <t>Medium reef assoc. fish (30 - 89 cm)</t>
        </is>
      </c>
      <c r="F463" s="10" t="inlineStr">
        <is>
          <t>Perch-likes</t>
        </is>
      </c>
      <c r="G463" s="11" t="inlineStr">
        <is>
          <t>Dem M pred</t>
        </is>
      </c>
      <c r="H463" s="12" t="n">
        <v>1</v>
      </c>
      <c r="I463" s="10" t="inlineStr">
        <is>
          <t>single</t>
        </is>
      </c>
      <c r="J463" s="15" t="inlineStr">
        <is>
          <t>medium</t>
        </is>
      </c>
      <c r="K463" s="10" t="inlineStr">
        <is>
          <t>taxonomic_containment</t>
        </is>
      </c>
      <c r="L463" s="11" t="inlineStr">
        <is>
          <t>Family catch spans the union of all Table 6 member groups belonging to Priacanthidae under WoRMS. Every candidate is supported by a source member; source placement outranks SAU habitat class.</t>
        </is>
      </c>
      <c r="M463" s="10" t="n">
        <v>5.545</v>
      </c>
    </row>
    <row r="464" ht="36" customHeight="1">
      <c r="A464" s="10" t="inlineStr">
        <is>
          <t>LME_028</t>
        </is>
      </c>
      <c r="B464" s="11" t="inlineStr">
        <is>
          <t>28_646_Guinea_(1998)</t>
        </is>
      </c>
      <c r="C464" s="11" t="inlineStr">
        <is>
          <t>Psettodes bennettii</t>
        </is>
      </c>
      <c r="D464" s="10" t="inlineStr">
        <is>
          <t>Spiny turbot</t>
        </is>
      </c>
      <c r="E464" s="10" t="inlineStr">
        <is>
          <t>Small to medium flatfishes (&lt;90 cm)</t>
        </is>
      </c>
      <c r="F464" s="10" t="inlineStr">
        <is>
          <t>Flatfishes</t>
        </is>
      </c>
      <c r="G464" s="11" t="inlineStr">
        <is>
          <t>Côtier L pred</t>
        </is>
      </c>
      <c r="H464" s="12" t="n">
        <v>1</v>
      </c>
      <c r="I464" s="10" t="inlineStr">
        <is>
          <t>single</t>
        </is>
      </c>
      <c r="J464" s="15" t="inlineStr">
        <is>
          <t>medium</t>
        </is>
      </c>
      <c r="K464" s="10" t="inlineStr">
        <is>
          <t>analogue</t>
        </is>
      </c>
      <c r="L464" s="11" t="inlineStr">
        <is>
          <t>Species not individually listed: its genus has one documented Table 6 group, supported by the catch's Small to medium flatfishes (&lt;90 cm) class. Congeneric extension is inference.</t>
        </is>
      </c>
      <c r="M464" s="10" t="n">
        <v>4.275</v>
      </c>
    </row>
    <row r="465" ht="51" customHeight="1">
      <c r="A465" s="10" t="inlineStr">
        <is>
          <t>LME_028</t>
        </is>
      </c>
      <c r="B465" s="11" t="inlineStr">
        <is>
          <t>28_646_Guinea_(1998)</t>
        </is>
      </c>
      <c r="C465" s="11" t="inlineStr">
        <is>
          <t>Scymnodon ringens</t>
        </is>
      </c>
      <c r="D465" s="10" t="inlineStr">
        <is>
          <t>Knifetooth dogfish</t>
        </is>
      </c>
      <c r="E465" s="10" t="inlineStr">
        <is>
          <t>Small to medium sharks (&lt;90 cm)</t>
        </is>
      </c>
      <c r="F465" s="10" t="inlineStr">
        <is>
          <t>Sharks &amp; rays</t>
        </is>
      </c>
      <c r="G465" s="11" t="inlineStr">
        <is>
          <t>Unresolved</t>
        </is>
      </c>
      <c r="H465" s="12" t="n"/>
      <c r="I465" s="10" t="inlineStr"/>
      <c r="J465" s="16" t="inlineStr">
        <is>
          <t>unresolved</t>
        </is>
      </c>
      <c r="K465" s="10" t="inlineStr">
        <is>
          <t>none</t>
        </is>
      </c>
      <c r="L46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65" s="10" t="n">
        <v>4.231</v>
      </c>
    </row>
    <row r="466" ht="51" customHeight="1">
      <c r="A466" s="10" t="inlineStr">
        <is>
          <t>LME_028</t>
        </is>
      </c>
      <c r="B466" s="11" t="inlineStr">
        <is>
          <t>28_646_Guinea_(1998)</t>
        </is>
      </c>
      <c r="C466" s="11" t="inlineStr">
        <is>
          <t>Beryx decadactylus</t>
        </is>
      </c>
      <c r="D466" s="10" t="inlineStr">
        <is>
          <t>Alfonsino</t>
        </is>
      </c>
      <c r="E466" s="10" t="inlineStr">
        <is>
          <t>Medium bathydemersals (30 - 89 cm)</t>
        </is>
      </c>
      <c r="F466" s="10" t="inlineStr">
        <is>
          <t>Other fishes &amp; inverts</t>
        </is>
      </c>
      <c r="G466" s="11" t="inlineStr">
        <is>
          <t>Unresolved</t>
        </is>
      </c>
      <c r="H466" s="12" t="n"/>
      <c r="I466" s="10" t="inlineStr"/>
      <c r="J466" s="16" t="inlineStr">
        <is>
          <t>unresolved</t>
        </is>
      </c>
      <c r="K466" s="10" t="inlineStr">
        <is>
          <t>none</t>
        </is>
      </c>
      <c r="L466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6" s="10" t="n">
        <v>3.969</v>
      </c>
    </row>
    <row r="467" ht="36" customHeight="1">
      <c r="A467" s="10" t="inlineStr">
        <is>
          <t>LME_028</t>
        </is>
      </c>
      <c r="B467" s="11" t="inlineStr">
        <is>
          <t>28_646_Guinea_(1998)</t>
        </is>
      </c>
      <c r="C467" s="11" t="inlineStr">
        <is>
          <t>Squalus</t>
        </is>
      </c>
      <c r="D467" s="10" t="inlineStr">
        <is>
          <t>Dogfishes</t>
        </is>
      </c>
      <c r="E467" s="10" t="inlineStr">
        <is>
          <t>Large sharks (&gt;=90 cm)</t>
        </is>
      </c>
      <c r="F467" s="10" t="inlineStr">
        <is>
          <t>Sharks &amp; rays</t>
        </is>
      </c>
      <c r="G467" s="11" t="inlineStr">
        <is>
          <t>Sélaciens L prof</t>
        </is>
      </c>
      <c r="H467" s="12" t="n">
        <v>0.8097255094841217</v>
      </c>
      <c r="I467" s="10" t="inlineStr">
        <is>
          <t>catch_composition</t>
        </is>
      </c>
      <c r="J467" s="15" t="inlineStr">
        <is>
          <t>medium</t>
        </is>
      </c>
      <c r="K467" s="10" t="inlineStr">
        <is>
          <t>composite_split</t>
        </is>
      </c>
      <c r="L467" s="11" t="inlineStr">
        <is>
          <t>Genus-level catch spans exactly the Table 6 groups containing its documented species. No habitat class overrides those placements.</t>
        </is>
      </c>
      <c r="M467" s="10" t="n">
        <v>3.959</v>
      </c>
    </row>
    <row r="468" ht="36" customHeight="1">
      <c r="A468" s="10" t="inlineStr">
        <is>
          <t>LME_028</t>
        </is>
      </c>
      <c r="B468" s="11" t="inlineStr">
        <is>
          <t>28_646_Guinea_(1998)</t>
        </is>
      </c>
      <c r="C468" s="11" t="inlineStr">
        <is>
          <t>Squalus</t>
        </is>
      </c>
      <c r="D468" s="10" t="inlineStr">
        <is>
          <t>Dogfishes</t>
        </is>
      </c>
      <c r="E468" s="10" t="inlineStr">
        <is>
          <t>Large sharks (&gt;=90 cm)</t>
        </is>
      </c>
      <c r="F468" s="10" t="inlineStr">
        <is>
          <t>Sharks &amp; rays</t>
        </is>
      </c>
      <c r="G468" s="11" t="inlineStr">
        <is>
          <t>Sélaciens M prof</t>
        </is>
      </c>
      <c r="H468" s="12" t="n">
        <v>0.1902744905158783</v>
      </c>
      <c r="I468" s="10" t="inlineStr">
        <is>
          <t>catch_composition</t>
        </is>
      </c>
      <c r="J468" s="15" t="inlineStr">
        <is>
          <t>medium</t>
        </is>
      </c>
      <c r="K468" s="10" t="inlineStr">
        <is>
          <t>composite_split</t>
        </is>
      </c>
      <c r="L468" s="11" t="inlineStr">
        <is>
          <t>Genus-level catch spans exactly the Table 6 groups containing its documented species. No habitat class overrides those placements.</t>
        </is>
      </c>
      <c r="M468" s="10" t="n">
        <v>3.959</v>
      </c>
    </row>
    <row r="469" ht="51" customHeight="1">
      <c r="A469" s="10" t="inlineStr">
        <is>
          <t>LME_028</t>
        </is>
      </c>
      <c r="B469" s="11" t="inlineStr">
        <is>
          <t>28_646_Guinea_(1998)</t>
        </is>
      </c>
      <c r="C469" s="11" t="inlineStr">
        <is>
          <t>Carcharhinus plumbeus</t>
        </is>
      </c>
      <c r="D469" s="10" t="inlineStr">
        <is>
          <t>Sandbar shark</t>
        </is>
      </c>
      <c r="E469" s="10" t="inlineStr">
        <is>
          <t>Large sharks (&gt;=90 cm)</t>
        </is>
      </c>
      <c r="F469" s="10" t="inlineStr">
        <is>
          <t>Sharks &amp; rays</t>
        </is>
      </c>
      <c r="G469" s="11" t="inlineStr">
        <is>
          <t>Unresolved</t>
        </is>
      </c>
      <c r="H469" s="12" t="n"/>
      <c r="I469" s="10" t="inlineStr"/>
      <c r="J469" s="16" t="inlineStr">
        <is>
          <t>unresolved</t>
        </is>
      </c>
      <c r="K469" s="10" t="inlineStr">
        <is>
          <t>none</t>
        </is>
      </c>
      <c r="L469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69" s="10" t="n">
        <v>3.219</v>
      </c>
    </row>
    <row r="470" ht="36" customHeight="1">
      <c r="A470" s="10" t="inlineStr">
        <is>
          <t>LME_028</t>
        </is>
      </c>
      <c r="B470" s="11" t="inlineStr">
        <is>
          <t>28_646_Guinea_(1998)</t>
        </is>
      </c>
      <c r="C470" s="11" t="inlineStr">
        <is>
          <t>Geryon</t>
        </is>
      </c>
      <c r="D470" s="10" t="inlineStr">
        <is>
          <t>Deepsea crabs</t>
        </is>
      </c>
      <c r="E470" s="10" t="inlineStr">
        <is>
          <t>Lobsters, crabs</t>
        </is>
      </c>
      <c r="F470" s="10" t="inlineStr">
        <is>
          <t>Crustaceans</t>
        </is>
      </c>
      <c r="G470" s="11" t="inlineStr">
        <is>
          <t>Crustacés</t>
        </is>
      </c>
      <c r="H470" s="12" t="n">
        <v>1</v>
      </c>
      <c r="I470" s="10" t="inlineStr">
        <is>
          <t>single</t>
        </is>
      </c>
      <c r="J470" s="14" t="inlineStr">
        <is>
          <t>high</t>
        </is>
      </c>
      <c r="K470" s="10" t="inlineStr">
        <is>
          <t>taxonomic_containment</t>
        </is>
      </c>
      <c r="L470" s="11" t="inlineStr">
        <is>
          <t>WoRMS crustacean taxonomy and SAU shrimp/crab/lobster class agree with the source Crustacés definition on p.125.</t>
        </is>
      </c>
      <c r="M470" s="10" t="n">
        <v>2.292</v>
      </c>
    </row>
    <row r="471" ht="51" customHeight="1">
      <c r="A471" s="10" t="inlineStr">
        <is>
          <t>LME_028</t>
        </is>
      </c>
      <c r="B471" s="11" t="inlineStr">
        <is>
          <t>28_646_Guinea_(1998)</t>
        </is>
      </c>
      <c r="C471" s="11" t="inlineStr">
        <is>
          <t>Lampris guttatus</t>
        </is>
      </c>
      <c r="D471" s="10" t="inlineStr">
        <is>
          <t>Opah</t>
        </is>
      </c>
      <c r="E471" s="10" t="inlineStr">
        <is>
          <t>Large bathypelagics (&gt;=90 cm)</t>
        </is>
      </c>
      <c r="F471" s="10" t="inlineStr">
        <is>
          <t>Other fishes &amp; inverts</t>
        </is>
      </c>
      <c r="G471" s="11" t="inlineStr">
        <is>
          <t>Unresolved</t>
        </is>
      </c>
      <c r="H471" s="12" t="n"/>
      <c r="I471" s="10" t="inlineStr"/>
      <c r="J471" s="16" t="inlineStr">
        <is>
          <t>unresolved</t>
        </is>
      </c>
      <c r="K471" s="10" t="inlineStr">
        <is>
          <t>none</t>
        </is>
      </c>
      <c r="L47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71" s="10" t="n">
        <v>1.986</v>
      </c>
    </row>
    <row r="472" ht="51" customHeight="1">
      <c r="A472" s="10" t="inlineStr">
        <is>
          <t>LME_028</t>
        </is>
      </c>
      <c r="B472" s="11" t="inlineStr">
        <is>
          <t>28_646_Guinea_(1998)</t>
        </is>
      </c>
      <c r="C472" s="11" t="inlineStr">
        <is>
          <t>Carcharias taurus</t>
        </is>
      </c>
      <c r="D472" s="10" t="inlineStr">
        <is>
          <t>Sand tiger shark</t>
        </is>
      </c>
      <c r="E472" s="10" t="inlineStr">
        <is>
          <t>Large sharks (&gt;=90 cm)</t>
        </is>
      </c>
      <c r="F472" s="10" t="inlineStr">
        <is>
          <t>Sharks &amp; rays</t>
        </is>
      </c>
      <c r="G472" s="11" t="inlineStr">
        <is>
          <t>Unresolved</t>
        </is>
      </c>
      <c r="H472" s="12" t="n"/>
      <c r="I472" s="10" t="inlineStr"/>
      <c r="J472" s="16" t="inlineStr">
        <is>
          <t>unresolved</t>
        </is>
      </c>
      <c r="K472" s="10" t="inlineStr">
        <is>
          <t>none</t>
        </is>
      </c>
      <c r="L47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72" s="10" t="n">
        <v>1.311</v>
      </c>
    </row>
    <row r="473" ht="21" customHeight="1">
      <c r="A473" s="10" t="inlineStr">
        <is>
          <t>LME_028</t>
        </is>
      </c>
      <c r="B473" s="11" t="inlineStr">
        <is>
          <t>28_646_Guinea_(1998)</t>
        </is>
      </c>
      <c r="C473" s="11" t="inlineStr">
        <is>
          <t>Chimaeriformes</t>
        </is>
      </c>
      <c r="D473" s="10" t="inlineStr">
        <is>
          <t>Chimaeras</t>
        </is>
      </c>
      <c r="E473" s="10" t="inlineStr">
        <is>
          <t>Large rays (&gt;=90 cm)</t>
        </is>
      </c>
      <c r="F473" s="10" t="inlineStr">
        <is>
          <t>Sharks &amp; rays</t>
        </is>
      </c>
      <c r="G473" s="11" t="inlineStr">
        <is>
          <t>Unresolved</t>
        </is>
      </c>
      <c r="H473" s="12" t="n"/>
      <c r="I473" s="10" t="inlineStr"/>
      <c r="J473" s="16" t="inlineStr">
        <is>
          <t>unresolved</t>
        </is>
      </c>
      <c r="K473" s="10" t="inlineStr">
        <is>
          <t>none</t>
        </is>
      </c>
      <c r="L473" s="11" t="inlineStr">
        <is>
          <t>The source's four selacian groups are sharks and rays; no chimaera membership is documented.</t>
        </is>
      </c>
      <c r="M473" s="10" t="n">
        <v>0.983</v>
      </c>
    </row>
    <row r="474" ht="51" customHeight="1">
      <c r="A474" s="10" t="inlineStr">
        <is>
          <t>LME_028</t>
        </is>
      </c>
      <c r="B474" s="11" t="inlineStr">
        <is>
          <t>28_646_Guinea_(1998)</t>
        </is>
      </c>
      <c r="C474" s="11" t="inlineStr">
        <is>
          <t>Scyliorhinidae</t>
        </is>
      </c>
      <c r="D474" s="10" t="inlineStr">
        <is>
          <t>Cat/swellsharks</t>
        </is>
      </c>
      <c r="E474" s="10" t="inlineStr">
        <is>
          <t>Large sharks (&gt;=90 cm)</t>
        </is>
      </c>
      <c r="F474" s="10" t="inlineStr">
        <is>
          <t>Sharks &amp; rays</t>
        </is>
      </c>
      <c r="G474" s="11" t="inlineStr">
        <is>
          <t>Unresolved</t>
        </is>
      </c>
      <c r="H474" s="12" t="n"/>
      <c r="I474" s="10" t="inlineStr"/>
      <c r="J474" s="16" t="inlineStr">
        <is>
          <t>unresolved</t>
        </is>
      </c>
      <c r="K474" s="10" t="inlineStr">
        <is>
          <t>none</t>
        </is>
      </c>
      <c r="L47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74" s="10" t="n">
        <v>0.897</v>
      </c>
    </row>
    <row r="475" ht="36" customHeight="1">
      <c r="A475" s="10" t="inlineStr">
        <is>
          <t>LME_028</t>
        </is>
      </c>
      <c r="B475" s="11" t="inlineStr">
        <is>
          <t>28_646_Guinea_(1998)</t>
        </is>
      </c>
      <c r="C475" s="11" t="inlineStr">
        <is>
          <t>Epigonus telescopus</t>
        </is>
      </c>
      <c r="D475" s="10" t="inlineStr">
        <is>
          <t>Black cardinal fish</t>
        </is>
      </c>
      <c r="E475" s="10" t="inlineStr">
        <is>
          <t>Medium bathydemersals (30 - 89 cm)</t>
        </is>
      </c>
      <c r="F475" s="10" t="inlineStr">
        <is>
          <t>Perch-likes</t>
        </is>
      </c>
      <c r="G475" s="11" t="inlineStr">
        <is>
          <t>Bathy L pred</t>
        </is>
      </c>
      <c r="H475" s="12" t="n">
        <v>1</v>
      </c>
      <c r="I475" s="10" t="inlineStr">
        <is>
          <t>single</t>
        </is>
      </c>
      <c r="J475" s="14" t="inlineStr">
        <is>
          <t>high</t>
        </is>
      </c>
      <c r="K475" s="10" t="inlineStr">
        <is>
          <t>explicit_member</t>
        </is>
      </c>
      <c r="L475" s="11" t="inlineStr">
        <is>
          <t>Guénette &amp; Diallo 2004 Table 6 p.131 explicitly lists this taxon in the named group(s); printed and accepted names checked against WoRMS.</t>
        </is>
      </c>
      <c r="M475" s="10" t="n">
        <v>0.636</v>
      </c>
    </row>
    <row r="476" ht="36" customHeight="1">
      <c r="A476" s="10" t="inlineStr">
        <is>
          <t>LME_028</t>
        </is>
      </c>
      <c r="B476" s="11" t="inlineStr">
        <is>
          <t>28_646_Guinea_(1998)</t>
        </is>
      </c>
      <c r="C476" s="11" t="inlineStr">
        <is>
          <t>Bathytoshia centroura</t>
        </is>
      </c>
      <c r="D476" s="10" t="inlineStr">
        <is>
          <t>Roughtail stingray</t>
        </is>
      </c>
      <c r="E476" s="10" t="inlineStr">
        <is>
          <t>Large rays (&gt;=90 cm)</t>
        </is>
      </c>
      <c r="F476" s="10" t="inlineStr">
        <is>
          <t>Sharks &amp; rays</t>
        </is>
      </c>
      <c r="G476" s="11" t="inlineStr">
        <is>
          <t>Sélaciens L côtiers</t>
        </is>
      </c>
      <c r="H476" s="12" t="n">
        <v>1</v>
      </c>
      <c r="I476" s="10" t="inlineStr">
        <is>
          <t>single</t>
        </is>
      </c>
      <c r="J476" s="14" t="inlineStr">
        <is>
          <t>high</t>
        </is>
      </c>
      <c r="K476" s="10" t="inlineStr">
        <is>
          <t>explicit_member</t>
        </is>
      </c>
      <c r="L476" s="11" t="inlineStr">
        <is>
          <t>Guénette &amp; Diallo 2004 Table 6 p.131 explicitly lists this taxon in the named group(s); printed and accepted names checked against WoRMS.</t>
        </is>
      </c>
      <c r="M476" s="10" t="n">
        <v>0.616</v>
      </c>
    </row>
    <row r="477" ht="36" customHeight="1">
      <c r="A477" s="10" t="inlineStr">
        <is>
          <t>LME_028</t>
        </is>
      </c>
      <c r="B477" s="11" t="inlineStr">
        <is>
          <t>28_646_Guinea_(1998)</t>
        </is>
      </c>
      <c r="C477" s="11" t="inlineStr">
        <is>
          <t>Labridae</t>
        </is>
      </c>
      <c r="D477" s="10" t="inlineStr">
        <is>
          <t>Wrasses, gropers, tuskfishes</t>
        </is>
      </c>
      <c r="E477" s="10" t="inlineStr">
        <is>
          <t>Medium reef assoc. fish (30 - 89 cm)</t>
        </is>
      </c>
      <c r="F477" s="10" t="inlineStr">
        <is>
          <t>Perch-likes</t>
        </is>
      </c>
      <c r="G477" s="11" t="inlineStr">
        <is>
          <t>Côtier M pred</t>
        </is>
      </c>
      <c r="H477" s="12" t="n">
        <v>0.0002817470950184124</v>
      </c>
      <c r="I477" s="10" t="inlineStr">
        <is>
          <t>catch_composition</t>
        </is>
      </c>
      <c r="J477" s="15" t="inlineStr">
        <is>
          <t>medium</t>
        </is>
      </c>
      <c r="K477" s="10" t="inlineStr">
        <is>
          <t>composite_split</t>
        </is>
      </c>
      <c r="L477" s="11" t="inlineStr">
        <is>
          <t>Family catch spans the union of all Table 6 member groups belonging to Labridae under WoRMS. Every candidate is supported by a source member; source placement outranks SAU habitat class.</t>
        </is>
      </c>
      <c r="M477" s="10" t="n">
        <v>0.585</v>
      </c>
    </row>
    <row r="478" ht="36" customHeight="1">
      <c r="A478" s="10" t="inlineStr">
        <is>
          <t>LME_028</t>
        </is>
      </c>
      <c r="B478" s="11" t="inlineStr">
        <is>
          <t>28_646_Guinea_(1998)</t>
        </is>
      </c>
      <c r="C478" s="11" t="inlineStr">
        <is>
          <t>Labridae</t>
        </is>
      </c>
      <c r="D478" s="10" t="inlineStr">
        <is>
          <t>Wrasses, gropers, tuskfishes</t>
        </is>
      </c>
      <c r="E478" s="10" t="inlineStr">
        <is>
          <t>Medium reef assoc. fish (30 - 89 cm)</t>
        </is>
      </c>
      <c r="F478" s="10" t="inlineStr">
        <is>
          <t>Perch-likes</t>
        </is>
      </c>
      <c r="G478" s="11" t="inlineStr">
        <is>
          <t>Dem M inv</t>
        </is>
      </c>
      <c r="H478" s="12" t="n">
        <v>0.9997182529049815</v>
      </c>
      <c r="I478" s="10" t="inlineStr">
        <is>
          <t>catch_composition</t>
        </is>
      </c>
      <c r="J478" s="15" t="inlineStr">
        <is>
          <t>medium</t>
        </is>
      </c>
      <c r="K478" s="10" t="inlineStr">
        <is>
          <t>composite_split</t>
        </is>
      </c>
      <c r="L478" s="11" t="inlineStr">
        <is>
          <t>Family catch spans the union of all Table 6 member groups belonging to Labridae under WoRMS. Every candidate is supported by a source member; source placement outranks SAU habitat class.</t>
        </is>
      </c>
      <c r="M478" s="10" t="n">
        <v>0.585</v>
      </c>
    </row>
    <row r="479" ht="36" customHeight="1">
      <c r="A479" s="10" t="inlineStr">
        <is>
          <t>LME_028</t>
        </is>
      </c>
      <c r="B479" s="11" t="inlineStr">
        <is>
          <t>28_646_Guinea_(1998)</t>
        </is>
      </c>
      <c r="C479" s="11" t="inlineStr">
        <is>
          <t>Malacostraca</t>
        </is>
      </c>
      <c r="D479" s="10" t="inlineStr">
        <is>
          <t>Lobsters, crabs, shrimps, krill</t>
        </is>
      </c>
      <c r="E479" s="10" t="inlineStr">
        <is>
          <t>Shrimps</t>
        </is>
      </c>
      <c r="F479" s="10" t="inlineStr">
        <is>
          <t>Crustaceans</t>
        </is>
      </c>
      <c r="G479" s="11" t="inlineStr">
        <is>
          <t>Crustacés</t>
        </is>
      </c>
      <c r="H479" s="12" t="n">
        <v>1</v>
      </c>
      <c r="I479" s="10" t="inlineStr">
        <is>
          <t>single</t>
        </is>
      </c>
      <c r="J479" s="14" t="inlineStr">
        <is>
          <t>high</t>
        </is>
      </c>
      <c r="K479" s="10" t="inlineStr">
        <is>
          <t>taxonomic_containment</t>
        </is>
      </c>
      <c r="L479" s="11" t="inlineStr">
        <is>
          <t>WoRMS crustacean taxonomy and SAU shrimp/crab/lobster class agree with the source Crustacés definition on p.125.</t>
        </is>
      </c>
      <c r="M479" s="10" t="n">
        <v>0.476</v>
      </c>
    </row>
    <row r="480" ht="36" customHeight="1">
      <c r="A480" s="10" t="inlineStr">
        <is>
          <t>LME_028</t>
        </is>
      </c>
      <c r="B480" s="11" t="inlineStr">
        <is>
          <t>28_646_Guinea_(1998)</t>
        </is>
      </c>
      <c r="C480" s="11" t="inlineStr">
        <is>
          <t>Gymnothorax maderensis</t>
        </is>
      </c>
      <c r="D480" s="10" t="inlineStr">
        <is>
          <t>Sharktooth moray</t>
        </is>
      </c>
      <c r="E480" s="10" t="inlineStr">
        <is>
          <t>Medium demersals (30 - 89 cm)</t>
        </is>
      </c>
      <c r="F480" s="10" t="inlineStr">
        <is>
          <t>Other fishes &amp; inverts</t>
        </is>
      </c>
      <c r="G480" s="11" t="inlineStr">
        <is>
          <t>Côtier M pred</t>
        </is>
      </c>
      <c r="H480" s="12" t="n">
        <v>1</v>
      </c>
      <c r="I480" s="10" t="inlineStr">
        <is>
          <t>single</t>
        </is>
      </c>
      <c r="J480" s="15" t="inlineStr">
        <is>
          <t>medium</t>
        </is>
      </c>
      <c r="K480" s="10" t="inlineStr">
        <is>
          <t>analogue</t>
        </is>
      </c>
      <c r="L480" s="11" t="inlineStr">
        <is>
          <t>Species not individually listed: its genus has one documented Table 6 group, supported by the catch's Medium demersals (30 - 89 cm) class. Congeneric extension is inference.</t>
        </is>
      </c>
      <c r="M480" s="10" t="n">
        <v>0.469</v>
      </c>
    </row>
    <row r="481" ht="51" customHeight="1">
      <c r="A481" s="10" t="inlineStr">
        <is>
          <t>LME_028</t>
        </is>
      </c>
      <c r="B481" s="11" t="inlineStr">
        <is>
          <t>28_646_Guinea_(1998)</t>
        </is>
      </c>
      <c r="C481" s="11" t="inlineStr">
        <is>
          <t>Centroselachus crepidater</t>
        </is>
      </c>
      <c r="D481" s="10" t="inlineStr">
        <is>
          <t>Longnose velvet dogfish</t>
        </is>
      </c>
      <c r="E481" s="10" t="inlineStr">
        <is>
          <t>Large sharks (&gt;=90 cm)</t>
        </is>
      </c>
      <c r="F481" s="10" t="inlineStr">
        <is>
          <t>Sharks &amp; rays</t>
        </is>
      </c>
      <c r="G481" s="11" t="inlineStr">
        <is>
          <t>Unresolved</t>
        </is>
      </c>
      <c r="H481" s="12" t="n"/>
      <c r="I481" s="10" t="inlineStr"/>
      <c r="J481" s="16" t="inlineStr">
        <is>
          <t>unresolved</t>
        </is>
      </c>
      <c r="K481" s="10" t="inlineStr">
        <is>
          <t>none</t>
        </is>
      </c>
      <c r="L48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1" s="10" t="n">
        <v>0.391</v>
      </c>
    </row>
    <row r="482" ht="51" customHeight="1">
      <c r="A482" s="10" t="inlineStr">
        <is>
          <t>LME_028</t>
        </is>
      </c>
      <c r="B482" s="11" t="inlineStr">
        <is>
          <t>28_646_Guinea_(1998)</t>
        </is>
      </c>
      <c r="C482" s="11" t="inlineStr">
        <is>
          <t>Carcharhinus obscurus</t>
        </is>
      </c>
      <c r="D482" s="10" t="inlineStr">
        <is>
          <t>Dusky shark</t>
        </is>
      </c>
      <c r="E482" s="10" t="inlineStr">
        <is>
          <t>Large sharks (&gt;=90 cm)</t>
        </is>
      </c>
      <c r="F482" s="10" t="inlineStr">
        <is>
          <t>Sharks &amp; rays</t>
        </is>
      </c>
      <c r="G482" s="11" t="inlineStr">
        <is>
          <t>Unresolved</t>
        </is>
      </c>
      <c r="H482" s="12" t="n"/>
      <c r="I482" s="10" t="inlineStr"/>
      <c r="J482" s="16" t="inlineStr">
        <is>
          <t>unresolved</t>
        </is>
      </c>
      <c r="K482" s="10" t="inlineStr">
        <is>
          <t>none</t>
        </is>
      </c>
      <c r="L48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2" s="10" t="n">
        <v>0.295</v>
      </c>
    </row>
    <row r="483" ht="51" customHeight="1">
      <c r="A483" s="10" t="inlineStr">
        <is>
          <t>LME_028</t>
        </is>
      </c>
      <c r="B483" s="11" t="inlineStr">
        <is>
          <t>28_646_Guinea_(1998)</t>
        </is>
      </c>
      <c r="C483" s="11" t="inlineStr">
        <is>
          <t>Fistulariidae</t>
        </is>
      </c>
      <c r="D483" s="10" t="inlineStr">
        <is>
          <t>Cornetfishes</t>
        </is>
      </c>
      <c r="E483" s="10" t="inlineStr">
        <is>
          <t>Large reef assoc. fish (&gt;=90 cm)</t>
        </is>
      </c>
      <c r="F483" s="10" t="inlineStr">
        <is>
          <t>Other fishes &amp; inverts</t>
        </is>
      </c>
      <c r="G483" s="11" t="inlineStr">
        <is>
          <t>Côtier L pred</t>
        </is>
      </c>
      <c r="H483" s="12" t="n">
        <v>1</v>
      </c>
      <c r="I483" s="10" t="inlineStr">
        <is>
          <t>single</t>
        </is>
      </c>
      <c r="J483" s="15" t="inlineStr">
        <is>
          <t>medium</t>
        </is>
      </c>
      <c r="K483" s="10" t="inlineStr">
        <is>
          <t>taxonomic_containment</t>
        </is>
      </c>
      <c r="L483" s="11" t="inlineStr">
        <is>
          <t>Family catch spans the union of all Table 6 member groups belonging to Fistulariidae under WoRMS. Every candidate is supported by a source member; source placement outranks SAU habitat class.</t>
        </is>
      </c>
      <c r="M483" s="10" t="n">
        <v>0.234</v>
      </c>
    </row>
    <row r="484" ht="51" customHeight="1">
      <c r="A484" s="10" t="inlineStr">
        <is>
          <t>LME_028</t>
        </is>
      </c>
      <c r="B484" s="11" t="inlineStr">
        <is>
          <t>28_646_Guinea_(1998)</t>
        </is>
      </c>
      <c r="C484" s="11" t="inlineStr">
        <is>
          <t>Cetorhinus maximus</t>
        </is>
      </c>
      <c r="D484" s="10" t="inlineStr">
        <is>
          <t>Basking shark</t>
        </is>
      </c>
      <c r="E484" s="10" t="inlineStr">
        <is>
          <t>Large sharks (&gt;=90 cm)</t>
        </is>
      </c>
      <c r="F484" s="10" t="inlineStr">
        <is>
          <t>Sharks &amp; rays</t>
        </is>
      </c>
      <c r="G484" s="11" t="inlineStr">
        <is>
          <t>Unresolved</t>
        </is>
      </c>
      <c r="H484" s="12" t="n"/>
      <c r="I484" s="10" t="inlineStr"/>
      <c r="J484" s="16" t="inlineStr">
        <is>
          <t>unresolved</t>
        </is>
      </c>
      <c r="K484" s="10" t="inlineStr">
        <is>
          <t>none</t>
        </is>
      </c>
      <c r="L48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4" s="10" t="n">
        <v>0.171</v>
      </c>
    </row>
    <row r="485" ht="36" customHeight="1">
      <c r="A485" s="10" t="inlineStr">
        <is>
          <t>LME_028</t>
        </is>
      </c>
      <c r="B485" s="11" t="inlineStr">
        <is>
          <t>28_646_Guinea_(1998)</t>
        </is>
      </c>
      <c r="C485" s="11" t="inlineStr">
        <is>
          <t>Cephalopholis taeniops</t>
        </is>
      </c>
      <c r="D485" s="10" t="inlineStr">
        <is>
          <t>Bluespotted seabass</t>
        </is>
      </c>
      <c r="E485" s="10" t="inlineStr">
        <is>
          <t>Large reef assoc. fish (&gt;=90 cm)</t>
        </is>
      </c>
      <c r="F485" s="10" t="inlineStr">
        <is>
          <t>Perch-likes</t>
        </is>
      </c>
      <c r="G485" s="11" t="inlineStr">
        <is>
          <t>Dem L pred</t>
        </is>
      </c>
      <c r="H485" s="12" t="n">
        <v>1</v>
      </c>
      <c r="I485" s="10" t="inlineStr">
        <is>
          <t>single</t>
        </is>
      </c>
      <c r="J485" s="14" t="inlineStr">
        <is>
          <t>high</t>
        </is>
      </c>
      <c r="K485" s="10" t="inlineStr">
        <is>
          <t>explicit_member</t>
        </is>
      </c>
      <c r="L485" s="11" t="inlineStr">
        <is>
          <t>Guénette &amp; Diallo 2004 Table 6 p.131 explicitly lists this taxon in the named group(s); printed and accepted names checked against WoRMS.</t>
        </is>
      </c>
      <c r="M485" s="10" t="n">
        <v>0.094</v>
      </c>
    </row>
    <row r="486" ht="51" customHeight="1">
      <c r="A486" s="10" t="inlineStr">
        <is>
          <t>LME_028</t>
        </is>
      </c>
      <c r="B486" s="11" t="inlineStr">
        <is>
          <t>28_646_Guinea_(1998)</t>
        </is>
      </c>
      <c r="C486" s="11" t="inlineStr">
        <is>
          <t>Oxynotus centrina</t>
        </is>
      </c>
      <c r="D486" s="10" t="inlineStr">
        <is>
          <t>Angular roughshark</t>
        </is>
      </c>
      <c r="E486" s="10" t="inlineStr">
        <is>
          <t>Large sharks (&gt;=90 cm)</t>
        </is>
      </c>
      <c r="F486" s="10" t="inlineStr">
        <is>
          <t>Sharks &amp; rays</t>
        </is>
      </c>
      <c r="G486" s="11" t="inlineStr">
        <is>
          <t>Unresolved</t>
        </is>
      </c>
      <c r="H486" s="12" t="n"/>
      <c r="I486" s="10" t="inlineStr"/>
      <c r="J486" s="16" t="inlineStr">
        <is>
          <t>unresolved</t>
        </is>
      </c>
      <c r="K486" s="10" t="inlineStr">
        <is>
          <t>none</t>
        </is>
      </c>
      <c r="L48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6" s="10" t="n">
        <v>0.07199999999999999</v>
      </c>
    </row>
    <row r="487" ht="36" customHeight="1">
      <c r="A487" s="10" t="inlineStr">
        <is>
          <t>LME_028</t>
        </is>
      </c>
      <c r="B487" s="11" t="inlineStr">
        <is>
          <t>28_646_Guinea_(1998)</t>
        </is>
      </c>
      <c r="C487" s="11" t="inlineStr">
        <is>
          <t>Thunnus</t>
        </is>
      </c>
      <c r="D487" s="10" t="inlineStr">
        <is>
          <t>Tunas</t>
        </is>
      </c>
      <c r="E487" s="10" t="inlineStr">
        <is>
          <t>Large pelagics (&gt;=90 cm)</t>
        </is>
      </c>
      <c r="F487" s="10" t="inlineStr">
        <is>
          <t>Tuna &amp; billfishes</t>
        </is>
      </c>
      <c r="G487" s="11" t="inlineStr">
        <is>
          <t>Thons majeurs</t>
        </is>
      </c>
      <c r="H487" s="12" t="n">
        <v>1</v>
      </c>
      <c r="I487" s="10" t="inlineStr">
        <is>
          <t>single</t>
        </is>
      </c>
      <c r="J487" s="15" t="inlineStr">
        <is>
          <t>medium</t>
        </is>
      </c>
      <c r="K487" s="10" t="inlineStr">
        <is>
          <t>taxonomic_containment</t>
        </is>
      </c>
      <c r="L487" s="11" t="inlineStr">
        <is>
          <t>Genus-level catch spans exactly the Table 6 groups containing its documented species. No habitat class overrides those placements.</t>
        </is>
      </c>
      <c r="M487" s="10" t="n">
        <v>0.034</v>
      </c>
    </row>
    <row r="488" ht="36" customHeight="1">
      <c r="A488" s="10" t="inlineStr">
        <is>
          <t>LME_028</t>
        </is>
      </c>
      <c r="B488" s="11" t="inlineStr">
        <is>
          <t>28_646_Guinea_(1998)</t>
        </is>
      </c>
      <c r="C488" s="11" t="inlineStr">
        <is>
          <t>Etmopterus</t>
        </is>
      </c>
      <c r="D488" s="10" t="inlineStr">
        <is>
          <t>Lanternsharks</t>
        </is>
      </c>
      <c r="E488" s="10" t="inlineStr">
        <is>
          <t>Small to medium sharks (&lt;90 cm)</t>
        </is>
      </c>
      <c r="F488" s="10" t="inlineStr">
        <is>
          <t>Sharks &amp; rays</t>
        </is>
      </c>
      <c r="G488" s="11" t="inlineStr">
        <is>
          <t>Sélaciens M prof</t>
        </is>
      </c>
      <c r="H488" s="12" t="n">
        <v>1</v>
      </c>
      <c r="I488" s="10" t="inlineStr">
        <is>
          <t>single</t>
        </is>
      </c>
      <c r="J488" s="15" t="inlineStr">
        <is>
          <t>medium</t>
        </is>
      </c>
      <c r="K488" s="10" t="inlineStr">
        <is>
          <t>taxonomic_containment</t>
        </is>
      </c>
      <c r="L488" s="11" t="inlineStr">
        <is>
          <t>Genus-level catch spans exactly the Table 6 groups containing its documented species. No habitat class overrides those placements.</t>
        </is>
      </c>
      <c r="M488" s="10" t="n">
        <v>0.033</v>
      </c>
    </row>
    <row r="489" ht="51" customHeight="1">
      <c r="A489" s="10" t="inlineStr">
        <is>
          <t>LME_028</t>
        </is>
      </c>
      <c r="B489" s="11" t="inlineStr">
        <is>
          <t>28_646_Guinea_(1998)</t>
        </is>
      </c>
      <c r="C489" s="11" t="inlineStr">
        <is>
          <t>Carcharhinus galapagensis</t>
        </is>
      </c>
      <c r="D489" s="10" t="inlineStr">
        <is>
          <t>Galapagos shark</t>
        </is>
      </c>
      <c r="E489" s="10" t="inlineStr">
        <is>
          <t>Large sharks (&gt;=90 cm)</t>
        </is>
      </c>
      <c r="F489" s="10" t="inlineStr">
        <is>
          <t>Sharks &amp; rays</t>
        </is>
      </c>
      <c r="G489" s="11" t="inlineStr">
        <is>
          <t>Unresolved</t>
        </is>
      </c>
      <c r="H489" s="12" t="n"/>
      <c r="I489" s="10" t="inlineStr"/>
      <c r="J489" s="16" t="inlineStr">
        <is>
          <t>unresolved</t>
        </is>
      </c>
      <c r="K489" s="10" t="inlineStr">
        <is>
          <t>none</t>
        </is>
      </c>
      <c r="L489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9" s="10" t="n">
        <v>0.015</v>
      </c>
    </row>
    <row r="490" ht="51" customHeight="1">
      <c r="A490" s="10" t="inlineStr">
        <is>
          <t>LME_028</t>
        </is>
      </c>
      <c r="B490" s="11" t="inlineStr">
        <is>
          <t>28_646_Guinea_(1998)</t>
        </is>
      </c>
      <c r="C490" s="11" t="inlineStr">
        <is>
          <t>Echinorhinus brucus</t>
        </is>
      </c>
      <c r="D490" s="10" t="inlineStr">
        <is>
          <t>Bramble shark</t>
        </is>
      </c>
      <c r="E490" s="10" t="inlineStr">
        <is>
          <t>Large sharks (&gt;=90 cm)</t>
        </is>
      </c>
      <c r="F490" s="10" t="inlineStr">
        <is>
          <t>Sharks &amp; rays</t>
        </is>
      </c>
      <c r="G490" s="11" t="inlineStr">
        <is>
          <t>Unresolved</t>
        </is>
      </c>
      <c r="H490" s="12" t="n"/>
      <c r="I490" s="10" t="inlineStr"/>
      <c r="J490" s="16" t="inlineStr">
        <is>
          <t>unresolved</t>
        </is>
      </c>
      <c r="K490" s="10" t="inlineStr">
        <is>
          <t>none</t>
        </is>
      </c>
      <c r="L490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0" s="10" t="n">
        <v>0.014</v>
      </c>
    </row>
    <row r="491" ht="51" customHeight="1">
      <c r="A491" s="10" t="inlineStr">
        <is>
          <t>LME_028</t>
        </is>
      </c>
      <c r="B491" s="11" t="inlineStr">
        <is>
          <t>28_646_Guinea_(1998)</t>
        </is>
      </c>
      <c r="C491" s="11" t="inlineStr">
        <is>
          <t>Bramidae</t>
        </is>
      </c>
      <c r="D491" s="10" t="inlineStr">
        <is>
          <t>Pomfrets</t>
        </is>
      </c>
      <c r="E491" s="10" t="inlineStr">
        <is>
          <t>Medium pelagics (30 - 89 cm)</t>
        </is>
      </c>
      <c r="F491" s="10" t="inlineStr">
        <is>
          <t>Perch-likes</t>
        </is>
      </c>
      <c r="G491" s="11" t="inlineStr">
        <is>
          <t>Unresolved</t>
        </is>
      </c>
      <c r="H491" s="12" t="n"/>
      <c r="I491" s="10" t="inlineStr"/>
      <c r="J491" s="16" t="inlineStr">
        <is>
          <t>unresolved</t>
        </is>
      </c>
      <c r="K491" s="10" t="inlineStr">
        <is>
          <t>none</t>
        </is>
      </c>
      <c r="L49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91" s="10" t="n">
        <v>0.008999999999999999</v>
      </c>
    </row>
    <row r="492" ht="51" customHeight="1">
      <c r="A492" s="10" t="inlineStr">
        <is>
          <t>LME_028</t>
        </is>
      </c>
      <c r="B492" s="11" t="inlineStr">
        <is>
          <t>28_646_Guinea_(1998)</t>
        </is>
      </c>
      <c r="C492" s="11" t="inlineStr">
        <is>
          <t>Carcharhinus brachyurus</t>
        </is>
      </c>
      <c r="D492" s="10" t="inlineStr">
        <is>
          <t>Copper shark</t>
        </is>
      </c>
      <c r="E492" s="10" t="inlineStr">
        <is>
          <t>Large sharks (&gt;=90 cm)</t>
        </is>
      </c>
      <c r="F492" s="10" t="inlineStr">
        <is>
          <t>Sharks &amp; rays</t>
        </is>
      </c>
      <c r="G492" s="11" t="inlineStr">
        <is>
          <t>Unresolved</t>
        </is>
      </c>
      <c r="H492" s="12" t="n"/>
      <c r="I492" s="10" t="inlineStr"/>
      <c r="J492" s="16" t="inlineStr">
        <is>
          <t>unresolved</t>
        </is>
      </c>
      <c r="K492" s="10" t="inlineStr">
        <is>
          <t>none</t>
        </is>
      </c>
      <c r="L49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2" s="10" t="n">
        <v>0.008</v>
      </c>
    </row>
    <row r="493" ht="51" customHeight="1">
      <c r="A493" s="10" t="inlineStr">
        <is>
          <t>LME_028</t>
        </is>
      </c>
      <c r="B493" s="11" t="inlineStr">
        <is>
          <t>28_646_Guinea_(1998)</t>
        </is>
      </c>
      <c r="C493" s="11" t="inlineStr">
        <is>
          <t>Somniosus rostratus</t>
        </is>
      </c>
      <c r="D493" s="10" t="inlineStr">
        <is>
          <t>Little sleeper shark</t>
        </is>
      </c>
      <c r="E493" s="10" t="inlineStr">
        <is>
          <t>Large sharks (&gt;=90 cm)</t>
        </is>
      </c>
      <c r="F493" s="10" t="inlineStr">
        <is>
          <t>Sharks &amp; rays</t>
        </is>
      </c>
      <c r="G493" s="11" t="inlineStr">
        <is>
          <t>Unresolved</t>
        </is>
      </c>
      <c r="H493" s="12" t="n"/>
      <c r="I493" s="10" t="inlineStr"/>
      <c r="J493" s="16" t="inlineStr">
        <is>
          <t>unresolved</t>
        </is>
      </c>
      <c r="K493" s="10" t="inlineStr">
        <is>
          <t>none</t>
        </is>
      </c>
      <c r="L493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3" s="10" t="n">
        <v>0.004</v>
      </c>
    </row>
  </sheetData>
  <autoFilter ref="A4:M4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  <c r="Y4" s="4" t="inlineStr">
        <is>
          <t>SPPR_1995_TEmean_catch</t>
        </is>
      </c>
      <c r="Z4" s="4" t="inlineStr">
        <is>
          <t>Ulanowicz_globalTEmean_catch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Côtier L pred | Côtier M pred | Côtier M inv | Côtier S pred | Côtier S inv | Dem L pred | Dem L inv | Dem M pred | Dem M inv | Dem S pred | Dem S inv</t>
        </is>
      </c>
      <c r="E5" t="n">
        <v>163.765772</v>
      </c>
      <c r="F5" t="n">
        <v>357.274322</v>
      </c>
      <c r="G5" t="n">
        <v>340.933365</v>
      </c>
      <c r="H5" t="n">
        <v>2733.02885</v>
      </c>
      <c r="I5" t="n">
        <v>1872.088359</v>
      </c>
      <c r="J5" t="n">
        <v>2944.680801</v>
      </c>
      <c r="K5" t="n">
        <v>2569.838657</v>
      </c>
      <c r="L5" t="n">
        <v>5569.719852</v>
      </c>
      <c r="M5" t="n">
        <v>5569.719852</v>
      </c>
      <c r="N5" t="n">
        <v>5569.719852</v>
      </c>
      <c r="O5" t="n">
        <v>2133.113004</v>
      </c>
      <c r="P5" t="n">
        <v>753.314588</v>
      </c>
      <c r="Q5" t="n">
        <v>5569.719852</v>
      </c>
      <c r="R5" t="n">
        <v>-19300.864834</v>
      </c>
      <c r="S5" t="n">
        <v>2133.113004</v>
      </c>
      <c r="T5" t="n">
        <v>2134.882499</v>
      </c>
      <c r="U5" t="n">
        <v>753.314588</v>
      </c>
      <c r="V5" t="n">
        <v>-115006.949704</v>
      </c>
      <c r="W5" t="n">
        <v>2350.8878</v>
      </c>
      <c r="X5" t="n">
        <v>6003.292274</v>
      </c>
      <c r="Y5" t="n">
        <v>209.626712</v>
      </c>
      <c r="Z5" t="n">
        <v>1161.381199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1" t="inlineStr">
        <is>
          <t>Ethmalose</t>
        </is>
      </c>
      <c r="E6" t="n">
        <v>163.765772</v>
      </c>
      <c r="F6" t="n">
        <v>32.757151</v>
      </c>
      <c r="G6" t="n">
        <v>31.91145</v>
      </c>
      <c r="H6" t="n">
        <v>65.818434</v>
      </c>
      <c r="I6" t="n">
        <v>85.31189000000001</v>
      </c>
      <c r="J6" t="n">
        <v>85.31189000000001</v>
      </c>
      <c r="K6" t="n">
        <v>81.046295</v>
      </c>
      <c r="L6" t="n">
        <v>91.491097</v>
      </c>
      <c r="M6" t="n">
        <v>91.491097</v>
      </c>
      <c r="N6" t="n">
        <v>91.491097</v>
      </c>
      <c r="O6" t="n">
        <v>73.367465</v>
      </c>
      <c r="P6" t="n">
        <v>43.161455</v>
      </c>
      <c r="Q6" t="n">
        <v>91.491097</v>
      </c>
      <c r="R6" t="n">
        <v>91.491097</v>
      </c>
      <c r="S6" t="n">
        <v>73.367465</v>
      </c>
      <c r="T6" t="n">
        <v>73.377987</v>
      </c>
      <c r="U6" t="n">
        <v>43.161455</v>
      </c>
      <c r="V6" t="n">
        <v>-338.705282</v>
      </c>
      <c r="W6" t="n">
        <v>77.44595099999999</v>
      </c>
      <c r="X6" t="n">
        <v>95.672556</v>
      </c>
      <c r="Y6" t="n">
        <v>24.291412</v>
      </c>
      <c r="Z6" t="n">
        <v>44.953839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1" t="inlineStr">
        <is>
          <t>Côtier pel S inv</t>
        </is>
      </c>
      <c r="E7" t="n">
        <v>163.765772</v>
      </c>
      <c r="F7" t="n">
        <v>63.371783</v>
      </c>
      <c r="G7" t="n">
        <v>61.431046</v>
      </c>
      <c r="H7" t="n">
        <v>318.709045</v>
      </c>
      <c r="I7" t="n">
        <v>117.871263</v>
      </c>
      <c r="J7" t="n">
        <v>118.151769</v>
      </c>
      <c r="K7" t="n">
        <v>106.830226</v>
      </c>
      <c r="L7" t="n">
        <v>182.678519</v>
      </c>
      <c r="M7" t="n">
        <v>182.678519</v>
      </c>
      <c r="N7" t="n">
        <v>182.678519</v>
      </c>
      <c r="O7" t="n">
        <v>118.787049</v>
      </c>
      <c r="P7" t="n">
        <v>55.817264</v>
      </c>
      <c r="Q7" t="n">
        <v>182.678519</v>
      </c>
      <c r="R7" t="n">
        <v>182.678573</v>
      </c>
      <c r="S7" t="n">
        <v>118.787049</v>
      </c>
      <c r="T7" t="n">
        <v>118.805172</v>
      </c>
      <c r="U7" t="n">
        <v>55.817264</v>
      </c>
      <c r="V7" t="n">
        <v>-489.077361</v>
      </c>
      <c r="W7" t="n">
        <v>128.847647</v>
      </c>
      <c r="X7" t="n">
        <v>189.690717</v>
      </c>
      <c r="Y7" t="n">
        <v>44.410268</v>
      </c>
      <c r="Z7" t="n">
        <v>180.282129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1" t="inlineStr">
        <is>
          <t>Côtier pel S inv</t>
        </is>
      </c>
      <c r="E8" t="n">
        <v>163.765772</v>
      </c>
      <c r="F8" t="n">
        <v>63.371783</v>
      </c>
      <c r="G8" t="n">
        <v>61.431046</v>
      </c>
      <c r="H8" t="n">
        <v>318.709045</v>
      </c>
      <c r="I8" t="n">
        <v>117.871263</v>
      </c>
      <c r="J8" t="n">
        <v>118.151769</v>
      </c>
      <c r="K8" t="n">
        <v>106.830226</v>
      </c>
      <c r="L8" t="n">
        <v>182.678519</v>
      </c>
      <c r="M8" t="n">
        <v>182.678519</v>
      </c>
      <c r="N8" t="n">
        <v>182.678519</v>
      </c>
      <c r="O8" t="n">
        <v>118.787049</v>
      </c>
      <c r="P8" t="n">
        <v>55.817264</v>
      </c>
      <c r="Q8" t="n">
        <v>182.678519</v>
      </c>
      <c r="R8" t="n">
        <v>182.678573</v>
      </c>
      <c r="S8" t="n">
        <v>118.787049</v>
      </c>
      <c r="T8" t="n">
        <v>118.805172</v>
      </c>
      <c r="U8" t="n">
        <v>55.817264</v>
      </c>
      <c r="V8" t="n">
        <v>-489.077361</v>
      </c>
      <c r="W8" t="n">
        <v>128.847647</v>
      </c>
      <c r="X8" t="n">
        <v>189.690717</v>
      </c>
      <c r="Y8" t="n">
        <v>44.410268</v>
      </c>
      <c r="Z8" t="n">
        <v>180.282129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1" t="inlineStr">
        <is>
          <t>Bars</t>
        </is>
      </c>
      <c r="E9" t="n">
        <v>163.765772</v>
      </c>
      <c r="F9" t="n">
        <v>765.126208</v>
      </c>
      <c r="G9" t="n">
        <v>727.972559</v>
      </c>
      <c r="H9" t="n">
        <v>3298.268004</v>
      </c>
      <c r="I9" t="n">
        <v>1392.366618</v>
      </c>
      <c r="J9" t="n">
        <v>1698.422161</v>
      </c>
      <c r="K9" t="n">
        <v>1593.296173</v>
      </c>
      <c r="L9" t="n">
        <v>2935.678026</v>
      </c>
      <c r="M9" t="n">
        <v>2935.678026</v>
      </c>
      <c r="N9" t="n">
        <v>2935.678026</v>
      </c>
      <c r="O9" t="n">
        <v>1750.56031</v>
      </c>
      <c r="P9" t="n">
        <v>663.608554</v>
      </c>
      <c r="Q9" t="n">
        <v>2935.678026</v>
      </c>
      <c r="R9" t="n">
        <v>-12167.664034</v>
      </c>
      <c r="S9" t="n">
        <v>1750.56031</v>
      </c>
      <c r="T9" t="n">
        <v>1751.311377</v>
      </c>
      <c r="U9" t="n">
        <v>663.608554</v>
      </c>
      <c r="V9" t="n">
        <v>-129143.724965</v>
      </c>
      <c r="W9" t="n">
        <v>1958.685751</v>
      </c>
      <c r="X9" t="n">
        <v>3084.917054</v>
      </c>
      <c r="Y9" t="n">
        <v>433.124819</v>
      </c>
      <c r="Z9" t="n">
        <v>1494.31502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1" t="inlineStr">
        <is>
          <t>Côtier pel S inv</t>
        </is>
      </c>
      <c r="E10" t="n">
        <v>163.765772</v>
      </c>
      <c r="F10" t="n">
        <v>63.371783</v>
      </c>
      <c r="G10" t="n">
        <v>61.431046</v>
      </c>
      <c r="H10" t="n">
        <v>318.709045</v>
      </c>
      <c r="I10" t="n">
        <v>117.871263</v>
      </c>
      <c r="J10" t="n">
        <v>118.151769</v>
      </c>
      <c r="K10" t="n">
        <v>106.830226</v>
      </c>
      <c r="L10" t="n">
        <v>182.678519</v>
      </c>
      <c r="M10" t="n">
        <v>182.678519</v>
      </c>
      <c r="N10" t="n">
        <v>182.678519</v>
      </c>
      <c r="O10" t="n">
        <v>118.787049</v>
      </c>
      <c r="P10" t="n">
        <v>55.817264</v>
      </c>
      <c r="Q10" t="n">
        <v>182.678519</v>
      </c>
      <c r="R10" t="n">
        <v>182.678573</v>
      </c>
      <c r="S10" t="n">
        <v>118.787049</v>
      </c>
      <c r="T10" t="n">
        <v>118.805172</v>
      </c>
      <c r="U10" t="n">
        <v>55.817264</v>
      </c>
      <c r="V10" t="n">
        <v>-489.077361</v>
      </c>
      <c r="W10" t="n">
        <v>128.847647</v>
      </c>
      <c r="X10" t="n">
        <v>189.690717</v>
      </c>
      <c r="Y10" t="n">
        <v>44.410268</v>
      </c>
      <c r="Z10" t="n">
        <v>180.282129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1" t="inlineStr">
        <is>
          <t>Céphalopodes</t>
        </is>
      </c>
      <c r="E11" t="n">
        <v>163.765772</v>
      </c>
      <c r="F11" t="n">
        <v>822.926928</v>
      </c>
      <c r="G11" t="n">
        <v>782.5392000000001</v>
      </c>
      <c r="H11" t="n">
        <v>2911.87363</v>
      </c>
      <c r="I11" t="n">
        <v>776.133746</v>
      </c>
      <c r="J11" t="n">
        <v>776.133746</v>
      </c>
      <c r="K11" t="n">
        <v>737.327059</v>
      </c>
      <c r="L11" t="n">
        <v>1169.062418</v>
      </c>
      <c r="M11" t="n">
        <v>1169.062418</v>
      </c>
      <c r="N11" t="n">
        <v>1169.062418</v>
      </c>
      <c r="O11" t="n">
        <v>633.532727</v>
      </c>
      <c r="P11" t="n">
        <v>262.848004</v>
      </c>
      <c r="Q11" t="n">
        <v>1169.062418</v>
      </c>
      <c r="R11" t="n">
        <v>1169.12609</v>
      </c>
      <c r="S11" t="n">
        <v>633.532727</v>
      </c>
      <c r="T11" t="n">
        <v>633.690429</v>
      </c>
      <c r="U11" t="n">
        <v>262.848004</v>
      </c>
      <c r="V11" t="n">
        <v>-2693.977387</v>
      </c>
      <c r="W11" t="n">
        <v>696.074883</v>
      </c>
      <c r="X11" t="n">
        <v>1245.601022</v>
      </c>
      <c r="Y11" t="n">
        <v>462.946606</v>
      </c>
      <c r="Z11" t="n">
        <v>1388.475781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1" t="inlineStr">
        <is>
          <t>Côtier S inv</t>
        </is>
      </c>
      <c r="E12" t="n">
        <v>163.765772</v>
      </c>
      <c r="F12" t="n">
        <v>79.510256</v>
      </c>
      <c r="G12" t="n">
        <v>76.944312</v>
      </c>
      <c r="H12" t="n">
        <v>373.180416</v>
      </c>
      <c r="I12" t="n">
        <v>228.22673</v>
      </c>
      <c r="J12" t="n">
        <v>228.830344</v>
      </c>
      <c r="K12" t="n">
        <v>223.019358</v>
      </c>
      <c r="L12" t="n">
        <v>302.460327</v>
      </c>
      <c r="M12" t="n">
        <v>302.460327</v>
      </c>
      <c r="N12" t="n">
        <v>302.460327</v>
      </c>
      <c r="O12" t="n">
        <v>244.226076</v>
      </c>
      <c r="P12" t="n">
        <v>127.659422</v>
      </c>
      <c r="Q12" t="n">
        <v>302.460327</v>
      </c>
      <c r="R12" t="n">
        <v>303.400726</v>
      </c>
      <c r="S12" t="n">
        <v>244.226076</v>
      </c>
      <c r="T12" t="n">
        <v>245.025938</v>
      </c>
      <c r="U12" t="n">
        <v>127.659422</v>
      </c>
      <c r="V12" t="n">
        <v>-1352.064159</v>
      </c>
      <c r="W12" t="n">
        <v>266.013821</v>
      </c>
      <c r="X12" t="n">
        <v>316.479608</v>
      </c>
      <c r="Y12" t="n">
        <v>54.647132</v>
      </c>
      <c r="Z12" t="n">
        <v>203.050192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1" t="inlineStr">
        <is>
          <t>Pel S inv</t>
        </is>
      </c>
      <c r="E13" t="n">
        <v>163.765772</v>
      </c>
      <c r="F13" t="n">
        <v>157.970864</v>
      </c>
      <c r="G13" t="n">
        <v>152.088101</v>
      </c>
      <c r="H13" t="n">
        <v>577.271661</v>
      </c>
      <c r="I13" t="n">
        <v>239.810236</v>
      </c>
      <c r="J13" t="n">
        <v>250.631699</v>
      </c>
      <c r="K13" t="n">
        <v>247.597025</v>
      </c>
      <c r="L13" t="n">
        <v>317.630863</v>
      </c>
      <c r="M13" t="n">
        <v>317.630863</v>
      </c>
      <c r="N13" t="n">
        <v>317.630863</v>
      </c>
      <c r="O13" t="n">
        <v>109.892321</v>
      </c>
      <c r="P13" t="n">
        <v>46.754763</v>
      </c>
      <c r="Q13" t="n">
        <v>317.630863</v>
      </c>
      <c r="R13" t="n">
        <v>317.632445</v>
      </c>
      <c r="S13" t="n">
        <v>109.892321</v>
      </c>
      <c r="T13" t="n">
        <v>109.904682</v>
      </c>
      <c r="U13" t="n">
        <v>46.754763</v>
      </c>
      <c r="V13" t="n">
        <v>-281.147296</v>
      </c>
      <c r="W13" t="n">
        <v>116.066511</v>
      </c>
      <c r="X13" t="n">
        <v>339.622882</v>
      </c>
      <c r="Y13" t="n">
        <v>102.369618</v>
      </c>
      <c r="Z13" t="n">
        <v>312.790013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1" t="inlineStr">
        <is>
          <t>Côtier pel S inv</t>
        </is>
      </c>
      <c r="E14" t="n">
        <v>163.765772</v>
      </c>
      <c r="F14" t="n">
        <v>63.371783</v>
      </c>
      <c r="G14" t="n">
        <v>61.431046</v>
      </c>
      <c r="H14" t="n">
        <v>318.709045</v>
      </c>
      <c r="I14" t="n">
        <v>117.871263</v>
      </c>
      <c r="J14" t="n">
        <v>118.151769</v>
      </c>
      <c r="K14" t="n">
        <v>106.830226</v>
      </c>
      <c r="L14" t="n">
        <v>182.678519</v>
      </c>
      <c r="M14" t="n">
        <v>182.678519</v>
      </c>
      <c r="N14" t="n">
        <v>182.678519</v>
      </c>
      <c r="O14" t="n">
        <v>118.787049</v>
      </c>
      <c r="P14" t="n">
        <v>55.817264</v>
      </c>
      <c r="Q14" t="n">
        <v>182.678519</v>
      </c>
      <c r="R14" t="n">
        <v>182.678573</v>
      </c>
      <c r="S14" t="n">
        <v>118.787049</v>
      </c>
      <c r="T14" t="n">
        <v>118.805172</v>
      </c>
      <c r="U14" t="n">
        <v>55.817264</v>
      </c>
      <c r="V14" t="n">
        <v>-489.077361</v>
      </c>
      <c r="W14" t="n">
        <v>128.847647</v>
      </c>
      <c r="X14" t="n">
        <v>189.690717</v>
      </c>
      <c r="Y14" t="n">
        <v>44.410268</v>
      </c>
      <c r="Z14" t="n">
        <v>180.282129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1" t="inlineStr">
        <is>
          <t>Thons majeurs</t>
        </is>
      </c>
      <c r="E15" t="n">
        <v>163.765772</v>
      </c>
      <c r="F15" t="n">
        <v>2736.422785</v>
      </c>
      <c r="G15" t="n">
        <v>2578.791074</v>
      </c>
      <c r="H15" t="n">
        <v>17894.357856</v>
      </c>
      <c r="I15" t="n">
        <v>8524.661732</v>
      </c>
      <c r="J15" t="n">
        <v>8877.094804</v>
      </c>
      <c r="K15" t="n">
        <v>4438.547402</v>
      </c>
      <c r="L15" t="n">
        <v>13559.45898</v>
      </c>
      <c r="M15" t="n">
        <v>13559.45898</v>
      </c>
      <c r="N15" t="n">
        <v>13559.45898</v>
      </c>
      <c r="O15" t="n">
        <v>3620.876362</v>
      </c>
      <c r="P15" t="n">
        <v>1183.597755</v>
      </c>
      <c r="Q15" t="n">
        <v>13559.45898</v>
      </c>
      <c r="R15" t="n">
        <v>-35797.700389</v>
      </c>
      <c r="S15" t="n">
        <v>3620.876362</v>
      </c>
      <c r="T15" t="n">
        <v>3622.234339</v>
      </c>
      <c r="U15" t="n">
        <v>1183.597755</v>
      </c>
      <c r="V15" t="n">
        <v>-69439.82694100001</v>
      </c>
      <c r="W15" t="n">
        <v>4014.207129</v>
      </c>
      <c r="X15" t="n">
        <v>14860.336328</v>
      </c>
      <c r="Y15" t="n">
        <v>1388.786767</v>
      </c>
      <c r="Z15" t="n">
        <v>6982.262246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1" t="inlineStr">
        <is>
          <t>Thons majeurs</t>
        </is>
      </c>
      <c r="E16" t="n">
        <v>163.765772</v>
      </c>
      <c r="F16" t="n">
        <v>2736.422785</v>
      </c>
      <c r="G16" t="n">
        <v>2578.791074</v>
      </c>
      <c r="H16" t="n">
        <v>17894.357856</v>
      </c>
      <c r="I16" t="n">
        <v>8524.661732</v>
      </c>
      <c r="J16" t="n">
        <v>8877.094804</v>
      </c>
      <c r="K16" t="n">
        <v>4438.547402</v>
      </c>
      <c r="L16" t="n">
        <v>13559.45898</v>
      </c>
      <c r="M16" t="n">
        <v>13559.45898</v>
      </c>
      <c r="N16" t="n">
        <v>13559.45898</v>
      </c>
      <c r="O16" t="n">
        <v>3620.876362</v>
      </c>
      <c r="P16" t="n">
        <v>1183.597755</v>
      </c>
      <c r="Q16" t="n">
        <v>13559.45898</v>
      </c>
      <c r="R16" t="n">
        <v>-35797.700389</v>
      </c>
      <c r="S16" t="n">
        <v>3620.876362</v>
      </c>
      <c r="T16" t="n">
        <v>3622.234339</v>
      </c>
      <c r="U16" t="n">
        <v>1183.597755</v>
      </c>
      <c r="V16" t="n">
        <v>-69439.82694100001</v>
      </c>
      <c r="W16" t="n">
        <v>4014.207129</v>
      </c>
      <c r="X16" t="n">
        <v>14860.336328</v>
      </c>
      <c r="Y16" t="n">
        <v>1388.786767</v>
      </c>
      <c r="Z16" t="n">
        <v>6982.262246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1" t="inlineStr">
        <is>
          <t>Petit capitaine</t>
        </is>
      </c>
      <c r="E17" t="n">
        <v>163.765772</v>
      </c>
      <c r="F17" t="n">
        <v>579.424754</v>
      </c>
      <c r="G17" t="n">
        <v>552.438682</v>
      </c>
      <c r="H17" t="n">
        <v>1714.032106</v>
      </c>
      <c r="I17" t="n">
        <v>745.986339</v>
      </c>
      <c r="J17" t="n">
        <v>746.190623</v>
      </c>
      <c r="K17" t="n">
        <v>690.816315</v>
      </c>
      <c r="L17" t="n">
        <v>1044.075452</v>
      </c>
      <c r="M17" t="n">
        <v>1044.075452</v>
      </c>
      <c r="N17" t="n">
        <v>1044.075452</v>
      </c>
      <c r="O17" t="n">
        <v>796.606433</v>
      </c>
      <c r="P17" t="n">
        <v>366.834236</v>
      </c>
      <c r="Q17" t="n">
        <v>1044.075452</v>
      </c>
      <c r="R17" t="n">
        <v>1044.292752</v>
      </c>
      <c r="S17" t="n">
        <v>796.606433</v>
      </c>
      <c r="T17" t="n">
        <v>796.918269</v>
      </c>
      <c r="U17" t="n">
        <v>366.834236</v>
      </c>
      <c r="V17" t="n">
        <v>-3960.824758</v>
      </c>
      <c r="W17" t="n">
        <v>881.004159</v>
      </c>
      <c r="X17" t="n">
        <v>1074.902147</v>
      </c>
      <c r="Y17" t="n">
        <v>335.910399</v>
      </c>
      <c r="Z17" t="n">
        <v>876.607875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1" t="inlineStr">
        <is>
          <t>Bars</t>
        </is>
      </c>
      <c r="E18" t="n">
        <v>163.765772</v>
      </c>
      <c r="F18" t="n">
        <v>765.126208</v>
      </c>
      <c r="G18" t="n">
        <v>727.972559</v>
      </c>
      <c r="H18" t="n">
        <v>3298.268004</v>
      </c>
      <c r="I18" t="n">
        <v>1392.366618</v>
      </c>
      <c r="J18" t="n">
        <v>1698.422161</v>
      </c>
      <c r="K18" t="n">
        <v>1593.296173</v>
      </c>
      <c r="L18" t="n">
        <v>2935.678026</v>
      </c>
      <c r="M18" t="n">
        <v>2935.678026</v>
      </c>
      <c r="N18" t="n">
        <v>2935.678026</v>
      </c>
      <c r="O18" t="n">
        <v>1750.56031</v>
      </c>
      <c r="P18" t="n">
        <v>663.608554</v>
      </c>
      <c r="Q18" t="n">
        <v>2935.678026</v>
      </c>
      <c r="R18" t="n">
        <v>-12167.664034</v>
      </c>
      <c r="S18" t="n">
        <v>1750.56031</v>
      </c>
      <c r="T18" t="n">
        <v>1751.311377</v>
      </c>
      <c r="U18" t="n">
        <v>663.608554</v>
      </c>
      <c r="V18" t="n">
        <v>-129143.724965</v>
      </c>
      <c r="W18" t="n">
        <v>1958.685751</v>
      </c>
      <c r="X18" t="n">
        <v>3084.917054</v>
      </c>
      <c r="Y18" t="n">
        <v>433.124819</v>
      </c>
      <c r="Z18" t="n">
        <v>1494.31502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1" t="inlineStr">
        <is>
          <t>Côtier pel L pred</t>
        </is>
      </c>
      <c r="E19" t="n">
        <v>163.765772</v>
      </c>
      <c r="F19" t="n">
        <v>1052.557933</v>
      </c>
      <c r="G19" t="n">
        <v>999.055395</v>
      </c>
      <c r="H19" t="n">
        <v>11777.423523</v>
      </c>
      <c r="I19" t="n">
        <v>6532.776468</v>
      </c>
      <c r="J19" t="n">
        <v>7781.630289</v>
      </c>
      <c r="K19" t="n">
        <v>7457.950731</v>
      </c>
      <c r="L19" t="n">
        <v>14096.896099</v>
      </c>
      <c r="M19" t="n">
        <v>14096.896099</v>
      </c>
      <c r="N19" t="n">
        <v>14096.896099</v>
      </c>
      <c r="O19" t="n">
        <v>6109.578522</v>
      </c>
      <c r="P19" t="n">
        <v>1921.956368</v>
      </c>
      <c r="Q19" t="n">
        <v>14096.896099</v>
      </c>
      <c r="R19" t="n">
        <v>-57719.913078</v>
      </c>
      <c r="S19" t="n">
        <v>6109.578522</v>
      </c>
      <c r="T19" t="n">
        <v>6113.693041</v>
      </c>
      <c r="U19" t="n">
        <v>1921.956368</v>
      </c>
      <c r="V19" t="n">
        <v>-289813.58612</v>
      </c>
      <c r="W19" t="n">
        <v>6783.158943</v>
      </c>
      <c r="X19" t="n">
        <v>15274.306707</v>
      </c>
      <c r="Y19" t="n">
        <v>579.770625</v>
      </c>
      <c r="Z19" t="n">
        <v>4535.549158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1" t="inlineStr">
        <is>
          <t>Côtier pel S inv | Ethmalose</t>
        </is>
      </c>
      <c r="E20" t="n">
        <v>163.765772</v>
      </c>
      <c r="F20" t="n">
        <v>51.162121</v>
      </c>
      <c r="G20" t="n">
        <v>49.658104</v>
      </c>
      <c r="H20" t="n">
        <v>217.851754</v>
      </c>
      <c r="I20" t="n">
        <v>104.886003</v>
      </c>
      <c r="J20" t="n">
        <v>105.054639</v>
      </c>
      <c r="K20" t="n">
        <v>96.547134</v>
      </c>
      <c r="L20" t="n">
        <v>146.311347</v>
      </c>
      <c r="M20" t="n">
        <v>146.311347</v>
      </c>
      <c r="N20" t="n">
        <v>146.311347</v>
      </c>
      <c r="O20" t="n">
        <v>100.672908</v>
      </c>
      <c r="P20" t="n">
        <v>50.769901</v>
      </c>
      <c r="Q20" t="n">
        <v>146.311347</v>
      </c>
      <c r="R20" t="n">
        <v>146.311379</v>
      </c>
      <c r="S20" t="n">
        <v>100.672908</v>
      </c>
      <c r="T20" t="n">
        <v>100.688</v>
      </c>
      <c r="U20" t="n">
        <v>50.769901</v>
      </c>
      <c r="V20" t="n">
        <v>-429.106291</v>
      </c>
      <c r="W20" t="n">
        <v>108.347733</v>
      </c>
      <c r="X20" t="n">
        <v>152.194595</v>
      </c>
      <c r="Y20" t="n">
        <v>36.386509</v>
      </c>
      <c r="Z20" t="n">
        <v>126.31079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1" t="inlineStr">
        <is>
          <t>Côtier M pred | Côtier pel L pred | Pel L pred | Pel S inv</t>
        </is>
      </c>
      <c r="E21" t="n">
        <v>163.765772</v>
      </c>
      <c r="F21" t="n">
        <v>685.117958</v>
      </c>
      <c r="G21" t="n">
        <v>651.172999</v>
      </c>
      <c r="H21" t="n">
        <v>7106.502938</v>
      </c>
      <c r="I21" t="n">
        <v>3911.637345</v>
      </c>
      <c r="J21" t="n">
        <v>4640.062024</v>
      </c>
      <c r="K21" t="n">
        <v>4449.834714</v>
      </c>
      <c r="L21" t="n">
        <v>8349.399002</v>
      </c>
      <c r="M21" t="n">
        <v>8349.399002</v>
      </c>
      <c r="N21" t="n">
        <v>8349.399002</v>
      </c>
      <c r="O21" t="n">
        <v>3610.803049</v>
      </c>
      <c r="P21" t="n">
        <v>1142.003077</v>
      </c>
      <c r="Q21" t="n">
        <v>8349.399002</v>
      </c>
      <c r="R21" t="n">
        <v>-33979.147025</v>
      </c>
      <c r="S21" t="n">
        <v>3610.803049</v>
      </c>
      <c r="T21" t="n">
        <v>3613.198004</v>
      </c>
      <c r="U21" t="n">
        <v>1142.003077</v>
      </c>
      <c r="V21" t="n">
        <v>-169368.562898</v>
      </c>
      <c r="W21" t="n">
        <v>4006.70694</v>
      </c>
      <c r="X21" t="n">
        <v>9044.414477</v>
      </c>
      <c r="Y21" t="n">
        <v>383.674072</v>
      </c>
      <c r="Z21" t="n">
        <v>2776.521675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1" t="inlineStr">
        <is>
          <t>Côtier L pred</t>
        </is>
      </c>
      <c r="E22" t="n">
        <v>163.765772</v>
      </c>
      <c r="F22" t="n">
        <v>834.792702</v>
      </c>
      <c r="G22" t="n">
        <v>793.737434</v>
      </c>
      <c r="H22" t="n">
        <v>7076.97786</v>
      </c>
      <c r="I22" t="n">
        <v>5090.744396</v>
      </c>
      <c r="J22" t="n">
        <v>9568.388961000001</v>
      </c>
      <c r="K22" t="n">
        <v>8272.995088</v>
      </c>
      <c r="L22" t="n">
        <v>19279.70472</v>
      </c>
      <c r="M22" t="n">
        <v>19279.70472</v>
      </c>
      <c r="N22" t="n">
        <v>19279.70472</v>
      </c>
      <c r="O22" t="n">
        <v>6360.723192</v>
      </c>
      <c r="P22" t="n">
        <v>2029.298348</v>
      </c>
      <c r="Q22" t="n">
        <v>19279.70472</v>
      </c>
      <c r="R22" t="n">
        <v>-84799.195448</v>
      </c>
      <c r="S22" t="n">
        <v>6360.723192</v>
      </c>
      <c r="T22" t="n">
        <v>6366.23078</v>
      </c>
      <c r="U22" t="n">
        <v>2029.298348</v>
      </c>
      <c r="V22" t="n">
        <v>-469234.864873</v>
      </c>
      <c r="W22" t="n">
        <v>6996.154043</v>
      </c>
      <c r="X22" t="n">
        <v>20790.115719</v>
      </c>
      <c r="Y22" t="n">
        <v>469.046047</v>
      </c>
      <c r="Z22" t="n">
        <v>2908.726875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1" t="inlineStr">
        <is>
          <t>Bars | Côtier L pred | Côtier S pred | Dem L pred | Dem L inv</t>
        </is>
      </c>
      <c r="E23" t="n">
        <v>163.765772</v>
      </c>
      <c r="F23" t="n">
        <v>763.75621</v>
      </c>
      <c r="G23" t="n">
        <v>726.641514</v>
      </c>
      <c r="H23" t="n">
        <v>4550.840485</v>
      </c>
      <c r="I23" t="n">
        <v>2535.772876</v>
      </c>
      <c r="J23" t="n">
        <v>3827.679459</v>
      </c>
      <c r="K23" t="n">
        <v>3386.176619</v>
      </c>
      <c r="L23" t="n">
        <v>7226.285232</v>
      </c>
      <c r="M23" t="n">
        <v>7226.285232</v>
      </c>
      <c r="N23" t="n">
        <v>7226.285232</v>
      </c>
      <c r="O23" t="n">
        <v>3020.239868</v>
      </c>
      <c r="P23" t="n">
        <v>1045.815056</v>
      </c>
      <c r="Q23" t="n">
        <v>7226.285232</v>
      </c>
      <c r="R23" t="n">
        <v>-27936.695569</v>
      </c>
      <c r="S23" t="n">
        <v>3020.239868</v>
      </c>
      <c r="T23" t="n">
        <v>3022.257921</v>
      </c>
      <c r="U23" t="n">
        <v>1045.815056</v>
      </c>
      <c r="V23" t="n">
        <v>-199551.093447</v>
      </c>
      <c r="W23" t="n">
        <v>3350.154802</v>
      </c>
      <c r="X23" t="n">
        <v>7745.12683</v>
      </c>
      <c r="Y23" t="n">
        <v>432.176497</v>
      </c>
      <c r="Z23" t="n">
        <v>1955.111917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1" t="inlineStr">
        <is>
          <t>Côtier pel L pred</t>
        </is>
      </c>
      <c r="E24" t="n">
        <v>163.765772</v>
      </c>
      <c r="F24" t="n">
        <v>1052.557933</v>
      </c>
      <c r="G24" t="n">
        <v>999.055395</v>
      </c>
      <c r="H24" t="n">
        <v>11777.423523</v>
      </c>
      <c r="I24" t="n">
        <v>6532.776468</v>
      </c>
      <c r="J24" t="n">
        <v>7781.630289</v>
      </c>
      <c r="K24" t="n">
        <v>7457.950731</v>
      </c>
      <c r="L24" t="n">
        <v>14096.896099</v>
      </c>
      <c r="M24" t="n">
        <v>14096.896099</v>
      </c>
      <c r="N24" t="n">
        <v>14096.896099</v>
      </c>
      <c r="O24" t="n">
        <v>6109.578522</v>
      </c>
      <c r="P24" t="n">
        <v>1921.956368</v>
      </c>
      <c r="Q24" t="n">
        <v>14096.896099</v>
      </c>
      <c r="R24" t="n">
        <v>-57719.913078</v>
      </c>
      <c r="S24" t="n">
        <v>6109.578522</v>
      </c>
      <c r="T24" t="n">
        <v>6113.693041</v>
      </c>
      <c r="U24" t="n">
        <v>1921.956368</v>
      </c>
      <c r="V24" t="n">
        <v>-289813.58612</v>
      </c>
      <c r="W24" t="n">
        <v>6783.158943</v>
      </c>
      <c r="X24" t="n">
        <v>15274.306707</v>
      </c>
      <c r="Y24" t="n">
        <v>579.770625</v>
      </c>
      <c r="Z24" t="n">
        <v>4535.549158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1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1" t="inlineStr">
        <is>
          <t>Céphalopodes</t>
        </is>
      </c>
      <c r="E26" t="n">
        <v>163.765772</v>
      </c>
      <c r="F26" t="n">
        <v>822.926928</v>
      </c>
      <c r="G26" t="n">
        <v>782.5392000000001</v>
      </c>
      <c r="H26" t="n">
        <v>2911.87363</v>
      </c>
      <c r="I26" t="n">
        <v>776.133746</v>
      </c>
      <c r="J26" t="n">
        <v>776.133746</v>
      </c>
      <c r="K26" t="n">
        <v>737.327059</v>
      </c>
      <c r="L26" t="n">
        <v>1169.062418</v>
      </c>
      <c r="M26" t="n">
        <v>1169.062418</v>
      </c>
      <c r="N26" t="n">
        <v>1169.062418</v>
      </c>
      <c r="O26" t="n">
        <v>633.532727</v>
      </c>
      <c r="P26" t="n">
        <v>262.848004</v>
      </c>
      <c r="Q26" t="n">
        <v>1169.062418</v>
      </c>
      <c r="R26" t="n">
        <v>1169.12609</v>
      </c>
      <c r="S26" t="n">
        <v>633.532727</v>
      </c>
      <c r="T26" t="n">
        <v>633.690429</v>
      </c>
      <c r="U26" t="n">
        <v>262.848004</v>
      </c>
      <c r="V26" t="n">
        <v>-2693.977387</v>
      </c>
      <c r="W26" t="n">
        <v>696.074883</v>
      </c>
      <c r="X26" t="n">
        <v>1245.601022</v>
      </c>
      <c r="Y26" t="n">
        <v>462.946606</v>
      </c>
      <c r="Z26" t="n">
        <v>1388.475781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1" t="inlineStr">
        <is>
          <t>Côtier pel S inv | Ethmalose</t>
        </is>
      </c>
      <c r="E27" t="n">
        <v>163.765772</v>
      </c>
      <c r="F27" t="n">
        <v>51.162121</v>
      </c>
      <c r="G27" t="n">
        <v>49.658104</v>
      </c>
      <c r="H27" t="n">
        <v>217.851754</v>
      </c>
      <c r="I27" t="n">
        <v>104.886003</v>
      </c>
      <c r="J27" t="n">
        <v>105.054639</v>
      </c>
      <c r="K27" t="n">
        <v>96.547134</v>
      </c>
      <c r="L27" t="n">
        <v>146.311347</v>
      </c>
      <c r="M27" t="n">
        <v>146.311347</v>
      </c>
      <c r="N27" t="n">
        <v>146.311347</v>
      </c>
      <c r="O27" t="n">
        <v>100.672908</v>
      </c>
      <c r="P27" t="n">
        <v>50.769901</v>
      </c>
      <c r="Q27" t="n">
        <v>146.311347</v>
      </c>
      <c r="R27" t="n">
        <v>146.311379</v>
      </c>
      <c r="S27" t="n">
        <v>100.672908</v>
      </c>
      <c r="T27" t="n">
        <v>100.688</v>
      </c>
      <c r="U27" t="n">
        <v>50.769901</v>
      </c>
      <c r="V27" t="n">
        <v>-429.106291</v>
      </c>
      <c r="W27" t="n">
        <v>108.347733</v>
      </c>
      <c r="X27" t="n">
        <v>152.194595</v>
      </c>
      <c r="Y27" t="n">
        <v>36.386509</v>
      </c>
      <c r="Z27" t="n">
        <v>126.31079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1" t="inlineStr">
        <is>
          <t>Thons majeurs | Thons mineurs | Pel S inv</t>
        </is>
      </c>
      <c r="E28" t="n">
        <v>163.765772</v>
      </c>
      <c r="F28" t="n">
        <v>1573.799506</v>
      </c>
      <c r="G28" t="n">
        <v>1485.38159</v>
      </c>
      <c r="H28" t="n">
        <v>10141.899313</v>
      </c>
      <c r="I28" t="n">
        <v>4590.536662</v>
      </c>
      <c r="J28" t="n">
        <v>4766.405403</v>
      </c>
      <c r="K28" t="n">
        <v>2464.479964</v>
      </c>
      <c r="L28" t="n">
        <v>7208.860683</v>
      </c>
      <c r="M28" t="n">
        <v>7208.860683</v>
      </c>
      <c r="N28" t="n">
        <v>7208.860683</v>
      </c>
      <c r="O28" t="n">
        <v>1977.256886</v>
      </c>
      <c r="P28" t="n">
        <v>659.018459</v>
      </c>
      <c r="Q28" t="n">
        <v>7208.860683</v>
      </c>
      <c r="R28" t="n">
        <v>-16135.456244</v>
      </c>
      <c r="S28" t="n">
        <v>1977.256886</v>
      </c>
      <c r="T28" t="n">
        <v>1978.013574</v>
      </c>
      <c r="U28" t="n">
        <v>659.018459</v>
      </c>
      <c r="V28" t="n">
        <v>-33765.372815</v>
      </c>
      <c r="W28" t="n">
        <v>2187.856176</v>
      </c>
      <c r="X28" t="n">
        <v>7875.284067</v>
      </c>
      <c r="Y28" t="n">
        <v>813.5835</v>
      </c>
      <c r="Z28" t="n">
        <v>4029.887095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1" t="inlineStr">
        <is>
          <t>Sélaciens L prof | Sélaciens L côtiers | Sélaciens M prof | Sélaciens M côtiers</t>
        </is>
      </c>
      <c r="E29" t="n">
        <v>163.765772</v>
      </c>
      <c r="F29" t="n">
        <v>2769.459489</v>
      </c>
      <c r="G29" t="n">
        <v>2609.234813</v>
      </c>
      <c r="H29" t="n">
        <v>29837.845747</v>
      </c>
      <c r="I29" t="n">
        <v>101657.718481</v>
      </c>
      <c r="J29" t="n">
        <v>104398.134468</v>
      </c>
      <c r="K29" t="n">
        <v>54134.586328</v>
      </c>
      <c r="L29" t="n">
        <v>481965.932532</v>
      </c>
      <c r="M29" t="n">
        <v>481965.932532</v>
      </c>
      <c r="N29" t="n">
        <v>481965.932532</v>
      </c>
      <c r="O29" t="n">
        <v>42015.216824</v>
      </c>
      <c r="P29" t="n">
        <v>10784.020922</v>
      </c>
      <c r="Q29" t="n">
        <v>481965.932532</v>
      </c>
      <c r="R29" t="n">
        <v>-1054779.03534</v>
      </c>
      <c r="S29" t="n">
        <v>42015.216824</v>
      </c>
      <c r="T29" t="n">
        <v>42036.176323</v>
      </c>
      <c r="U29" t="n">
        <v>10784.020922</v>
      </c>
      <c r="V29" t="n">
        <v>-804951.6234480001</v>
      </c>
      <c r="W29" t="n">
        <v>47810.818811</v>
      </c>
      <c r="X29" t="n">
        <v>582150.568204</v>
      </c>
      <c r="Y29" t="n">
        <v>1401.4805</v>
      </c>
      <c r="Z29" t="n">
        <v>10590.209668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1" t="inlineStr">
        <is>
          <t>Gros capitaine</t>
        </is>
      </c>
      <c r="E30" t="n">
        <v>163.765772</v>
      </c>
      <c r="F30" t="n">
        <v>1068.453682</v>
      </c>
      <c r="G30" t="n">
        <v>1014.029198</v>
      </c>
      <c r="H30" t="n">
        <v>8964.817454</v>
      </c>
      <c r="I30" t="n">
        <v>3381.137465</v>
      </c>
      <c r="J30" t="n">
        <v>3383.31268</v>
      </c>
      <c r="K30" t="n">
        <v>3347.122061</v>
      </c>
      <c r="L30" t="n">
        <v>4619.756956</v>
      </c>
      <c r="M30" t="n">
        <v>4619.756956</v>
      </c>
      <c r="N30" t="n">
        <v>4619.756956</v>
      </c>
      <c r="O30" t="n">
        <v>3278.366359</v>
      </c>
      <c r="P30" t="n">
        <v>1130.329764</v>
      </c>
      <c r="Q30" t="n">
        <v>4619.756956</v>
      </c>
      <c r="R30" t="n">
        <v>-489404.940642</v>
      </c>
      <c r="S30" t="n">
        <v>3278.366359</v>
      </c>
      <c r="T30" t="n">
        <v>3280.804306</v>
      </c>
      <c r="U30" t="n">
        <v>1130.329764</v>
      </c>
      <c r="V30" t="n">
        <v>-1276978.283423</v>
      </c>
      <c r="W30" t="n">
        <v>3567.724626</v>
      </c>
      <c r="X30" t="n">
        <v>4954.233599</v>
      </c>
      <c r="Y30" t="n">
        <v>587.770864</v>
      </c>
      <c r="Z30" t="n">
        <v>3503.610115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1" t="inlineStr">
        <is>
          <t>Thons majeurs</t>
        </is>
      </c>
      <c r="E31" t="n">
        <v>163.765772</v>
      </c>
      <c r="F31" t="n">
        <v>2736.422785</v>
      </c>
      <c r="G31" t="n">
        <v>2578.791074</v>
      </c>
      <c r="H31" t="n">
        <v>17894.357856</v>
      </c>
      <c r="I31" t="n">
        <v>8524.661732</v>
      </c>
      <c r="J31" t="n">
        <v>8877.094804</v>
      </c>
      <c r="K31" t="n">
        <v>4438.547402</v>
      </c>
      <c r="L31" t="n">
        <v>13559.45898</v>
      </c>
      <c r="M31" t="n">
        <v>13559.45898</v>
      </c>
      <c r="N31" t="n">
        <v>13559.45898</v>
      </c>
      <c r="O31" t="n">
        <v>3620.876362</v>
      </c>
      <c r="P31" t="n">
        <v>1183.597755</v>
      </c>
      <c r="Q31" t="n">
        <v>13559.45898</v>
      </c>
      <c r="R31" t="n">
        <v>-35797.700389</v>
      </c>
      <c r="S31" t="n">
        <v>3620.876362</v>
      </c>
      <c r="T31" t="n">
        <v>3622.234339</v>
      </c>
      <c r="U31" t="n">
        <v>1183.597755</v>
      </c>
      <c r="V31" t="n">
        <v>-69439.82694100001</v>
      </c>
      <c r="W31" t="n">
        <v>4014.207129</v>
      </c>
      <c r="X31" t="n">
        <v>14860.336328</v>
      </c>
      <c r="Y31" t="n">
        <v>1388.786767</v>
      </c>
      <c r="Z31" t="n">
        <v>6982.262246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1" t="inlineStr">
        <is>
          <t>Dem M inv | Mulets</t>
        </is>
      </c>
      <c r="E32" t="n">
        <v>163.765772</v>
      </c>
      <c r="F32" t="n">
        <v>161.365334</v>
      </c>
      <c r="G32" t="n">
        <v>155.277245</v>
      </c>
      <c r="H32" t="n">
        <v>481.497528</v>
      </c>
      <c r="I32" t="n">
        <v>660.489131</v>
      </c>
      <c r="J32" t="n">
        <v>660.489131</v>
      </c>
      <c r="K32" t="n">
        <v>627.4646739999999</v>
      </c>
      <c r="L32" t="n">
        <v>831.334602</v>
      </c>
      <c r="M32" t="n">
        <v>831.334602</v>
      </c>
      <c r="N32" t="n">
        <v>831.334602</v>
      </c>
      <c r="O32" t="n">
        <v>685.685987</v>
      </c>
      <c r="P32" t="n">
        <v>373.360833</v>
      </c>
      <c r="Q32" t="n">
        <v>831.334602</v>
      </c>
      <c r="R32" t="n">
        <v>831.334602</v>
      </c>
      <c r="S32" t="n">
        <v>685.685987</v>
      </c>
      <c r="T32" t="n">
        <v>685.818519</v>
      </c>
      <c r="U32" t="n">
        <v>373.360833</v>
      </c>
      <c r="V32" t="n">
        <v>-4104.606578</v>
      </c>
      <c r="W32" t="n">
        <v>751.201064</v>
      </c>
      <c r="X32" t="n">
        <v>882.8690350000001</v>
      </c>
      <c r="Y32" t="n">
        <v>103.979302</v>
      </c>
      <c r="Z32" t="n">
        <v>267.853862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1" t="inlineStr">
        <is>
          <t>Gros capitaine | Petit capitaine | Capitaine royal</t>
        </is>
      </c>
      <c r="E33" t="n">
        <v>163.765772</v>
      </c>
      <c r="F33" t="n">
        <v>716.992994</v>
      </c>
      <c r="G33" t="n">
        <v>682.30875</v>
      </c>
      <c r="H33" t="n">
        <v>3636.612514</v>
      </c>
      <c r="I33" t="n">
        <v>1465.36071</v>
      </c>
      <c r="J33" t="n">
        <v>1466.164997</v>
      </c>
      <c r="K33" t="n">
        <v>1416.000241</v>
      </c>
      <c r="L33" t="n">
        <v>2017.402545</v>
      </c>
      <c r="M33" t="n">
        <v>2017.402545</v>
      </c>
      <c r="N33" t="n">
        <v>2017.402545</v>
      </c>
      <c r="O33" t="n">
        <v>1473.72273</v>
      </c>
      <c r="P33" t="n">
        <v>577.843672</v>
      </c>
      <c r="Q33" t="n">
        <v>2017.402545</v>
      </c>
      <c r="R33" t="n">
        <v>-158991.511345</v>
      </c>
      <c r="S33" t="n">
        <v>1473.72273</v>
      </c>
      <c r="T33" t="n">
        <v>1474.64745</v>
      </c>
      <c r="U33" t="n">
        <v>577.843672</v>
      </c>
      <c r="V33" t="n">
        <v>-461307.751445</v>
      </c>
      <c r="W33" t="n">
        <v>1613.718895</v>
      </c>
      <c r="X33" t="n">
        <v>2131.610269</v>
      </c>
      <c r="Y33" t="n">
        <v>406.889628</v>
      </c>
      <c r="Z33" t="n">
        <v>1576.53981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1" t="inlineStr">
        <is>
          <t>Dem M inv</t>
        </is>
      </c>
      <c r="E34" t="n">
        <v>163.765772</v>
      </c>
      <c r="F34" t="n">
        <v>172.485056</v>
      </c>
      <c r="G34" t="n">
        <v>165.952401</v>
      </c>
      <c r="H34" t="n">
        <v>511.347723</v>
      </c>
      <c r="I34" t="n">
        <v>706.004578</v>
      </c>
      <c r="J34" t="n">
        <v>706.004578</v>
      </c>
      <c r="K34" t="n">
        <v>670.704349</v>
      </c>
      <c r="L34" t="n">
        <v>890.128168</v>
      </c>
      <c r="M34" t="n">
        <v>890.128168</v>
      </c>
      <c r="N34" t="n">
        <v>890.128168</v>
      </c>
      <c r="O34" t="n">
        <v>735.262371</v>
      </c>
      <c r="P34" t="n">
        <v>400.351586</v>
      </c>
      <c r="Q34" t="n">
        <v>890.128168</v>
      </c>
      <c r="R34" t="n">
        <v>890.128168</v>
      </c>
      <c r="S34" t="n">
        <v>735.262371</v>
      </c>
      <c r="T34" t="n">
        <v>735.404934</v>
      </c>
      <c r="U34" t="n">
        <v>400.351586</v>
      </c>
      <c r="V34" t="n">
        <v>-4414.739474</v>
      </c>
      <c r="W34" t="n">
        <v>805.768964</v>
      </c>
      <c r="X34" t="n">
        <v>945.574586</v>
      </c>
      <c r="Y34" t="n">
        <v>110.936439</v>
      </c>
      <c r="Z34" t="n">
        <v>283.97695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1" t="inlineStr">
        <is>
          <t>Crustacés</t>
        </is>
      </c>
      <c r="E35" t="n">
        <v>163.765772</v>
      </c>
      <c r="F35" t="n">
        <v>79.64922</v>
      </c>
      <c r="G35" t="n">
        <v>77.077782</v>
      </c>
      <c r="H35" t="n">
        <v>199.420396</v>
      </c>
      <c r="I35" t="n">
        <v>94.919134</v>
      </c>
      <c r="J35" t="n">
        <v>94.919134</v>
      </c>
      <c r="K35" t="n">
        <v>90.173177</v>
      </c>
      <c r="L35" t="n">
        <v>135.651174</v>
      </c>
      <c r="M35" t="n">
        <v>135.651174</v>
      </c>
      <c r="N35" t="n">
        <v>135.651174</v>
      </c>
      <c r="O35" t="n">
        <v>112.097094</v>
      </c>
      <c r="P35" t="n">
        <v>63.65447</v>
      </c>
      <c r="Q35" t="n">
        <v>135.651174</v>
      </c>
      <c r="R35" t="n">
        <v>135.651174</v>
      </c>
      <c r="S35" t="n">
        <v>112.097094</v>
      </c>
      <c r="T35" t="n">
        <v>112.118405</v>
      </c>
      <c r="U35" t="n">
        <v>63.65447</v>
      </c>
      <c r="V35" t="n">
        <v>-691.708697</v>
      </c>
      <c r="W35" t="n">
        <v>122.926325</v>
      </c>
      <c r="X35" t="n">
        <v>140.897505</v>
      </c>
      <c r="Y35" t="n">
        <v>54.73445</v>
      </c>
      <c r="Z35" t="n">
        <v>122.753568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1" t="inlineStr">
        <is>
          <t>Côtier M inv | Côtier S inv | Dem M inv</t>
        </is>
      </c>
      <c r="E36" t="n">
        <v>163.765772</v>
      </c>
      <c r="F36" t="n">
        <v>133.781825</v>
      </c>
      <c r="G36" t="n">
        <v>128.901832</v>
      </c>
      <c r="H36" t="n">
        <v>476.918016</v>
      </c>
      <c r="I36" t="n">
        <v>376.11481</v>
      </c>
      <c r="J36" t="n">
        <v>376.362239</v>
      </c>
      <c r="K36" t="n">
        <v>365.246515</v>
      </c>
      <c r="L36" t="n">
        <v>482.434664</v>
      </c>
      <c r="M36" t="n">
        <v>482.434664</v>
      </c>
      <c r="N36" t="n">
        <v>482.434664</v>
      </c>
      <c r="O36" t="n">
        <v>402.220822</v>
      </c>
      <c r="P36" t="n">
        <v>215.978617</v>
      </c>
      <c r="Q36" t="n">
        <v>482.434664</v>
      </c>
      <c r="R36" t="n">
        <v>482.820145</v>
      </c>
      <c r="S36" t="n">
        <v>402.220822</v>
      </c>
      <c r="T36" t="n">
        <v>402.607418</v>
      </c>
      <c r="U36" t="n">
        <v>215.978617</v>
      </c>
      <c r="V36" t="n">
        <v>-2362.763105</v>
      </c>
      <c r="W36" t="n">
        <v>439.711642</v>
      </c>
      <c r="X36" t="n">
        <v>508.785663</v>
      </c>
      <c r="Y36" t="n">
        <v>87.514658</v>
      </c>
      <c r="Z36" t="n">
        <v>261.674827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1" t="inlineStr">
        <is>
          <t>Côtier M inv</t>
        </is>
      </c>
      <c r="E37" t="n">
        <v>163.765772</v>
      </c>
      <c r="F37" t="n">
        <v>170.837609</v>
      </c>
      <c r="G37" t="n">
        <v>164.379174</v>
      </c>
      <c r="H37" t="n">
        <v>573.174129</v>
      </c>
      <c r="I37" t="n">
        <v>332.812451</v>
      </c>
      <c r="J37" t="n">
        <v>332.812451</v>
      </c>
      <c r="K37" t="n">
        <v>331.190423</v>
      </c>
      <c r="L37" t="n">
        <v>425.732264</v>
      </c>
      <c r="M37" t="n">
        <v>425.732264</v>
      </c>
      <c r="N37" t="n">
        <v>425.732264</v>
      </c>
      <c r="O37" t="n">
        <v>368.426453</v>
      </c>
      <c r="P37" t="n">
        <v>198.243136</v>
      </c>
      <c r="Q37" t="n">
        <v>425.732264</v>
      </c>
      <c r="R37" t="n">
        <v>425.732264</v>
      </c>
      <c r="S37" t="n">
        <v>368.426453</v>
      </c>
      <c r="T37" t="n">
        <v>368.498294</v>
      </c>
      <c r="U37" t="n">
        <v>198.243136</v>
      </c>
      <c r="V37" t="n">
        <v>-2197.047861</v>
      </c>
      <c r="W37" t="n">
        <v>402.613215</v>
      </c>
      <c r="X37" t="n">
        <v>447.451967</v>
      </c>
      <c r="Y37" t="n">
        <v>109.967259</v>
      </c>
      <c r="Z37" t="n">
        <v>314.242463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1" t="inlineStr">
        <is>
          <t>Côtier pel S inv</t>
        </is>
      </c>
      <c r="E38" t="n">
        <v>163.765772</v>
      </c>
      <c r="F38" t="n">
        <v>63.371783</v>
      </c>
      <c r="G38" t="n">
        <v>61.431046</v>
      </c>
      <c r="H38" t="n">
        <v>318.709045</v>
      </c>
      <c r="I38" t="n">
        <v>117.871263</v>
      </c>
      <c r="J38" t="n">
        <v>118.151769</v>
      </c>
      <c r="K38" t="n">
        <v>106.830226</v>
      </c>
      <c r="L38" t="n">
        <v>182.678519</v>
      </c>
      <c r="M38" t="n">
        <v>182.678519</v>
      </c>
      <c r="N38" t="n">
        <v>182.678519</v>
      </c>
      <c r="O38" t="n">
        <v>118.787049</v>
      </c>
      <c r="P38" t="n">
        <v>55.817264</v>
      </c>
      <c r="Q38" t="n">
        <v>182.678519</v>
      </c>
      <c r="R38" t="n">
        <v>182.678573</v>
      </c>
      <c r="S38" t="n">
        <v>118.787049</v>
      </c>
      <c r="T38" t="n">
        <v>118.805172</v>
      </c>
      <c r="U38" t="n">
        <v>55.817264</v>
      </c>
      <c r="V38" t="n">
        <v>-489.077361</v>
      </c>
      <c r="W38" t="n">
        <v>128.847647</v>
      </c>
      <c r="X38" t="n">
        <v>189.690717</v>
      </c>
      <c r="Y38" t="n">
        <v>44.410268</v>
      </c>
      <c r="Z38" t="n">
        <v>180.282129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1" t="inlineStr">
        <is>
          <t>Côtier L pred</t>
        </is>
      </c>
      <c r="E39" t="n">
        <v>163.765772</v>
      </c>
      <c r="F39" t="n">
        <v>834.792702</v>
      </c>
      <c r="G39" t="n">
        <v>793.737434</v>
      </c>
      <c r="H39" t="n">
        <v>7076.97786</v>
      </c>
      <c r="I39" t="n">
        <v>5090.744396</v>
      </c>
      <c r="J39" t="n">
        <v>9568.388961000001</v>
      </c>
      <c r="K39" t="n">
        <v>8272.995088</v>
      </c>
      <c r="L39" t="n">
        <v>19279.70472</v>
      </c>
      <c r="M39" t="n">
        <v>19279.70472</v>
      </c>
      <c r="N39" t="n">
        <v>19279.70472</v>
      </c>
      <c r="O39" t="n">
        <v>6360.723192</v>
      </c>
      <c r="P39" t="n">
        <v>2029.298348</v>
      </c>
      <c r="Q39" t="n">
        <v>19279.70472</v>
      </c>
      <c r="R39" t="n">
        <v>-84799.195448</v>
      </c>
      <c r="S39" t="n">
        <v>6360.723192</v>
      </c>
      <c r="T39" t="n">
        <v>6366.23078</v>
      </c>
      <c r="U39" t="n">
        <v>2029.298348</v>
      </c>
      <c r="V39" t="n">
        <v>-469234.864873</v>
      </c>
      <c r="W39" t="n">
        <v>6996.154043</v>
      </c>
      <c r="X39" t="n">
        <v>20790.115719</v>
      </c>
      <c r="Y39" t="n">
        <v>469.046047</v>
      </c>
      <c r="Z39" t="n">
        <v>2908.726875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1" t="inlineStr">
        <is>
          <t>Côtier M inv</t>
        </is>
      </c>
      <c r="E40" t="n">
        <v>163.765772</v>
      </c>
      <c r="F40" t="n">
        <v>170.837609</v>
      </c>
      <c r="G40" t="n">
        <v>164.379174</v>
      </c>
      <c r="H40" t="n">
        <v>573.174129</v>
      </c>
      <c r="I40" t="n">
        <v>332.812451</v>
      </c>
      <c r="J40" t="n">
        <v>332.812451</v>
      </c>
      <c r="K40" t="n">
        <v>331.190423</v>
      </c>
      <c r="L40" t="n">
        <v>425.732264</v>
      </c>
      <c r="M40" t="n">
        <v>425.732264</v>
      </c>
      <c r="N40" t="n">
        <v>425.732264</v>
      </c>
      <c r="O40" t="n">
        <v>368.426453</v>
      </c>
      <c r="P40" t="n">
        <v>198.243136</v>
      </c>
      <c r="Q40" t="n">
        <v>425.732264</v>
      </c>
      <c r="R40" t="n">
        <v>425.732264</v>
      </c>
      <c r="S40" t="n">
        <v>368.426453</v>
      </c>
      <c r="T40" t="n">
        <v>368.498294</v>
      </c>
      <c r="U40" t="n">
        <v>198.243136</v>
      </c>
      <c r="V40" t="n">
        <v>-2197.047861</v>
      </c>
      <c r="W40" t="n">
        <v>402.613215</v>
      </c>
      <c r="X40" t="n">
        <v>447.451967</v>
      </c>
      <c r="Y40" t="n">
        <v>109.967259</v>
      </c>
      <c r="Z40" t="n">
        <v>314.242463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1" t="inlineStr">
        <is>
          <t>Côtier pel L pred</t>
        </is>
      </c>
      <c r="E41" t="n">
        <v>163.765772</v>
      </c>
      <c r="F41" t="n">
        <v>1052.557933</v>
      </c>
      <c r="G41" t="n">
        <v>999.055395</v>
      </c>
      <c r="H41" t="n">
        <v>11777.423523</v>
      </c>
      <c r="I41" t="n">
        <v>6532.776468</v>
      </c>
      <c r="J41" t="n">
        <v>7781.630289</v>
      </c>
      <c r="K41" t="n">
        <v>7457.950731</v>
      </c>
      <c r="L41" t="n">
        <v>14096.896099</v>
      </c>
      <c r="M41" t="n">
        <v>14096.896099</v>
      </c>
      <c r="N41" t="n">
        <v>14096.896099</v>
      </c>
      <c r="O41" t="n">
        <v>6109.578522</v>
      </c>
      <c r="P41" t="n">
        <v>1921.956368</v>
      </c>
      <c r="Q41" t="n">
        <v>14096.896099</v>
      </c>
      <c r="R41" t="n">
        <v>-57719.913078</v>
      </c>
      <c r="S41" t="n">
        <v>6109.578522</v>
      </c>
      <c r="T41" t="n">
        <v>6113.693041</v>
      </c>
      <c r="U41" t="n">
        <v>1921.956368</v>
      </c>
      <c r="V41" t="n">
        <v>-289813.58612</v>
      </c>
      <c r="W41" t="n">
        <v>6783.158943</v>
      </c>
      <c r="X41" t="n">
        <v>15274.306707</v>
      </c>
      <c r="Y41" t="n">
        <v>579.770625</v>
      </c>
      <c r="Z41" t="n">
        <v>4535.549158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1" t="inlineStr">
        <is>
          <t>Côtier L pred | Côtier M pred | Disques | Côtier M inv | Côtier S pred | Côtier S inv | Dem L pred | Dem L inv | Dem M pred | Dem M inv | Dem S pred | Dem S inv</t>
        </is>
      </c>
      <c r="E42" t="n">
        <v>163.765772</v>
      </c>
      <c r="F42" t="n">
        <v>354.067847</v>
      </c>
      <c r="G42" t="n">
        <v>337.902487</v>
      </c>
      <c r="H42" t="n">
        <v>2691.99012</v>
      </c>
      <c r="I42" t="n">
        <v>1848.384274</v>
      </c>
      <c r="J42" t="n">
        <v>2898.08022</v>
      </c>
      <c r="K42" t="n">
        <v>2529.306872</v>
      </c>
      <c r="L42" t="n">
        <v>5472.155195</v>
      </c>
      <c r="M42" t="n">
        <v>5472.155195</v>
      </c>
      <c r="N42" t="n">
        <v>5472.155195</v>
      </c>
      <c r="O42" t="n">
        <v>2102.984041</v>
      </c>
      <c r="P42" t="n">
        <v>744.815864</v>
      </c>
      <c r="Q42" t="n">
        <v>5472.155195</v>
      </c>
      <c r="R42" t="n">
        <v>-18867.520232</v>
      </c>
      <c r="S42" t="n">
        <v>2102.984041</v>
      </c>
      <c r="T42" t="n">
        <v>2104.71858</v>
      </c>
      <c r="U42" t="n">
        <v>744.815864</v>
      </c>
      <c r="V42" t="n">
        <v>-112631.389431</v>
      </c>
      <c r="W42" t="n">
        <v>2317.627791</v>
      </c>
      <c r="X42" t="n">
        <v>5897.158448</v>
      </c>
      <c r="Y42" t="n">
        <v>207.950597</v>
      </c>
      <c r="Z42" t="n">
        <v>1145.876672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1" t="inlineStr">
        <is>
          <t>Côtier pel L pred</t>
        </is>
      </c>
      <c r="E43" t="n">
        <v>163.765772</v>
      </c>
      <c r="F43" t="n">
        <v>1052.557933</v>
      </c>
      <c r="G43" t="n">
        <v>999.055395</v>
      </c>
      <c r="H43" t="n">
        <v>11777.423523</v>
      </c>
      <c r="I43" t="n">
        <v>6532.776468</v>
      </c>
      <c r="J43" t="n">
        <v>7781.630289</v>
      </c>
      <c r="K43" t="n">
        <v>7457.950731</v>
      </c>
      <c r="L43" t="n">
        <v>14096.896099</v>
      </c>
      <c r="M43" t="n">
        <v>14096.896099</v>
      </c>
      <c r="N43" t="n">
        <v>14096.896099</v>
      </c>
      <c r="O43" t="n">
        <v>6109.578522</v>
      </c>
      <c r="P43" t="n">
        <v>1921.956368</v>
      </c>
      <c r="Q43" t="n">
        <v>14096.896099</v>
      </c>
      <c r="R43" t="n">
        <v>-57719.913078</v>
      </c>
      <c r="S43" t="n">
        <v>6109.578522</v>
      </c>
      <c r="T43" t="n">
        <v>6113.693041</v>
      </c>
      <c r="U43" t="n">
        <v>1921.956368</v>
      </c>
      <c r="V43" t="n">
        <v>-289813.58612</v>
      </c>
      <c r="W43" t="n">
        <v>6783.158943</v>
      </c>
      <c r="X43" t="n">
        <v>15274.306707</v>
      </c>
      <c r="Y43" t="n">
        <v>579.770625</v>
      </c>
      <c r="Z43" t="n">
        <v>4535.549158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1" t="inlineStr">
        <is>
          <t>Thons majeurs | Thons mineurs | Pel S inv | Côtier L pred | Bathy L pred</t>
        </is>
      </c>
      <c r="E44" t="n">
        <v>163.765772</v>
      </c>
      <c r="F44" t="n">
        <v>1433.367235</v>
      </c>
      <c r="G44" t="n">
        <v>1353.951124</v>
      </c>
      <c r="H44" t="n">
        <v>9558.524766</v>
      </c>
      <c r="I44" t="n">
        <v>4684.023111</v>
      </c>
      <c r="J44" t="n">
        <v>5674.940789</v>
      </c>
      <c r="K44" t="n">
        <v>3565.569093</v>
      </c>
      <c r="L44" t="n">
        <v>9494.334747999999</v>
      </c>
      <c r="M44" t="n">
        <v>9494.334747999999</v>
      </c>
      <c r="N44" t="n">
        <v>9494.334747999999</v>
      </c>
      <c r="O44" t="n">
        <v>2808.212744</v>
      </c>
      <c r="P44" t="n">
        <v>918.798847</v>
      </c>
      <c r="Q44" t="n">
        <v>9494.334747999999</v>
      </c>
      <c r="R44" t="n">
        <v>-29128.509684</v>
      </c>
      <c r="S44" t="n">
        <v>2808.212744</v>
      </c>
      <c r="T44" t="n">
        <v>2809.869626</v>
      </c>
      <c r="U44" t="n">
        <v>918.798847</v>
      </c>
      <c r="V44" t="n">
        <v>-116260.57368</v>
      </c>
      <c r="W44" t="n">
        <v>3099.37977</v>
      </c>
      <c r="X44" t="n">
        <v>10320.396179</v>
      </c>
      <c r="Y44" t="n">
        <v>748.121096</v>
      </c>
      <c r="Z44" t="n">
        <v>3816.503605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1" t="inlineStr">
        <is>
          <t>Côtier pel S inv</t>
        </is>
      </c>
      <c r="E45" t="n">
        <v>163.765772</v>
      </c>
      <c r="F45" t="n">
        <v>63.371783</v>
      </c>
      <c r="G45" t="n">
        <v>61.431046</v>
      </c>
      <c r="H45" t="n">
        <v>318.709045</v>
      </c>
      <c r="I45" t="n">
        <v>117.871263</v>
      </c>
      <c r="J45" t="n">
        <v>118.151769</v>
      </c>
      <c r="K45" t="n">
        <v>106.830226</v>
      </c>
      <c r="L45" t="n">
        <v>182.678519</v>
      </c>
      <c r="M45" t="n">
        <v>182.678519</v>
      </c>
      <c r="N45" t="n">
        <v>182.678519</v>
      </c>
      <c r="O45" t="n">
        <v>118.787049</v>
      </c>
      <c r="P45" t="n">
        <v>55.817264</v>
      </c>
      <c r="Q45" t="n">
        <v>182.678519</v>
      </c>
      <c r="R45" t="n">
        <v>182.678573</v>
      </c>
      <c r="S45" t="n">
        <v>118.787049</v>
      </c>
      <c r="T45" t="n">
        <v>118.805172</v>
      </c>
      <c r="U45" t="n">
        <v>55.817264</v>
      </c>
      <c r="V45" t="n">
        <v>-489.077361</v>
      </c>
      <c r="W45" t="n">
        <v>128.847647</v>
      </c>
      <c r="X45" t="n">
        <v>189.690717</v>
      </c>
      <c r="Y45" t="n">
        <v>44.410268</v>
      </c>
      <c r="Z45" t="n">
        <v>180.282129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1" t="inlineStr">
        <is>
          <t>Thons mineurs</t>
        </is>
      </c>
      <c r="E46" t="n">
        <v>163.765772</v>
      </c>
      <c r="F46" t="n">
        <v>1395.634937</v>
      </c>
      <c r="G46" t="n">
        <v>1321.894731</v>
      </c>
      <c r="H46" t="n">
        <v>9241.41209</v>
      </c>
      <c r="I46" t="n">
        <v>2965.086479</v>
      </c>
      <c r="J46" t="n">
        <v>2997.818641</v>
      </c>
      <c r="K46" t="n">
        <v>1727.313722</v>
      </c>
      <c r="L46" t="n">
        <v>4278.69855</v>
      </c>
      <c r="M46" t="n">
        <v>4278.69855</v>
      </c>
      <c r="N46" t="n">
        <v>4278.69855</v>
      </c>
      <c r="O46" t="n">
        <v>1413.60711</v>
      </c>
      <c r="P46" t="n">
        <v>516.926347</v>
      </c>
      <c r="Q46" t="n">
        <v>4278.69855</v>
      </c>
      <c r="R46" t="n">
        <v>4279.691205</v>
      </c>
      <c r="S46" t="n">
        <v>1413.60711</v>
      </c>
      <c r="T46" t="n">
        <v>1414.29973</v>
      </c>
      <c r="U46" t="n">
        <v>516.926347</v>
      </c>
      <c r="V46" t="n">
        <v>-5162.630056</v>
      </c>
      <c r="W46" t="n">
        <v>1554.151413</v>
      </c>
      <c r="X46" t="n">
        <v>4550.096146</v>
      </c>
      <c r="Y46" t="n">
        <v>750.381718</v>
      </c>
      <c r="Z46" t="n">
        <v>3860.227378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1" t="inlineStr">
        <is>
          <t>Côtier M inv</t>
        </is>
      </c>
      <c r="E47" t="n">
        <v>163.765772</v>
      </c>
      <c r="F47" t="n">
        <v>170.837609</v>
      </c>
      <c r="G47" t="n">
        <v>164.379174</v>
      </c>
      <c r="H47" t="n">
        <v>573.174129</v>
      </c>
      <c r="I47" t="n">
        <v>332.812451</v>
      </c>
      <c r="J47" t="n">
        <v>332.812451</v>
      </c>
      <c r="K47" t="n">
        <v>331.190423</v>
      </c>
      <c r="L47" t="n">
        <v>425.732264</v>
      </c>
      <c r="M47" t="n">
        <v>425.732264</v>
      </c>
      <c r="N47" t="n">
        <v>425.732264</v>
      </c>
      <c r="O47" t="n">
        <v>368.426453</v>
      </c>
      <c r="P47" t="n">
        <v>198.243136</v>
      </c>
      <c r="Q47" t="n">
        <v>425.732264</v>
      </c>
      <c r="R47" t="n">
        <v>425.732264</v>
      </c>
      <c r="S47" t="n">
        <v>368.426453</v>
      </c>
      <c r="T47" t="n">
        <v>368.498294</v>
      </c>
      <c r="U47" t="n">
        <v>198.243136</v>
      </c>
      <c r="V47" t="n">
        <v>-2197.047861</v>
      </c>
      <c r="W47" t="n">
        <v>402.613215</v>
      </c>
      <c r="X47" t="n">
        <v>447.451967</v>
      </c>
      <c r="Y47" t="n">
        <v>109.967259</v>
      </c>
      <c r="Z47" t="n">
        <v>314.242463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1" t="inlineStr">
        <is>
          <t>Côtier L pred | Dem M pred</t>
        </is>
      </c>
      <c r="E48" t="n">
        <v>163.765772</v>
      </c>
      <c r="F48" t="n">
        <v>836.222704</v>
      </c>
      <c r="G48" t="n">
        <v>795.086734</v>
      </c>
      <c r="H48" t="n">
        <v>7008.237941</v>
      </c>
      <c r="I48" t="n">
        <v>4971.054639</v>
      </c>
      <c r="J48" t="n">
        <v>9238.238461999999</v>
      </c>
      <c r="K48" t="n">
        <v>7997.777946</v>
      </c>
      <c r="L48" t="n">
        <v>18538.654791</v>
      </c>
      <c r="M48" t="n">
        <v>18538.654791</v>
      </c>
      <c r="N48" t="n">
        <v>18538.654791</v>
      </c>
      <c r="O48" t="n">
        <v>6171.711698</v>
      </c>
      <c r="P48" t="n">
        <v>1979.334137</v>
      </c>
      <c r="Q48" t="n">
        <v>18538.654791</v>
      </c>
      <c r="R48" t="n">
        <v>-80644.891517</v>
      </c>
      <c r="S48" t="n">
        <v>6171.711698</v>
      </c>
      <c r="T48" t="n">
        <v>6177.037068</v>
      </c>
      <c r="U48" t="n">
        <v>1979.334137</v>
      </c>
      <c r="V48" t="n">
        <v>-447654.680854</v>
      </c>
      <c r="W48" t="n">
        <v>6788.218313</v>
      </c>
      <c r="X48" t="n">
        <v>19988.742421</v>
      </c>
      <c r="Y48" t="n">
        <v>469.779539</v>
      </c>
      <c r="Z48" t="n">
        <v>2885.367314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1" t="inlineStr">
        <is>
          <t>Crustacés</t>
        </is>
      </c>
      <c r="E49" t="n">
        <v>163.765772</v>
      </c>
      <c r="F49" t="n">
        <v>79.64922</v>
      </c>
      <c r="G49" t="n">
        <v>77.077782</v>
      </c>
      <c r="H49" t="n">
        <v>199.420396</v>
      </c>
      <c r="I49" t="n">
        <v>94.919134</v>
      </c>
      <c r="J49" t="n">
        <v>94.919134</v>
      </c>
      <c r="K49" t="n">
        <v>90.173177</v>
      </c>
      <c r="L49" t="n">
        <v>135.651174</v>
      </c>
      <c r="M49" t="n">
        <v>135.651174</v>
      </c>
      <c r="N49" t="n">
        <v>135.651174</v>
      </c>
      <c r="O49" t="n">
        <v>112.097094</v>
      </c>
      <c r="P49" t="n">
        <v>63.65447</v>
      </c>
      <c r="Q49" t="n">
        <v>135.651174</v>
      </c>
      <c r="R49" t="n">
        <v>135.651174</v>
      </c>
      <c r="S49" t="n">
        <v>112.097094</v>
      </c>
      <c r="T49" t="n">
        <v>112.118405</v>
      </c>
      <c r="U49" t="n">
        <v>63.65447</v>
      </c>
      <c r="V49" t="n">
        <v>-691.708697</v>
      </c>
      <c r="W49" t="n">
        <v>122.926325</v>
      </c>
      <c r="X49" t="n">
        <v>140.897505</v>
      </c>
      <c r="Y49" t="n">
        <v>54.73445</v>
      </c>
      <c r="Z49" t="n">
        <v>122.753568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1" t="inlineStr">
        <is>
          <t>Crustacés</t>
        </is>
      </c>
      <c r="E50" t="n">
        <v>163.765772</v>
      </c>
      <c r="F50" t="n">
        <v>79.64922</v>
      </c>
      <c r="G50" t="n">
        <v>77.077782</v>
      </c>
      <c r="H50" t="n">
        <v>199.420396</v>
      </c>
      <c r="I50" t="n">
        <v>94.919134</v>
      </c>
      <c r="J50" t="n">
        <v>94.919134</v>
      </c>
      <c r="K50" t="n">
        <v>90.173177</v>
      </c>
      <c r="L50" t="n">
        <v>135.651174</v>
      </c>
      <c r="M50" t="n">
        <v>135.651174</v>
      </c>
      <c r="N50" t="n">
        <v>135.651174</v>
      </c>
      <c r="O50" t="n">
        <v>112.097094</v>
      </c>
      <c r="P50" t="n">
        <v>63.65447</v>
      </c>
      <c r="Q50" t="n">
        <v>135.651174</v>
      </c>
      <c r="R50" t="n">
        <v>135.651174</v>
      </c>
      <c r="S50" t="n">
        <v>112.097094</v>
      </c>
      <c r="T50" t="n">
        <v>112.118405</v>
      </c>
      <c r="U50" t="n">
        <v>63.65447</v>
      </c>
      <c r="V50" t="n">
        <v>-691.708697</v>
      </c>
      <c r="W50" t="n">
        <v>122.926325</v>
      </c>
      <c r="X50" t="n">
        <v>140.897505</v>
      </c>
      <c r="Y50" t="n">
        <v>54.73445</v>
      </c>
      <c r="Z50" t="n">
        <v>122.753568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1" t="inlineStr">
        <is>
          <t>Côtier L pred | Côtier M inv | Côtier S inv | Dem L inv | Dem L pred | Dem M inv | Dem M pred | Mulets</t>
        </is>
      </c>
      <c r="E51" t="n">
        <v>163.765772</v>
      </c>
      <c r="F51" t="n">
        <v>343.374372</v>
      </c>
      <c r="G51" t="n">
        <v>327.685675</v>
      </c>
      <c r="H51" t="n">
        <v>2587.493271</v>
      </c>
      <c r="I51" t="n">
        <v>1882.910333</v>
      </c>
      <c r="J51" t="n">
        <v>2999.970222</v>
      </c>
      <c r="K51" t="n">
        <v>2616.221422</v>
      </c>
      <c r="L51" t="n">
        <v>5704.243074</v>
      </c>
      <c r="M51" t="n">
        <v>5704.243074</v>
      </c>
      <c r="N51" t="n">
        <v>5704.243074</v>
      </c>
      <c r="O51" t="n">
        <v>2165.413524</v>
      </c>
      <c r="P51" t="n">
        <v>762.7383129999999</v>
      </c>
      <c r="Q51" t="n">
        <v>5704.243074</v>
      </c>
      <c r="R51" t="n">
        <v>-20186.882349</v>
      </c>
      <c r="S51" t="n">
        <v>2165.413524</v>
      </c>
      <c r="T51" t="n">
        <v>2167.218492</v>
      </c>
      <c r="U51" t="n">
        <v>762.7383129999999</v>
      </c>
      <c r="V51" t="n">
        <v>-119519.957385</v>
      </c>
      <c r="W51" t="n">
        <v>2386.389696</v>
      </c>
      <c r="X51" t="n">
        <v>6150.078953</v>
      </c>
      <c r="Y51" t="n">
        <v>201.625568</v>
      </c>
      <c r="Z51" t="n">
        <v>1099.763793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1" t="inlineStr">
        <is>
          <t>Pel S inv</t>
        </is>
      </c>
      <c r="E52" t="n">
        <v>163.765772</v>
      </c>
      <c r="F52" t="n">
        <v>157.970864</v>
      </c>
      <c r="G52" t="n">
        <v>152.088101</v>
      </c>
      <c r="H52" t="n">
        <v>577.271661</v>
      </c>
      <c r="I52" t="n">
        <v>239.810236</v>
      </c>
      <c r="J52" t="n">
        <v>250.631699</v>
      </c>
      <c r="K52" t="n">
        <v>247.597025</v>
      </c>
      <c r="L52" t="n">
        <v>317.630863</v>
      </c>
      <c r="M52" t="n">
        <v>317.630863</v>
      </c>
      <c r="N52" t="n">
        <v>317.630863</v>
      </c>
      <c r="O52" t="n">
        <v>109.892321</v>
      </c>
      <c r="P52" t="n">
        <v>46.754763</v>
      </c>
      <c r="Q52" t="n">
        <v>317.630863</v>
      </c>
      <c r="R52" t="n">
        <v>317.632445</v>
      </c>
      <c r="S52" t="n">
        <v>109.892321</v>
      </c>
      <c r="T52" t="n">
        <v>109.904682</v>
      </c>
      <c r="U52" t="n">
        <v>46.754763</v>
      </c>
      <c r="V52" t="n">
        <v>-281.147296</v>
      </c>
      <c r="W52" t="n">
        <v>116.066511</v>
      </c>
      <c r="X52" t="n">
        <v>339.622882</v>
      </c>
      <c r="Y52" t="n">
        <v>102.369618</v>
      </c>
      <c r="Z52" t="n">
        <v>312.790013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1" t="inlineStr">
        <is>
          <t>Crustacés</t>
        </is>
      </c>
      <c r="E53" t="n">
        <v>163.765772</v>
      </c>
      <c r="F53" t="n">
        <v>79.64922</v>
      </c>
      <c r="G53" t="n">
        <v>77.077782</v>
      </c>
      <c r="H53" t="n">
        <v>199.420396</v>
      </c>
      <c r="I53" t="n">
        <v>94.919134</v>
      </c>
      <c r="J53" t="n">
        <v>94.919134</v>
      </c>
      <c r="K53" t="n">
        <v>90.173177</v>
      </c>
      <c r="L53" t="n">
        <v>135.651174</v>
      </c>
      <c r="M53" t="n">
        <v>135.651174</v>
      </c>
      <c r="N53" t="n">
        <v>135.651174</v>
      </c>
      <c r="O53" t="n">
        <v>112.097094</v>
      </c>
      <c r="P53" t="n">
        <v>63.65447</v>
      </c>
      <c r="Q53" t="n">
        <v>135.651174</v>
      </c>
      <c r="R53" t="n">
        <v>135.651174</v>
      </c>
      <c r="S53" t="n">
        <v>112.097094</v>
      </c>
      <c r="T53" t="n">
        <v>112.118405</v>
      </c>
      <c r="U53" t="n">
        <v>63.65447</v>
      </c>
      <c r="V53" t="n">
        <v>-691.708697</v>
      </c>
      <c r="W53" t="n">
        <v>122.926325</v>
      </c>
      <c r="X53" t="n">
        <v>140.897505</v>
      </c>
      <c r="Y53" t="n">
        <v>54.73445</v>
      </c>
      <c r="Z53" t="n">
        <v>122.753568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1" t="inlineStr">
        <is>
          <t>Côtier M inv</t>
        </is>
      </c>
      <c r="E54" t="n">
        <v>163.765772</v>
      </c>
      <c r="F54" t="n">
        <v>170.837609</v>
      </c>
      <c r="G54" t="n">
        <v>164.379174</v>
      </c>
      <c r="H54" t="n">
        <v>573.174129</v>
      </c>
      <c r="I54" t="n">
        <v>332.812451</v>
      </c>
      <c r="J54" t="n">
        <v>332.812451</v>
      </c>
      <c r="K54" t="n">
        <v>331.190423</v>
      </c>
      <c r="L54" t="n">
        <v>425.732264</v>
      </c>
      <c r="M54" t="n">
        <v>425.732264</v>
      </c>
      <c r="N54" t="n">
        <v>425.732264</v>
      </c>
      <c r="O54" t="n">
        <v>368.426453</v>
      </c>
      <c r="P54" t="n">
        <v>198.243136</v>
      </c>
      <c r="Q54" t="n">
        <v>425.732264</v>
      </c>
      <c r="R54" t="n">
        <v>425.732264</v>
      </c>
      <c r="S54" t="n">
        <v>368.426453</v>
      </c>
      <c r="T54" t="n">
        <v>368.498294</v>
      </c>
      <c r="U54" t="n">
        <v>198.243136</v>
      </c>
      <c r="V54" t="n">
        <v>-2197.047861</v>
      </c>
      <c r="W54" t="n">
        <v>402.613215</v>
      </c>
      <c r="X54" t="n">
        <v>447.451967</v>
      </c>
      <c r="Y54" t="n">
        <v>109.967259</v>
      </c>
      <c r="Z54" t="n">
        <v>314.242463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1" t="inlineStr">
        <is>
          <t>Côtier pel L pred</t>
        </is>
      </c>
      <c r="E55" t="n">
        <v>163.765772</v>
      </c>
      <c r="F55" t="n">
        <v>1052.557933</v>
      </c>
      <c r="G55" t="n">
        <v>999.055395</v>
      </c>
      <c r="H55" t="n">
        <v>11777.423523</v>
      </c>
      <c r="I55" t="n">
        <v>6532.776468</v>
      </c>
      <c r="J55" t="n">
        <v>7781.630289</v>
      </c>
      <c r="K55" t="n">
        <v>7457.950731</v>
      </c>
      <c r="L55" t="n">
        <v>14096.896099</v>
      </c>
      <c r="M55" t="n">
        <v>14096.896099</v>
      </c>
      <c r="N55" t="n">
        <v>14096.896099</v>
      </c>
      <c r="O55" t="n">
        <v>6109.578522</v>
      </c>
      <c r="P55" t="n">
        <v>1921.956368</v>
      </c>
      <c r="Q55" t="n">
        <v>14096.896099</v>
      </c>
      <c r="R55" t="n">
        <v>-57719.913078</v>
      </c>
      <c r="S55" t="n">
        <v>6109.578522</v>
      </c>
      <c r="T55" t="n">
        <v>6113.693041</v>
      </c>
      <c r="U55" t="n">
        <v>1921.956368</v>
      </c>
      <c r="V55" t="n">
        <v>-289813.58612</v>
      </c>
      <c r="W55" t="n">
        <v>6783.158943</v>
      </c>
      <c r="X55" t="n">
        <v>15274.306707</v>
      </c>
      <c r="Y55" t="n">
        <v>579.770625</v>
      </c>
      <c r="Z55" t="n">
        <v>4535.549158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1" t="inlineStr">
        <is>
          <t>Thons mineurs</t>
        </is>
      </c>
      <c r="E56" t="n">
        <v>163.765772</v>
      </c>
      <c r="F56" t="n">
        <v>1395.634937</v>
      </c>
      <c r="G56" t="n">
        <v>1321.894731</v>
      </c>
      <c r="H56" t="n">
        <v>9241.41209</v>
      </c>
      <c r="I56" t="n">
        <v>2965.086479</v>
      </c>
      <c r="J56" t="n">
        <v>2997.818641</v>
      </c>
      <c r="K56" t="n">
        <v>1727.313722</v>
      </c>
      <c r="L56" t="n">
        <v>4278.69855</v>
      </c>
      <c r="M56" t="n">
        <v>4278.69855</v>
      </c>
      <c r="N56" t="n">
        <v>4278.69855</v>
      </c>
      <c r="O56" t="n">
        <v>1413.60711</v>
      </c>
      <c r="P56" t="n">
        <v>516.926347</v>
      </c>
      <c r="Q56" t="n">
        <v>4278.69855</v>
      </c>
      <c r="R56" t="n">
        <v>4279.691205</v>
      </c>
      <c r="S56" t="n">
        <v>1413.60711</v>
      </c>
      <c r="T56" t="n">
        <v>1414.29973</v>
      </c>
      <c r="U56" t="n">
        <v>516.926347</v>
      </c>
      <c r="V56" t="n">
        <v>-5162.630056</v>
      </c>
      <c r="W56" t="n">
        <v>1554.151413</v>
      </c>
      <c r="X56" t="n">
        <v>4550.096146</v>
      </c>
      <c r="Y56" t="n">
        <v>750.381718</v>
      </c>
      <c r="Z56" t="n">
        <v>3860.227378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1" t="inlineStr">
        <is>
          <t>Sélaciens L côtiers | Sélaciens M côtiers</t>
        </is>
      </c>
      <c r="E57" t="n">
        <v>163.765772</v>
      </c>
      <c r="F57" t="n">
        <v>1153.061509</v>
      </c>
      <c r="G57" t="n">
        <v>1093.701635</v>
      </c>
      <c r="H57" t="n">
        <v>25164.033475</v>
      </c>
      <c r="I57" t="n">
        <v>57150.226233</v>
      </c>
      <c r="J57" t="n">
        <v>51505.775538</v>
      </c>
      <c r="K57" t="n">
        <v>45688.726754</v>
      </c>
      <c r="L57" t="n">
        <v>137125.897636</v>
      </c>
      <c r="M57" t="n">
        <v>137125.897636</v>
      </c>
      <c r="N57" t="n">
        <v>137125.897636</v>
      </c>
      <c r="O57" t="n">
        <v>26241.404233</v>
      </c>
      <c r="P57" t="n">
        <v>7002.787354</v>
      </c>
      <c r="Q57" t="n">
        <v>137125.897636</v>
      </c>
      <c r="R57" t="n">
        <v>-312100.909077</v>
      </c>
      <c r="S57" t="n">
        <v>26241.404233</v>
      </c>
      <c r="T57" t="n">
        <v>26278.419722</v>
      </c>
      <c r="U57" t="n">
        <v>7002.787354</v>
      </c>
      <c r="V57" t="n">
        <v>-704949.706355</v>
      </c>
      <c r="W57" t="n">
        <v>29402.154661</v>
      </c>
      <c r="X57" t="n">
        <v>154801.497935</v>
      </c>
      <c r="Y57" t="n">
        <v>630.181807</v>
      </c>
      <c r="Z57" t="n">
        <v>8899.83473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1" t="inlineStr">
        <is>
          <t>Côtier S pred</t>
        </is>
      </c>
      <c r="E58" t="n">
        <v>163.765772</v>
      </c>
      <c r="F58" t="n">
        <v>545.757696</v>
      </c>
      <c r="G58" t="n">
        <v>520.573184</v>
      </c>
      <c r="H58" t="n">
        <v>4917.222698</v>
      </c>
      <c r="I58" t="n">
        <v>1275.451871</v>
      </c>
      <c r="J58" t="n">
        <v>1276.0859</v>
      </c>
      <c r="K58" t="n">
        <v>1149.773886</v>
      </c>
      <c r="L58" t="n">
        <v>1835.857966</v>
      </c>
      <c r="M58" t="n">
        <v>1835.857966</v>
      </c>
      <c r="N58" t="n">
        <v>1835.857966</v>
      </c>
      <c r="O58" t="n">
        <v>1067.675983</v>
      </c>
      <c r="P58" t="n">
        <v>415.50327</v>
      </c>
      <c r="Q58" t="n">
        <v>1835.857966</v>
      </c>
      <c r="R58" t="n">
        <v>1836.5911</v>
      </c>
      <c r="S58" t="n">
        <v>1067.675983</v>
      </c>
      <c r="T58" t="n">
        <v>1068.391396</v>
      </c>
      <c r="U58" t="n">
        <v>415.50327</v>
      </c>
      <c r="V58" t="n">
        <v>-4249.608379</v>
      </c>
      <c r="W58" t="n">
        <v>1177.743138</v>
      </c>
      <c r="X58" t="n">
        <v>1944.131304</v>
      </c>
      <c r="Y58" t="n">
        <v>318.019746</v>
      </c>
      <c r="Z58" t="n">
        <v>2089.141318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1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1" t="inlineStr">
        <is>
          <t>Bars</t>
        </is>
      </c>
      <c r="E60" t="n">
        <v>163.765772</v>
      </c>
      <c r="F60" t="n">
        <v>765.126208</v>
      </c>
      <c r="G60" t="n">
        <v>727.972559</v>
      </c>
      <c r="H60" t="n">
        <v>3298.268004</v>
      </c>
      <c r="I60" t="n">
        <v>1392.366618</v>
      </c>
      <c r="J60" t="n">
        <v>1698.422161</v>
      </c>
      <c r="K60" t="n">
        <v>1593.296173</v>
      </c>
      <c r="L60" t="n">
        <v>2935.678026</v>
      </c>
      <c r="M60" t="n">
        <v>2935.678026</v>
      </c>
      <c r="N60" t="n">
        <v>2935.678026</v>
      </c>
      <c r="O60" t="n">
        <v>1750.56031</v>
      </c>
      <c r="P60" t="n">
        <v>663.608554</v>
      </c>
      <c r="Q60" t="n">
        <v>2935.678026</v>
      </c>
      <c r="R60" t="n">
        <v>-12167.664034</v>
      </c>
      <c r="S60" t="n">
        <v>1750.56031</v>
      </c>
      <c r="T60" t="n">
        <v>1751.311377</v>
      </c>
      <c r="U60" t="n">
        <v>663.608554</v>
      </c>
      <c r="V60" t="n">
        <v>-129143.724965</v>
      </c>
      <c r="W60" t="n">
        <v>1958.685751</v>
      </c>
      <c r="X60" t="n">
        <v>3084.917054</v>
      </c>
      <c r="Y60" t="n">
        <v>433.124819</v>
      </c>
      <c r="Z60" t="n">
        <v>1494.31502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1" t="inlineStr">
        <is>
          <t>Crustacés</t>
        </is>
      </c>
      <c r="E61" t="n">
        <v>163.765772</v>
      </c>
      <c r="F61" t="n">
        <v>79.64922</v>
      </c>
      <c r="G61" t="n">
        <v>77.077782</v>
      </c>
      <c r="H61" t="n">
        <v>199.420396</v>
      </c>
      <c r="I61" t="n">
        <v>94.919134</v>
      </c>
      <c r="J61" t="n">
        <v>94.919134</v>
      </c>
      <c r="K61" t="n">
        <v>90.173177</v>
      </c>
      <c r="L61" t="n">
        <v>135.651174</v>
      </c>
      <c r="M61" t="n">
        <v>135.651174</v>
      </c>
      <c r="N61" t="n">
        <v>135.651174</v>
      </c>
      <c r="O61" t="n">
        <v>112.097094</v>
      </c>
      <c r="P61" t="n">
        <v>63.65447</v>
      </c>
      <c r="Q61" t="n">
        <v>135.651174</v>
      </c>
      <c r="R61" t="n">
        <v>135.651174</v>
      </c>
      <c r="S61" t="n">
        <v>112.097094</v>
      </c>
      <c r="T61" t="n">
        <v>112.118405</v>
      </c>
      <c r="U61" t="n">
        <v>63.65447</v>
      </c>
      <c r="V61" t="n">
        <v>-691.708697</v>
      </c>
      <c r="W61" t="n">
        <v>122.926325</v>
      </c>
      <c r="X61" t="n">
        <v>140.897505</v>
      </c>
      <c r="Y61" t="n">
        <v>54.73445</v>
      </c>
      <c r="Z61" t="n">
        <v>122.753568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1" t="inlineStr">
        <is>
          <t>Côtier pel L pred</t>
        </is>
      </c>
      <c r="E62" t="n">
        <v>163.765772</v>
      </c>
      <c r="F62" t="n">
        <v>1052.557933</v>
      </c>
      <c r="G62" t="n">
        <v>999.055395</v>
      </c>
      <c r="H62" t="n">
        <v>11777.423523</v>
      </c>
      <c r="I62" t="n">
        <v>6532.776468</v>
      </c>
      <c r="J62" t="n">
        <v>7781.630289</v>
      </c>
      <c r="K62" t="n">
        <v>7457.950731</v>
      </c>
      <c r="L62" t="n">
        <v>14096.896099</v>
      </c>
      <c r="M62" t="n">
        <v>14096.896099</v>
      </c>
      <c r="N62" t="n">
        <v>14096.896099</v>
      </c>
      <c r="O62" t="n">
        <v>6109.578522</v>
      </c>
      <c r="P62" t="n">
        <v>1921.956368</v>
      </c>
      <c r="Q62" t="n">
        <v>14096.896099</v>
      </c>
      <c r="R62" t="n">
        <v>-57719.913078</v>
      </c>
      <c r="S62" t="n">
        <v>6109.578522</v>
      </c>
      <c r="T62" t="n">
        <v>6113.693041</v>
      </c>
      <c r="U62" t="n">
        <v>1921.956368</v>
      </c>
      <c r="V62" t="n">
        <v>-289813.58612</v>
      </c>
      <c r="W62" t="n">
        <v>6783.158943</v>
      </c>
      <c r="X62" t="n">
        <v>15274.306707</v>
      </c>
      <c r="Y62" t="n">
        <v>579.770625</v>
      </c>
      <c r="Z62" t="n">
        <v>4535.549158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1" t="inlineStr">
        <is>
          <t>Côtier pel L pred | Côtier pel S inv | Pel L pred | Pel S inv</t>
        </is>
      </c>
      <c r="E63" t="n">
        <v>163.765772</v>
      </c>
      <c r="F63" t="n">
        <v>266.575744</v>
      </c>
      <c r="G63" t="n">
        <v>254.175111</v>
      </c>
      <c r="H63" t="n">
        <v>2537.119752</v>
      </c>
      <c r="I63" t="n">
        <v>1357.747616</v>
      </c>
      <c r="J63" t="n">
        <v>1596.011247</v>
      </c>
      <c r="K63" t="n">
        <v>1526.21992</v>
      </c>
      <c r="L63" t="n">
        <v>2851.767602</v>
      </c>
      <c r="M63" t="n">
        <v>2851.767602</v>
      </c>
      <c r="N63" t="n">
        <v>2851.767602</v>
      </c>
      <c r="O63" t="n">
        <v>1260.045156</v>
      </c>
      <c r="P63" t="n">
        <v>410.800239</v>
      </c>
      <c r="Q63" t="n">
        <v>2851.767602</v>
      </c>
      <c r="R63" t="n">
        <v>-10978.789244</v>
      </c>
      <c r="S63" t="n">
        <v>1260.045156</v>
      </c>
      <c r="T63" t="n">
        <v>1260.840062</v>
      </c>
      <c r="U63" t="n">
        <v>410.800239</v>
      </c>
      <c r="V63" t="n">
        <v>-55673.207365</v>
      </c>
      <c r="W63" t="n">
        <v>1396.207232</v>
      </c>
      <c r="X63" t="n">
        <v>3083.639574</v>
      </c>
      <c r="Y63" t="n">
        <v>155.290958</v>
      </c>
      <c r="Z63" t="n">
        <v>1028.793367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1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1" t="inlineStr">
        <is>
          <t>Capitaine royal</t>
        </is>
      </c>
      <c r="E65" t="n">
        <v>163.765772</v>
      </c>
      <c r="F65" t="n">
        <v>672.707643</v>
      </c>
      <c r="G65" t="n">
        <v>640.6596919999999</v>
      </c>
      <c r="H65" t="n">
        <v>2114.203097</v>
      </c>
      <c r="I65" t="n">
        <v>1064.72098</v>
      </c>
      <c r="J65" t="n">
        <v>1065.68356</v>
      </c>
      <c r="K65" t="n">
        <v>1012.399382</v>
      </c>
      <c r="L65" t="n">
        <v>1453.039438</v>
      </c>
      <c r="M65" t="n">
        <v>1453.039438</v>
      </c>
      <c r="N65" t="n">
        <v>1453.039438</v>
      </c>
      <c r="O65" t="n">
        <v>1093.56901</v>
      </c>
      <c r="P65" t="n">
        <v>480.845954</v>
      </c>
      <c r="Q65" t="n">
        <v>1453.039438</v>
      </c>
      <c r="R65" t="n">
        <v>-277697.53438</v>
      </c>
      <c r="S65" t="n">
        <v>1093.56901</v>
      </c>
      <c r="T65" t="n">
        <v>1094.41051</v>
      </c>
      <c r="U65" t="n">
        <v>480.845954</v>
      </c>
      <c r="V65" t="n">
        <v>-1079545.542006</v>
      </c>
      <c r="W65" t="n">
        <v>1199.786342</v>
      </c>
      <c r="X65" t="n">
        <v>1524.681825</v>
      </c>
      <c r="Y65" t="n">
        <v>385.032378</v>
      </c>
      <c r="Z65" t="n">
        <v>1049.869915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1" t="inlineStr">
        <is>
          <t>Côtier pel L pred</t>
        </is>
      </c>
      <c r="E66" t="n">
        <v>163.765772</v>
      </c>
      <c r="F66" t="n">
        <v>1052.557933</v>
      </c>
      <c r="G66" t="n">
        <v>999.055395</v>
      </c>
      <c r="H66" t="n">
        <v>11777.423523</v>
      </c>
      <c r="I66" t="n">
        <v>6532.776468</v>
      </c>
      <c r="J66" t="n">
        <v>7781.630289</v>
      </c>
      <c r="K66" t="n">
        <v>7457.950731</v>
      </c>
      <c r="L66" t="n">
        <v>14096.896099</v>
      </c>
      <c r="M66" t="n">
        <v>14096.896099</v>
      </c>
      <c r="N66" t="n">
        <v>14096.896099</v>
      </c>
      <c r="O66" t="n">
        <v>6109.578522</v>
      </c>
      <c r="P66" t="n">
        <v>1921.956368</v>
      </c>
      <c r="Q66" t="n">
        <v>14096.896099</v>
      </c>
      <c r="R66" t="n">
        <v>-57719.913078</v>
      </c>
      <c r="S66" t="n">
        <v>6109.578522</v>
      </c>
      <c r="T66" t="n">
        <v>6113.693041</v>
      </c>
      <c r="U66" t="n">
        <v>1921.956368</v>
      </c>
      <c r="V66" t="n">
        <v>-289813.58612</v>
      </c>
      <c r="W66" t="n">
        <v>6783.158943</v>
      </c>
      <c r="X66" t="n">
        <v>15274.306707</v>
      </c>
      <c r="Y66" t="n">
        <v>579.770625</v>
      </c>
      <c r="Z66" t="n">
        <v>4535.549158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1" t="inlineStr">
        <is>
          <t>Mâchoiron</t>
        </is>
      </c>
      <c r="E67" t="n">
        <v>163.765772</v>
      </c>
      <c r="F67" t="n">
        <v>446.273553</v>
      </c>
      <c r="G67" t="n">
        <v>426.322511</v>
      </c>
      <c r="H67" t="n">
        <v>2287.433385</v>
      </c>
      <c r="I67" t="n">
        <v>1227.287784</v>
      </c>
      <c r="J67" t="n">
        <v>1227.86025</v>
      </c>
      <c r="K67" t="n">
        <v>1177.635118</v>
      </c>
      <c r="L67" t="n">
        <v>1664.247716</v>
      </c>
      <c r="M67" t="n">
        <v>1664.247716</v>
      </c>
      <c r="N67" t="n">
        <v>1664.247716</v>
      </c>
      <c r="O67" t="n">
        <v>1262.754118</v>
      </c>
      <c r="P67" t="n">
        <v>551.93389</v>
      </c>
      <c r="Q67" t="n">
        <v>1664.247716</v>
      </c>
      <c r="R67" t="n">
        <v>12628.150861</v>
      </c>
      <c r="S67" t="n">
        <v>1262.754118</v>
      </c>
      <c r="T67" t="n">
        <v>1263.532375</v>
      </c>
      <c r="U67" t="n">
        <v>551.93389</v>
      </c>
      <c r="V67" t="n">
        <v>-515946.368073</v>
      </c>
      <c r="W67" t="n">
        <v>1387.599918</v>
      </c>
      <c r="X67" t="n">
        <v>1742.106202</v>
      </c>
      <c r="Y67" t="n">
        <v>264.572656</v>
      </c>
      <c r="Z67" t="n">
        <v>1050.626857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1" t="inlineStr">
        <is>
          <t>Pel S inv</t>
        </is>
      </c>
      <c r="E68" t="n">
        <v>163.765772</v>
      </c>
      <c r="F68" t="n">
        <v>157.970864</v>
      </c>
      <c r="G68" t="n">
        <v>152.088101</v>
      </c>
      <c r="H68" t="n">
        <v>577.271661</v>
      </c>
      <c r="I68" t="n">
        <v>239.810236</v>
      </c>
      <c r="J68" t="n">
        <v>250.631699</v>
      </c>
      <c r="K68" t="n">
        <v>247.597025</v>
      </c>
      <c r="L68" t="n">
        <v>317.630863</v>
      </c>
      <c r="M68" t="n">
        <v>317.630863</v>
      </c>
      <c r="N68" t="n">
        <v>317.630863</v>
      </c>
      <c r="O68" t="n">
        <v>109.892321</v>
      </c>
      <c r="P68" t="n">
        <v>46.754763</v>
      </c>
      <c r="Q68" t="n">
        <v>317.630863</v>
      </c>
      <c r="R68" t="n">
        <v>317.632445</v>
      </c>
      <c r="S68" t="n">
        <v>109.892321</v>
      </c>
      <c r="T68" t="n">
        <v>109.904682</v>
      </c>
      <c r="U68" t="n">
        <v>46.754763</v>
      </c>
      <c r="V68" t="n">
        <v>-281.147296</v>
      </c>
      <c r="W68" t="n">
        <v>116.066511</v>
      </c>
      <c r="X68" t="n">
        <v>339.622882</v>
      </c>
      <c r="Y68" t="n">
        <v>102.369618</v>
      </c>
      <c r="Z68" t="n">
        <v>312.790013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1" t="inlineStr">
        <is>
          <t>Dem M inv</t>
        </is>
      </c>
      <c r="E69" t="n">
        <v>163.765772</v>
      </c>
      <c r="F69" t="n">
        <v>172.485056</v>
      </c>
      <c r="G69" t="n">
        <v>165.952401</v>
      </c>
      <c r="H69" t="n">
        <v>511.347723</v>
      </c>
      <c r="I69" t="n">
        <v>706.004578</v>
      </c>
      <c r="J69" t="n">
        <v>706.004578</v>
      </c>
      <c r="K69" t="n">
        <v>670.704349</v>
      </c>
      <c r="L69" t="n">
        <v>890.128168</v>
      </c>
      <c r="M69" t="n">
        <v>890.128168</v>
      </c>
      <c r="N69" t="n">
        <v>890.128168</v>
      </c>
      <c r="O69" t="n">
        <v>735.262371</v>
      </c>
      <c r="P69" t="n">
        <v>400.351586</v>
      </c>
      <c r="Q69" t="n">
        <v>890.128168</v>
      </c>
      <c r="R69" t="n">
        <v>890.128168</v>
      </c>
      <c r="S69" t="n">
        <v>735.262371</v>
      </c>
      <c r="T69" t="n">
        <v>735.404934</v>
      </c>
      <c r="U69" t="n">
        <v>400.351586</v>
      </c>
      <c r="V69" t="n">
        <v>-4414.739474</v>
      </c>
      <c r="W69" t="n">
        <v>805.768964</v>
      </c>
      <c r="X69" t="n">
        <v>945.574586</v>
      </c>
      <c r="Y69" t="n">
        <v>110.936439</v>
      </c>
      <c r="Z69" t="n">
        <v>283.97695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1" t="inlineStr">
        <is>
          <t>Dem L pred</t>
        </is>
      </c>
      <c r="E70" t="n">
        <v>163.765772</v>
      </c>
      <c r="F70" t="n">
        <v>702.92427</v>
      </c>
      <c r="G70" t="n">
        <v>669.216325</v>
      </c>
      <c r="H70" t="n">
        <v>8905.495621</v>
      </c>
      <c r="I70" t="n">
        <v>6777.626749</v>
      </c>
      <c r="J70" t="n">
        <v>6838.543559</v>
      </c>
      <c r="K70" t="n">
        <v>5761.94028</v>
      </c>
      <c r="L70" t="n">
        <v>11046.542562</v>
      </c>
      <c r="M70" t="n">
        <v>11046.542562</v>
      </c>
      <c r="N70" t="n">
        <v>11046.542562</v>
      </c>
      <c r="O70" t="n">
        <v>5782.706959</v>
      </c>
      <c r="P70" t="n">
        <v>2043.80318</v>
      </c>
      <c r="Q70" t="n">
        <v>11046.542562</v>
      </c>
      <c r="R70" t="n">
        <v>11049.934606</v>
      </c>
      <c r="S70" t="n">
        <v>5782.706959</v>
      </c>
      <c r="T70" t="n">
        <v>5785.88935</v>
      </c>
      <c r="U70" t="n">
        <v>2043.80318</v>
      </c>
      <c r="V70" t="n">
        <v>-21771.784771</v>
      </c>
      <c r="W70" t="n">
        <v>6494.006214</v>
      </c>
      <c r="X70" t="n">
        <v>12063.058581</v>
      </c>
      <c r="Y70" t="n">
        <v>400.815207</v>
      </c>
      <c r="Z70" t="n">
        <v>3457.571618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1" t="inlineStr">
        <is>
          <t>Côtier M inv</t>
        </is>
      </c>
      <c r="E71" t="n">
        <v>163.765772</v>
      </c>
      <c r="F71" t="n">
        <v>170.837609</v>
      </c>
      <c r="G71" t="n">
        <v>164.379174</v>
      </c>
      <c r="H71" t="n">
        <v>573.174129</v>
      </c>
      <c r="I71" t="n">
        <v>332.812451</v>
      </c>
      <c r="J71" t="n">
        <v>332.812451</v>
      </c>
      <c r="K71" t="n">
        <v>331.190423</v>
      </c>
      <c r="L71" t="n">
        <v>425.732264</v>
      </c>
      <c r="M71" t="n">
        <v>425.732264</v>
      </c>
      <c r="N71" t="n">
        <v>425.732264</v>
      </c>
      <c r="O71" t="n">
        <v>368.426453</v>
      </c>
      <c r="P71" t="n">
        <v>198.243136</v>
      </c>
      <c r="Q71" t="n">
        <v>425.732264</v>
      </c>
      <c r="R71" t="n">
        <v>425.732264</v>
      </c>
      <c r="S71" t="n">
        <v>368.426453</v>
      </c>
      <c r="T71" t="n">
        <v>368.498294</v>
      </c>
      <c r="U71" t="n">
        <v>198.243136</v>
      </c>
      <c r="V71" t="n">
        <v>-2197.047861</v>
      </c>
      <c r="W71" t="n">
        <v>402.613215</v>
      </c>
      <c r="X71" t="n">
        <v>447.451967</v>
      </c>
      <c r="Y71" t="n">
        <v>109.967259</v>
      </c>
      <c r="Z71" t="n">
        <v>314.242463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1" t="inlineStr">
        <is>
          <t>Thons mineurs</t>
        </is>
      </c>
      <c r="E72" t="n">
        <v>163.765772</v>
      </c>
      <c r="F72" t="n">
        <v>1395.634937</v>
      </c>
      <c r="G72" t="n">
        <v>1321.894731</v>
      </c>
      <c r="H72" t="n">
        <v>9241.41209</v>
      </c>
      <c r="I72" t="n">
        <v>2965.086479</v>
      </c>
      <c r="J72" t="n">
        <v>2997.818641</v>
      </c>
      <c r="K72" t="n">
        <v>1727.313722</v>
      </c>
      <c r="L72" t="n">
        <v>4278.69855</v>
      </c>
      <c r="M72" t="n">
        <v>4278.69855</v>
      </c>
      <c r="N72" t="n">
        <v>4278.69855</v>
      </c>
      <c r="O72" t="n">
        <v>1413.60711</v>
      </c>
      <c r="P72" t="n">
        <v>516.926347</v>
      </c>
      <c r="Q72" t="n">
        <v>4278.69855</v>
      </c>
      <c r="R72" t="n">
        <v>4279.691205</v>
      </c>
      <c r="S72" t="n">
        <v>1413.60711</v>
      </c>
      <c r="T72" t="n">
        <v>1414.29973</v>
      </c>
      <c r="U72" t="n">
        <v>516.926347</v>
      </c>
      <c r="V72" t="n">
        <v>-5162.630056</v>
      </c>
      <c r="W72" t="n">
        <v>1554.151413</v>
      </c>
      <c r="X72" t="n">
        <v>4550.096146</v>
      </c>
      <c r="Y72" t="n">
        <v>750.381718</v>
      </c>
      <c r="Z72" t="n">
        <v>3860.227378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1" t="inlineStr">
        <is>
          <t>Côtier pel L pred</t>
        </is>
      </c>
      <c r="E73" t="n">
        <v>163.765772</v>
      </c>
      <c r="F73" t="n">
        <v>1052.557933</v>
      </c>
      <c r="G73" t="n">
        <v>999.055395</v>
      </c>
      <c r="H73" t="n">
        <v>11777.423523</v>
      </c>
      <c r="I73" t="n">
        <v>6532.776468</v>
      </c>
      <c r="J73" t="n">
        <v>7781.630289</v>
      </c>
      <c r="K73" t="n">
        <v>7457.950731</v>
      </c>
      <c r="L73" t="n">
        <v>14096.896099</v>
      </c>
      <c r="M73" t="n">
        <v>14096.896099</v>
      </c>
      <c r="N73" t="n">
        <v>14096.896099</v>
      </c>
      <c r="O73" t="n">
        <v>6109.578522</v>
      </c>
      <c r="P73" t="n">
        <v>1921.956368</v>
      </c>
      <c r="Q73" t="n">
        <v>14096.896099</v>
      </c>
      <c r="R73" t="n">
        <v>-57719.913078</v>
      </c>
      <c r="S73" t="n">
        <v>6109.578522</v>
      </c>
      <c r="T73" t="n">
        <v>6113.693041</v>
      </c>
      <c r="U73" t="n">
        <v>1921.956368</v>
      </c>
      <c r="V73" t="n">
        <v>-289813.58612</v>
      </c>
      <c r="W73" t="n">
        <v>6783.158943</v>
      </c>
      <c r="X73" t="n">
        <v>15274.306707</v>
      </c>
      <c r="Y73" t="n">
        <v>579.770625</v>
      </c>
      <c r="Z73" t="n">
        <v>4535.549158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1" t="inlineStr">
        <is>
          <t>Bars</t>
        </is>
      </c>
      <c r="E74" t="n">
        <v>163.765772</v>
      </c>
      <c r="F74" t="n">
        <v>765.126208</v>
      </c>
      <c r="G74" t="n">
        <v>727.972559</v>
      </c>
      <c r="H74" t="n">
        <v>3298.268004</v>
      </c>
      <c r="I74" t="n">
        <v>1392.366618</v>
      </c>
      <c r="J74" t="n">
        <v>1698.422161</v>
      </c>
      <c r="K74" t="n">
        <v>1593.296173</v>
      </c>
      <c r="L74" t="n">
        <v>2935.678026</v>
      </c>
      <c r="M74" t="n">
        <v>2935.678026</v>
      </c>
      <c r="N74" t="n">
        <v>2935.678026</v>
      </c>
      <c r="O74" t="n">
        <v>1750.56031</v>
      </c>
      <c r="P74" t="n">
        <v>663.608554</v>
      </c>
      <c r="Q74" t="n">
        <v>2935.678026</v>
      </c>
      <c r="R74" t="n">
        <v>-12167.664034</v>
      </c>
      <c r="S74" t="n">
        <v>1750.56031</v>
      </c>
      <c r="T74" t="n">
        <v>1751.311377</v>
      </c>
      <c r="U74" t="n">
        <v>663.608554</v>
      </c>
      <c r="V74" t="n">
        <v>-129143.724965</v>
      </c>
      <c r="W74" t="n">
        <v>1958.685751</v>
      </c>
      <c r="X74" t="n">
        <v>3084.917054</v>
      </c>
      <c r="Y74" t="n">
        <v>433.124819</v>
      </c>
      <c r="Z74" t="n">
        <v>1494.31502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1" t="inlineStr">
        <is>
          <t>Céphalopodes</t>
        </is>
      </c>
      <c r="E75" t="n">
        <v>163.765772</v>
      </c>
      <c r="F75" t="n">
        <v>822.926928</v>
      </c>
      <c r="G75" t="n">
        <v>782.5392000000001</v>
      </c>
      <c r="H75" t="n">
        <v>2911.87363</v>
      </c>
      <c r="I75" t="n">
        <v>776.133746</v>
      </c>
      <c r="J75" t="n">
        <v>776.133746</v>
      </c>
      <c r="K75" t="n">
        <v>737.327059</v>
      </c>
      <c r="L75" t="n">
        <v>1169.062418</v>
      </c>
      <c r="M75" t="n">
        <v>1169.062418</v>
      </c>
      <c r="N75" t="n">
        <v>1169.062418</v>
      </c>
      <c r="O75" t="n">
        <v>633.532727</v>
      </c>
      <c r="P75" t="n">
        <v>262.848004</v>
      </c>
      <c r="Q75" t="n">
        <v>1169.062418</v>
      </c>
      <c r="R75" t="n">
        <v>1169.12609</v>
      </c>
      <c r="S75" t="n">
        <v>633.532727</v>
      </c>
      <c r="T75" t="n">
        <v>633.690429</v>
      </c>
      <c r="U75" t="n">
        <v>262.848004</v>
      </c>
      <c r="V75" t="n">
        <v>-2693.977387</v>
      </c>
      <c r="W75" t="n">
        <v>696.074883</v>
      </c>
      <c r="X75" t="n">
        <v>1245.601022</v>
      </c>
      <c r="Y75" t="n">
        <v>462.946606</v>
      </c>
      <c r="Z75" t="n">
        <v>1388.475781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1" t="inlineStr">
        <is>
          <t>Côtier L pred</t>
        </is>
      </c>
      <c r="E76" t="n">
        <v>163.765772</v>
      </c>
      <c r="F76" t="n">
        <v>834.792702</v>
      </c>
      <c r="G76" t="n">
        <v>793.737434</v>
      </c>
      <c r="H76" t="n">
        <v>7076.97786</v>
      </c>
      <c r="I76" t="n">
        <v>5090.744396</v>
      </c>
      <c r="J76" t="n">
        <v>9568.388961000001</v>
      </c>
      <c r="K76" t="n">
        <v>8272.995088</v>
      </c>
      <c r="L76" t="n">
        <v>19279.70472</v>
      </c>
      <c r="M76" t="n">
        <v>19279.70472</v>
      </c>
      <c r="N76" t="n">
        <v>19279.70472</v>
      </c>
      <c r="O76" t="n">
        <v>6360.723192</v>
      </c>
      <c r="P76" t="n">
        <v>2029.298348</v>
      </c>
      <c r="Q76" t="n">
        <v>19279.70472</v>
      </c>
      <c r="R76" t="n">
        <v>-84799.195448</v>
      </c>
      <c r="S76" t="n">
        <v>6360.723192</v>
      </c>
      <c r="T76" t="n">
        <v>6366.23078</v>
      </c>
      <c r="U76" t="n">
        <v>2029.298348</v>
      </c>
      <c r="V76" t="n">
        <v>-469234.864873</v>
      </c>
      <c r="W76" t="n">
        <v>6996.154043</v>
      </c>
      <c r="X76" t="n">
        <v>20790.115719</v>
      </c>
      <c r="Y76" t="n">
        <v>469.046047</v>
      </c>
      <c r="Z76" t="n">
        <v>2908.726875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1" t="inlineStr">
        <is>
          <t>Disques</t>
        </is>
      </c>
      <c r="E77" t="n">
        <v>163.765772</v>
      </c>
      <c r="F77" t="n">
        <v>207.066169</v>
      </c>
      <c r="G77" t="n">
        <v>198.951082</v>
      </c>
      <c r="H77" t="n">
        <v>810.55871</v>
      </c>
      <c r="I77" t="n">
        <v>761.664235</v>
      </c>
      <c r="J77" t="n">
        <v>761.664235</v>
      </c>
      <c r="K77" t="n">
        <v>671.116476</v>
      </c>
      <c r="L77" t="n">
        <v>999.277695</v>
      </c>
      <c r="M77" t="n">
        <v>999.277695</v>
      </c>
      <c r="N77" t="n">
        <v>999.277695</v>
      </c>
      <c r="O77" t="n">
        <v>721.713757</v>
      </c>
      <c r="P77" t="n">
        <v>355.189635</v>
      </c>
      <c r="Q77" t="n">
        <v>999.277695</v>
      </c>
      <c r="R77" t="n">
        <v>999.277695</v>
      </c>
      <c r="S77" t="n">
        <v>721.713757</v>
      </c>
      <c r="T77" t="n">
        <v>721.845766</v>
      </c>
      <c r="U77" t="n">
        <v>355.189635</v>
      </c>
      <c r="V77" t="n">
        <v>-3723.200094</v>
      </c>
      <c r="W77" t="n">
        <v>792.813899</v>
      </c>
      <c r="X77" t="n">
        <v>1031.425091</v>
      </c>
      <c r="Y77" t="n">
        <v>131.10866</v>
      </c>
      <c r="Z77" t="n">
        <v>435.067525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1" t="inlineStr">
        <is>
          <t>Pel S inv</t>
        </is>
      </c>
      <c r="E78" t="n">
        <v>163.765772</v>
      </c>
      <c r="F78" t="n">
        <v>157.970864</v>
      </c>
      <c r="G78" t="n">
        <v>152.088101</v>
      </c>
      <c r="H78" t="n">
        <v>577.271661</v>
      </c>
      <c r="I78" t="n">
        <v>239.810236</v>
      </c>
      <c r="J78" t="n">
        <v>250.631699</v>
      </c>
      <c r="K78" t="n">
        <v>247.597025</v>
      </c>
      <c r="L78" t="n">
        <v>317.630863</v>
      </c>
      <c r="M78" t="n">
        <v>317.630863</v>
      </c>
      <c r="N78" t="n">
        <v>317.630863</v>
      </c>
      <c r="O78" t="n">
        <v>109.892321</v>
      </c>
      <c r="P78" t="n">
        <v>46.754763</v>
      </c>
      <c r="Q78" t="n">
        <v>317.630863</v>
      </c>
      <c r="R78" t="n">
        <v>317.632445</v>
      </c>
      <c r="S78" t="n">
        <v>109.892321</v>
      </c>
      <c r="T78" t="n">
        <v>109.904682</v>
      </c>
      <c r="U78" t="n">
        <v>46.754763</v>
      </c>
      <c r="V78" t="n">
        <v>-281.147296</v>
      </c>
      <c r="W78" t="n">
        <v>116.066511</v>
      </c>
      <c r="X78" t="n">
        <v>339.622882</v>
      </c>
      <c r="Y78" t="n">
        <v>102.369618</v>
      </c>
      <c r="Z78" t="n">
        <v>312.790013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1" t="inlineStr">
        <is>
          <t>Côtier L pred | Dem L pred</t>
        </is>
      </c>
      <c r="E79" t="n">
        <v>163.765772</v>
      </c>
      <c r="F79" t="n">
        <v>813.250765</v>
      </c>
      <c r="G79" t="n">
        <v>773.395751</v>
      </c>
      <c r="H79" t="n">
        <v>7375.683268</v>
      </c>
      <c r="I79" t="n">
        <v>5366.31234</v>
      </c>
      <c r="J79" t="n">
        <v>9122.443288</v>
      </c>
      <c r="K79" t="n">
        <v>7862.790897</v>
      </c>
      <c r="L79" t="n">
        <v>17934.740996</v>
      </c>
      <c r="M79" t="n">
        <v>17934.740996</v>
      </c>
      <c r="N79" t="n">
        <v>17934.740996</v>
      </c>
      <c r="O79" t="n">
        <v>6266.298856</v>
      </c>
      <c r="P79" t="n">
        <v>2031.667848</v>
      </c>
      <c r="Q79" t="n">
        <v>17934.740996</v>
      </c>
      <c r="R79" t="n">
        <v>-69141.34729200001</v>
      </c>
      <c r="S79" t="n">
        <v>6266.298856</v>
      </c>
      <c r="T79" t="n">
        <v>6271.426602</v>
      </c>
      <c r="U79" t="n">
        <v>2031.667848</v>
      </c>
      <c r="V79" t="n">
        <v>-396137.602958</v>
      </c>
      <c r="W79" t="n">
        <v>6914.123518</v>
      </c>
      <c r="X79" t="n">
        <v>19364.46965</v>
      </c>
      <c r="Y79" t="n">
        <v>457.899904</v>
      </c>
      <c r="Z79" t="n">
        <v>2998.385776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1" t="inlineStr">
        <is>
          <t>Pel S inv</t>
        </is>
      </c>
      <c r="E80" t="n">
        <v>163.765772</v>
      </c>
      <c r="F80" t="n">
        <v>157.970864</v>
      </c>
      <c r="G80" t="n">
        <v>152.088101</v>
      </c>
      <c r="H80" t="n">
        <v>577.271661</v>
      </c>
      <c r="I80" t="n">
        <v>239.810236</v>
      </c>
      <c r="J80" t="n">
        <v>250.631699</v>
      </c>
      <c r="K80" t="n">
        <v>247.597025</v>
      </c>
      <c r="L80" t="n">
        <v>317.630863</v>
      </c>
      <c r="M80" t="n">
        <v>317.630863</v>
      </c>
      <c r="N80" t="n">
        <v>317.630863</v>
      </c>
      <c r="O80" t="n">
        <v>109.892321</v>
      </c>
      <c r="P80" t="n">
        <v>46.754763</v>
      </c>
      <c r="Q80" t="n">
        <v>317.630863</v>
      </c>
      <c r="R80" t="n">
        <v>317.632445</v>
      </c>
      <c r="S80" t="n">
        <v>109.892321</v>
      </c>
      <c r="T80" t="n">
        <v>109.904682</v>
      </c>
      <c r="U80" t="n">
        <v>46.754763</v>
      </c>
      <c r="V80" t="n">
        <v>-281.147296</v>
      </c>
      <c r="W80" t="n">
        <v>116.066511</v>
      </c>
      <c r="X80" t="n">
        <v>339.622882</v>
      </c>
      <c r="Y80" t="n">
        <v>102.369618</v>
      </c>
      <c r="Z80" t="n">
        <v>312.790013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1" t="inlineStr">
        <is>
          <t>Côtier L pred</t>
        </is>
      </c>
      <c r="E81" t="n">
        <v>163.765772</v>
      </c>
      <c r="F81" t="n">
        <v>834.792702</v>
      </c>
      <c r="G81" t="n">
        <v>793.737434</v>
      </c>
      <c r="H81" t="n">
        <v>7076.97786</v>
      </c>
      <c r="I81" t="n">
        <v>5090.744396</v>
      </c>
      <c r="J81" t="n">
        <v>9568.388961000001</v>
      </c>
      <c r="K81" t="n">
        <v>8272.995088</v>
      </c>
      <c r="L81" t="n">
        <v>19279.70472</v>
      </c>
      <c r="M81" t="n">
        <v>19279.70472</v>
      </c>
      <c r="N81" t="n">
        <v>19279.70472</v>
      </c>
      <c r="O81" t="n">
        <v>6360.723192</v>
      </c>
      <c r="P81" t="n">
        <v>2029.298348</v>
      </c>
      <c r="Q81" t="n">
        <v>19279.70472</v>
      </c>
      <c r="R81" t="n">
        <v>-84799.195448</v>
      </c>
      <c r="S81" t="n">
        <v>6360.723192</v>
      </c>
      <c r="T81" t="n">
        <v>6366.23078</v>
      </c>
      <c r="U81" t="n">
        <v>2029.298348</v>
      </c>
      <c r="V81" t="n">
        <v>-469234.864873</v>
      </c>
      <c r="W81" t="n">
        <v>6996.154043</v>
      </c>
      <c r="X81" t="n">
        <v>20790.115719</v>
      </c>
      <c r="Y81" t="n">
        <v>469.046047</v>
      </c>
      <c r="Z81" t="n">
        <v>2908.726875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1" t="inlineStr">
        <is>
          <t>Côtier pel L pred</t>
        </is>
      </c>
      <c r="E82" t="n">
        <v>163.765772</v>
      </c>
      <c r="F82" t="n">
        <v>1052.557933</v>
      </c>
      <c r="G82" t="n">
        <v>999.055395</v>
      </c>
      <c r="H82" t="n">
        <v>11777.423523</v>
      </c>
      <c r="I82" t="n">
        <v>6532.776468</v>
      </c>
      <c r="J82" t="n">
        <v>7781.630289</v>
      </c>
      <c r="K82" t="n">
        <v>7457.950731</v>
      </c>
      <c r="L82" t="n">
        <v>14096.896099</v>
      </c>
      <c r="M82" t="n">
        <v>14096.896099</v>
      </c>
      <c r="N82" t="n">
        <v>14096.896099</v>
      </c>
      <c r="O82" t="n">
        <v>6109.578522</v>
      </c>
      <c r="P82" t="n">
        <v>1921.956368</v>
      </c>
      <c r="Q82" t="n">
        <v>14096.896099</v>
      </c>
      <c r="R82" t="n">
        <v>-57719.913078</v>
      </c>
      <c r="S82" t="n">
        <v>6109.578522</v>
      </c>
      <c r="T82" t="n">
        <v>6113.693041</v>
      </c>
      <c r="U82" t="n">
        <v>1921.956368</v>
      </c>
      <c r="V82" t="n">
        <v>-289813.58612</v>
      </c>
      <c r="W82" t="n">
        <v>6783.158943</v>
      </c>
      <c r="X82" t="n">
        <v>15274.306707</v>
      </c>
      <c r="Y82" t="n">
        <v>579.770625</v>
      </c>
      <c r="Z82" t="n">
        <v>4535.549158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1" t="inlineStr">
        <is>
          <t>Sélaciens L prof | Sélaciens M prof</t>
        </is>
      </c>
      <c r="E83" t="n">
        <v>163.765772</v>
      </c>
      <c r="F83" t="n">
        <v>2943.265798</v>
      </c>
      <c r="G83" t="n">
        <v>2772.19544</v>
      </c>
      <c r="H83" t="n">
        <v>30340.406421</v>
      </c>
      <c r="I83" t="n">
        <v>106443.47238</v>
      </c>
      <c r="J83" t="n">
        <v>110085.487319</v>
      </c>
      <c r="K83" t="n">
        <v>55042.74366</v>
      </c>
      <c r="L83" t="n">
        <v>519045.522015</v>
      </c>
      <c r="M83" t="n">
        <v>519045.522015</v>
      </c>
      <c r="N83" t="n">
        <v>519045.522015</v>
      </c>
      <c r="O83" t="n">
        <v>43711.326429</v>
      </c>
      <c r="P83" t="n">
        <v>11190.60535</v>
      </c>
      <c r="Q83" t="n">
        <v>519045.522015</v>
      </c>
      <c r="R83" t="n">
        <v>-1134636.932488</v>
      </c>
      <c r="S83" t="n">
        <v>43711.326429</v>
      </c>
      <c r="T83" t="n">
        <v>43730.559477</v>
      </c>
      <c r="U83" t="n">
        <v>11190.60535</v>
      </c>
      <c r="V83" t="n">
        <v>-815704.522352</v>
      </c>
      <c r="W83" t="n">
        <v>49790.245909</v>
      </c>
      <c r="X83" t="n">
        <v>628102.100763</v>
      </c>
      <c r="Y83" t="n">
        <v>1484.415879</v>
      </c>
      <c r="Z83" t="n">
        <v>10771.970491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1" t="inlineStr">
        <is>
          <t>Thons mineurs</t>
        </is>
      </c>
      <c r="E84" t="n">
        <v>163.765772</v>
      </c>
      <c r="F84" t="n">
        <v>1395.634937</v>
      </c>
      <c r="G84" t="n">
        <v>1321.894731</v>
      </c>
      <c r="H84" t="n">
        <v>9241.41209</v>
      </c>
      <c r="I84" t="n">
        <v>2965.086479</v>
      </c>
      <c r="J84" t="n">
        <v>2997.818641</v>
      </c>
      <c r="K84" t="n">
        <v>1727.313722</v>
      </c>
      <c r="L84" t="n">
        <v>4278.69855</v>
      </c>
      <c r="M84" t="n">
        <v>4278.69855</v>
      </c>
      <c r="N84" t="n">
        <v>4278.69855</v>
      </c>
      <c r="O84" t="n">
        <v>1413.60711</v>
      </c>
      <c r="P84" t="n">
        <v>516.926347</v>
      </c>
      <c r="Q84" t="n">
        <v>4278.69855</v>
      </c>
      <c r="R84" t="n">
        <v>4279.691205</v>
      </c>
      <c r="S84" t="n">
        <v>1413.60711</v>
      </c>
      <c r="T84" t="n">
        <v>1414.29973</v>
      </c>
      <c r="U84" t="n">
        <v>516.926347</v>
      </c>
      <c r="V84" t="n">
        <v>-5162.630056</v>
      </c>
      <c r="W84" t="n">
        <v>1554.151413</v>
      </c>
      <c r="X84" t="n">
        <v>4550.096146</v>
      </c>
      <c r="Y84" t="n">
        <v>750.381718</v>
      </c>
      <c r="Z84" t="n">
        <v>3860.227378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1" t="inlineStr">
        <is>
          <t>Dem M inv</t>
        </is>
      </c>
      <c r="E85" t="n">
        <v>163.765772</v>
      </c>
      <c r="F85" t="n">
        <v>172.485056</v>
      </c>
      <c r="G85" t="n">
        <v>165.952401</v>
      </c>
      <c r="H85" t="n">
        <v>511.347723</v>
      </c>
      <c r="I85" t="n">
        <v>706.004578</v>
      </c>
      <c r="J85" t="n">
        <v>706.004578</v>
      </c>
      <c r="K85" t="n">
        <v>670.704349</v>
      </c>
      <c r="L85" t="n">
        <v>890.128168</v>
      </c>
      <c r="M85" t="n">
        <v>890.128168</v>
      </c>
      <c r="N85" t="n">
        <v>890.128168</v>
      </c>
      <c r="O85" t="n">
        <v>735.262371</v>
      </c>
      <c r="P85" t="n">
        <v>400.351586</v>
      </c>
      <c r="Q85" t="n">
        <v>890.128168</v>
      </c>
      <c r="R85" t="n">
        <v>890.128168</v>
      </c>
      <c r="S85" t="n">
        <v>735.262371</v>
      </c>
      <c r="T85" t="n">
        <v>735.404934</v>
      </c>
      <c r="U85" t="n">
        <v>400.351586</v>
      </c>
      <c r="V85" t="n">
        <v>-4414.739474</v>
      </c>
      <c r="W85" t="n">
        <v>805.768964</v>
      </c>
      <c r="X85" t="n">
        <v>945.574586</v>
      </c>
      <c r="Y85" t="n">
        <v>110.936439</v>
      </c>
      <c r="Z85" t="n">
        <v>283.97695</v>
      </c>
    </row>
    <row r="86" ht="21" customHeight="1">
      <c r="A86" t="inlineStr">
        <is>
          <t>Nematopalaemon hastatus</t>
        </is>
      </c>
      <c r="D86" s="11" t="inlineStr">
        <is>
          <t>Crustacés</t>
        </is>
      </c>
      <c r="E86" t="n">
        <v>163.765772</v>
      </c>
      <c r="F86" t="n">
        <v>79.64922</v>
      </c>
      <c r="G86" t="n">
        <v>77.077782</v>
      </c>
      <c r="H86" t="n">
        <v>199.420396</v>
      </c>
      <c r="I86" t="n">
        <v>94.919134</v>
      </c>
      <c r="J86" t="n">
        <v>94.919134</v>
      </c>
      <c r="K86" t="n">
        <v>90.173177</v>
      </c>
      <c r="L86" t="n">
        <v>135.651174</v>
      </c>
      <c r="M86" t="n">
        <v>135.651174</v>
      </c>
      <c r="N86" t="n">
        <v>135.651174</v>
      </c>
      <c r="O86" t="n">
        <v>112.097094</v>
      </c>
      <c r="P86" t="n">
        <v>63.65447</v>
      </c>
      <c r="Q86" t="n">
        <v>135.651174</v>
      </c>
      <c r="R86" t="n">
        <v>135.651174</v>
      </c>
      <c r="S86" t="n">
        <v>112.097094</v>
      </c>
      <c r="T86" t="n">
        <v>112.118405</v>
      </c>
      <c r="U86" t="n">
        <v>63.65447</v>
      </c>
      <c r="V86" t="n">
        <v>-691.708697</v>
      </c>
      <c r="W86" t="n">
        <v>122.926325</v>
      </c>
      <c r="X86" t="n">
        <v>140.897505</v>
      </c>
      <c r="Y86" t="n">
        <v>54.73445</v>
      </c>
      <c r="Z86" t="n">
        <v>122.753568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1" t="inlineStr">
        <is>
          <t>Côtier pel L pred</t>
        </is>
      </c>
      <c r="E87" t="n">
        <v>163.765772</v>
      </c>
      <c r="F87" t="n">
        <v>1052.557933</v>
      </c>
      <c r="G87" t="n">
        <v>999.055395</v>
      </c>
      <c r="H87" t="n">
        <v>11777.423523</v>
      </c>
      <c r="I87" t="n">
        <v>6532.776468</v>
      </c>
      <c r="J87" t="n">
        <v>7781.630289</v>
      </c>
      <c r="K87" t="n">
        <v>7457.950731</v>
      </c>
      <c r="L87" t="n">
        <v>14096.896099</v>
      </c>
      <c r="M87" t="n">
        <v>14096.896099</v>
      </c>
      <c r="N87" t="n">
        <v>14096.896099</v>
      </c>
      <c r="O87" t="n">
        <v>6109.578522</v>
      </c>
      <c r="P87" t="n">
        <v>1921.956368</v>
      </c>
      <c r="Q87" t="n">
        <v>14096.896099</v>
      </c>
      <c r="R87" t="n">
        <v>-57719.913078</v>
      </c>
      <c r="S87" t="n">
        <v>6109.578522</v>
      </c>
      <c r="T87" t="n">
        <v>6113.693041</v>
      </c>
      <c r="U87" t="n">
        <v>1921.956368</v>
      </c>
      <c r="V87" t="n">
        <v>-289813.58612</v>
      </c>
      <c r="W87" t="n">
        <v>6783.158943</v>
      </c>
      <c r="X87" t="n">
        <v>15274.306707</v>
      </c>
      <c r="Y87" t="n">
        <v>579.770625</v>
      </c>
      <c r="Z87" t="n">
        <v>4535.549158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1" t="inlineStr">
        <is>
          <t>Côtier pel L pred</t>
        </is>
      </c>
      <c r="E88" t="n">
        <v>163.765772</v>
      </c>
      <c r="F88" t="n">
        <v>1052.557933</v>
      </c>
      <c r="G88" t="n">
        <v>999.055395</v>
      </c>
      <c r="H88" t="n">
        <v>11777.423523</v>
      </c>
      <c r="I88" t="n">
        <v>6532.776468</v>
      </c>
      <c r="J88" t="n">
        <v>7781.630289</v>
      </c>
      <c r="K88" t="n">
        <v>7457.950731</v>
      </c>
      <c r="L88" t="n">
        <v>14096.896099</v>
      </c>
      <c r="M88" t="n">
        <v>14096.896099</v>
      </c>
      <c r="N88" t="n">
        <v>14096.896099</v>
      </c>
      <c r="O88" t="n">
        <v>6109.578522</v>
      </c>
      <c r="P88" t="n">
        <v>1921.956368</v>
      </c>
      <c r="Q88" t="n">
        <v>14096.896099</v>
      </c>
      <c r="R88" t="n">
        <v>-57719.913078</v>
      </c>
      <c r="S88" t="n">
        <v>6109.578522</v>
      </c>
      <c r="T88" t="n">
        <v>6113.693041</v>
      </c>
      <c r="U88" t="n">
        <v>1921.956368</v>
      </c>
      <c r="V88" t="n">
        <v>-289813.58612</v>
      </c>
      <c r="W88" t="n">
        <v>6783.158943</v>
      </c>
      <c r="X88" t="n">
        <v>15274.306707</v>
      </c>
      <c r="Y88" t="n">
        <v>579.770625</v>
      </c>
      <c r="Z88" t="n">
        <v>4535.549158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1" t="inlineStr">
        <is>
          <t>Dem M inv</t>
        </is>
      </c>
      <c r="E89" t="n">
        <v>163.765772</v>
      </c>
      <c r="F89" t="n">
        <v>172.485056</v>
      </c>
      <c r="G89" t="n">
        <v>165.952401</v>
      </c>
      <c r="H89" t="n">
        <v>511.347723</v>
      </c>
      <c r="I89" t="n">
        <v>706.004578</v>
      </c>
      <c r="J89" t="n">
        <v>706.004578</v>
      </c>
      <c r="K89" t="n">
        <v>670.704349</v>
      </c>
      <c r="L89" t="n">
        <v>890.128168</v>
      </c>
      <c r="M89" t="n">
        <v>890.128168</v>
      </c>
      <c r="N89" t="n">
        <v>890.128168</v>
      </c>
      <c r="O89" t="n">
        <v>735.262371</v>
      </c>
      <c r="P89" t="n">
        <v>400.351586</v>
      </c>
      <c r="Q89" t="n">
        <v>890.128168</v>
      </c>
      <c r="R89" t="n">
        <v>890.128168</v>
      </c>
      <c r="S89" t="n">
        <v>735.262371</v>
      </c>
      <c r="T89" t="n">
        <v>735.404934</v>
      </c>
      <c r="U89" t="n">
        <v>400.351586</v>
      </c>
      <c r="V89" t="n">
        <v>-4414.739474</v>
      </c>
      <c r="W89" t="n">
        <v>805.768964</v>
      </c>
      <c r="X89" t="n">
        <v>945.574586</v>
      </c>
      <c r="Y89" t="n">
        <v>110.936439</v>
      </c>
      <c r="Z89" t="n">
        <v>283.97695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1" t="inlineStr">
        <is>
          <t>Dem M inv</t>
        </is>
      </c>
      <c r="E90" t="n">
        <v>163.765772</v>
      </c>
      <c r="F90" t="n">
        <v>172.485056</v>
      </c>
      <c r="G90" t="n">
        <v>165.952401</v>
      </c>
      <c r="H90" t="n">
        <v>511.347723</v>
      </c>
      <c r="I90" t="n">
        <v>706.004578</v>
      </c>
      <c r="J90" t="n">
        <v>706.004578</v>
      </c>
      <c r="K90" t="n">
        <v>670.704349</v>
      </c>
      <c r="L90" t="n">
        <v>890.128168</v>
      </c>
      <c r="M90" t="n">
        <v>890.128168</v>
      </c>
      <c r="N90" t="n">
        <v>890.128168</v>
      </c>
      <c r="O90" t="n">
        <v>735.262371</v>
      </c>
      <c r="P90" t="n">
        <v>400.351586</v>
      </c>
      <c r="Q90" t="n">
        <v>890.128168</v>
      </c>
      <c r="R90" t="n">
        <v>890.128168</v>
      </c>
      <c r="S90" t="n">
        <v>735.262371</v>
      </c>
      <c r="T90" t="n">
        <v>735.404934</v>
      </c>
      <c r="U90" t="n">
        <v>400.351586</v>
      </c>
      <c r="V90" t="n">
        <v>-4414.739474</v>
      </c>
      <c r="W90" t="n">
        <v>805.768964</v>
      </c>
      <c r="X90" t="n">
        <v>945.574586</v>
      </c>
      <c r="Y90" t="n">
        <v>110.936439</v>
      </c>
      <c r="Z90" t="n">
        <v>283.97695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1" t="inlineStr">
        <is>
          <t>Sélaciens L prof</t>
        </is>
      </c>
      <c r="E91" t="n">
        <v>163.765772</v>
      </c>
      <c r="F91" t="n">
        <v>2984.356694</v>
      </c>
      <c r="G91" t="n">
        <v>2810.614697</v>
      </c>
      <c r="H91" t="n">
        <v>33756.075827</v>
      </c>
      <c r="I91" t="n">
        <v>124489.068835</v>
      </c>
      <c r="J91" t="n">
        <v>128867.658555</v>
      </c>
      <c r="K91" t="n">
        <v>64433.829278</v>
      </c>
      <c r="L91" t="n">
        <v>630808.944285</v>
      </c>
      <c r="M91" t="n">
        <v>630808.944285</v>
      </c>
      <c r="N91" t="n">
        <v>630808.944285</v>
      </c>
      <c r="O91" t="n">
        <v>51235.427712</v>
      </c>
      <c r="P91" t="n">
        <v>12872.10487</v>
      </c>
      <c r="Q91" t="n">
        <v>630808.944285</v>
      </c>
      <c r="R91" t="n">
        <v>-1411467.842509</v>
      </c>
      <c r="S91" t="n">
        <v>51235.427712</v>
      </c>
      <c r="T91" t="n">
        <v>51258.187051</v>
      </c>
      <c r="U91" t="n">
        <v>12872.10487</v>
      </c>
      <c r="V91" t="n">
        <v>-997628.83218</v>
      </c>
      <c r="W91" t="n">
        <v>58369.961914</v>
      </c>
      <c r="X91" t="n">
        <v>764652.412024</v>
      </c>
      <c r="Y91" t="n">
        <v>1503.40227</v>
      </c>
      <c r="Z91" t="n">
        <v>11832.505589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1" t="inlineStr">
        <is>
          <t>Thons majeurs</t>
        </is>
      </c>
      <c r="E92" t="n">
        <v>163.765772</v>
      </c>
      <c r="F92" t="n">
        <v>2736.422785</v>
      </c>
      <c r="G92" t="n">
        <v>2578.791074</v>
      </c>
      <c r="H92" t="n">
        <v>17894.357856</v>
      </c>
      <c r="I92" t="n">
        <v>8524.661732</v>
      </c>
      <c r="J92" t="n">
        <v>8877.094804</v>
      </c>
      <c r="K92" t="n">
        <v>4438.547402</v>
      </c>
      <c r="L92" t="n">
        <v>13559.45898</v>
      </c>
      <c r="M92" t="n">
        <v>13559.45898</v>
      </c>
      <c r="N92" t="n">
        <v>13559.45898</v>
      </c>
      <c r="O92" t="n">
        <v>3620.876362</v>
      </c>
      <c r="P92" t="n">
        <v>1183.597755</v>
      </c>
      <c r="Q92" t="n">
        <v>13559.45898</v>
      </c>
      <c r="R92" t="n">
        <v>-35797.700389</v>
      </c>
      <c r="S92" t="n">
        <v>3620.876362</v>
      </c>
      <c r="T92" t="n">
        <v>3622.234339</v>
      </c>
      <c r="U92" t="n">
        <v>1183.597755</v>
      </c>
      <c r="V92" t="n">
        <v>-69439.82694100001</v>
      </c>
      <c r="W92" t="n">
        <v>4014.207129</v>
      </c>
      <c r="X92" t="n">
        <v>14860.336328</v>
      </c>
      <c r="Y92" t="n">
        <v>1388.786767</v>
      </c>
      <c r="Z92" t="n">
        <v>6982.262246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1" t="inlineStr">
        <is>
          <t>Thons majeurs</t>
        </is>
      </c>
      <c r="E93" t="n">
        <v>163.765772</v>
      </c>
      <c r="F93" t="n">
        <v>2736.422785</v>
      </c>
      <c r="G93" t="n">
        <v>2578.791074</v>
      </c>
      <c r="H93" t="n">
        <v>17894.357856</v>
      </c>
      <c r="I93" t="n">
        <v>8524.661732</v>
      </c>
      <c r="J93" t="n">
        <v>8877.094804</v>
      </c>
      <c r="K93" t="n">
        <v>4438.547402</v>
      </c>
      <c r="L93" t="n">
        <v>13559.45898</v>
      </c>
      <c r="M93" t="n">
        <v>13559.45898</v>
      </c>
      <c r="N93" t="n">
        <v>13559.45898</v>
      </c>
      <c r="O93" t="n">
        <v>3620.876362</v>
      </c>
      <c r="P93" t="n">
        <v>1183.597755</v>
      </c>
      <c r="Q93" t="n">
        <v>13559.45898</v>
      </c>
      <c r="R93" t="n">
        <v>-35797.700389</v>
      </c>
      <c r="S93" t="n">
        <v>3620.876362</v>
      </c>
      <c r="T93" t="n">
        <v>3622.234339</v>
      </c>
      <c r="U93" t="n">
        <v>1183.597755</v>
      </c>
      <c r="V93" t="n">
        <v>-69439.82694100001</v>
      </c>
      <c r="W93" t="n">
        <v>4014.207129</v>
      </c>
      <c r="X93" t="n">
        <v>14860.336328</v>
      </c>
      <c r="Y93" t="n">
        <v>1388.786767</v>
      </c>
      <c r="Z93" t="n">
        <v>6982.262246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1" t="inlineStr">
        <is>
          <t>Céphalopodes</t>
        </is>
      </c>
      <c r="E94" t="n">
        <v>163.765772</v>
      </c>
      <c r="F94" t="n">
        <v>822.926928</v>
      </c>
      <c r="G94" t="n">
        <v>782.5392000000001</v>
      </c>
      <c r="H94" t="n">
        <v>2911.87363</v>
      </c>
      <c r="I94" t="n">
        <v>776.133746</v>
      </c>
      <c r="J94" t="n">
        <v>776.133746</v>
      </c>
      <c r="K94" t="n">
        <v>737.327059</v>
      </c>
      <c r="L94" t="n">
        <v>1169.062418</v>
      </c>
      <c r="M94" t="n">
        <v>1169.062418</v>
      </c>
      <c r="N94" t="n">
        <v>1169.062418</v>
      </c>
      <c r="O94" t="n">
        <v>633.532727</v>
      </c>
      <c r="P94" t="n">
        <v>262.848004</v>
      </c>
      <c r="Q94" t="n">
        <v>1169.062418</v>
      </c>
      <c r="R94" t="n">
        <v>1169.12609</v>
      </c>
      <c r="S94" t="n">
        <v>633.532727</v>
      </c>
      <c r="T94" t="n">
        <v>633.690429</v>
      </c>
      <c r="U94" t="n">
        <v>262.848004</v>
      </c>
      <c r="V94" t="n">
        <v>-2693.977387</v>
      </c>
      <c r="W94" t="n">
        <v>696.074883</v>
      </c>
      <c r="X94" t="n">
        <v>1245.601022</v>
      </c>
      <c r="Y94" t="n">
        <v>462.946606</v>
      </c>
      <c r="Z94" t="n">
        <v>1388.475781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1" t="inlineStr">
        <is>
          <t>Céphalopodes</t>
        </is>
      </c>
      <c r="E95" t="n">
        <v>163.765772</v>
      </c>
      <c r="F95" t="n">
        <v>822.926928</v>
      </c>
      <c r="G95" t="n">
        <v>782.5392000000001</v>
      </c>
      <c r="H95" t="n">
        <v>2911.87363</v>
      </c>
      <c r="I95" t="n">
        <v>776.133746</v>
      </c>
      <c r="J95" t="n">
        <v>776.133746</v>
      </c>
      <c r="K95" t="n">
        <v>737.327059</v>
      </c>
      <c r="L95" t="n">
        <v>1169.062418</v>
      </c>
      <c r="M95" t="n">
        <v>1169.062418</v>
      </c>
      <c r="N95" t="n">
        <v>1169.062418</v>
      </c>
      <c r="O95" t="n">
        <v>633.532727</v>
      </c>
      <c r="P95" t="n">
        <v>262.848004</v>
      </c>
      <c r="Q95" t="n">
        <v>1169.062418</v>
      </c>
      <c r="R95" t="n">
        <v>1169.12609</v>
      </c>
      <c r="S95" t="n">
        <v>633.532727</v>
      </c>
      <c r="T95" t="n">
        <v>633.690429</v>
      </c>
      <c r="U95" t="n">
        <v>262.848004</v>
      </c>
      <c r="V95" t="n">
        <v>-2693.977387</v>
      </c>
      <c r="W95" t="n">
        <v>696.074883</v>
      </c>
      <c r="X95" t="n">
        <v>1245.601022</v>
      </c>
      <c r="Y95" t="n">
        <v>462.946606</v>
      </c>
      <c r="Z95" t="n">
        <v>1388.475781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1" t="inlineStr">
        <is>
          <t>Thons mineurs</t>
        </is>
      </c>
      <c r="E96" t="n">
        <v>163.765772</v>
      </c>
      <c r="F96" t="n">
        <v>1395.634937</v>
      </c>
      <c r="G96" t="n">
        <v>1321.894731</v>
      </c>
      <c r="H96" t="n">
        <v>9241.41209</v>
      </c>
      <c r="I96" t="n">
        <v>2965.086479</v>
      </c>
      <c r="J96" t="n">
        <v>2997.818641</v>
      </c>
      <c r="K96" t="n">
        <v>1727.313722</v>
      </c>
      <c r="L96" t="n">
        <v>4278.69855</v>
      </c>
      <c r="M96" t="n">
        <v>4278.69855</v>
      </c>
      <c r="N96" t="n">
        <v>4278.69855</v>
      </c>
      <c r="O96" t="n">
        <v>1413.60711</v>
      </c>
      <c r="P96" t="n">
        <v>516.926347</v>
      </c>
      <c r="Q96" t="n">
        <v>4278.69855</v>
      </c>
      <c r="R96" t="n">
        <v>4279.691205</v>
      </c>
      <c r="S96" t="n">
        <v>1413.60711</v>
      </c>
      <c r="T96" t="n">
        <v>1414.29973</v>
      </c>
      <c r="U96" t="n">
        <v>516.926347</v>
      </c>
      <c r="V96" t="n">
        <v>-5162.630056</v>
      </c>
      <c r="W96" t="n">
        <v>1554.151413</v>
      </c>
      <c r="X96" t="n">
        <v>4550.096146</v>
      </c>
      <c r="Y96" t="n">
        <v>750.381718</v>
      </c>
      <c r="Z96" t="n">
        <v>3860.227378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1" t="inlineStr">
        <is>
          <t>Sélaciens L prof | Sélaciens M prof</t>
        </is>
      </c>
      <c r="E97" t="n">
        <v>163.765772</v>
      </c>
      <c r="F97" t="n">
        <v>2943.265798</v>
      </c>
      <c r="G97" t="n">
        <v>2772.19544</v>
      </c>
      <c r="H97" t="n">
        <v>30340.406421</v>
      </c>
      <c r="I97" t="n">
        <v>106443.47238</v>
      </c>
      <c r="J97" t="n">
        <v>110085.487319</v>
      </c>
      <c r="K97" t="n">
        <v>55042.74366</v>
      </c>
      <c r="L97" t="n">
        <v>519045.522015</v>
      </c>
      <c r="M97" t="n">
        <v>519045.522015</v>
      </c>
      <c r="N97" t="n">
        <v>519045.522015</v>
      </c>
      <c r="O97" t="n">
        <v>43711.326429</v>
      </c>
      <c r="P97" t="n">
        <v>11190.60535</v>
      </c>
      <c r="Q97" t="n">
        <v>519045.522015</v>
      </c>
      <c r="R97" t="n">
        <v>-1134636.932488</v>
      </c>
      <c r="S97" t="n">
        <v>43711.326429</v>
      </c>
      <c r="T97" t="n">
        <v>43730.559477</v>
      </c>
      <c r="U97" t="n">
        <v>11190.60535</v>
      </c>
      <c r="V97" t="n">
        <v>-815704.522352</v>
      </c>
      <c r="W97" t="n">
        <v>49790.245909</v>
      </c>
      <c r="X97" t="n">
        <v>628102.100763</v>
      </c>
      <c r="Y97" t="n">
        <v>1484.415879</v>
      </c>
      <c r="Z97" t="n">
        <v>10771.970491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1" t="inlineStr">
        <is>
          <t>Côtier S inv</t>
        </is>
      </c>
      <c r="E98" t="n">
        <v>163.765772</v>
      </c>
      <c r="F98" t="n">
        <v>79.510256</v>
      </c>
      <c r="G98" t="n">
        <v>76.944312</v>
      </c>
      <c r="H98" t="n">
        <v>373.180416</v>
      </c>
      <c r="I98" t="n">
        <v>228.22673</v>
      </c>
      <c r="J98" t="n">
        <v>228.830344</v>
      </c>
      <c r="K98" t="n">
        <v>223.019358</v>
      </c>
      <c r="L98" t="n">
        <v>302.460327</v>
      </c>
      <c r="M98" t="n">
        <v>302.460327</v>
      </c>
      <c r="N98" t="n">
        <v>302.460327</v>
      </c>
      <c r="O98" t="n">
        <v>244.226076</v>
      </c>
      <c r="P98" t="n">
        <v>127.659422</v>
      </c>
      <c r="Q98" t="n">
        <v>302.460327</v>
      </c>
      <c r="R98" t="n">
        <v>303.400726</v>
      </c>
      <c r="S98" t="n">
        <v>244.226076</v>
      </c>
      <c r="T98" t="n">
        <v>245.025938</v>
      </c>
      <c r="U98" t="n">
        <v>127.659422</v>
      </c>
      <c r="V98" t="n">
        <v>-1352.064159</v>
      </c>
      <c r="W98" t="n">
        <v>266.013821</v>
      </c>
      <c r="X98" t="n">
        <v>316.479608</v>
      </c>
      <c r="Y98" t="n">
        <v>54.647132</v>
      </c>
      <c r="Z98" t="n">
        <v>203.050192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1" t="inlineStr">
        <is>
          <t>Côtier S pred</t>
        </is>
      </c>
      <c r="E99" t="n">
        <v>163.765772</v>
      </c>
      <c r="F99" t="n">
        <v>545.757696</v>
      </c>
      <c r="G99" t="n">
        <v>520.573184</v>
      </c>
      <c r="H99" t="n">
        <v>4917.222698</v>
      </c>
      <c r="I99" t="n">
        <v>1275.451871</v>
      </c>
      <c r="J99" t="n">
        <v>1276.0859</v>
      </c>
      <c r="K99" t="n">
        <v>1149.773886</v>
      </c>
      <c r="L99" t="n">
        <v>1835.857966</v>
      </c>
      <c r="M99" t="n">
        <v>1835.857966</v>
      </c>
      <c r="N99" t="n">
        <v>1835.857966</v>
      </c>
      <c r="O99" t="n">
        <v>1067.675983</v>
      </c>
      <c r="P99" t="n">
        <v>415.50327</v>
      </c>
      <c r="Q99" t="n">
        <v>1835.857966</v>
      </c>
      <c r="R99" t="n">
        <v>1836.5911</v>
      </c>
      <c r="S99" t="n">
        <v>1067.675983</v>
      </c>
      <c r="T99" t="n">
        <v>1068.391396</v>
      </c>
      <c r="U99" t="n">
        <v>415.50327</v>
      </c>
      <c r="V99" t="n">
        <v>-4249.608379</v>
      </c>
      <c r="W99" t="n">
        <v>1177.743138</v>
      </c>
      <c r="X99" t="n">
        <v>1944.131304</v>
      </c>
      <c r="Y99" t="n">
        <v>318.019746</v>
      </c>
      <c r="Z99" t="n">
        <v>2089.141318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1" t="inlineStr">
        <is>
          <t>Crustacés</t>
        </is>
      </c>
      <c r="E100" t="n">
        <v>163.765772</v>
      </c>
      <c r="F100" t="n">
        <v>79.64922</v>
      </c>
      <c r="G100" t="n">
        <v>77.077782</v>
      </c>
      <c r="H100" t="n">
        <v>199.420396</v>
      </c>
      <c r="I100" t="n">
        <v>94.919134</v>
      </c>
      <c r="J100" t="n">
        <v>94.919134</v>
      </c>
      <c r="K100" t="n">
        <v>90.173177</v>
      </c>
      <c r="L100" t="n">
        <v>135.651174</v>
      </c>
      <c r="M100" t="n">
        <v>135.651174</v>
      </c>
      <c r="N100" t="n">
        <v>135.651174</v>
      </c>
      <c r="O100" t="n">
        <v>112.097094</v>
      </c>
      <c r="P100" t="n">
        <v>63.65447</v>
      </c>
      <c r="Q100" t="n">
        <v>135.651174</v>
      </c>
      <c r="R100" t="n">
        <v>135.651174</v>
      </c>
      <c r="S100" t="n">
        <v>112.097094</v>
      </c>
      <c r="T100" t="n">
        <v>112.118405</v>
      </c>
      <c r="U100" t="n">
        <v>63.65447</v>
      </c>
      <c r="V100" t="n">
        <v>-691.708697</v>
      </c>
      <c r="W100" t="n">
        <v>122.926325</v>
      </c>
      <c r="X100" t="n">
        <v>140.897505</v>
      </c>
      <c r="Y100" t="n">
        <v>54.73445</v>
      </c>
      <c r="Z100" t="n">
        <v>122.753568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1" t="inlineStr">
        <is>
          <t>Céphalopodes</t>
        </is>
      </c>
      <c r="E101" t="n">
        <v>163.765772</v>
      </c>
      <c r="F101" t="n">
        <v>822.926928</v>
      </c>
      <c r="G101" t="n">
        <v>782.5392000000001</v>
      </c>
      <c r="H101" t="n">
        <v>2911.87363</v>
      </c>
      <c r="I101" t="n">
        <v>776.133746</v>
      </c>
      <c r="J101" t="n">
        <v>776.133746</v>
      </c>
      <c r="K101" t="n">
        <v>737.327059</v>
      </c>
      <c r="L101" t="n">
        <v>1169.062418</v>
      </c>
      <c r="M101" t="n">
        <v>1169.062418</v>
      </c>
      <c r="N101" t="n">
        <v>1169.062418</v>
      </c>
      <c r="O101" t="n">
        <v>633.532727</v>
      </c>
      <c r="P101" t="n">
        <v>262.848004</v>
      </c>
      <c r="Q101" t="n">
        <v>1169.062418</v>
      </c>
      <c r="R101" t="n">
        <v>1169.12609</v>
      </c>
      <c r="S101" t="n">
        <v>633.532727</v>
      </c>
      <c r="T101" t="n">
        <v>633.690429</v>
      </c>
      <c r="U101" t="n">
        <v>262.848004</v>
      </c>
      <c r="V101" t="n">
        <v>-2693.977387</v>
      </c>
      <c r="W101" t="n">
        <v>696.074883</v>
      </c>
      <c r="X101" t="n">
        <v>1245.601022</v>
      </c>
      <c r="Y101" t="n">
        <v>462.946606</v>
      </c>
      <c r="Z101" t="n">
        <v>1388.475781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1" t="inlineStr">
        <is>
          <t>Côtier L pred</t>
        </is>
      </c>
      <c r="E102" t="n">
        <v>163.765772</v>
      </c>
      <c r="F102" t="n">
        <v>834.792702</v>
      </c>
      <c r="G102" t="n">
        <v>793.737434</v>
      </c>
      <c r="H102" t="n">
        <v>7076.97786</v>
      </c>
      <c r="I102" t="n">
        <v>5090.744396</v>
      </c>
      <c r="J102" t="n">
        <v>9568.388961000001</v>
      </c>
      <c r="K102" t="n">
        <v>8272.995088</v>
      </c>
      <c r="L102" t="n">
        <v>19279.70472</v>
      </c>
      <c r="M102" t="n">
        <v>19279.70472</v>
      </c>
      <c r="N102" t="n">
        <v>19279.70472</v>
      </c>
      <c r="O102" t="n">
        <v>6360.723192</v>
      </c>
      <c r="P102" t="n">
        <v>2029.298348</v>
      </c>
      <c r="Q102" t="n">
        <v>19279.70472</v>
      </c>
      <c r="R102" t="n">
        <v>-84799.195448</v>
      </c>
      <c r="S102" t="n">
        <v>6360.723192</v>
      </c>
      <c r="T102" t="n">
        <v>6366.23078</v>
      </c>
      <c r="U102" t="n">
        <v>2029.298348</v>
      </c>
      <c r="V102" t="n">
        <v>-469234.864873</v>
      </c>
      <c r="W102" t="n">
        <v>6996.154043</v>
      </c>
      <c r="X102" t="n">
        <v>20790.115719</v>
      </c>
      <c r="Y102" t="n">
        <v>469.046047</v>
      </c>
      <c r="Z102" t="n">
        <v>2908.726875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1" t="inlineStr">
        <is>
          <t>Côtier L pred | Côtier M inv | Côtier S pred | Côtier S inv | Dem L pred | Dem S pred | Dem S inv</t>
        </is>
      </c>
      <c r="E103" t="n">
        <v>163.765772</v>
      </c>
      <c r="F103" t="n">
        <v>384.827341</v>
      </c>
      <c r="G103" t="n">
        <v>367.019353</v>
      </c>
      <c r="H103" t="n">
        <v>3105.183303</v>
      </c>
      <c r="I103" t="n">
        <v>2082.126789</v>
      </c>
      <c r="J103" t="n">
        <v>3369.643291</v>
      </c>
      <c r="K103" t="n">
        <v>2927.936224</v>
      </c>
      <c r="L103" t="n">
        <v>6473.128062</v>
      </c>
      <c r="M103" t="n">
        <v>6473.128062</v>
      </c>
      <c r="N103" t="n">
        <v>6473.128062</v>
      </c>
      <c r="O103" t="n">
        <v>2392.917063</v>
      </c>
      <c r="P103" t="n">
        <v>817.459387</v>
      </c>
      <c r="Q103" t="n">
        <v>6473.128062</v>
      </c>
      <c r="R103" t="n">
        <v>-23368.883052</v>
      </c>
      <c r="S103" t="n">
        <v>2392.917063</v>
      </c>
      <c r="T103" t="n">
        <v>2394.991862</v>
      </c>
      <c r="U103" t="n">
        <v>817.459387</v>
      </c>
      <c r="V103" t="n">
        <v>-137064.126678</v>
      </c>
      <c r="W103" t="n">
        <v>2638.09491</v>
      </c>
      <c r="X103" t="n">
        <v>6980.221366</v>
      </c>
      <c r="Y103" t="n">
        <v>224.308794</v>
      </c>
      <c r="Z103" t="n">
        <v>1306.751676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1" t="inlineStr">
        <is>
          <t>Côtier pel L pred</t>
        </is>
      </c>
      <c r="E104" t="n">
        <v>163.765772</v>
      </c>
      <c r="F104" t="n">
        <v>1052.557933</v>
      </c>
      <c r="G104" t="n">
        <v>999.055395</v>
      </c>
      <c r="H104" t="n">
        <v>11777.423523</v>
      </c>
      <c r="I104" t="n">
        <v>6532.776468</v>
      </c>
      <c r="J104" t="n">
        <v>7781.630289</v>
      </c>
      <c r="K104" t="n">
        <v>7457.950731</v>
      </c>
      <c r="L104" t="n">
        <v>14096.896099</v>
      </c>
      <c r="M104" t="n">
        <v>14096.896099</v>
      </c>
      <c r="N104" t="n">
        <v>14096.896099</v>
      </c>
      <c r="O104" t="n">
        <v>6109.578522</v>
      </c>
      <c r="P104" t="n">
        <v>1921.956368</v>
      </c>
      <c r="Q104" t="n">
        <v>14096.896099</v>
      </c>
      <c r="R104" t="n">
        <v>-57719.913078</v>
      </c>
      <c r="S104" t="n">
        <v>6109.578522</v>
      </c>
      <c r="T104" t="n">
        <v>6113.693041</v>
      </c>
      <c r="U104" t="n">
        <v>1921.956368</v>
      </c>
      <c r="V104" t="n">
        <v>-289813.58612</v>
      </c>
      <c r="W104" t="n">
        <v>6783.158943</v>
      </c>
      <c r="X104" t="n">
        <v>15274.306707</v>
      </c>
      <c r="Y104" t="n">
        <v>579.770625</v>
      </c>
      <c r="Z104" t="n">
        <v>4535.549158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1" t="inlineStr">
        <is>
          <t>Sélaciens L prof | Sélaciens L côtiers | Sélaciens M prof | Sélaciens M côtiers</t>
        </is>
      </c>
      <c r="E105" t="n">
        <v>163.765772</v>
      </c>
      <c r="F105" t="n">
        <v>2769.459489</v>
      </c>
      <c r="G105" t="n">
        <v>2609.234813</v>
      </c>
      <c r="H105" t="n">
        <v>29837.845747</v>
      </c>
      <c r="I105" t="n">
        <v>101657.718481</v>
      </c>
      <c r="J105" t="n">
        <v>104398.134468</v>
      </c>
      <c r="K105" t="n">
        <v>54134.586328</v>
      </c>
      <c r="L105" t="n">
        <v>481965.932532</v>
      </c>
      <c r="M105" t="n">
        <v>481965.932532</v>
      </c>
      <c r="N105" t="n">
        <v>481965.932532</v>
      </c>
      <c r="O105" t="n">
        <v>42015.216824</v>
      </c>
      <c r="P105" t="n">
        <v>10784.020922</v>
      </c>
      <c r="Q105" t="n">
        <v>481965.932532</v>
      </c>
      <c r="R105" t="n">
        <v>-1054779.03534</v>
      </c>
      <c r="S105" t="n">
        <v>42015.216824</v>
      </c>
      <c r="T105" t="n">
        <v>42036.176323</v>
      </c>
      <c r="U105" t="n">
        <v>10784.020922</v>
      </c>
      <c r="V105" t="n">
        <v>-804951.6234480001</v>
      </c>
      <c r="W105" t="n">
        <v>47810.818811</v>
      </c>
      <c r="X105" t="n">
        <v>582150.568204</v>
      </c>
      <c r="Y105" t="n">
        <v>1401.4805</v>
      </c>
      <c r="Z105" t="n">
        <v>10590.209668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1" t="inlineStr">
        <is>
          <t>Thons mineurs</t>
        </is>
      </c>
      <c r="E106" t="n">
        <v>163.765772</v>
      </c>
      <c r="F106" t="n">
        <v>1395.634937</v>
      </c>
      <c r="G106" t="n">
        <v>1321.894731</v>
      </c>
      <c r="H106" t="n">
        <v>9241.41209</v>
      </c>
      <c r="I106" t="n">
        <v>2965.086479</v>
      </c>
      <c r="J106" t="n">
        <v>2997.818641</v>
      </c>
      <c r="K106" t="n">
        <v>1727.313722</v>
      </c>
      <c r="L106" t="n">
        <v>4278.69855</v>
      </c>
      <c r="M106" t="n">
        <v>4278.69855</v>
      </c>
      <c r="N106" t="n">
        <v>4278.69855</v>
      </c>
      <c r="O106" t="n">
        <v>1413.60711</v>
      </c>
      <c r="P106" t="n">
        <v>516.926347</v>
      </c>
      <c r="Q106" t="n">
        <v>4278.69855</v>
      </c>
      <c r="R106" t="n">
        <v>4279.691205</v>
      </c>
      <c r="S106" t="n">
        <v>1413.60711</v>
      </c>
      <c r="T106" t="n">
        <v>1414.29973</v>
      </c>
      <c r="U106" t="n">
        <v>516.926347</v>
      </c>
      <c r="V106" t="n">
        <v>-5162.630056</v>
      </c>
      <c r="W106" t="n">
        <v>1554.151413</v>
      </c>
      <c r="X106" t="n">
        <v>4550.096146</v>
      </c>
      <c r="Y106" t="n">
        <v>750.381718</v>
      </c>
      <c r="Z106" t="n">
        <v>3860.227378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1" t="inlineStr">
        <is>
          <t>Pel S inv</t>
        </is>
      </c>
      <c r="E107" t="n">
        <v>163.765772</v>
      </c>
      <c r="F107" t="n">
        <v>157.970864</v>
      </c>
      <c r="G107" t="n">
        <v>152.088101</v>
      </c>
      <c r="H107" t="n">
        <v>577.271661</v>
      </c>
      <c r="I107" t="n">
        <v>239.810236</v>
      </c>
      <c r="J107" t="n">
        <v>250.631699</v>
      </c>
      <c r="K107" t="n">
        <v>247.597025</v>
      </c>
      <c r="L107" t="n">
        <v>317.630863</v>
      </c>
      <c r="M107" t="n">
        <v>317.630863</v>
      </c>
      <c r="N107" t="n">
        <v>317.630863</v>
      </c>
      <c r="O107" t="n">
        <v>109.892321</v>
      </c>
      <c r="P107" t="n">
        <v>46.754763</v>
      </c>
      <c r="Q107" t="n">
        <v>317.630863</v>
      </c>
      <c r="R107" t="n">
        <v>317.632445</v>
      </c>
      <c r="S107" t="n">
        <v>109.892321</v>
      </c>
      <c r="T107" t="n">
        <v>109.904682</v>
      </c>
      <c r="U107" t="n">
        <v>46.754763</v>
      </c>
      <c r="V107" t="n">
        <v>-281.147296</v>
      </c>
      <c r="W107" t="n">
        <v>116.066511</v>
      </c>
      <c r="X107" t="n">
        <v>339.622882</v>
      </c>
      <c r="Y107" t="n">
        <v>102.369618</v>
      </c>
      <c r="Z107" t="n">
        <v>312.790013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1" t="inlineStr">
        <is>
          <t>Benthos</t>
        </is>
      </c>
      <c r="E108" t="n">
        <v>163.765772</v>
      </c>
      <c r="F108" t="n">
        <v>14.225293</v>
      </c>
      <c r="G108" t="n">
        <v>13.944959</v>
      </c>
      <c r="H108" t="n">
        <v>22.648952</v>
      </c>
      <c r="I108" t="n">
        <v>39.053581</v>
      </c>
      <c r="J108" t="n">
        <v>39.053581</v>
      </c>
      <c r="K108" t="n">
        <v>28.888889</v>
      </c>
      <c r="L108" t="n">
        <v>46.572283</v>
      </c>
      <c r="M108" t="n">
        <v>46.572283</v>
      </c>
      <c r="N108" t="n">
        <v>46.572283</v>
      </c>
      <c r="O108" t="n">
        <v>43.496371</v>
      </c>
      <c r="P108" t="n">
        <v>33.04828</v>
      </c>
      <c r="Q108" t="n">
        <v>46.572283</v>
      </c>
      <c r="R108" t="n">
        <v>46.572283</v>
      </c>
      <c r="S108" t="n">
        <v>43.496371</v>
      </c>
      <c r="T108" t="n">
        <v>43.50535</v>
      </c>
      <c r="U108" t="n">
        <v>33.04828</v>
      </c>
      <c r="V108" t="n">
        <v>-381.521079</v>
      </c>
      <c r="W108" t="n">
        <v>46.817883</v>
      </c>
      <c r="X108" t="n">
        <v>48.197268</v>
      </c>
      <c r="Y108" t="n">
        <v>11.33053</v>
      </c>
      <c r="Z108" t="n">
        <v>16.922572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1" t="inlineStr">
        <is>
          <t>Côtier L pred</t>
        </is>
      </c>
      <c r="E109" t="n">
        <v>163.765772</v>
      </c>
      <c r="F109" t="n">
        <v>834.792702</v>
      </c>
      <c r="G109" t="n">
        <v>793.737434</v>
      </c>
      <c r="H109" t="n">
        <v>7076.97786</v>
      </c>
      <c r="I109" t="n">
        <v>5090.744396</v>
      </c>
      <c r="J109" t="n">
        <v>9568.388961000001</v>
      </c>
      <c r="K109" t="n">
        <v>8272.995088</v>
      </c>
      <c r="L109" t="n">
        <v>19279.70472</v>
      </c>
      <c r="M109" t="n">
        <v>19279.70472</v>
      </c>
      <c r="N109" t="n">
        <v>19279.70472</v>
      </c>
      <c r="O109" t="n">
        <v>6360.723192</v>
      </c>
      <c r="P109" t="n">
        <v>2029.298348</v>
      </c>
      <c r="Q109" t="n">
        <v>19279.70472</v>
      </c>
      <c r="R109" t="n">
        <v>-84799.195448</v>
      </c>
      <c r="S109" t="n">
        <v>6360.723192</v>
      </c>
      <c r="T109" t="n">
        <v>6366.23078</v>
      </c>
      <c r="U109" t="n">
        <v>2029.298348</v>
      </c>
      <c r="V109" t="n">
        <v>-469234.864873</v>
      </c>
      <c r="W109" t="n">
        <v>6996.154043</v>
      </c>
      <c r="X109" t="n">
        <v>20790.115719</v>
      </c>
      <c r="Y109" t="n">
        <v>469.046047</v>
      </c>
      <c r="Z109" t="n">
        <v>2908.726875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Mulets</t>
        </is>
      </c>
      <c r="E110" t="n">
        <v>163.765772</v>
      </c>
      <c r="F110" t="n">
        <v>20.76151</v>
      </c>
      <c r="G110" t="n">
        <v>20.294765</v>
      </c>
      <c r="H110" t="n">
        <v>104.055417</v>
      </c>
      <c r="I110" t="n">
        <v>84.96705300000001</v>
      </c>
      <c r="J110" t="n">
        <v>84.96705300000001</v>
      </c>
      <c r="K110" t="n">
        <v>80.7187</v>
      </c>
      <c r="L110" t="n">
        <v>87.916766</v>
      </c>
      <c r="M110" t="n">
        <v>87.916766</v>
      </c>
      <c r="N110" t="n">
        <v>87.916766</v>
      </c>
      <c r="O110" t="n">
        <v>58.81521</v>
      </c>
      <c r="P110" t="n">
        <v>32.075058</v>
      </c>
      <c r="Q110" t="n">
        <v>87.916766</v>
      </c>
      <c r="R110" t="n">
        <v>87.916766</v>
      </c>
      <c r="S110" t="n">
        <v>58.81521</v>
      </c>
      <c r="T110" t="n">
        <v>58.820906</v>
      </c>
      <c r="U110" t="n">
        <v>32.075058</v>
      </c>
      <c r="V110" t="n">
        <v>-183.117525</v>
      </c>
      <c r="W110" t="n">
        <v>61.214848</v>
      </c>
      <c r="X110" t="n">
        <v>89.985946</v>
      </c>
      <c r="Y110" t="n">
        <v>16.009476</v>
      </c>
      <c r="Z110" t="n">
        <v>63.984768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1" t="inlineStr">
        <is>
          <t>Céphalopodes</t>
        </is>
      </c>
      <c r="E111" t="n">
        <v>163.765772</v>
      </c>
      <c r="F111" t="n">
        <v>822.926928</v>
      </c>
      <c r="G111" t="n">
        <v>782.5392000000001</v>
      </c>
      <c r="H111" t="n">
        <v>2911.87363</v>
      </c>
      <c r="I111" t="n">
        <v>776.133746</v>
      </c>
      <c r="J111" t="n">
        <v>776.133746</v>
      </c>
      <c r="K111" t="n">
        <v>737.327059</v>
      </c>
      <c r="L111" t="n">
        <v>1169.062418</v>
      </c>
      <c r="M111" t="n">
        <v>1169.062418</v>
      </c>
      <c r="N111" t="n">
        <v>1169.062418</v>
      </c>
      <c r="O111" t="n">
        <v>633.532727</v>
      </c>
      <c r="P111" t="n">
        <v>262.848004</v>
      </c>
      <c r="Q111" t="n">
        <v>1169.062418</v>
      </c>
      <c r="R111" t="n">
        <v>1169.12609</v>
      </c>
      <c r="S111" t="n">
        <v>633.532727</v>
      </c>
      <c r="T111" t="n">
        <v>633.690429</v>
      </c>
      <c r="U111" t="n">
        <v>262.848004</v>
      </c>
      <c r="V111" t="n">
        <v>-2693.977387</v>
      </c>
      <c r="W111" t="n">
        <v>696.074883</v>
      </c>
      <c r="X111" t="n">
        <v>1245.601022</v>
      </c>
      <c r="Y111" t="n">
        <v>462.946606</v>
      </c>
      <c r="Z111" t="n">
        <v>1388.475781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1" t="inlineStr">
        <is>
          <t>Benthos</t>
        </is>
      </c>
      <c r="E112" t="n">
        <v>163.765772</v>
      </c>
      <c r="F112" t="n">
        <v>14.225293</v>
      </c>
      <c r="G112" t="n">
        <v>13.944959</v>
      </c>
      <c r="H112" t="n">
        <v>22.648952</v>
      </c>
      <c r="I112" t="n">
        <v>39.053581</v>
      </c>
      <c r="J112" t="n">
        <v>39.053581</v>
      </c>
      <c r="K112" t="n">
        <v>28.888889</v>
      </c>
      <c r="L112" t="n">
        <v>46.572283</v>
      </c>
      <c r="M112" t="n">
        <v>46.572283</v>
      </c>
      <c r="N112" t="n">
        <v>46.572283</v>
      </c>
      <c r="O112" t="n">
        <v>43.496371</v>
      </c>
      <c r="P112" t="n">
        <v>33.04828</v>
      </c>
      <c r="Q112" t="n">
        <v>46.572283</v>
      </c>
      <c r="R112" t="n">
        <v>46.572283</v>
      </c>
      <c r="S112" t="n">
        <v>43.496371</v>
      </c>
      <c r="T112" t="n">
        <v>43.50535</v>
      </c>
      <c r="U112" t="n">
        <v>33.04828</v>
      </c>
      <c r="V112" t="n">
        <v>-381.521079</v>
      </c>
      <c r="W112" t="n">
        <v>46.817883</v>
      </c>
      <c r="X112" t="n">
        <v>48.197268</v>
      </c>
      <c r="Y112" t="n">
        <v>11.33053</v>
      </c>
      <c r="Z112" t="n">
        <v>16.922572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1" t="inlineStr">
        <is>
          <t>Benthos</t>
        </is>
      </c>
      <c r="E113" t="n">
        <v>163.765772</v>
      </c>
      <c r="F113" t="n">
        <v>14.225293</v>
      </c>
      <c r="G113" t="n">
        <v>13.944959</v>
      </c>
      <c r="H113" t="n">
        <v>22.648952</v>
      </c>
      <c r="I113" t="n">
        <v>39.053581</v>
      </c>
      <c r="J113" t="n">
        <v>39.053581</v>
      </c>
      <c r="K113" t="n">
        <v>28.888889</v>
      </c>
      <c r="L113" t="n">
        <v>46.572283</v>
      </c>
      <c r="M113" t="n">
        <v>46.572283</v>
      </c>
      <c r="N113" t="n">
        <v>46.572283</v>
      </c>
      <c r="O113" t="n">
        <v>43.496371</v>
      </c>
      <c r="P113" t="n">
        <v>33.04828</v>
      </c>
      <c r="Q113" t="n">
        <v>46.572283</v>
      </c>
      <c r="R113" t="n">
        <v>46.572283</v>
      </c>
      <c r="S113" t="n">
        <v>43.496371</v>
      </c>
      <c r="T113" t="n">
        <v>43.50535</v>
      </c>
      <c r="U113" t="n">
        <v>33.04828</v>
      </c>
      <c r="V113" t="n">
        <v>-381.521079</v>
      </c>
      <c r="W113" t="n">
        <v>46.817883</v>
      </c>
      <c r="X113" t="n">
        <v>48.197268</v>
      </c>
      <c r="Y113" t="n">
        <v>11.33053</v>
      </c>
      <c r="Z113" t="n">
        <v>16.922572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1" t="inlineStr">
        <is>
          <t>Thons majeurs</t>
        </is>
      </c>
      <c r="E114" t="n">
        <v>163.765772</v>
      </c>
      <c r="F114" t="n">
        <v>2736.422785</v>
      </c>
      <c r="G114" t="n">
        <v>2578.791074</v>
      </c>
      <c r="H114" t="n">
        <v>17894.357856</v>
      </c>
      <c r="I114" t="n">
        <v>8524.661732</v>
      </c>
      <c r="J114" t="n">
        <v>8877.094804</v>
      </c>
      <c r="K114" t="n">
        <v>4438.547402</v>
      </c>
      <c r="L114" t="n">
        <v>13559.45898</v>
      </c>
      <c r="M114" t="n">
        <v>13559.45898</v>
      </c>
      <c r="N114" t="n">
        <v>13559.45898</v>
      </c>
      <c r="O114" t="n">
        <v>3620.876362</v>
      </c>
      <c r="P114" t="n">
        <v>1183.597755</v>
      </c>
      <c r="Q114" t="n">
        <v>13559.45898</v>
      </c>
      <c r="R114" t="n">
        <v>-35797.700389</v>
      </c>
      <c r="S114" t="n">
        <v>3620.876362</v>
      </c>
      <c r="T114" t="n">
        <v>3622.234339</v>
      </c>
      <c r="U114" t="n">
        <v>1183.597755</v>
      </c>
      <c r="V114" t="n">
        <v>-69439.82694100001</v>
      </c>
      <c r="W114" t="n">
        <v>4014.207129</v>
      </c>
      <c r="X114" t="n">
        <v>14860.336328</v>
      </c>
      <c r="Y114" t="n">
        <v>1388.786767</v>
      </c>
      <c r="Z114" t="n">
        <v>6982.262246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1" t="inlineStr">
        <is>
          <t>Céphalopodes</t>
        </is>
      </c>
      <c r="E115" t="n">
        <v>163.765772</v>
      </c>
      <c r="F115" t="n">
        <v>822.926928</v>
      </c>
      <c r="G115" t="n">
        <v>782.5392000000001</v>
      </c>
      <c r="H115" t="n">
        <v>2911.87363</v>
      </c>
      <c r="I115" t="n">
        <v>776.133746</v>
      </c>
      <c r="J115" t="n">
        <v>776.133746</v>
      </c>
      <c r="K115" t="n">
        <v>737.327059</v>
      </c>
      <c r="L115" t="n">
        <v>1169.062418</v>
      </c>
      <c r="M115" t="n">
        <v>1169.062418</v>
      </c>
      <c r="N115" t="n">
        <v>1169.062418</v>
      </c>
      <c r="O115" t="n">
        <v>633.532727</v>
      </c>
      <c r="P115" t="n">
        <v>262.848004</v>
      </c>
      <c r="Q115" t="n">
        <v>1169.062418</v>
      </c>
      <c r="R115" t="n">
        <v>1169.12609</v>
      </c>
      <c r="S115" t="n">
        <v>633.532727</v>
      </c>
      <c r="T115" t="n">
        <v>633.690429</v>
      </c>
      <c r="U115" t="n">
        <v>262.848004</v>
      </c>
      <c r="V115" t="n">
        <v>-2693.977387</v>
      </c>
      <c r="W115" t="n">
        <v>696.074883</v>
      </c>
      <c r="X115" t="n">
        <v>1245.601022</v>
      </c>
      <c r="Y115" t="n">
        <v>462.946606</v>
      </c>
      <c r="Z115" t="n">
        <v>1388.475781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1" t="inlineStr">
        <is>
          <t>Thons mineurs</t>
        </is>
      </c>
      <c r="E116" t="n">
        <v>163.765772</v>
      </c>
      <c r="F116" t="n">
        <v>1395.634937</v>
      </c>
      <c r="G116" t="n">
        <v>1321.894731</v>
      </c>
      <c r="H116" t="n">
        <v>9241.41209</v>
      </c>
      <c r="I116" t="n">
        <v>2965.086479</v>
      </c>
      <c r="J116" t="n">
        <v>2997.818641</v>
      </c>
      <c r="K116" t="n">
        <v>1727.313722</v>
      </c>
      <c r="L116" t="n">
        <v>4278.69855</v>
      </c>
      <c r="M116" t="n">
        <v>4278.69855</v>
      </c>
      <c r="N116" t="n">
        <v>4278.69855</v>
      </c>
      <c r="O116" t="n">
        <v>1413.60711</v>
      </c>
      <c r="P116" t="n">
        <v>516.926347</v>
      </c>
      <c r="Q116" t="n">
        <v>4278.69855</v>
      </c>
      <c r="R116" t="n">
        <v>4279.691205</v>
      </c>
      <c r="S116" t="n">
        <v>1413.60711</v>
      </c>
      <c r="T116" t="n">
        <v>1414.29973</v>
      </c>
      <c r="U116" t="n">
        <v>516.926347</v>
      </c>
      <c r="V116" t="n">
        <v>-5162.630056</v>
      </c>
      <c r="W116" t="n">
        <v>1554.151413</v>
      </c>
      <c r="X116" t="n">
        <v>4550.096146</v>
      </c>
      <c r="Y116" t="n">
        <v>750.381718</v>
      </c>
      <c r="Z116" t="n">
        <v>3860.227378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1" t="inlineStr">
        <is>
          <t>Dem M inv</t>
        </is>
      </c>
      <c r="E117" t="n">
        <v>163.765772</v>
      </c>
      <c r="F117" t="n">
        <v>172.485056</v>
      </c>
      <c r="G117" t="n">
        <v>165.952401</v>
      </c>
      <c r="H117" t="n">
        <v>511.347723</v>
      </c>
      <c r="I117" t="n">
        <v>706.004578</v>
      </c>
      <c r="J117" t="n">
        <v>706.004578</v>
      </c>
      <c r="K117" t="n">
        <v>670.704349</v>
      </c>
      <c r="L117" t="n">
        <v>890.128168</v>
      </c>
      <c r="M117" t="n">
        <v>890.128168</v>
      </c>
      <c r="N117" t="n">
        <v>890.128168</v>
      </c>
      <c r="O117" t="n">
        <v>735.262371</v>
      </c>
      <c r="P117" t="n">
        <v>400.351586</v>
      </c>
      <c r="Q117" t="n">
        <v>890.128168</v>
      </c>
      <c r="R117" t="n">
        <v>890.128168</v>
      </c>
      <c r="S117" t="n">
        <v>735.262371</v>
      </c>
      <c r="T117" t="n">
        <v>735.404934</v>
      </c>
      <c r="U117" t="n">
        <v>400.351586</v>
      </c>
      <c r="V117" t="n">
        <v>-4414.739474</v>
      </c>
      <c r="W117" t="n">
        <v>805.768964</v>
      </c>
      <c r="X117" t="n">
        <v>945.574586</v>
      </c>
      <c r="Y117" t="n">
        <v>110.936439</v>
      </c>
      <c r="Z117" t="n">
        <v>283.97695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1" t="inlineStr">
        <is>
          <t>Côtier M inv</t>
        </is>
      </c>
      <c r="E118" t="n">
        <v>163.765772</v>
      </c>
      <c r="F118" t="n">
        <v>170.837609</v>
      </c>
      <c r="G118" t="n">
        <v>164.379174</v>
      </c>
      <c r="H118" t="n">
        <v>573.174129</v>
      </c>
      <c r="I118" t="n">
        <v>332.812451</v>
      </c>
      <c r="J118" t="n">
        <v>332.812451</v>
      </c>
      <c r="K118" t="n">
        <v>331.190423</v>
      </c>
      <c r="L118" t="n">
        <v>425.732264</v>
      </c>
      <c r="M118" t="n">
        <v>425.732264</v>
      </c>
      <c r="N118" t="n">
        <v>425.732264</v>
      </c>
      <c r="O118" t="n">
        <v>368.426453</v>
      </c>
      <c r="P118" t="n">
        <v>198.243136</v>
      </c>
      <c r="Q118" t="n">
        <v>425.732264</v>
      </c>
      <c r="R118" t="n">
        <v>425.732264</v>
      </c>
      <c r="S118" t="n">
        <v>368.426453</v>
      </c>
      <c r="T118" t="n">
        <v>368.498294</v>
      </c>
      <c r="U118" t="n">
        <v>198.243136</v>
      </c>
      <c r="V118" t="n">
        <v>-2197.047861</v>
      </c>
      <c r="W118" t="n">
        <v>402.613215</v>
      </c>
      <c r="X118" t="n">
        <v>447.451967</v>
      </c>
      <c r="Y118" t="n">
        <v>109.967259</v>
      </c>
      <c r="Z118" t="n">
        <v>314.242463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1" t="inlineStr">
        <is>
          <t>Céphalopodes | Benthos</t>
        </is>
      </c>
      <c r="E119" t="n">
        <v>163.765772</v>
      </c>
      <c r="F119" t="n">
        <v>767.372437</v>
      </c>
      <c r="G119" t="n">
        <v>729.739922</v>
      </c>
      <c r="H119" t="n">
        <v>2713.395724</v>
      </c>
      <c r="I119" t="n">
        <v>725.499356</v>
      </c>
      <c r="J119" t="n">
        <v>725.499356</v>
      </c>
      <c r="K119" t="n">
        <v>688.660257</v>
      </c>
      <c r="L119" t="n">
        <v>1091.951942</v>
      </c>
      <c r="M119" t="n">
        <v>1091.951942</v>
      </c>
      <c r="N119" t="n">
        <v>1091.951942</v>
      </c>
      <c r="O119" t="n">
        <v>592.999645</v>
      </c>
      <c r="P119" t="n">
        <v>247.061704</v>
      </c>
      <c r="Q119" t="n">
        <v>1091.951942</v>
      </c>
      <c r="R119" t="n">
        <v>1092.01124</v>
      </c>
      <c r="S119" t="n">
        <v>592.999645</v>
      </c>
      <c r="T119" t="n">
        <v>593.1471309999999</v>
      </c>
      <c r="U119" t="n">
        <v>247.061704</v>
      </c>
      <c r="V119" t="n">
        <v>-2535.121107</v>
      </c>
      <c r="W119" t="n">
        <v>651.473585</v>
      </c>
      <c r="X119" t="n">
        <v>1163.344287</v>
      </c>
      <c r="Y119" t="n">
        <v>431.92243</v>
      </c>
      <c r="Z119" t="n">
        <v>1294.255691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1" t="inlineStr">
        <is>
          <t>Pel S inv</t>
        </is>
      </c>
      <c r="E120" t="n">
        <v>163.765772</v>
      </c>
      <c r="F120" t="n">
        <v>157.970864</v>
      </c>
      <c r="G120" t="n">
        <v>152.088101</v>
      </c>
      <c r="H120" t="n">
        <v>577.271661</v>
      </c>
      <c r="I120" t="n">
        <v>239.810236</v>
      </c>
      <c r="J120" t="n">
        <v>250.631699</v>
      </c>
      <c r="K120" t="n">
        <v>247.597025</v>
      </c>
      <c r="L120" t="n">
        <v>317.630863</v>
      </c>
      <c r="M120" t="n">
        <v>317.630863</v>
      </c>
      <c r="N120" t="n">
        <v>317.630863</v>
      </c>
      <c r="O120" t="n">
        <v>109.892321</v>
      </c>
      <c r="P120" t="n">
        <v>46.754763</v>
      </c>
      <c r="Q120" t="n">
        <v>317.630863</v>
      </c>
      <c r="R120" t="n">
        <v>317.632445</v>
      </c>
      <c r="S120" t="n">
        <v>109.892321</v>
      </c>
      <c r="T120" t="n">
        <v>109.904682</v>
      </c>
      <c r="U120" t="n">
        <v>46.754763</v>
      </c>
      <c r="V120" t="n">
        <v>-281.147296</v>
      </c>
      <c r="W120" t="n">
        <v>116.066511</v>
      </c>
      <c r="X120" t="n">
        <v>339.622882</v>
      </c>
      <c r="Y120" t="n">
        <v>102.369618</v>
      </c>
      <c r="Z120" t="n">
        <v>312.790013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1" t="inlineStr">
        <is>
          <t>Crustacés</t>
        </is>
      </c>
      <c r="E121" t="n">
        <v>163.765772</v>
      </c>
      <c r="F121" t="n">
        <v>79.64922</v>
      </c>
      <c r="G121" t="n">
        <v>77.077782</v>
      </c>
      <c r="H121" t="n">
        <v>199.420396</v>
      </c>
      <c r="I121" t="n">
        <v>94.919134</v>
      </c>
      <c r="J121" t="n">
        <v>94.919134</v>
      </c>
      <c r="K121" t="n">
        <v>90.173177</v>
      </c>
      <c r="L121" t="n">
        <v>135.651174</v>
      </c>
      <c r="M121" t="n">
        <v>135.651174</v>
      </c>
      <c r="N121" t="n">
        <v>135.651174</v>
      </c>
      <c r="O121" t="n">
        <v>112.097094</v>
      </c>
      <c r="P121" t="n">
        <v>63.65447</v>
      </c>
      <c r="Q121" t="n">
        <v>135.651174</v>
      </c>
      <c r="R121" t="n">
        <v>135.651174</v>
      </c>
      <c r="S121" t="n">
        <v>112.097094</v>
      </c>
      <c r="T121" t="n">
        <v>112.118405</v>
      </c>
      <c r="U121" t="n">
        <v>63.65447</v>
      </c>
      <c r="V121" t="n">
        <v>-691.708697</v>
      </c>
      <c r="W121" t="n">
        <v>122.926325</v>
      </c>
      <c r="X121" t="n">
        <v>140.897505</v>
      </c>
      <c r="Y121" t="n">
        <v>54.73445</v>
      </c>
      <c r="Z121" t="n">
        <v>122.753568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1" t="inlineStr">
        <is>
          <t>Sélaciens L prof | Sélaciens M prof</t>
        </is>
      </c>
      <c r="E122" t="n">
        <v>163.765772</v>
      </c>
      <c r="F122" t="n">
        <v>2943.265798</v>
      </c>
      <c r="G122" t="n">
        <v>2772.19544</v>
      </c>
      <c r="H122" t="n">
        <v>30340.406421</v>
      </c>
      <c r="I122" t="n">
        <v>106443.47238</v>
      </c>
      <c r="J122" t="n">
        <v>110085.487319</v>
      </c>
      <c r="K122" t="n">
        <v>55042.74366</v>
      </c>
      <c r="L122" t="n">
        <v>519045.522015</v>
      </c>
      <c r="M122" t="n">
        <v>519045.522015</v>
      </c>
      <c r="N122" t="n">
        <v>519045.522015</v>
      </c>
      <c r="O122" t="n">
        <v>43711.326429</v>
      </c>
      <c r="P122" t="n">
        <v>11190.60535</v>
      </c>
      <c r="Q122" t="n">
        <v>519045.522015</v>
      </c>
      <c r="R122" t="n">
        <v>-1134636.932488</v>
      </c>
      <c r="S122" t="n">
        <v>43711.326429</v>
      </c>
      <c r="T122" t="n">
        <v>43730.559477</v>
      </c>
      <c r="U122" t="n">
        <v>11190.60535</v>
      </c>
      <c r="V122" t="n">
        <v>-815704.522352</v>
      </c>
      <c r="W122" t="n">
        <v>49790.245909</v>
      </c>
      <c r="X122" t="n">
        <v>628102.100763</v>
      </c>
      <c r="Y122" t="n">
        <v>1484.415879</v>
      </c>
      <c r="Z122" t="n">
        <v>10771.970491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1" t="inlineStr">
        <is>
          <t>Thons majeurs</t>
        </is>
      </c>
      <c r="E123" t="n">
        <v>163.765772</v>
      </c>
      <c r="F123" t="n">
        <v>2736.422785</v>
      </c>
      <c r="G123" t="n">
        <v>2578.791074</v>
      </c>
      <c r="H123" t="n">
        <v>17894.357856</v>
      </c>
      <c r="I123" t="n">
        <v>8524.661732</v>
      </c>
      <c r="J123" t="n">
        <v>8877.094804</v>
      </c>
      <c r="K123" t="n">
        <v>4438.547402</v>
      </c>
      <c r="L123" t="n">
        <v>13559.45898</v>
      </c>
      <c r="M123" t="n">
        <v>13559.45898</v>
      </c>
      <c r="N123" t="n">
        <v>13559.45898</v>
      </c>
      <c r="O123" t="n">
        <v>3620.876362</v>
      </c>
      <c r="P123" t="n">
        <v>1183.597755</v>
      </c>
      <c r="Q123" t="n">
        <v>13559.45898</v>
      </c>
      <c r="R123" t="n">
        <v>-35797.700389</v>
      </c>
      <c r="S123" t="n">
        <v>3620.876362</v>
      </c>
      <c r="T123" t="n">
        <v>3622.234339</v>
      </c>
      <c r="U123" t="n">
        <v>1183.597755</v>
      </c>
      <c r="V123" t="n">
        <v>-69439.82694100001</v>
      </c>
      <c r="W123" t="n">
        <v>4014.207129</v>
      </c>
      <c r="X123" t="n">
        <v>14860.336328</v>
      </c>
      <c r="Y123" t="n">
        <v>1388.786767</v>
      </c>
      <c r="Z123" t="n">
        <v>6982.262246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1" t="inlineStr">
        <is>
          <t>Dem L pred</t>
        </is>
      </c>
      <c r="E124" t="n">
        <v>163.765772</v>
      </c>
      <c r="F124" t="n">
        <v>702.92427</v>
      </c>
      <c r="G124" t="n">
        <v>669.216325</v>
      </c>
      <c r="H124" t="n">
        <v>8905.495621</v>
      </c>
      <c r="I124" t="n">
        <v>6777.626749</v>
      </c>
      <c r="J124" t="n">
        <v>6838.543559</v>
      </c>
      <c r="K124" t="n">
        <v>5761.94028</v>
      </c>
      <c r="L124" t="n">
        <v>11046.542562</v>
      </c>
      <c r="M124" t="n">
        <v>11046.542562</v>
      </c>
      <c r="N124" t="n">
        <v>11046.542562</v>
      </c>
      <c r="O124" t="n">
        <v>5782.706959</v>
      </c>
      <c r="P124" t="n">
        <v>2043.80318</v>
      </c>
      <c r="Q124" t="n">
        <v>11046.542562</v>
      </c>
      <c r="R124" t="n">
        <v>11049.934606</v>
      </c>
      <c r="S124" t="n">
        <v>5782.706959</v>
      </c>
      <c r="T124" t="n">
        <v>5785.88935</v>
      </c>
      <c r="U124" t="n">
        <v>2043.80318</v>
      </c>
      <c r="V124" t="n">
        <v>-21771.784771</v>
      </c>
      <c r="W124" t="n">
        <v>6494.006214</v>
      </c>
      <c r="X124" t="n">
        <v>12063.058581</v>
      </c>
      <c r="Y124" t="n">
        <v>400.815207</v>
      </c>
      <c r="Z124" t="n">
        <v>3457.571618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1" t="inlineStr">
        <is>
          <t>Sélaciens M prof</t>
        </is>
      </c>
      <c r="E125" t="n">
        <v>163.765772</v>
      </c>
      <c r="F125" t="n">
        <v>2768.40081</v>
      </c>
      <c r="G125" t="n">
        <v>2608.699784</v>
      </c>
      <c r="H125" t="n">
        <v>15804.802398</v>
      </c>
      <c r="I125" t="n">
        <v>29649.259219</v>
      </c>
      <c r="J125" t="n">
        <v>30156.732119</v>
      </c>
      <c r="K125" t="n">
        <v>15078.36606</v>
      </c>
      <c r="L125" t="n">
        <v>43428.986164</v>
      </c>
      <c r="M125" t="n">
        <v>43428.986164</v>
      </c>
      <c r="N125" t="n">
        <v>43428.986164</v>
      </c>
      <c r="O125" t="n">
        <v>11692.022484</v>
      </c>
      <c r="P125" t="n">
        <v>4034.874429</v>
      </c>
      <c r="Q125" t="n">
        <v>43428.986164</v>
      </c>
      <c r="R125" t="n">
        <v>43435.067863</v>
      </c>
      <c r="S125" t="n">
        <v>11692.022484</v>
      </c>
      <c r="T125" t="n">
        <v>11696.249172</v>
      </c>
      <c r="U125" t="n">
        <v>4034.874429</v>
      </c>
      <c r="V125" t="n">
        <v>-41513.751621</v>
      </c>
      <c r="W125" t="n">
        <v>13278.704635</v>
      </c>
      <c r="X125" t="n">
        <v>47003.341511</v>
      </c>
      <c r="Y125" t="n">
        <v>1403.618052</v>
      </c>
      <c r="Z125" t="n">
        <v>6258.794187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1" t="inlineStr">
        <is>
          <t>Dem L inv</t>
        </is>
      </c>
      <c r="E126" t="n">
        <v>163.765772</v>
      </c>
      <c r="F126" t="n">
        <v>128.142544</v>
      </c>
      <c r="G126" t="n">
        <v>123.564267</v>
      </c>
      <c r="H126" t="n">
        <v>594.540571</v>
      </c>
      <c r="I126" t="n">
        <v>364.900286</v>
      </c>
      <c r="J126" t="n">
        <v>364.900286</v>
      </c>
      <c r="K126" t="n">
        <v>346.655272</v>
      </c>
      <c r="L126" t="n">
        <v>481.097618</v>
      </c>
      <c r="M126" t="n">
        <v>481.097618</v>
      </c>
      <c r="N126" t="n">
        <v>481.097618</v>
      </c>
      <c r="O126" t="n">
        <v>394.134001</v>
      </c>
      <c r="P126" t="n">
        <v>202.522778</v>
      </c>
      <c r="Q126" t="n">
        <v>481.097618</v>
      </c>
      <c r="R126" t="n">
        <v>481.097618</v>
      </c>
      <c r="S126" t="n">
        <v>394.134001</v>
      </c>
      <c r="T126" t="n">
        <v>394.210214</v>
      </c>
      <c r="U126" t="n">
        <v>202.522778</v>
      </c>
      <c r="V126" t="n">
        <v>-2227.375206</v>
      </c>
      <c r="W126" t="n">
        <v>437.21542</v>
      </c>
      <c r="X126" t="n">
        <v>511.290128</v>
      </c>
      <c r="Y126" t="n">
        <v>84.54261099999999</v>
      </c>
      <c r="Z126" t="n">
        <v>318.940827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1" t="inlineStr">
        <is>
          <t>Thons majeurs</t>
        </is>
      </c>
      <c r="E127" t="n">
        <v>163.765772</v>
      </c>
      <c r="F127" t="n">
        <v>2736.422785</v>
      </c>
      <c r="G127" t="n">
        <v>2578.791074</v>
      </c>
      <c r="H127" t="n">
        <v>17894.357856</v>
      </c>
      <c r="I127" t="n">
        <v>8524.661732</v>
      </c>
      <c r="J127" t="n">
        <v>8877.094804</v>
      </c>
      <c r="K127" t="n">
        <v>4438.547402</v>
      </c>
      <c r="L127" t="n">
        <v>13559.45898</v>
      </c>
      <c r="M127" t="n">
        <v>13559.45898</v>
      </c>
      <c r="N127" t="n">
        <v>13559.45898</v>
      </c>
      <c r="O127" t="n">
        <v>3620.876362</v>
      </c>
      <c r="P127" t="n">
        <v>1183.597755</v>
      </c>
      <c r="Q127" t="n">
        <v>13559.45898</v>
      </c>
      <c r="R127" t="n">
        <v>-35797.700389</v>
      </c>
      <c r="S127" t="n">
        <v>3620.876362</v>
      </c>
      <c r="T127" t="n">
        <v>3622.234339</v>
      </c>
      <c r="U127" t="n">
        <v>1183.597755</v>
      </c>
      <c r="V127" t="n">
        <v>-69439.82694100001</v>
      </c>
      <c r="W127" t="n">
        <v>4014.207129</v>
      </c>
      <c r="X127" t="n">
        <v>14860.336328</v>
      </c>
      <c r="Y127" t="n">
        <v>1388.786767</v>
      </c>
      <c r="Z127" t="n">
        <v>6982.262246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1" t="inlineStr">
        <is>
          <t>Dem M pred</t>
        </is>
      </c>
      <c r="E128" t="n">
        <v>163.765772</v>
      </c>
      <c r="F128" t="n">
        <v>865.196085</v>
      </c>
      <c r="G128" t="n">
        <v>822.424992</v>
      </c>
      <c r="H128" t="n">
        <v>5615.493407</v>
      </c>
      <c r="I128" t="n">
        <v>2546.011711</v>
      </c>
      <c r="J128" t="n">
        <v>2549.035034</v>
      </c>
      <c r="K128" t="n">
        <v>2421.583282</v>
      </c>
      <c r="L128" t="n">
        <v>3524.187941</v>
      </c>
      <c r="M128" t="n">
        <v>3524.187941</v>
      </c>
      <c r="N128" t="n">
        <v>3524.187941</v>
      </c>
      <c r="O128" t="n">
        <v>2342.135982</v>
      </c>
      <c r="P128" t="n">
        <v>967.00559</v>
      </c>
      <c r="Q128" t="n">
        <v>3524.187941</v>
      </c>
      <c r="R128" t="n">
        <v>3525.764533</v>
      </c>
      <c r="S128" t="n">
        <v>2342.135982</v>
      </c>
      <c r="T128" t="n">
        <v>2343.769424</v>
      </c>
      <c r="U128" t="n">
        <v>967.00559</v>
      </c>
      <c r="V128" t="n">
        <v>-10416.992768</v>
      </c>
      <c r="W128" t="n">
        <v>2575.217274</v>
      </c>
      <c r="X128" t="n">
        <v>3752.05936</v>
      </c>
      <c r="Y128" t="n">
        <v>484.640876</v>
      </c>
      <c r="Z128" t="n">
        <v>2412.077537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1" t="inlineStr">
        <is>
          <t>Pel S inv</t>
        </is>
      </c>
      <c r="E129" t="n">
        <v>163.765772</v>
      </c>
      <c r="F129" t="n">
        <v>157.970864</v>
      </c>
      <c r="G129" t="n">
        <v>152.088101</v>
      </c>
      <c r="H129" t="n">
        <v>577.271661</v>
      </c>
      <c r="I129" t="n">
        <v>239.810236</v>
      </c>
      <c r="J129" t="n">
        <v>250.631699</v>
      </c>
      <c r="K129" t="n">
        <v>247.597025</v>
      </c>
      <c r="L129" t="n">
        <v>317.630863</v>
      </c>
      <c r="M129" t="n">
        <v>317.630863</v>
      </c>
      <c r="N129" t="n">
        <v>317.630863</v>
      </c>
      <c r="O129" t="n">
        <v>109.892321</v>
      </c>
      <c r="P129" t="n">
        <v>46.754763</v>
      </c>
      <c r="Q129" t="n">
        <v>317.630863</v>
      </c>
      <c r="R129" t="n">
        <v>317.632445</v>
      </c>
      <c r="S129" t="n">
        <v>109.892321</v>
      </c>
      <c r="T129" t="n">
        <v>109.904682</v>
      </c>
      <c r="U129" t="n">
        <v>46.754763</v>
      </c>
      <c r="V129" t="n">
        <v>-281.147296</v>
      </c>
      <c r="W129" t="n">
        <v>116.066511</v>
      </c>
      <c r="X129" t="n">
        <v>339.622882</v>
      </c>
      <c r="Y129" t="n">
        <v>102.369618</v>
      </c>
      <c r="Z129" t="n">
        <v>312.790013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1" t="inlineStr">
        <is>
          <t>Pel L pred</t>
        </is>
      </c>
      <c r="E130" t="n">
        <v>163.765772</v>
      </c>
      <c r="F130" t="n">
        <v>1087.886765</v>
      </c>
      <c r="G130" t="n">
        <v>1032.332906</v>
      </c>
      <c r="H130" t="n">
        <v>5007.06664</v>
      </c>
      <c r="I130" t="n">
        <v>3058.871294</v>
      </c>
      <c r="J130" t="n">
        <v>3141.852848</v>
      </c>
      <c r="K130" t="n">
        <v>2984.760205</v>
      </c>
      <c r="L130" t="n">
        <v>5671.231047</v>
      </c>
      <c r="M130" t="n">
        <v>5671.231047</v>
      </c>
      <c r="N130" t="n">
        <v>5671.231047</v>
      </c>
      <c r="O130" t="n">
        <v>2818.57099</v>
      </c>
      <c r="P130" t="n">
        <v>998.224983</v>
      </c>
      <c r="Q130" t="n">
        <v>5671.231047</v>
      </c>
      <c r="R130" t="n">
        <v>-68817.83068299999</v>
      </c>
      <c r="S130" t="n">
        <v>2818.57099</v>
      </c>
      <c r="T130" t="n">
        <v>2819.301833</v>
      </c>
      <c r="U130" t="n">
        <v>998.224983</v>
      </c>
      <c r="V130" t="n">
        <v>-142557.851524</v>
      </c>
      <c r="W130" t="n">
        <v>3155.548468</v>
      </c>
      <c r="X130" t="n">
        <v>6096.563992</v>
      </c>
      <c r="Y130" t="n">
        <v>597.537591</v>
      </c>
      <c r="Z130" t="n">
        <v>2190.300014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1" t="inlineStr">
        <is>
          <t>Côtier M inv | Côtier S inv</t>
        </is>
      </c>
      <c r="E131" t="n">
        <v>163.765772</v>
      </c>
      <c r="F131" t="n">
        <v>122.16173</v>
      </c>
      <c r="G131" t="n">
        <v>117.777925</v>
      </c>
      <c r="H131" t="n">
        <v>466.580985</v>
      </c>
      <c r="I131" t="n">
        <v>277.070095</v>
      </c>
      <c r="J131" t="n">
        <v>277.39181</v>
      </c>
      <c r="K131" t="n">
        <v>273.537141</v>
      </c>
      <c r="L131" t="n">
        <v>360.030482</v>
      </c>
      <c r="M131" t="n">
        <v>360.030482</v>
      </c>
      <c r="N131" t="n">
        <v>360.030482</v>
      </c>
      <c r="O131" t="n">
        <v>302.229829</v>
      </c>
      <c r="P131" t="n">
        <v>160.623253</v>
      </c>
      <c r="Q131" t="n">
        <v>360.030482</v>
      </c>
      <c r="R131" t="n">
        <v>360.531699</v>
      </c>
      <c r="S131" t="n">
        <v>302.229829</v>
      </c>
      <c r="T131" t="n">
        <v>302.689692</v>
      </c>
      <c r="U131" t="n">
        <v>160.623253</v>
      </c>
      <c r="V131" t="n">
        <v>-1746.686357</v>
      </c>
      <c r="W131" t="n">
        <v>329.808132</v>
      </c>
      <c r="X131" t="n">
        <v>377.645995</v>
      </c>
      <c r="Y131" t="n">
        <v>80.482601</v>
      </c>
      <c r="Z131" t="n">
        <v>254.978931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1" t="inlineStr">
        <is>
          <t>Pel S inv</t>
        </is>
      </c>
      <c r="E132" t="n">
        <v>163.765772</v>
      </c>
      <c r="F132" t="n">
        <v>157.970864</v>
      </c>
      <c r="G132" t="n">
        <v>152.088101</v>
      </c>
      <c r="H132" t="n">
        <v>577.271661</v>
      </c>
      <c r="I132" t="n">
        <v>239.810236</v>
      </c>
      <c r="J132" t="n">
        <v>250.631699</v>
      </c>
      <c r="K132" t="n">
        <v>247.597025</v>
      </c>
      <c r="L132" t="n">
        <v>317.630863</v>
      </c>
      <c r="M132" t="n">
        <v>317.630863</v>
      </c>
      <c r="N132" t="n">
        <v>317.630863</v>
      </c>
      <c r="O132" t="n">
        <v>109.892321</v>
      </c>
      <c r="P132" t="n">
        <v>46.754763</v>
      </c>
      <c r="Q132" t="n">
        <v>317.630863</v>
      </c>
      <c r="R132" t="n">
        <v>317.632445</v>
      </c>
      <c r="S132" t="n">
        <v>109.892321</v>
      </c>
      <c r="T132" t="n">
        <v>109.904682</v>
      </c>
      <c r="U132" t="n">
        <v>46.754763</v>
      </c>
      <c r="V132" t="n">
        <v>-281.147296</v>
      </c>
      <c r="W132" t="n">
        <v>116.066511</v>
      </c>
      <c r="X132" t="n">
        <v>339.622882</v>
      </c>
      <c r="Y132" t="n">
        <v>102.369618</v>
      </c>
      <c r="Z132" t="n">
        <v>312.790013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1" t="inlineStr">
        <is>
          <t>Thons mineurs</t>
        </is>
      </c>
      <c r="E133" t="n">
        <v>163.765772</v>
      </c>
      <c r="F133" t="n">
        <v>1395.634937</v>
      </c>
      <c r="G133" t="n">
        <v>1321.894731</v>
      </c>
      <c r="H133" t="n">
        <v>9241.41209</v>
      </c>
      <c r="I133" t="n">
        <v>2965.086479</v>
      </c>
      <c r="J133" t="n">
        <v>2997.818641</v>
      </c>
      <c r="K133" t="n">
        <v>1727.313722</v>
      </c>
      <c r="L133" t="n">
        <v>4278.69855</v>
      </c>
      <c r="M133" t="n">
        <v>4278.69855</v>
      </c>
      <c r="N133" t="n">
        <v>4278.69855</v>
      </c>
      <c r="O133" t="n">
        <v>1413.60711</v>
      </c>
      <c r="P133" t="n">
        <v>516.926347</v>
      </c>
      <c r="Q133" t="n">
        <v>4278.69855</v>
      </c>
      <c r="R133" t="n">
        <v>4279.691205</v>
      </c>
      <c r="S133" t="n">
        <v>1413.60711</v>
      </c>
      <c r="T133" t="n">
        <v>1414.29973</v>
      </c>
      <c r="U133" t="n">
        <v>516.926347</v>
      </c>
      <c r="V133" t="n">
        <v>-5162.630056</v>
      </c>
      <c r="W133" t="n">
        <v>1554.151413</v>
      </c>
      <c r="X133" t="n">
        <v>4550.096146</v>
      </c>
      <c r="Y133" t="n">
        <v>750.381718</v>
      </c>
      <c r="Z133" t="n">
        <v>3860.227378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1" t="inlineStr">
        <is>
          <t>Dem M pred</t>
        </is>
      </c>
      <c r="E134" t="n">
        <v>163.765772</v>
      </c>
      <c r="F134" t="n">
        <v>865.196085</v>
      </c>
      <c r="G134" t="n">
        <v>822.424992</v>
      </c>
      <c r="H134" t="n">
        <v>5615.493407</v>
      </c>
      <c r="I134" t="n">
        <v>2546.011711</v>
      </c>
      <c r="J134" t="n">
        <v>2549.035034</v>
      </c>
      <c r="K134" t="n">
        <v>2421.583282</v>
      </c>
      <c r="L134" t="n">
        <v>3524.187941</v>
      </c>
      <c r="M134" t="n">
        <v>3524.187941</v>
      </c>
      <c r="N134" t="n">
        <v>3524.187941</v>
      </c>
      <c r="O134" t="n">
        <v>2342.135982</v>
      </c>
      <c r="P134" t="n">
        <v>967.00559</v>
      </c>
      <c r="Q134" t="n">
        <v>3524.187941</v>
      </c>
      <c r="R134" t="n">
        <v>3525.764533</v>
      </c>
      <c r="S134" t="n">
        <v>2342.135982</v>
      </c>
      <c r="T134" t="n">
        <v>2343.769424</v>
      </c>
      <c r="U134" t="n">
        <v>967.00559</v>
      </c>
      <c r="V134" t="n">
        <v>-10416.992768</v>
      </c>
      <c r="W134" t="n">
        <v>2575.217274</v>
      </c>
      <c r="X134" t="n">
        <v>3752.05936</v>
      </c>
      <c r="Y134" t="n">
        <v>484.640876</v>
      </c>
      <c r="Z134" t="n">
        <v>2412.077537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1" t="inlineStr">
        <is>
          <t>Sélaciens L prof</t>
        </is>
      </c>
      <c r="E135" t="n">
        <v>163.765772</v>
      </c>
      <c r="F135" t="n">
        <v>2984.356694</v>
      </c>
      <c r="G135" t="n">
        <v>2810.614697</v>
      </c>
      <c r="H135" t="n">
        <v>33756.075827</v>
      </c>
      <c r="I135" t="n">
        <v>124489.068835</v>
      </c>
      <c r="J135" t="n">
        <v>128867.658555</v>
      </c>
      <c r="K135" t="n">
        <v>64433.829278</v>
      </c>
      <c r="L135" t="n">
        <v>630808.944285</v>
      </c>
      <c r="M135" t="n">
        <v>630808.944285</v>
      </c>
      <c r="N135" t="n">
        <v>630808.944285</v>
      </c>
      <c r="O135" t="n">
        <v>51235.427712</v>
      </c>
      <c r="P135" t="n">
        <v>12872.10487</v>
      </c>
      <c r="Q135" t="n">
        <v>630808.944285</v>
      </c>
      <c r="R135" t="n">
        <v>-1411467.842509</v>
      </c>
      <c r="S135" t="n">
        <v>51235.427712</v>
      </c>
      <c r="T135" t="n">
        <v>51258.187051</v>
      </c>
      <c r="U135" t="n">
        <v>12872.10487</v>
      </c>
      <c r="V135" t="n">
        <v>-997628.83218</v>
      </c>
      <c r="W135" t="n">
        <v>58369.961914</v>
      </c>
      <c r="X135" t="n">
        <v>764652.412024</v>
      </c>
      <c r="Y135" t="n">
        <v>1503.40227</v>
      </c>
      <c r="Z135" t="n">
        <v>11832.505589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1" t="inlineStr">
        <is>
          <t>Céphalopodes</t>
        </is>
      </c>
      <c r="E136" t="n">
        <v>163.765772</v>
      </c>
      <c r="F136" t="n">
        <v>822.926928</v>
      </c>
      <c r="G136" t="n">
        <v>782.5392000000001</v>
      </c>
      <c r="H136" t="n">
        <v>2911.87363</v>
      </c>
      <c r="I136" t="n">
        <v>776.133746</v>
      </c>
      <c r="J136" t="n">
        <v>776.133746</v>
      </c>
      <c r="K136" t="n">
        <v>737.327059</v>
      </c>
      <c r="L136" t="n">
        <v>1169.062418</v>
      </c>
      <c r="M136" t="n">
        <v>1169.062418</v>
      </c>
      <c r="N136" t="n">
        <v>1169.062418</v>
      </c>
      <c r="O136" t="n">
        <v>633.532727</v>
      </c>
      <c r="P136" t="n">
        <v>262.848004</v>
      </c>
      <c r="Q136" t="n">
        <v>1169.062418</v>
      </c>
      <c r="R136" t="n">
        <v>1169.12609</v>
      </c>
      <c r="S136" t="n">
        <v>633.532727</v>
      </c>
      <c r="T136" t="n">
        <v>633.690429</v>
      </c>
      <c r="U136" t="n">
        <v>262.848004</v>
      </c>
      <c r="V136" t="n">
        <v>-2693.977387</v>
      </c>
      <c r="W136" t="n">
        <v>696.074883</v>
      </c>
      <c r="X136" t="n">
        <v>1245.601022</v>
      </c>
      <c r="Y136" t="n">
        <v>462.946606</v>
      </c>
      <c r="Z136" t="n">
        <v>1388.475781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1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1" t="inlineStr">
        <is>
          <t>Sélaciens L côtiers | Sélaciens L prof</t>
        </is>
      </c>
      <c r="E138" t="n">
        <v>163.765772</v>
      </c>
      <c r="F138" t="n">
        <v>2781.823109</v>
      </c>
      <c r="G138" t="n">
        <v>2620.729687</v>
      </c>
      <c r="H138" t="n">
        <v>32914.181757</v>
      </c>
      <c r="I138" t="n">
        <v>117377.641309</v>
      </c>
      <c r="J138" t="n">
        <v>120596.102473</v>
      </c>
      <c r="K138" t="n">
        <v>62653.25609</v>
      </c>
      <c r="L138" t="n">
        <v>577178.197071</v>
      </c>
      <c r="M138" t="n">
        <v>577178.197071</v>
      </c>
      <c r="N138" t="n">
        <v>577178.197071</v>
      </c>
      <c r="O138" t="n">
        <v>48624.329861</v>
      </c>
      <c r="P138" t="n">
        <v>12260.175087</v>
      </c>
      <c r="Q138" t="n">
        <v>577178.197071</v>
      </c>
      <c r="R138" t="n">
        <v>-1291627.704185</v>
      </c>
      <c r="S138" t="n">
        <v>48624.329861</v>
      </c>
      <c r="T138" t="n">
        <v>48648.921576</v>
      </c>
      <c r="U138" t="n">
        <v>12260.175087</v>
      </c>
      <c r="V138" t="n">
        <v>-968882.512106</v>
      </c>
      <c r="W138" t="n">
        <v>55338.258575</v>
      </c>
      <c r="X138" t="n">
        <v>698320.1942199999</v>
      </c>
      <c r="Y138" t="n">
        <v>1406.818237</v>
      </c>
      <c r="Z138" t="n">
        <v>11543.641235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1" t="inlineStr">
        <is>
          <t>Côtier pel L pred</t>
        </is>
      </c>
      <c r="E139" t="n">
        <v>163.765772</v>
      </c>
      <c r="F139" t="n">
        <v>1052.557933</v>
      </c>
      <c r="G139" t="n">
        <v>999.055395</v>
      </c>
      <c r="H139" t="n">
        <v>11777.423523</v>
      </c>
      <c r="I139" t="n">
        <v>6532.776468</v>
      </c>
      <c r="J139" t="n">
        <v>7781.630289</v>
      </c>
      <c r="K139" t="n">
        <v>7457.950731</v>
      </c>
      <c r="L139" t="n">
        <v>14096.896099</v>
      </c>
      <c r="M139" t="n">
        <v>14096.896099</v>
      </c>
      <c r="N139" t="n">
        <v>14096.896099</v>
      </c>
      <c r="O139" t="n">
        <v>6109.578522</v>
      </c>
      <c r="P139" t="n">
        <v>1921.956368</v>
      </c>
      <c r="Q139" t="n">
        <v>14096.896099</v>
      </c>
      <c r="R139" t="n">
        <v>-57719.913078</v>
      </c>
      <c r="S139" t="n">
        <v>6109.578522</v>
      </c>
      <c r="T139" t="n">
        <v>6113.693041</v>
      </c>
      <c r="U139" t="n">
        <v>1921.956368</v>
      </c>
      <c r="V139" t="n">
        <v>-289813.58612</v>
      </c>
      <c r="W139" t="n">
        <v>6783.158943</v>
      </c>
      <c r="X139" t="n">
        <v>15274.306707</v>
      </c>
      <c r="Y139" t="n">
        <v>579.770625</v>
      </c>
      <c r="Z139" t="n">
        <v>4535.549158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1" t="inlineStr">
        <is>
          <t>Bars</t>
        </is>
      </c>
      <c r="E140" t="n">
        <v>163.765772</v>
      </c>
      <c r="F140" t="n">
        <v>765.126208</v>
      </c>
      <c r="G140" t="n">
        <v>727.972559</v>
      </c>
      <c r="H140" t="n">
        <v>3298.268004</v>
      </c>
      <c r="I140" t="n">
        <v>1392.366618</v>
      </c>
      <c r="J140" t="n">
        <v>1698.422161</v>
      </c>
      <c r="K140" t="n">
        <v>1593.296173</v>
      </c>
      <c r="L140" t="n">
        <v>2935.678026</v>
      </c>
      <c r="M140" t="n">
        <v>2935.678026</v>
      </c>
      <c r="N140" t="n">
        <v>2935.678026</v>
      </c>
      <c r="O140" t="n">
        <v>1750.56031</v>
      </c>
      <c r="P140" t="n">
        <v>663.608554</v>
      </c>
      <c r="Q140" t="n">
        <v>2935.678026</v>
      </c>
      <c r="R140" t="n">
        <v>-12167.664034</v>
      </c>
      <c r="S140" t="n">
        <v>1750.56031</v>
      </c>
      <c r="T140" t="n">
        <v>1751.311377</v>
      </c>
      <c r="U140" t="n">
        <v>663.608554</v>
      </c>
      <c r="V140" t="n">
        <v>-129143.724965</v>
      </c>
      <c r="W140" t="n">
        <v>1958.685751</v>
      </c>
      <c r="X140" t="n">
        <v>3084.917054</v>
      </c>
      <c r="Y140" t="n">
        <v>433.124819</v>
      </c>
      <c r="Z140" t="n">
        <v>1494.31502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1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1" t="inlineStr">
        <is>
          <t>Crustacés</t>
        </is>
      </c>
      <c r="E142" t="n">
        <v>163.765772</v>
      </c>
      <c r="F142" t="n">
        <v>79.64922</v>
      </c>
      <c r="G142" t="n">
        <v>77.077782</v>
      </c>
      <c r="H142" t="n">
        <v>199.420396</v>
      </c>
      <c r="I142" t="n">
        <v>94.919134</v>
      </c>
      <c r="J142" t="n">
        <v>94.919134</v>
      </c>
      <c r="K142" t="n">
        <v>90.173177</v>
      </c>
      <c r="L142" t="n">
        <v>135.651174</v>
      </c>
      <c r="M142" t="n">
        <v>135.651174</v>
      </c>
      <c r="N142" t="n">
        <v>135.651174</v>
      </c>
      <c r="O142" t="n">
        <v>112.097094</v>
      </c>
      <c r="P142" t="n">
        <v>63.65447</v>
      </c>
      <c r="Q142" t="n">
        <v>135.651174</v>
      </c>
      <c r="R142" t="n">
        <v>135.651174</v>
      </c>
      <c r="S142" t="n">
        <v>112.097094</v>
      </c>
      <c r="T142" t="n">
        <v>112.118405</v>
      </c>
      <c r="U142" t="n">
        <v>63.65447</v>
      </c>
      <c r="V142" t="n">
        <v>-691.708697</v>
      </c>
      <c r="W142" t="n">
        <v>122.926325</v>
      </c>
      <c r="X142" t="n">
        <v>140.897505</v>
      </c>
      <c r="Y142" t="n">
        <v>54.73445</v>
      </c>
      <c r="Z142" t="n">
        <v>122.753568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1" t="inlineStr">
        <is>
          <t>Crustacés</t>
        </is>
      </c>
      <c r="E143" t="n">
        <v>163.765772</v>
      </c>
      <c r="F143" t="n">
        <v>79.64922</v>
      </c>
      <c r="G143" t="n">
        <v>77.077782</v>
      </c>
      <c r="H143" t="n">
        <v>199.420396</v>
      </c>
      <c r="I143" t="n">
        <v>94.919134</v>
      </c>
      <c r="J143" t="n">
        <v>94.919134</v>
      </c>
      <c r="K143" t="n">
        <v>90.173177</v>
      </c>
      <c r="L143" t="n">
        <v>135.651174</v>
      </c>
      <c r="M143" t="n">
        <v>135.651174</v>
      </c>
      <c r="N143" t="n">
        <v>135.651174</v>
      </c>
      <c r="O143" t="n">
        <v>112.097094</v>
      </c>
      <c r="P143" t="n">
        <v>63.65447</v>
      </c>
      <c r="Q143" t="n">
        <v>135.651174</v>
      </c>
      <c r="R143" t="n">
        <v>135.651174</v>
      </c>
      <c r="S143" t="n">
        <v>112.097094</v>
      </c>
      <c r="T143" t="n">
        <v>112.118405</v>
      </c>
      <c r="U143" t="n">
        <v>63.65447</v>
      </c>
      <c r="V143" t="n">
        <v>-691.708697</v>
      </c>
      <c r="W143" t="n">
        <v>122.926325</v>
      </c>
      <c r="X143" t="n">
        <v>140.897505</v>
      </c>
      <c r="Y143" t="n">
        <v>54.73445</v>
      </c>
      <c r="Z143" t="n">
        <v>122.753568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1" t="inlineStr">
        <is>
          <t>Benthos</t>
        </is>
      </c>
      <c r="E144" t="n">
        <v>163.765772</v>
      </c>
      <c r="F144" t="n">
        <v>14.225293</v>
      </c>
      <c r="G144" t="n">
        <v>13.944959</v>
      </c>
      <c r="H144" t="n">
        <v>22.648952</v>
      </c>
      <c r="I144" t="n">
        <v>39.053581</v>
      </c>
      <c r="J144" t="n">
        <v>39.053581</v>
      </c>
      <c r="K144" t="n">
        <v>28.888889</v>
      </c>
      <c r="L144" t="n">
        <v>46.572283</v>
      </c>
      <c r="M144" t="n">
        <v>46.572283</v>
      </c>
      <c r="N144" t="n">
        <v>46.572283</v>
      </c>
      <c r="O144" t="n">
        <v>43.496371</v>
      </c>
      <c r="P144" t="n">
        <v>33.04828</v>
      </c>
      <c r="Q144" t="n">
        <v>46.572283</v>
      </c>
      <c r="R144" t="n">
        <v>46.572283</v>
      </c>
      <c r="S144" t="n">
        <v>43.496371</v>
      </c>
      <c r="T144" t="n">
        <v>43.50535</v>
      </c>
      <c r="U144" t="n">
        <v>33.04828</v>
      </c>
      <c r="V144" t="n">
        <v>-381.521079</v>
      </c>
      <c r="W144" t="n">
        <v>46.817883</v>
      </c>
      <c r="X144" t="n">
        <v>48.197268</v>
      </c>
      <c r="Y144" t="n">
        <v>11.33053</v>
      </c>
      <c r="Z144" t="n">
        <v>16.922572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1" t="inlineStr">
        <is>
          <t>Côtier pel L pred</t>
        </is>
      </c>
      <c r="E145" t="n">
        <v>163.765772</v>
      </c>
      <c r="F145" t="n">
        <v>1052.557933</v>
      </c>
      <c r="G145" t="n">
        <v>999.055395</v>
      </c>
      <c r="H145" t="n">
        <v>11777.423523</v>
      </c>
      <c r="I145" t="n">
        <v>6532.776468</v>
      </c>
      <c r="J145" t="n">
        <v>7781.630289</v>
      </c>
      <c r="K145" t="n">
        <v>7457.950731</v>
      </c>
      <c r="L145" t="n">
        <v>14096.896099</v>
      </c>
      <c r="M145" t="n">
        <v>14096.896099</v>
      </c>
      <c r="N145" t="n">
        <v>14096.896099</v>
      </c>
      <c r="O145" t="n">
        <v>6109.578522</v>
      </c>
      <c r="P145" t="n">
        <v>1921.956368</v>
      </c>
      <c r="Q145" t="n">
        <v>14096.896099</v>
      </c>
      <c r="R145" t="n">
        <v>-57719.913078</v>
      </c>
      <c r="S145" t="n">
        <v>6109.578522</v>
      </c>
      <c r="T145" t="n">
        <v>6113.693041</v>
      </c>
      <c r="U145" t="n">
        <v>1921.956368</v>
      </c>
      <c r="V145" t="n">
        <v>-289813.58612</v>
      </c>
      <c r="W145" t="n">
        <v>6783.158943</v>
      </c>
      <c r="X145" t="n">
        <v>15274.306707</v>
      </c>
      <c r="Y145" t="n">
        <v>579.770625</v>
      </c>
      <c r="Z145" t="n">
        <v>4535.549158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1" t="inlineStr">
        <is>
          <t>Dem L pred</t>
        </is>
      </c>
      <c r="E146" t="n">
        <v>163.765772</v>
      </c>
      <c r="F146" t="n">
        <v>702.92427</v>
      </c>
      <c r="G146" t="n">
        <v>669.216325</v>
      </c>
      <c r="H146" t="n">
        <v>8905.495621</v>
      </c>
      <c r="I146" t="n">
        <v>6777.626749</v>
      </c>
      <c r="J146" t="n">
        <v>6838.543559</v>
      </c>
      <c r="K146" t="n">
        <v>5761.94028</v>
      </c>
      <c r="L146" t="n">
        <v>11046.542562</v>
      </c>
      <c r="M146" t="n">
        <v>11046.542562</v>
      </c>
      <c r="N146" t="n">
        <v>11046.542562</v>
      </c>
      <c r="O146" t="n">
        <v>5782.706959</v>
      </c>
      <c r="P146" t="n">
        <v>2043.80318</v>
      </c>
      <c r="Q146" t="n">
        <v>11046.542562</v>
      </c>
      <c r="R146" t="n">
        <v>11049.934606</v>
      </c>
      <c r="S146" t="n">
        <v>5782.706959</v>
      </c>
      <c r="T146" t="n">
        <v>5785.88935</v>
      </c>
      <c r="U146" t="n">
        <v>2043.80318</v>
      </c>
      <c r="V146" t="n">
        <v>-21771.784771</v>
      </c>
      <c r="W146" t="n">
        <v>6494.006214</v>
      </c>
      <c r="X146" t="n">
        <v>12063.058581</v>
      </c>
      <c r="Y146" t="n">
        <v>400.815207</v>
      </c>
      <c r="Z146" t="n">
        <v>3457.571618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1" t="inlineStr">
        <is>
          <t>Benthos</t>
        </is>
      </c>
      <c r="E147" t="n">
        <v>163.765772</v>
      </c>
      <c r="F147" t="n">
        <v>14.225293</v>
      </c>
      <c r="G147" t="n">
        <v>13.944959</v>
      </c>
      <c r="H147" t="n">
        <v>22.648952</v>
      </c>
      <c r="I147" t="n">
        <v>39.053581</v>
      </c>
      <c r="J147" t="n">
        <v>39.053581</v>
      </c>
      <c r="K147" t="n">
        <v>28.888889</v>
      </c>
      <c r="L147" t="n">
        <v>46.572283</v>
      </c>
      <c r="M147" t="n">
        <v>46.572283</v>
      </c>
      <c r="N147" t="n">
        <v>46.572283</v>
      </c>
      <c r="O147" t="n">
        <v>43.496371</v>
      </c>
      <c r="P147" t="n">
        <v>33.04828</v>
      </c>
      <c r="Q147" t="n">
        <v>46.572283</v>
      </c>
      <c r="R147" t="n">
        <v>46.572283</v>
      </c>
      <c r="S147" t="n">
        <v>43.496371</v>
      </c>
      <c r="T147" t="n">
        <v>43.50535</v>
      </c>
      <c r="U147" t="n">
        <v>33.04828</v>
      </c>
      <c r="V147" t="n">
        <v>-381.521079</v>
      </c>
      <c r="W147" t="n">
        <v>46.817883</v>
      </c>
      <c r="X147" t="n">
        <v>48.197268</v>
      </c>
      <c r="Y147" t="n">
        <v>11.33053</v>
      </c>
      <c r="Z147" t="n">
        <v>16.922572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1" t="inlineStr">
        <is>
          <t>Dem M inv | Mulets</t>
        </is>
      </c>
      <c r="E148" t="n">
        <v>163.765772</v>
      </c>
      <c r="F148" t="n">
        <v>161.365334</v>
      </c>
      <c r="G148" t="n">
        <v>155.277245</v>
      </c>
      <c r="H148" t="n">
        <v>481.497528</v>
      </c>
      <c r="I148" t="n">
        <v>660.489131</v>
      </c>
      <c r="J148" t="n">
        <v>660.489131</v>
      </c>
      <c r="K148" t="n">
        <v>627.4646739999999</v>
      </c>
      <c r="L148" t="n">
        <v>831.334602</v>
      </c>
      <c r="M148" t="n">
        <v>831.334602</v>
      </c>
      <c r="N148" t="n">
        <v>831.334602</v>
      </c>
      <c r="O148" t="n">
        <v>685.685987</v>
      </c>
      <c r="P148" t="n">
        <v>373.360833</v>
      </c>
      <c r="Q148" t="n">
        <v>831.334602</v>
      </c>
      <c r="R148" t="n">
        <v>831.334602</v>
      </c>
      <c r="S148" t="n">
        <v>685.685987</v>
      </c>
      <c r="T148" t="n">
        <v>685.818519</v>
      </c>
      <c r="U148" t="n">
        <v>373.360833</v>
      </c>
      <c r="V148" t="n">
        <v>-4104.606578</v>
      </c>
      <c r="W148" t="n">
        <v>751.201064</v>
      </c>
      <c r="X148" t="n">
        <v>882.8690350000001</v>
      </c>
      <c r="Y148" t="n">
        <v>103.979302</v>
      </c>
      <c r="Z148" t="n">
        <v>267.853862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1" t="inlineStr">
        <is>
          <t>Dem L pred</t>
        </is>
      </c>
      <c r="E149" t="n">
        <v>163.765772</v>
      </c>
      <c r="F149" t="n">
        <v>702.92427</v>
      </c>
      <c r="G149" t="n">
        <v>669.216325</v>
      </c>
      <c r="H149" t="n">
        <v>8905.495621</v>
      </c>
      <c r="I149" t="n">
        <v>6777.626749</v>
      </c>
      <c r="J149" t="n">
        <v>6838.543559</v>
      </c>
      <c r="K149" t="n">
        <v>5761.94028</v>
      </c>
      <c r="L149" t="n">
        <v>11046.542562</v>
      </c>
      <c r="M149" t="n">
        <v>11046.542562</v>
      </c>
      <c r="N149" t="n">
        <v>11046.542562</v>
      </c>
      <c r="O149" t="n">
        <v>5782.706959</v>
      </c>
      <c r="P149" t="n">
        <v>2043.80318</v>
      </c>
      <c r="Q149" t="n">
        <v>11046.542562</v>
      </c>
      <c r="R149" t="n">
        <v>11049.934606</v>
      </c>
      <c r="S149" t="n">
        <v>5782.706959</v>
      </c>
      <c r="T149" t="n">
        <v>5785.88935</v>
      </c>
      <c r="U149" t="n">
        <v>2043.80318</v>
      </c>
      <c r="V149" t="n">
        <v>-21771.784771</v>
      </c>
      <c r="W149" t="n">
        <v>6494.006214</v>
      </c>
      <c r="X149" t="n">
        <v>12063.058581</v>
      </c>
      <c r="Y149" t="n">
        <v>400.815207</v>
      </c>
      <c r="Z149" t="n">
        <v>3457.571618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1" t="inlineStr">
        <is>
          <t>Côtier M inv</t>
        </is>
      </c>
      <c r="E150" t="n">
        <v>163.765772</v>
      </c>
      <c r="F150" t="n">
        <v>170.837609</v>
      </c>
      <c r="G150" t="n">
        <v>164.379174</v>
      </c>
      <c r="H150" t="n">
        <v>573.174129</v>
      </c>
      <c r="I150" t="n">
        <v>332.812451</v>
      </c>
      <c r="J150" t="n">
        <v>332.812451</v>
      </c>
      <c r="K150" t="n">
        <v>331.190423</v>
      </c>
      <c r="L150" t="n">
        <v>425.732264</v>
      </c>
      <c r="M150" t="n">
        <v>425.732264</v>
      </c>
      <c r="N150" t="n">
        <v>425.732264</v>
      </c>
      <c r="O150" t="n">
        <v>368.426453</v>
      </c>
      <c r="P150" t="n">
        <v>198.243136</v>
      </c>
      <c r="Q150" t="n">
        <v>425.732264</v>
      </c>
      <c r="R150" t="n">
        <v>425.732264</v>
      </c>
      <c r="S150" t="n">
        <v>368.426453</v>
      </c>
      <c r="T150" t="n">
        <v>368.498294</v>
      </c>
      <c r="U150" t="n">
        <v>198.243136</v>
      </c>
      <c r="V150" t="n">
        <v>-2197.047861</v>
      </c>
      <c r="W150" t="n">
        <v>402.613215</v>
      </c>
      <c r="X150" t="n">
        <v>447.451967</v>
      </c>
      <c r="Y150" t="n">
        <v>109.967259</v>
      </c>
      <c r="Z150" t="n">
        <v>314.242463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1" t="inlineStr">
        <is>
          <t>Crustacés</t>
        </is>
      </c>
      <c r="E151" t="n">
        <v>163.765772</v>
      </c>
      <c r="F151" t="n">
        <v>79.64922</v>
      </c>
      <c r="G151" t="n">
        <v>77.077782</v>
      </c>
      <c r="H151" t="n">
        <v>199.420396</v>
      </c>
      <c r="I151" t="n">
        <v>94.919134</v>
      </c>
      <c r="J151" t="n">
        <v>94.919134</v>
      </c>
      <c r="K151" t="n">
        <v>90.173177</v>
      </c>
      <c r="L151" t="n">
        <v>135.651174</v>
      </c>
      <c r="M151" t="n">
        <v>135.651174</v>
      </c>
      <c r="N151" t="n">
        <v>135.651174</v>
      </c>
      <c r="O151" t="n">
        <v>112.097094</v>
      </c>
      <c r="P151" t="n">
        <v>63.65447</v>
      </c>
      <c r="Q151" t="n">
        <v>135.651174</v>
      </c>
      <c r="R151" t="n">
        <v>135.651174</v>
      </c>
      <c r="S151" t="n">
        <v>112.097094</v>
      </c>
      <c r="T151" t="n">
        <v>112.118405</v>
      </c>
      <c r="U151" t="n">
        <v>63.65447</v>
      </c>
      <c r="V151" t="n">
        <v>-691.708697</v>
      </c>
      <c r="W151" t="n">
        <v>122.926325</v>
      </c>
      <c r="X151" t="n">
        <v>140.897505</v>
      </c>
      <c r="Y151" t="n">
        <v>54.73445</v>
      </c>
      <c r="Z151" t="n">
        <v>122.753568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1" t="inlineStr">
        <is>
          <t>Dem M inv</t>
        </is>
      </c>
      <c r="E152" t="n">
        <v>163.765772</v>
      </c>
      <c r="F152" t="n">
        <v>172.485056</v>
      </c>
      <c r="G152" t="n">
        <v>165.952401</v>
      </c>
      <c r="H152" t="n">
        <v>511.347723</v>
      </c>
      <c r="I152" t="n">
        <v>706.004578</v>
      </c>
      <c r="J152" t="n">
        <v>706.004578</v>
      </c>
      <c r="K152" t="n">
        <v>670.704349</v>
      </c>
      <c r="L152" t="n">
        <v>890.128168</v>
      </c>
      <c r="M152" t="n">
        <v>890.128168</v>
      </c>
      <c r="N152" t="n">
        <v>890.128168</v>
      </c>
      <c r="O152" t="n">
        <v>735.262371</v>
      </c>
      <c r="P152" t="n">
        <v>400.351586</v>
      </c>
      <c r="Q152" t="n">
        <v>890.128168</v>
      </c>
      <c r="R152" t="n">
        <v>890.128168</v>
      </c>
      <c r="S152" t="n">
        <v>735.262371</v>
      </c>
      <c r="T152" t="n">
        <v>735.404934</v>
      </c>
      <c r="U152" t="n">
        <v>400.351586</v>
      </c>
      <c r="V152" t="n">
        <v>-4414.739474</v>
      </c>
      <c r="W152" t="n">
        <v>805.768964</v>
      </c>
      <c r="X152" t="n">
        <v>945.574586</v>
      </c>
      <c r="Y152" t="n">
        <v>110.936439</v>
      </c>
      <c r="Z152" t="n">
        <v>283.97695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1" t="inlineStr">
        <is>
          <t>Thons majeurs</t>
        </is>
      </c>
      <c r="E153" t="n">
        <v>163.765772</v>
      </c>
      <c r="F153" t="n">
        <v>2736.422785</v>
      </c>
      <c r="G153" t="n">
        <v>2578.791074</v>
      </c>
      <c r="H153" t="n">
        <v>17894.357856</v>
      </c>
      <c r="I153" t="n">
        <v>8524.661732</v>
      </c>
      <c r="J153" t="n">
        <v>8877.094804</v>
      </c>
      <c r="K153" t="n">
        <v>4438.547402</v>
      </c>
      <c r="L153" t="n">
        <v>13559.45898</v>
      </c>
      <c r="M153" t="n">
        <v>13559.45898</v>
      </c>
      <c r="N153" t="n">
        <v>13559.45898</v>
      </c>
      <c r="O153" t="n">
        <v>3620.876362</v>
      </c>
      <c r="P153" t="n">
        <v>1183.597755</v>
      </c>
      <c r="Q153" t="n">
        <v>13559.45898</v>
      </c>
      <c r="R153" t="n">
        <v>-35797.700389</v>
      </c>
      <c r="S153" t="n">
        <v>3620.876362</v>
      </c>
      <c r="T153" t="n">
        <v>3622.234339</v>
      </c>
      <c r="U153" t="n">
        <v>1183.597755</v>
      </c>
      <c r="V153" t="n">
        <v>-69439.82694100001</v>
      </c>
      <c r="W153" t="n">
        <v>4014.207129</v>
      </c>
      <c r="X153" t="n">
        <v>14860.336328</v>
      </c>
      <c r="Y153" t="n">
        <v>1388.786767</v>
      </c>
      <c r="Z153" t="n">
        <v>6982.262246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1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1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1" t="inlineStr">
        <is>
          <t>Côtier pel L pred</t>
        </is>
      </c>
      <c r="E156" t="n">
        <v>163.765772</v>
      </c>
      <c r="F156" t="n">
        <v>1052.557933</v>
      </c>
      <c r="G156" t="n">
        <v>999.055395</v>
      </c>
      <c r="H156" t="n">
        <v>11777.423523</v>
      </c>
      <c r="I156" t="n">
        <v>6532.776468</v>
      </c>
      <c r="J156" t="n">
        <v>7781.630289</v>
      </c>
      <c r="K156" t="n">
        <v>7457.950731</v>
      </c>
      <c r="L156" t="n">
        <v>14096.896099</v>
      </c>
      <c r="M156" t="n">
        <v>14096.896099</v>
      </c>
      <c r="N156" t="n">
        <v>14096.896099</v>
      </c>
      <c r="O156" t="n">
        <v>6109.578522</v>
      </c>
      <c r="P156" t="n">
        <v>1921.956368</v>
      </c>
      <c r="Q156" t="n">
        <v>14096.896099</v>
      </c>
      <c r="R156" t="n">
        <v>-57719.913078</v>
      </c>
      <c r="S156" t="n">
        <v>6109.578522</v>
      </c>
      <c r="T156" t="n">
        <v>6113.693041</v>
      </c>
      <c r="U156" t="n">
        <v>1921.956368</v>
      </c>
      <c r="V156" t="n">
        <v>-289813.58612</v>
      </c>
      <c r="W156" t="n">
        <v>6783.158943</v>
      </c>
      <c r="X156" t="n">
        <v>15274.306707</v>
      </c>
      <c r="Y156" t="n">
        <v>579.770625</v>
      </c>
      <c r="Z156" t="n">
        <v>4535.549158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1" t="inlineStr">
        <is>
          <t>Pel L pred</t>
        </is>
      </c>
      <c r="E157" t="n">
        <v>163.765772</v>
      </c>
      <c r="F157" t="n">
        <v>1087.886765</v>
      </c>
      <c r="G157" t="n">
        <v>1032.332906</v>
      </c>
      <c r="H157" t="n">
        <v>5007.06664</v>
      </c>
      <c r="I157" t="n">
        <v>3058.871294</v>
      </c>
      <c r="J157" t="n">
        <v>3141.852848</v>
      </c>
      <c r="K157" t="n">
        <v>2984.760205</v>
      </c>
      <c r="L157" t="n">
        <v>5671.231047</v>
      </c>
      <c r="M157" t="n">
        <v>5671.231047</v>
      </c>
      <c r="N157" t="n">
        <v>5671.231047</v>
      </c>
      <c r="O157" t="n">
        <v>2818.57099</v>
      </c>
      <c r="P157" t="n">
        <v>998.224983</v>
      </c>
      <c r="Q157" t="n">
        <v>5671.231047</v>
      </c>
      <c r="R157" t="n">
        <v>-68817.83068299999</v>
      </c>
      <c r="S157" t="n">
        <v>2818.57099</v>
      </c>
      <c r="T157" t="n">
        <v>2819.301833</v>
      </c>
      <c r="U157" t="n">
        <v>998.224983</v>
      </c>
      <c r="V157" t="n">
        <v>-142557.851524</v>
      </c>
      <c r="W157" t="n">
        <v>3155.548468</v>
      </c>
      <c r="X157" t="n">
        <v>6096.563992</v>
      </c>
      <c r="Y157" t="n">
        <v>597.537591</v>
      </c>
      <c r="Z157" t="n">
        <v>2190.300014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1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1" t="inlineStr">
        <is>
          <t>Côtier S pred</t>
        </is>
      </c>
      <c r="E159" t="n">
        <v>163.765772</v>
      </c>
      <c r="F159" t="n">
        <v>545.757696</v>
      </c>
      <c r="G159" t="n">
        <v>520.573184</v>
      </c>
      <c r="H159" t="n">
        <v>4917.222698</v>
      </c>
      <c r="I159" t="n">
        <v>1275.451871</v>
      </c>
      <c r="J159" t="n">
        <v>1276.0859</v>
      </c>
      <c r="K159" t="n">
        <v>1149.773886</v>
      </c>
      <c r="L159" t="n">
        <v>1835.857966</v>
      </c>
      <c r="M159" t="n">
        <v>1835.857966</v>
      </c>
      <c r="N159" t="n">
        <v>1835.857966</v>
      </c>
      <c r="O159" t="n">
        <v>1067.675983</v>
      </c>
      <c r="P159" t="n">
        <v>415.50327</v>
      </c>
      <c r="Q159" t="n">
        <v>1835.857966</v>
      </c>
      <c r="R159" t="n">
        <v>1836.5911</v>
      </c>
      <c r="S159" t="n">
        <v>1067.675983</v>
      </c>
      <c r="T159" t="n">
        <v>1068.391396</v>
      </c>
      <c r="U159" t="n">
        <v>415.50327</v>
      </c>
      <c r="V159" t="n">
        <v>-4249.608379</v>
      </c>
      <c r="W159" t="n">
        <v>1177.743138</v>
      </c>
      <c r="X159" t="n">
        <v>1944.131304</v>
      </c>
      <c r="Y159" t="n">
        <v>318.019746</v>
      </c>
      <c r="Z159" t="n">
        <v>2089.141318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1" t="inlineStr">
        <is>
          <t>Sélaciens L prof</t>
        </is>
      </c>
      <c r="E160" t="n">
        <v>163.765772</v>
      </c>
      <c r="F160" t="n">
        <v>2984.356694</v>
      </c>
      <c r="G160" t="n">
        <v>2810.614697</v>
      </c>
      <c r="H160" t="n">
        <v>33756.075827</v>
      </c>
      <c r="I160" t="n">
        <v>124489.068835</v>
      </c>
      <c r="J160" t="n">
        <v>128867.658555</v>
      </c>
      <c r="K160" t="n">
        <v>64433.829278</v>
      </c>
      <c r="L160" t="n">
        <v>630808.944285</v>
      </c>
      <c r="M160" t="n">
        <v>630808.944285</v>
      </c>
      <c r="N160" t="n">
        <v>630808.944285</v>
      </c>
      <c r="O160" t="n">
        <v>51235.427712</v>
      </c>
      <c r="P160" t="n">
        <v>12872.10487</v>
      </c>
      <c r="Q160" t="n">
        <v>630808.944285</v>
      </c>
      <c r="R160" t="n">
        <v>-1411467.842509</v>
      </c>
      <c r="S160" t="n">
        <v>51235.427712</v>
      </c>
      <c r="T160" t="n">
        <v>51258.187051</v>
      </c>
      <c r="U160" t="n">
        <v>12872.10487</v>
      </c>
      <c r="V160" t="n">
        <v>-997628.83218</v>
      </c>
      <c r="W160" t="n">
        <v>58369.961914</v>
      </c>
      <c r="X160" t="n">
        <v>764652.412024</v>
      </c>
      <c r="Y160" t="n">
        <v>1503.40227</v>
      </c>
      <c r="Z160" t="n">
        <v>11832.505589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1" t="inlineStr">
        <is>
          <t>Côtier L pred</t>
        </is>
      </c>
      <c r="E161" t="n">
        <v>163.765772</v>
      </c>
      <c r="F161" t="n">
        <v>834.792702</v>
      </c>
      <c r="G161" t="n">
        <v>793.737434</v>
      </c>
      <c r="H161" t="n">
        <v>7076.97786</v>
      </c>
      <c r="I161" t="n">
        <v>5090.744396</v>
      </c>
      <c r="J161" t="n">
        <v>9568.388961000001</v>
      </c>
      <c r="K161" t="n">
        <v>8272.995088</v>
      </c>
      <c r="L161" t="n">
        <v>19279.70472</v>
      </c>
      <c r="M161" t="n">
        <v>19279.70472</v>
      </c>
      <c r="N161" t="n">
        <v>19279.70472</v>
      </c>
      <c r="O161" t="n">
        <v>6360.723192</v>
      </c>
      <c r="P161" t="n">
        <v>2029.298348</v>
      </c>
      <c r="Q161" t="n">
        <v>19279.70472</v>
      </c>
      <c r="R161" t="n">
        <v>-84799.195448</v>
      </c>
      <c r="S161" t="n">
        <v>6360.723192</v>
      </c>
      <c r="T161" t="n">
        <v>6366.23078</v>
      </c>
      <c r="U161" t="n">
        <v>2029.298348</v>
      </c>
      <c r="V161" t="n">
        <v>-469234.864873</v>
      </c>
      <c r="W161" t="n">
        <v>6996.154043</v>
      </c>
      <c r="X161" t="n">
        <v>20790.115719</v>
      </c>
      <c r="Y161" t="n">
        <v>469.046047</v>
      </c>
      <c r="Z161" t="n">
        <v>2908.726875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1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1" t="inlineStr">
        <is>
          <t>Dem M inv</t>
        </is>
      </c>
      <c r="E163" t="n">
        <v>163.765772</v>
      </c>
      <c r="F163" t="n">
        <v>172.485056</v>
      </c>
      <c r="G163" t="n">
        <v>165.952401</v>
      </c>
      <c r="H163" t="n">
        <v>511.347723</v>
      </c>
      <c r="I163" t="n">
        <v>706.004578</v>
      </c>
      <c r="J163" t="n">
        <v>706.004578</v>
      </c>
      <c r="K163" t="n">
        <v>670.704349</v>
      </c>
      <c r="L163" t="n">
        <v>890.128168</v>
      </c>
      <c r="M163" t="n">
        <v>890.128168</v>
      </c>
      <c r="N163" t="n">
        <v>890.128168</v>
      </c>
      <c r="O163" t="n">
        <v>735.262371</v>
      </c>
      <c r="P163" t="n">
        <v>400.351586</v>
      </c>
      <c r="Q163" t="n">
        <v>890.128168</v>
      </c>
      <c r="R163" t="n">
        <v>890.128168</v>
      </c>
      <c r="S163" t="n">
        <v>735.262371</v>
      </c>
      <c r="T163" t="n">
        <v>735.404934</v>
      </c>
      <c r="U163" t="n">
        <v>400.351586</v>
      </c>
      <c r="V163" t="n">
        <v>-4414.739474</v>
      </c>
      <c r="W163" t="n">
        <v>805.768964</v>
      </c>
      <c r="X163" t="n">
        <v>945.574586</v>
      </c>
      <c r="Y163" t="n">
        <v>110.936439</v>
      </c>
      <c r="Z163" t="n">
        <v>283.97695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1" t="inlineStr">
        <is>
          <t>Sélaciens L côtiers | Sélaciens L prof</t>
        </is>
      </c>
      <c r="E164" t="n">
        <v>163.765772</v>
      </c>
      <c r="F164" t="n">
        <v>2781.823109</v>
      </c>
      <c r="G164" t="n">
        <v>2620.729687</v>
      </c>
      <c r="H164" t="n">
        <v>32914.181757</v>
      </c>
      <c r="I164" t="n">
        <v>117377.641309</v>
      </c>
      <c r="J164" t="n">
        <v>120596.102473</v>
      </c>
      <c r="K164" t="n">
        <v>62653.25609</v>
      </c>
      <c r="L164" t="n">
        <v>577178.197071</v>
      </c>
      <c r="M164" t="n">
        <v>577178.197071</v>
      </c>
      <c r="N164" t="n">
        <v>577178.197071</v>
      </c>
      <c r="O164" t="n">
        <v>48624.329861</v>
      </c>
      <c r="P164" t="n">
        <v>12260.175087</v>
      </c>
      <c r="Q164" t="n">
        <v>577178.197071</v>
      </c>
      <c r="R164" t="n">
        <v>-1291627.704185</v>
      </c>
      <c r="S164" t="n">
        <v>48624.329861</v>
      </c>
      <c r="T164" t="n">
        <v>48648.921576</v>
      </c>
      <c r="U164" t="n">
        <v>12260.175087</v>
      </c>
      <c r="V164" t="n">
        <v>-968882.512106</v>
      </c>
      <c r="W164" t="n">
        <v>55338.258575</v>
      </c>
      <c r="X164" t="n">
        <v>698320.1942199999</v>
      </c>
      <c r="Y164" t="n">
        <v>1406.818237</v>
      </c>
      <c r="Z164" t="n">
        <v>11543.641235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1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1" t="inlineStr">
        <is>
          <t>Côtier L pred</t>
        </is>
      </c>
      <c r="E166" t="n">
        <v>163.765772</v>
      </c>
      <c r="F166" t="n">
        <v>834.792702</v>
      </c>
      <c r="G166" t="n">
        <v>793.737434</v>
      </c>
      <c r="H166" t="n">
        <v>7076.97786</v>
      </c>
      <c r="I166" t="n">
        <v>5090.744396</v>
      </c>
      <c r="J166" t="n">
        <v>9568.388961000001</v>
      </c>
      <c r="K166" t="n">
        <v>8272.995088</v>
      </c>
      <c r="L166" t="n">
        <v>19279.70472</v>
      </c>
      <c r="M166" t="n">
        <v>19279.70472</v>
      </c>
      <c r="N166" t="n">
        <v>19279.70472</v>
      </c>
      <c r="O166" t="n">
        <v>6360.723192</v>
      </c>
      <c r="P166" t="n">
        <v>2029.298348</v>
      </c>
      <c r="Q166" t="n">
        <v>19279.70472</v>
      </c>
      <c r="R166" t="n">
        <v>-84799.195448</v>
      </c>
      <c r="S166" t="n">
        <v>6360.723192</v>
      </c>
      <c r="T166" t="n">
        <v>6366.23078</v>
      </c>
      <c r="U166" t="n">
        <v>2029.298348</v>
      </c>
      <c r="V166" t="n">
        <v>-469234.864873</v>
      </c>
      <c r="W166" t="n">
        <v>6996.154043</v>
      </c>
      <c r="X166" t="n">
        <v>20790.115719</v>
      </c>
      <c r="Y166" t="n">
        <v>469.046047</v>
      </c>
      <c r="Z166" t="n">
        <v>2908.726875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1" t="inlineStr">
        <is>
          <t>Côtier M inv</t>
        </is>
      </c>
      <c r="E167" t="n">
        <v>163.765772</v>
      </c>
      <c r="F167" t="n">
        <v>170.837609</v>
      </c>
      <c r="G167" t="n">
        <v>164.379174</v>
      </c>
      <c r="H167" t="n">
        <v>573.174129</v>
      </c>
      <c r="I167" t="n">
        <v>332.812451</v>
      </c>
      <c r="J167" t="n">
        <v>332.812451</v>
      </c>
      <c r="K167" t="n">
        <v>331.190423</v>
      </c>
      <c r="L167" t="n">
        <v>425.732264</v>
      </c>
      <c r="M167" t="n">
        <v>425.732264</v>
      </c>
      <c r="N167" t="n">
        <v>425.732264</v>
      </c>
      <c r="O167" t="n">
        <v>368.426453</v>
      </c>
      <c r="P167" t="n">
        <v>198.243136</v>
      </c>
      <c r="Q167" t="n">
        <v>425.732264</v>
      </c>
      <c r="R167" t="n">
        <v>425.732264</v>
      </c>
      <c r="S167" t="n">
        <v>368.426453</v>
      </c>
      <c r="T167" t="n">
        <v>368.498294</v>
      </c>
      <c r="U167" t="n">
        <v>198.243136</v>
      </c>
      <c r="V167" t="n">
        <v>-2197.047861</v>
      </c>
      <c r="W167" t="n">
        <v>402.613215</v>
      </c>
      <c r="X167" t="n">
        <v>447.451967</v>
      </c>
      <c r="Y167" t="n">
        <v>109.967259</v>
      </c>
      <c r="Z167" t="n">
        <v>314.242463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1" t="inlineStr">
        <is>
          <t>Sélaciens L prof</t>
        </is>
      </c>
      <c r="E168" t="n">
        <v>163.765772</v>
      </c>
      <c r="F168" t="n">
        <v>2984.356694</v>
      </c>
      <c r="G168" t="n">
        <v>2810.614697</v>
      </c>
      <c r="H168" t="n">
        <v>33756.075827</v>
      </c>
      <c r="I168" t="n">
        <v>124489.068835</v>
      </c>
      <c r="J168" t="n">
        <v>128867.658555</v>
      </c>
      <c r="K168" t="n">
        <v>64433.829278</v>
      </c>
      <c r="L168" t="n">
        <v>630808.944285</v>
      </c>
      <c r="M168" t="n">
        <v>630808.944285</v>
      </c>
      <c r="N168" t="n">
        <v>630808.944285</v>
      </c>
      <c r="O168" t="n">
        <v>51235.427712</v>
      </c>
      <c r="P168" t="n">
        <v>12872.10487</v>
      </c>
      <c r="Q168" t="n">
        <v>630808.944285</v>
      </c>
      <c r="R168" t="n">
        <v>-1411467.842509</v>
      </c>
      <c r="S168" t="n">
        <v>51235.427712</v>
      </c>
      <c r="T168" t="n">
        <v>51258.187051</v>
      </c>
      <c r="U168" t="n">
        <v>12872.10487</v>
      </c>
      <c r="V168" t="n">
        <v>-997628.83218</v>
      </c>
      <c r="W168" t="n">
        <v>58369.961914</v>
      </c>
      <c r="X168" t="n">
        <v>764652.412024</v>
      </c>
      <c r="Y168" t="n">
        <v>1503.40227</v>
      </c>
      <c r="Z168" t="n">
        <v>11832.505589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1" t="inlineStr">
        <is>
          <t>Sélaciens L côtiers | Sélaciens M côtiers</t>
        </is>
      </c>
      <c r="E169" t="n">
        <v>163.765772</v>
      </c>
      <c r="F169" t="n">
        <v>1153.061509</v>
      </c>
      <c r="G169" t="n">
        <v>1093.701635</v>
      </c>
      <c r="H169" t="n">
        <v>25164.033475</v>
      </c>
      <c r="I169" t="n">
        <v>57150.226233</v>
      </c>
      <c r="J169" t="n">
        <v>51505.775538</v>
      </c>
      <c r="K169" t="n">
        <v>45688.726754</v>
      </c>
      <c r="L169" t="n">
        <v>137125.897636</v>
      </c>
      <c r="M169" t="n">
        <v>137125.897636</v>
      </c>
      <c r="N169" t="n">
        <v>137125.897636</v>
      </c>
      <c r="O169" t="n">
        <v>26241.404233</v>
      </c>
      <c r="P169" t="n">
        <v>7002.787354</v>
      </c>
      <c r="Q169" t="n">
        <v>137125.897636</v>
      </c>
      <c r="R169" t="n">
        <v>-312100.909077</v>
      </c>
      <c r="S169" t="n">
        <v>26241.404233</v>
      </c>
      <c r="T169" t="n">
        <v>26278.419722</v>
      </c>
      <c r="U169" t="n">
        <v>7002.787354</v>
      </c>
      <c r="V169" t="n">
        <v>-704949.706355</v>
      </c>
      <c r="W169" t="n">
        <v>29402.154661</v>
      </c>
      <c r="X169" t="n">
        <v>154801.497935</v>
      </c>
      <c r="Y169" t="n">
        <v>630.181807</v>
      </c>
      <c r="Z169" t="n">
        <v>8899.83473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1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1" t="inlineStr">
        <is>
          <t>Crustacés</t>
        </is>
      </c>
      <c r="E171" t="n">
        <v>163.765772</v>
      </c>
      <c r="F171" t="n">
        <v>79.64922</v>
      </c>
      <c r="G171" t="n">
        <v>77.077782</v>
      </c>
      <c r="H171" t="n">
        <v>199.420396</v>
      </c>
      <c r="I171" t="n">
        <v>94.919134</v>
      </c>
      <c r="J171" t="n">
        <v>94.919134</v>
      </c>
      <c r="K171" t="n">
        <v>90.173177</v>
      </c>
      <c r="L171" t="n">
        <v>135.651174</v>
      </c>
      <c r="M171" t="n">
        <v>135.651174</v>
      </c>
      <c r="N171" t="n">
        <v>135.651174</v>
      </c>
      <c r="O171" t="n">
        <v>112.097094</v>
      </c>
      <c r="P171" t="n">
        <v>63.65447</v>
      </c>
      <c r="Q171" t="n">
        <v>135.651174</v>
      </c>
      <c r="R171" t="n">
        <v>135.651174</v>
      </c>
      <c r="S171" t="n">
        <v>112.097094</v>
      </c>
      <c r="T171" t="n">
        <v>112.118405</v>
      </c>
      <c r="U171" t="n">
        <v>63.65447</v>
      </c>
      <c r="V171" t="n">
        <v>-691.708697</v>
      </c>
      <c r="W171" t="n">
        <v>122.926325</v>
      </c>
      <c r="X171" t="n">
        <v>140.897505</v>
      </c>
      <c r="Y171" t="n">
        <v>54.73445</v>
      </c>
      <c r="Z171" t="n">
        <v>122.753568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1" t="inlineStr">
        <is>
          <t>Sélaciens L prof | Sélaciens M prof</t>
        </is>
      </c>
      <c r="E172" t="n">
        <v>163.765772</v>
      </c>
      <c r="F172" t="n">
        <v>2943.265798</v>
      </c>
      <c r="G172" t="n">
        <v>2772.19544</v>
      </c>
      <c r="H172" t="n">
        <v>30340.406421</v>
      </c>
      <c r="I172" t="n">
        <v>106443.47238</v>
      </c>
      <c r="J172" t="n">
        <v>110085.487319</v>
      </c>
      <c r="K172" t="n">
        <v>55042.74366</v>
      </c>
      <c r="L172" t="n">
        <v>519045.522015</v>
      </c>
      <c r="M172" t="n">
        <v>519045.522015</v>
      </c>
      <c r="N172" t="n">
        <v>519045.522015</v>
      </c>
      <c r="O172" t="n">
        <v>43711.326429</v>
      </c>
      <c r="P172" t="n">
        <v>11190.60535</v>
      </c>
      <c r="Q172" t="n">
        <v>519045.522015</v>
      </c>
      <c r="R172" t="n">
        <v>-1134636.932488</v>
      </c>
      <c r="S172" t="n">
        <v>43711.326429</v>
      </c>
      <c r="T172" t="n">
        <v>43730.559477</v>
      </c>
      <c r="U172" t="n">
        <v>11190.60535</v>
      </c>
      <c r="V172" t="n">
        <v>-815704.522352</v>
      </c>
      <c r="W172" t="n">
        <v>49790.245909</v>
      </c>
      <c r="X172" t="n">
        <v>628102.100763</v>
      </c>
      <c r="Y172" t="n">
        <v>1484.415879</v>
      </c>
      <c r="Z172" t="n">
        <v>10771.970491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1" t="inlineStr">
        <is>
          <t>Côtier pel L pred</t>
        </is>
      </c>
      <c r="E173" t="n">
        <v>163.765772</v>
      </c>
      <c r="F173" t="n">
        <v>1052.557933</v>
      </c>
      <c r="G173" t="n">
        <v>999.055395</v>
      </c>
      <c r="H173" t="n">
        <v>11777.423523</v>
      </c>
      <c r="I173" t="n">
        <v>6532.776468</v>
      </c>
      <c r="J173" t="n">
        <v>7781.630289</v>
      </c>
      <c r="K173" t="n">
        <v>7457.950731</v>
      </c>
      <c r="L173" t="n">
        <v>14096.896099</v>
      </c>
      <c r="M173" t="n">
        <v>14096.896099</v>
      </c>
      <c r="N173" t="n">
        <v>14096.896099</v>
      </c>
      <c r="O173" t="n">
        <v>6109.578522</v>
      </c>
      <c r="P173" t="n">
        <v>1921.956368</v>
      </c>
      <c r="Q173" t="n">
        <v>14096.896099</v>
      </c>
      <c r="R173" t="n">
        <v>-57719.913078</v>
      </c>
      <c r="S173" t="n">
        <v>6109.578522</v>
      </c>
      <c r="T173" t="n">
        <v>6113.693041</v>
      </c>
      <c r="U173" t="n">
        <v>1921.956368</v>
      </c>
      <c r="V173" t="n">
        <v>-289813.58612</v>
      </c>
      <c r="W173" t="n">
        <v>6783.158943</v>
      </c>
      <c r="X173" t="n">
        <v>15274.306707</v>
      </c>
      <c r="Y173" t="n">
        <v>579.770625</v>
      </c>
      <c r="Z173" t="n">
        <v>4535.549158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1" t="inlineStr">
        <is>
          <t>Crustacés</t>
        </is>
      </c>
      <c r="E174" t="n">
        <v>163.765772</v>
      </c>
      <c r="F174" t="n">
        <v>79.64922</v>
      </c>
      <c r="G174" t="n">
        <v>77.077782</v>
      </c>
      <c r="H174" t="n">
        <v>199.420396</v>
      </c>
      <c r="I174" t="n">
        <v>94.919134</v>
      </c>
      <c r="J174" t="n">
        <v>94.919134</v>
      </c>
      <c r="K174" t="n">
        <v>90.173177</v>
      </c>
      <c r="L174" t="n">
        <v>135.651174</v>
      </c>
      <c r="M174" t="n">
        <v>135.651174</v>
      </c>
      <c r="N174" t="n">
        <v>135.651174</v>
      </c>
      <c r="O174" t="n">
        <v>112.097094</v>
      </c>
      <c r="P174" t="n">
        <v>63.65447</v>
      </c>
      <c r="Q174" t="n">
        <v>135.651174</v>
      </c>
      <c r="R174" t="n">
        <v>135.651174</v>
      </c>
      <c r="S174" t="n">
        <v>112.097094</v>
      </c>
      <c r="T174" t="n">
        <v>112.118405</v>
      </c>
      <c r="U174" t="n">
        <v>63.65447</v>
      </c>
      <c r="V174" t="n">
        <v>-691.708697</v>
      </c>
      <c r="W174" t="n">
        <v>122.926325</v>
      </c>
      <c r="X174" t="n">
        <v>140.897505</v>
      </c>
      <c r="Y174" t="n">
        <v>54.73445</v>
      </c>
      <c r="Z174" t="n">
        <v>122.753568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1" t="inlineStr">
        <is>
          <t>Côtier pel S inv</t>
        </is>
      </c>
      <c r="E175" t="n">
        <v>163.765772</v>
      </c>
      <c r="F175" t="n">
        <v>63.371783</v>
      </c>
      <c r="G175" t="n">
        <v>61.431046</v>
      </c>
      <c r="H175" t="n">
        <v>318.709045</v>
      </c>
      <c r="I175" t="n">
        <v>117.871263</v>
      </c>
      <c r="J175" t="n">
        <v>118.151769</v>
      </c>
      <c r="K175" t="n">
        <v>106.830226</v>
      </c>
      <c r="L175" t="n">
        <v>182.678519</v>
      </c>
      <c r="M175" t="n">
        <v>182.678519</v>
      </c>
      <c r="N175" t="n">
        <v>182.678519</v>
      </c>
      <c r="O175" t="n">
        <v>118.787049</v>
      </c>
      <c r="P175" t="n">
        <v>55.817264</v>
      </c>
      <c r="Q175" t="n">
        <v>182.678519</v>
      </c>
      <c r="R175" t="n">
        <v>182.678573</v>
      </c>
      <c r="S175" t="n">
        <v>118.787049</v>
      </c>
      <c r="T175" t="n">
        <v>118.805172</v>
      </c>
      <c r="U175" t="n">
        <v>55.817264</v>
      </c>
      <c r="V175" t="n">
        <v>-489.077361</v>
      </c>
      <c r="W175" t="n">
        <v>128.847647</v>
      </c>
      <c r="X175" t="n">
        <v>189.690717</v>
      </c>
      <c r="Y175" t="n">
        <v>44.410268</v>
      </c>
      <c r="Z175" t="n">
        <v>180.282129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1" t="inlineStr">
        <is>
          <t>Thons majeurs</t>
        </is>
      </c>
      <c r="E176" t="n">
        <v>163.765772</v>
      </c>
      <c r="F176" t="n">
        <v>2736.422785</v>
      </c>
      <c r="G176" t="n">
        <v>2578.791074</v>
      </c>
      <c r="H176" t="n">
        <v>17894.357856</v>
      </c>
      <c r="I176" t="n">
        <v>8524.661732</v>
      </c>
      <c r="J176" t="n">
        <v>8877.094804</v>
      </c>
      <c r="K176" t="n">
        <v>4438.547402</v>
      </c>
      <c r="L176" t="n">
        <v>13559.45898</v>
      </c>
      <c r="M176" t="n">
        <v>13559.45898</v>
      </c>
      <c r="N176" t="n">
        <v>13559.45898</v>
      </c>
      <c r="O176" t="n">
        <v>3620.876362</v>
      </c>
      <c r="P176" t="n">
        <v>1183.597755</v>
      </c>
      <c r="Q176" t="n">
        <v>13559.45898</v>
      </c>
      <c r="R176" t="n">
        <v>-35797.700389</v>
      </c>
      <c r="S176" t="n">
        <v>3620.876362</v>
      </c>
      <c r="T176" t="n">
        <v>3622.234339</v>
      </c>
      <c r="U176" t="n">
        <v>1183.597755</v>
      </c>
      <c r="V176" t="n">
        <v>-69439.82694100001</v>
      </c>
      <c r="W176" t="n">
        <v>4014.207129</v>
      </c>
      <c r="X176" t="n">
        <v>14860.336328</v>
      </c>
      <c r="Y176" t="n">
        <v>1388.786767</v>
      </c>
      <c r="Z176" t="n">
        <v>6982.262246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1" t="inlineStr">
        <is>
          <t>Côtier L pred</t>
        </is>
      </c>
      <c r="E177" t="n">
        <v>163.765772</v>
      </c>
      <c r="F177" t="n">
        <v>834.792702</v>
      </c>
      <c r="G177" t="n">
        <v>793.737434</v>
      </c>
      <c r="H177" t="n">
        <v>7076.97786</v>
      </c>
      <c r="I177" t="n">
        <v>5090.744396</v>
      </c>
      <c r="J177" t="n">
        <v>9568.388961000001</v>
      </c>
      <c r="K177" t="n">
        <v>8272.995088</v>
      </c>
      <c r="L177" t="n">
        <v>19279.70472</v>
      </c>
      <c r="M177" t="n">
        <v>19279.70472</v>
      </c>
      <c r="N177" t="n">
        <v>19279.70472</v>
      </c>
      <c r="O177" t="n">
        <v>6360.723192</v>
      </c>
      <c r="P177" t="n">
        <v>2029.298348</v>
      </c>
      <c r="Q177" t="n">
        <v>19279.70472</v>
      </c>
      <c r="R177" t="n">
        <v>-84799.195448</v>
      </c>
      <c r="S177" t="n">
        <v>6360.723192</v>
      </c>
      <c r="T177" t="n">
        <v>6366.23078</v>
      </c>
      <c r="U177" t="n">
        <v>2029.298348</v>
      </c>
      <c r="V177" t="n">
        <v>-469234.864873</v>
      </c>
      <c r="W177" t="n">
        <v>6996.154043</v>
      </c>
      <c r="X177" t="n">
        <v>20790.115719</v>
      </c>
      <c r="Y177" t="n">
        <v>469.046047</v>
      </c>
      <c r="Z177" t="n">
        <v>2908.726875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1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1" t="inlineStr">
        <is>
          <t>Dem L pred</t>
        </is>
      </c>
      <c r="E179" t="n">
        <v>163.765772</v>
      </c>
      <c r="F179" t="n">
        <v>702.92427</v>
      </c>
      <c r="G179" t="n">
        <v>669.216325</v>
      </c>
      <c r="H179" t="n">
        <v>8905.495621</v>
      </c>
      <c r="I179" t="n">
        <v>6777.626749</v>
      </c>
      <c r="J179" t="n">
        <v>6838.543559</v>
      </c>
      <c r="K179" t="n">
        <v>5761.94028</v>
      </c>
      <c r="L179" t="n">
        <v>11046.542562</v>
      </c>
      <c r="M179" t="n">
        <v>11046.542562</v>
      </c>
      <c r="N179" t="n">
        <v>11046.542562</v>
      </c>
      <c r="O179" t="n">
        <v>5782.706959</v>
      </c>
      <c r="P179" t="n">
        <v>2043.80318</v>
      </c>
      <c r="Q179" t="n">
        <v>11046.542562</v>
      </c>
      <c r="R179" t="n">
        <v>11049.934606</v>
      </c>
      <c r="S179" t="n">
        <v>5782.706959</v>
      </c>
      <c r="T179" t="n">
        <v>5785.88935</v>
      </c>
      <c r="U179" t="n">
        <v>2043.80318</v>
      </c>
      <c r="V179" t="n">
        <v>-21771.784771</v>
      </c>
      <c r="W179" t="n">
        <v>6494.006214</v>
      </c>
      <c r="X179" t="n">
        <v>12063.058581</v>
      </c>
      <c r="Y179" t="n">
        <v>400.815207</v>
      </c>
      <c r="Z179" t="n">
        <v>3457.571618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1" t="inlineStr">
        <is>
          <t>Côtier S inv</t>
        </is>
      </c>
      <c r="E180" t="n">
        <v>163.765772</v>
      </c>
      <c r="F180" t="n">
        <v>79.510256</v>
      </c>
      <c r="G180" t="n">
        <v>76.944312</v>
      </c>
      <c r="H180" t="n">
        <v>373.180416</v>
      </c>
      <c r="I180" t="n">
        <v>228.22673</v>
      </c>
      <c r="J180" t="n">
        <v>228.830344</v>
      </c>
      <c r="K180" t="n">
        <v>223.019358</v>
      </c>
      <c r="L180" t="n">
        <v>302.460327</v>
      </c>
      <c r="M180" t="n">
        <v>302.460327</v>
      </c>
      <c r="N180" t="n">
        <v>302.460327</v>
      </c>
      <c r="O180" t="n">
        <v>244.226076</v>
      </c>
      <c r="P180" t="n">
        <v>127.659422</v>
      </c>
      <c r="Q180" t="n">
        <v>302.460327</v>
      </c>
      <c r="R180" t="n">
        <v>303.400726</v>
      </c>
      <c r="S180" t="n">
        <v>244.226076</v>
      </c>
      <c r="T180" t="n">
        <v>245.025938</v>
      </c>
      <c r="U180" t="n">
        <v>127.659422</v>
      </c>
      <c r="V180" t="n">
        <v>-1352.064159</v>
      </c>
      <c r="W180" t="n">
        <v>266.013821</v>
      </c>
      <c r="X180" t="n">
        <v>316.479608</v>
      </c>
      <c r="Y180" t="n">
        <v>54.647132</v>
      </c>
      <c r="Z180" t="n">
        <v>203.050192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1" t="inlineStr">
        <is>
          <t>Sélaciens L côtiers</t>
        </is>
      </c>
      <c r="E181" t="n">
        <v>163.765772</v>
      </c>
      <c r="F181" t="n">
        <v>1149.132987</v>
      </c>
      <c r="G181" t="n">
        <v>1090.003899</v>
      </c>
      <c r="H181" t="n">
        <v>26127.395566</v>
      </c>
      <c r="I181" t="n">
        <v>60050.075009</v>
      </c>
      <c r="J181" t="n">
        <v>53916.35667</v>
      </c>
      <c r="K181" t="n">
        <v>48299.467469</v>
      </c>
      <c r="L181" t="n">
        <v>144843.028709</v>
      </c>
      <c r="M181" t="n">
        <v>144843.028709</v>
      </c>
      <c r="N181" t="n">
        <v>144843.028709</v>
      </c>
      <c r="O181" t="n">
        <v>27575.4076</v>
      </c>
      <c r="P181" t="n">
        <v>7327.206978</v>
      </c>
      <c r="Q181" t="n">
        <v>144843.028709</v>
      </c>
      <c r="R181" t="n">
        <v>-325556.764098</v>
      </c>
      <c r="S181" t="n">
        <v>27575.4076</v>
      </c>
      <c r="T181" t="n">
        <v>27614.770708</v>
      </c>
      <c r="U181" t="n">
        <v>7327.206978</v>
      </c>
      <c r="V181" t="n">
        <v>-737148.930634</v>
      </c>
      <c r="W181" t="n">
        <v>30898.696538</v>
      </c>
      <c r="X181" t="n">
        <v>163594.27594</v>
      </c>
      <c r="Y181" t="n">
        <v>628.222446</v>
      </c>
      <c r="Z181" t="n">
        <v>9215.010265999999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1" t="inlineStr">
        <is>
          <t>Dem L pred</t>
        </is>
      </c>
      <c r="E182" t="n">
        <v>163.765772</v>
      </c>
      <c r="F182" t="n">
        <v>702.92427</v>
      </c>
      <c r="G182" t="n">
        <v>669.216325</v>
      </c>
      <c r="H182" t="n">
        <v>8905.495621</v>
      </c>
      <c r="I182" t="n">
        <v>6777.626749</v>
      </c>
      <c r="J182" t="n">
        <v>6838.543559</v>
      </c>
      <c r="K182" t="n">
        <v>5761.94028</v>
      </c>
      <c r="L182" t="n">
        <v>11046.542562</v>
      </c>
      <c r="M182" t="n">
        <v>11046.542562</v>
      </c>
      <c r="N182" t="n">
        <v>11046.542562</v>
      </c>
      <c r="O182" t="n">
        <v>5782.706959</v>
      </c>
      <c r="P182" t="n">
        <v>2043.80318</v>
      </c>
      <c r="Q182" t="n">
        <v>11046.542562</v>
      </c>
      <c r="R182" t="n">
        <v>11049.934606</v>
      </c>
      <c r="S182" t="n">
        <v>5782.706959</v>
      </c>
      <c r="T182" t="n">
        <v>5785.88935</v>
      </c>
      <c r="U182" t="n">
        <v>2043.80318</v>
      </c>
      <c r="V182" t="n">
        <v>-21771.784771</v>
      </c>
      <c r="W182" t="n">
        <v>6494.006214</v>
      </c>
      <c r="X182" t="n">
        <v>12063.058581</v>
      </c>
      <c r="Y182" t="n">
        <v>400.815207</v>
      </c>
      <c r="Z182" t="n">
        <v>3457.571618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1" t="inlineStr">
        <is>
          <t>Sélaciens L côtiers | Sélaciens L prof | Sélaciens M côtiers</t>
        </is>
      </c>
      <c r="E183" t="n">
        <v>163.765772</v>
      </c>
      <c r="F183" t="n">
        <v>2769.679101</v>
      </c>
      <c r="G183" t="n">
        <v>2609.345799</v>
      </c>
      <c r="H183" t="n">
        <v>32748.854828</v>
      </c>
      <c r="I183" t="n">
        <v>116595.125398</v>
      </c>
      <c r="J183" t="n">
        <v>119798.742234</v>
      </c>
      <c r="K183" t="n">
        <v>62236.393543</v>
      </c>
      <c r="L183" t="n">
        <v>572935.866942</v>
      </c>
      <c r="M183" t="n">
        <v>572935.866942</v>
      </c>
      <c r="N183" t="n">
        <v>572935.866942</v>
      </c>
      <c r="O183" t="n">
        <v>48305.44852</v>
      </c>
      <c r="P183" t="n">
        <v>12184.061258</v>
      </c>
      <c r="Q183" t="n">
        <v>572935.866942</v>
      </c>
      <c r="R183" t="n">
        <v>-1282592.143821</v>
      </c>
      <c r="S183" t="n">
        <v>48305.44852</v>
      </c>
      <c r="T183" t="n">
        <v>48329.879067</v>
      </c>
      <c r="U183" t="n">
        <v>12184.061258</v>
      </c>
      <c r="V183" t="n">
        <v>-963318.880075</v>
      </c>
      <c r="W183" t="n">
        <v>54974.147209</v>
      </c>
      <c r="X183" t="n">
        <v>693161.301769</v>
      </c>
      <c r="Y183" t="n">
        <v>1401.037087</v>
      </c>
      <c r="Z183" t="n">
        <v>11488.716819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1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1" t="inlineStr">
        <is>
          <t>Côtier S pred</t>
        </is>
      </c>
      <c r="E185" t="n">
        <v>163.765772</v>
      </c>
      <c r="F185" t="n">
        <v>545.757696</v>
      </c>
      <c r="G185" t="n">
        <v>520.573184</v>
      </c>
      <c r="H185" t="n">
        <v>4917.222698</v>
      </c>
      <c r="I185" t="n">
        <v>1275.451871</v>
      </c>
      <c r="J185" t="n">
        <v>1276.0859</v>
      </c>
      <c r="K185" t="n">
        <v>1149.773886</v>
      </c>
      <c r="L185" t="n">
        <v>1835.857966</v>
      </c>
      <c r="M185" t="n">
        <v>1835.857966</v>
      </c>
      <c r="N185" t="n">
        <v>1835.857966</v>
      </c>
      <c r="O185" t="n">
        <v>1067.675983</v>
      </c>
      <c r="P185" t="n">
        <v>415.50327</v>
      </c>
      <c r="Q185" t="n">
        <v>1835.857966</v>
      </c>
      <c r="R185" t="n">
        <v>1836.5911</v>
      </c>
      <c r="S185" t="n">
        <v>1067.675983</v>
      </c>
      <c r="T185" t="n">
        <v>1068.391396</v>
      </c>
      <c r="U185" t="n">
        <v>415.50327</v>
      </c>
      <c r="V185" t="n">
        <v>-4249.608379</v>
      </c>
      <c r="W185" t="n">
        <v>1177.743138</v>
      </c>
      <c r="X185" t="n">
        <v>1944.131304</v>
      </c>
      <c r="Y185" t="n">
        <v>318.019746</v>
      </c>
      <c r="Z185" t="n">
        <v>2089.141318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1" t="inlineStr">
        <is>
          <t>Côtier pel S inv</t>
        </is>
      </c>
      <c r="E186" t="n">
        <v>163.765772</v>
      </c>
      <c r="F186" t="n">
        <v>63.371783</v>
      </c>
      <c r="G186" t="n">
        <v>61.431046</v>
      </c>
      <c r="H186" t="n">
        <v>318.709045</v>
      </c>
      <c r="I186" t="n">
        <v>117.871263</v>
      </c>
      <c r="J186" t="n">
        <v>118.151769</v>
      </c>
      <c r="K186" t="n">
        <v>106.830226</v>
      </c>
      <c r="L186" t="n">
        <v>182.678519</v>
      </c>
      <c r="M186" t="n">
        <v>182.678519</v>
      </c>
      <c r="N186" t="n">
        <v>182.678519</v>
      </c>
      <c r="O186" t="n">
        <v>118.787049</v>
      </c>
      <c r="P186" t="n">
        <v>55.817264</v>
      </c>
      <c r="Q186" t="n">
        <v>182.678519</v>
      </c>
      <c r="R186" t="n">
        <v>182.678573</v>
      </c>
      <c r="S186" t="n">
        <v>118.787049</v>
      </c>
      <c r="T186" t="n">
        <v>118.805172</v>
      </c>
      <c r="U186" t="n">
        <v>55.817264</v>
      </c>
      <c r="V186" t="n">
        <v>-489.077361</v>
      </c>
      <c r="W186" t="n">
        <v>128.847647</v>
      </c>
      <c r="X186" t="n">
        <v>189.690717</v>
      </c>
      <c r="Y186" t="n">
        <v>44.410268</v>
      </c>
      <c r="Z186" t="n">
        <v>180.282129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1" t="inlineStr">
        <is>
          <t>Côtier pel L pred</t>
        </is>
      </c>
      <c r="E187" t="n">
        <v>163.765772</v>
      </c>
      <c r="F187" t="n">
        <v>1052.557933</v>
      </c>
      <c r="G187" t="n">
        <v>999.055395</v>
      </c>
      <c r="H187" t="n">
        <v>11777.423523</v>
      </c>
      <c r="I187" t="n">
        <v>6532.776468</v>
      </c>
      <c r="J187" t="n">
        <v>7781.630289</v>
      </c>
      <c r="K187" t="n">
        <v>7457.950731</v>
      </c>
      <c r="L187" t="n">
        <v>14096.896099</v>
      </c>
      <c r="M187" t="n">
        <v>14096.896099</v>
      </c>
      <c r="N187" t="n">
        <v>14096.896099</v>
      </c>
      <c r="O187" t="n">
        <v>6109.578522</v>
      </c>
      <c r="P187" t="n">
        <v>1921.956368</v>
      </c>
      <c r="Q187" t="n">
        <v>14096.896099</v>
      </c>
      <c r="R187" t="n">
        <v>-57719.913078</v>
      </c>
      <c r="S187" t="n">
        <v>6109.578522</v>
      </c>
      <c r="T187" t="n">
        <v>6113.693041</v>
      </c>
      <c r="U187" t="n">
        <v>1921.956368</v>
      </c>
      <c r="V187" t="n">
        <v>-289813.58612</v>
      </c>
      <c r="W187" t="n">
        <v>6783.158943</v>
      </c>
      <c r="X187" t="n">
        <v>15274.306707</v>
      </c>
      <c r="Y187" t="n">
        <v>579.770625</v>
      </c>
      <c r="Z187" t="n">
        <v>4535.549158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1" t="inlineStr">
        <is>
          <t>Crustacés</t>
        </is>
      </c>
      <c r="E188" t="n">
        <v>163.765772</v>
      </c>
      <c r="F188" t="n">
        <v>79.64922</v>
      </c>
      <c r="G188" t="n">
        <v>77.077782</v>
      </c>
      <c r="H188" t="n">
        <v>199.420396</v>
      </c>
      <c r="I188" t="n">
        <v>94.919134</v>
      </c>
      <c r="J188" t="n">
        <v>94.919134</v>
      </c>
      <c r="K188" t="n">
        <v>90.173177</v>
      </c>
      <c r="L188" t="n">
        <v>135.651174</v>
      </c>
      <c r="M188" t="n">
        <v>135.651174</v>
      </c>
      <c r="N188" t="n">
        <v>135.651174</v>
      </c>
      <c r="O188" t="n">
        <v>112.097094</v>
      </c>
      <c r="P188" t="n">
        <v>63.65447</v>
      </c>
      <c r="Q188" t="n">
        <v>135.651174</v>
      </c>
      <c r="R188" t="n">
        <v>135.651174</v>
      </c>
      <c r="S188" t="n">
        <v>112.097094</v>
      </c>
      <c r="T188" t="n">
        <v>112.118405</v>
      </c>
      <c r="U188" t="n">
        <v>63.65447</v>
      </c>
      <c r="V188" t="n">
        <v>-691.708697</v>
      </c>
      <c r="W188" t="n">
        <v>122.926325</v>
      </c>
      <c r="X188" t="n">
        <v>140.897505</v>
      </c>
      <c r="Y188" t="n">
        <v>54.73445</v>
      </c>
      <c r="Z188" t="n">
        <v>122.753568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1" t="inlineStr">
        <is>
          <t>Côtier L pred | Dem M pred | Dem S inv</t>
        </is>
      </c>
      <c r="E189" t="n">
        <v>163.765772</v>
      </c>
      <c r="F189" t="n">
        <v>833.910739</v>
      </c>
      <c r="G189" t="n">
        <v>792.894523</v>
      </c>
      <c r="H189" t="n">
        <v>6985.631584</v>
      </c>
      <c r="I189" t="n">
        <v>4955.695121</v>
      </c>
      <c r="J189" t="n">
        <v>9208.66279</v>
      </c>
      <c r="K189" t="n">
        <v>7972.274798</v>
      </c>
      <c r="L189" t="n">
        <v>18478.326048</v>
      </c>
      <c r="M189" t="n">
        <v>18478.326048</v>
      </c>
      <c r="N189" t="n">
        <v>18478.326048</v>
      </c>
      <c r="O189" t="n">
        <v>6152.421962</v>
      </c>
      <c r="P189" t="n">
        <v>1973.512752</v>
      </c>
      <c r="Q189" t="n">
        <v>18478.326048</v>
      </c>
      <c r="R189" t="n">
        <v>-80374.789555</v>
      </c>
      <c r="S189" t="n">
        <v>6152.421962</v>
      </c>
      <c r="T189" t="n">
        <v>6157.729853</v>
      </c>
      <c r="U189" t="n">
        <v>1973.512752</v>
      </c>
      <c r="V189" t="n">
        <v>-446172.237294</v>
      </c>
      <c r="W189" t="n">
        <v>6766.987399</v>
      </c>
      <c r="X189" t="n">
        <v>19923.650213</v>
      </c>
      <c r="Y189" t="n">
        <v>468.524347</v>
      </c>
      <c r="Z189" t="n">
        <v>2876.217513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1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1" t="inlineStr">
        <is>
          <t>Bathy SM inv | Dem M inv | Dem M pred</t>
        </is>
      </c>
      <c r="E191" t="n">
        <v>163.765772</v>
      </c>
      <c r="F191" t="n">
        <v>223.303228</v>
      </c>
      <c r="G191" t="n">
        <v>214.112074</v>
      </c>
      <c r="H191" t="n">
        <v>885.794411</v>
      </c>
      <c r="I191" t="n">
        <v>840.989866</v>
      </c>
      <c r="J191" t="n">
        <v>841.211661</v>
      </c>
      <c r="K191" t="n">
        <v>799.151078</v>
      </c>
      <c r="L191" t="n">
        <v>1083.366179</v>
      </c>
      <c r="M191" t="n">
        <v>1083.366179</v>
      </c>
      <c r="N191" t="n">
        <v>1083.366179</v>
      </c>
      <c r="O191" t="n">
        <v>853.144685</v>
      </c>
      <c r="P191" t="n">
        <v>441.922052</v>
      </c>
      <c r="Q191" t="n">
        <v>1083.366179</v>
      </c>
      <c r="R191" t="n">
        <v>1083.481839</v>
      </c>
      <c r="S191" t="n">
        <v>853.144685</v>
      </c>
      <c r="T191" t="n">
        <v>853.396621</v>
      </c>
      <c r="U191" t="n">
        <v>441.922052</v>
      </c>
      <c r="V191" t="n">
        <v>-4855.07249</v>
      </c>
      <c r="W191" t="n">
        <v>935.5779659999999</v>
      </c>
      <c r="X191" t="n">
        <v>1151.461916</v>
      </c>
      <c r="Y191" t="n">
        <v>138.351876</v>
      </c>
      <c r="Z191" t="n">
        <v>440.097144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1" t="inlineStr">
        <is>
          <t>Côtier L pred | Côtier M pred</t>
        </is>
      </c>
      <c r="E192" t="n">
        <v>163.765772</v>
      </c>
      <c r="F192" t="n">
        <v>834.710991</v>
      </c>
      <c r="G192" t="n">
        <v>793.66012</v>
      </c>
      <c r="H192" t="n">
        <v>7076.721582</v>
      </c>
      <c r="I192" t="n">
        <v>5090.574344</v>
      </c>
      <c r="J192" t="n">
        <v>9567.432897000001</v>
      </c>
      <c r="K192" t="n">
        <v>8272.230341</v>
      </c>
      <c r="L192" t="n">
        <v>19277.320929</v>
      </c>
      <c r="M192" t="n">
        <v>19277.320929</v>
      </c>
      <c r="N192" t="n">
        <v>19277.320929</v>
      </c>
      <c r="O192" t="n">
        <v>6360.279708</v>
      </c>
      <c r="P192" t="n">
        <v>2029.195502</v>
      </c>
      <c r="Q192" t="n">
        <v>19277.320929</v>
      </c>
      <c r="R192" t="n">
        <v>-84829.020017</v>
      </c>
      <c r="S192" t="n">
        <v>6360.279708</v>
      </c>
      <c r="T192" t="n">
        <v>6365.786906</v>
      </c>
      <c r="U192" t="n">
        <v>2029.195502</v>
      </c>
      <c r="V192" t="n">
        <v>-469288.825725</v>
      </c>
      <c r="W192" t="n">
        <v>6995.667516</v>
      </c>
      <c r="X192" t="n">
        <v>20787.513927</v>
      </c>
      <c r="Y192" t="n">
        <v>469.002774</v>
      </c>
      <c r="Z192" t="n">
        <v>2908.614353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1" t="inlineStr">
        <is>
          <t>Crustacés</t>
        </is>
      </c>
      <c r="E193" t="n">
        <v>163.765772</v>
      </c>
      <c r="F193" t="n">
        <v>79.64922</v>
      </c>
      <c r="G193" t="n">
        <v>77.077782</v>
      </c>
      <c r="H193" t="n">
        <v>199.420396</v>
      </c>
      <c r="I193" t="n">
        <v>94.919134</v>
      </c>
      <c r="J193" t="n">
        <v>94.919134</v>
      </c>
      <c r="K193" t="n">
        <v>90.173177</v>
      </c>
      <c r="L193" t="n">
        <v>135.651174</v>
      </c>
      <c r="M193" t="n">
        <v>135.651174</v>
      </c>
      <c r="N193" t="n">
        <v>135.651174</v>
      </c>
      <c r="O193" t="n">
        <v>112.097094</v>
      </c>
      <c r="P193" t="n">
        <v>63.65447</v>
      </c>
      <c r="Q193" t="n">
        <v>135.651174</v>
      </c>
      <c r="R193" t="n">
        <v>135.651174</v>
      </c>
      <c r="S193" t="n">
        <v>112.097094</v>
      </c>
      <c r="T193" t="n">
        <v>112.118405</v>
      </c>
      <c r="U193" t="n">
        <v>63.65447</v>
      </c>
      <c r="V193" t="n">
        <v>-691.708697</v>
      </c>
      <c r="W193" t="n">
        <v>122.926325</v>
      </c>
      <c r="X193" t="n">
        <v>140.897505</v>
      </c>
      <c r="Y193" t="n">
        <v>54.73445</v>
      </c>
      <c r="Z193" t="n">
        <v>122.753568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1" t="inlineStr">
        <is>
          <t>Côtier pel L pred</t>
        </is>
      </c>
      <c r="E194" t="n">
        <v>163.765772</v>
      </c>
      <c r="F194" t="n">
        <v>1052.557933</v>
      </c>
      <c r="G194" t="n">
        <v>999.055395</v>
      </c>
      <c r="H194" t="n">
        <v>11777.423523</v>
      </c>
      <c r="I194" t="n">
        <v>6532.776468</v>
      </c>
      <c r="J194" t="n">
        <v>7781.630289</v>
      </c>
      <c r="K194" t="n">
        <v>7457.950731</v>
      </c>
      <c r="L194" t="n">
        <v>14096.896099</v>
      </c>
      <c r="M194" t="n">
        <v>14096.896099</v>
      </c>
      <c r="N194" t="n">
        <v>14096.896099</v>
      </c>
      <c r="O194" t="n">
        <v>6109.578522</v>
      </c>
      <c r="P194" t="n">
        <v>1921.956368</v>
      </c>
      <c r="Q194" t="n">
        <v>14096.896099</v>
      </c>
      <c r="R194" t="n">
        <v>-57719.913078</v>
      </c>
      <c r="S194" t="n">
        <v>6109.578522</v>
      </c>
      <c r="T194" t="n">
        <v>6113.693041</v>
      </c>
      <c r="U194" t="n">
        <v>1921.956368</v>
      </c>
      <c r="V194" t="n">
        <v>-289813.58612</v>
      </c>
      <c r="W194" t="n">
        <v>6783.158943</v>
      </c>
      <c r="X194" t="n">
        <v>15274.306707</v>
      </c>
      <c r="Y194" t="n">
        <v>579.770625</v>
      </c>
      <c r="Z194" t="n">
        <v>4535.549158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1" t="inlineStr">
        <is>
          <t>Côtier M inv</t>
        </is>
      </c>
      <c r="E195" t="n">
        <v>163.765772</v>
      </c>
      <c r="F195" t="n">
        <v>170.837609</v>
      </c>
      <c r="G195" t="n">
        <v>164.379174</v>
      </c>
      <c r="H195" t="n">
        <v>573.174129</v>
      </c>
      <c r="I195" t="n">
        <v>332.812451</v>
      </c>
      <c r="J195" t="n">
        <v>332.812451</v>
      </c>
      <c r="K195" t="n">
        <v>331.190423</v>
      </c>
      <c r="L195" t="n">
        <v>425.732264</v>
      </c>
      <c r="M195" t="n">
        <v>425.732264</v>
      </c>
      <c r="N195" t="n">
        <v>425.732264</v>
      </c>
      <c r="O195" t="n">
        <v>368.426453</v>
      </c>
      <c r="P195" t="n">
        <v>198.243136</v>
      </c>
      <c r="Q195" t="n">
        <v>425.732264</v>
      </c>
      <c r="R195" t="n">
        <v>425.732264</v>
      </c>
      <c r="S195" t="n">
        <v>368.426453</v>
      </c>
      <c r="T195" t="n">
        <v>368.498294</v>
      </c>
      <c r="U195" t="n">
        <v>198.243136</v>
      </c>
      <c r="V195" t="n">
        <v>-2197.047861</v>
      </c>
      <c r="W195" t="n">
        <v>402.613215</v>
      </c>
      <c r="X195" t="n">
        <v>447.451967</v>
      </c>
      <c r="Y195" t="n">
        <v>109.967259</v>
      </c>
      <c r="Z195" t="n">
        <v>314.242463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1" t="inlineStr">
        <is>
          <t>Sélaciens L prof</t>
        </is>
      </c>
      <c r="E196" t="n">
        <v>163.765772</v>
      </c>
      <c r="F196" t="n">
        <v>2984.356694</v>
      </c>
      <c r="G196" t="n">
        <v>2810.614697</v>
      </c>
      <c r="H196" t="n">
        <v>33756.075827</v>
      </c>
      <c r="I196" t="n">
        <v>124489.068835</v>
      </c>
      <c r="J196" t="n">
        <v>128867.658555</v>
      </c>
      <c r="K196" t="n">
        <v>64433.829278</v>
      </c>
      <c r="L196" t="n">
        <v>630808.944285</v>
      </c>
      <c r="M196" t="n">
        <v>630808.944285</v>
      </c>
      <c r="N196" t="n">
        <v>630808.944285</v>
      </c>
      <c r="O196" t="n">
        <v>51235.427712</v>
      </c>
      <c r="P196" t="n">
        <v>12872.10487</v>
      </c>
      <c r="Q196" t="n">
        <v>630808.944285</v>
      </c>
      <c r="R196" t="n">
        <v>-1411467.842509</v>
      </c>
      <c r="S196" t="n">
        <v>51235.427712</v>
      </c>
      <c r="T196" t="n">
        <v>51258.187051</v>
      </c>
      <c r="U196" t="n">
        <v>12872.10487</v>
      </c>
      <c r="V196" t="n">
        <v>-997628.83218</v>
      </c>
      <c r="W196" t="n">
        <v>58369.961914</v>
      </c>
      <c r="X196" t="n">
        <v>764652.412024</v>
      </c>
      <c r="Y196" t="n">
        <v>1503.40227</v>
      </c>
      <c r="Z196" t="n">
        <v>11832.505589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1" t="inlineStr">
        <is>
          <t>Dem S inv</t>
        </is>
      </c>
      <c r="E197" t="n">
        <v>163.765772</v>
      </c>
      <c r="F197" t="n">
        <v>142.252931</v>
      </c>
      <c r="G197" t="n">
        <v>137.06314</v>
      </c>
      <c r="H197" t="n">
        <v>222.613532</v>
      </c>
      <c r="I197" t="n">
        <v>360.673587</v>
      </c>
      <c r="J197" t="n">
        <v>360.673587</v>
      </c>
      <c r="K197" t="n">
        <v>342.639907</v>
      </c>
      <c r="L197" t="n">
        <v>430.111455</v>
      </c>
      <c r="M197" t="n">
        <v>430.111455</v>
      </c>
      <c r="N197" t="n">
        <v>430.111455</v>
      </c>
      <c r="O197" t="n">
        <v>381.619104</v>
      </c>
      <c r="P197" t="n">
        <v>231.961509</v>
      </c>
      <c r="Q197" t="n">
        <v>430.111455</v>
      </c>
      <c r="R197" t="n">
        <v>430.111455</v>
      </c>
      <c r="S197" t="n">
        <v>381.619104</v>
      </c>
      <c r="T197" t="n">
        <v>381.697883</v>
      </c>
      <c r="U197" t="n">
        <v>231.961509</v>
      </c>
      <c r="V197" t="n">
        <v>-2677.846065</v>
      </c>
      <c r="W197" t="n">
        <v>415.453035</v>
      </c>
      <c r="X197" t="n">
        <v>450.376681</v>
      </c>
      <c r="Y197" t="n">
        <v>93.01559399999999</v>
      </c>
      <c r="Z197" t="n">
        <v>138.922278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1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1" t="inlineStr">
        <is>
          <t>Côtier M inv</t>
        </is>
      </c>
      <c r="E199" t="n">
        <v>163.765772</v>
      </c>
      <c r="F199" t="n">
        <v>170.837609</v>
      </c>
      <c r="G199" t="n">
        <v>164.379174</v>
      </c>
      <c r="H199" t="n">
        <v>573.174129</v>
      </c>
      <c r="I199" t="n">
        <v>332.812451</v>
      </c>
      <c r="J199" t="n">
        <v>332.812451</v>
      </c>
      <c r="K199" t="n">
        <v>331.190423</v>
      </c>
      <c r="L199" t="n">
        <v>425.732264</v>
      </c>
      <c r="M199" t="n">
        <v>425.732264</v>
      </c>
      <c r="N199" t="n">
        <v>425.732264</v>
      </c>
      <c r="O199" t="n">
        <v>368.426453</v>
      </c>
      <c r="P199" t="n">
        <v>198.243136</v>
      </c>
      <c r="Q199" t="n">
        <v>425.732264</v>
      </c>
      <c r="R199" t="n">
        <v>425.732264</v>
      </c>
      <c r="S199" t="n">
        <v>368.426453</v>
      </c>
      <c r="T199" t="n">
        <v>368.498294</v>
      </c>
      <c r="U199" t="n">
        <v>198.243136</v>
      </c>
      <c r="V199" t="n">
        <v>-2197.047861</v>
      </c>
      <c r="W199" t="n">
        <v>402.613215</v>
      </c>
      <c r="X199" t="n">
        <v>447.451967</v>
      </c>
      <c r="Y199" t="n">
        <v>109.967259</v>
      </c>
      <c r="Z199" t="n">
        <v>314.242463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Thons majeurs</t>
        </is>
      </c>
      <c r="E200" t="n">
        <v>163.765772</v>
      </c>
      <c r="F200" t="n">
        <v>2736.422785</v>
      </c>
      <c r="G200" t="n">
        <v>2578.791074</v>
      </c>
      <c r="H200" t="n">
        <v>17894.357856</v>
      </c>
      <c r="I200" t="n">
        <v>8524.661732</v>
      </c>
      <c r="J200" t="n">
        <v>8877.094804</v>
      </c>
      <c r="K200" t="n">
        <v>4438.547402</v>
      </c>
      <c r="L200" t="n">
        <v>13559.45898</v>
      </c>
      <c r="M200" t="n">
        <v>13559.45898</v>
      </c>
      <c r="N200" t="n">
        <v>13559.45898</v>
      </c>
      <c r="O200" t="n">
        <v>3620.876362</v>
      </c>
      <c r="P200" t="n">
        <v>1183.597755</v>
      </c>
      <c r="Q200" t="n">
        <v>13559.45898</v>
      </c>
      <c r="R200" t="n">
        <v>-35797.700389</v>
      </c>
      <c r="S200" t="n">
        <v>3620.876362</v>
      </c>
      <c r="T200" t="n">
        <v>3622.234339</v>
      </c>
      <c r="U200" t="n">
        <v>1183.597755</v>
      </c>
      <c r="V200" t="n">
        <v>-69439.82694100001</v>
      </c>
      <c r="W200" t="n">
        <v>4014.207129</v>
      </c>
      <c r="X200" t="n">
        <v>14860.336328</v>
      </c>
      <c r="Y200" t="n">
        <v>1388.786767</v>
      </c>
      <c r="Z200" t="n">
        <v>6982.262246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1" t="inlineStr">
        <is>
          <t>Côtier pel L pred</t>
        </is>
      </c>
      <c r="E201" t="n">
        <v>163.765772</v>
      </c>
      <c r="F201" t="n">
        <v>1052.557933</v>
      </c>
      <c r="G201" t="n">
        <v>999.055395</v>
      </c>
      <c r="H201" t="n">
        <v>11777.423523</v>
      </c>
      <c r="I201" t="n">
        <v>6532.776468</v>
      </c>
      <c r="J201" t="n">
        <v>7781.630289</v>
      </c>
      <c r="K201" t="n">
        <v>7457.950731</v>
      </c>
      <c r="L201" t="n">
        <v>14096.896099</v>
      </c>
      <c r="M201" t="n">
        <v>14096.896099</v>
      </c>
      <c r="N201" t="n">
        <v>14096.896099</v>
      </c>
      <c r="O201" t="n">
        <v>6109.578522</v>
      </c>
      <c r="P201" t="n">
        <v>1921.956368</v>
      </c>
      <c r="Q201" t="n">
        <v>14096.896099</v>
      </c>
      <c r="R201" t="n">
        <v>-57719.913078</v>
      </c>
      <c r="S201" t="n">
        <v>6109.578522</v>
      </c>
      <c r="T201" t="n">
        <v>6113.693041</v>
      </c>
      <c r="U201" t="n">
        <v>1921.956368</v>
      </c>
      <c r="V201" t="n">
        <v>-289813.58612</v>
      </c>
      <c r="W201" t="n">
        <v>6783.158943</v>
      </c>
      <c r="X201" t="n">
        <v>15274.306707</v>
      </c>
      <c r="Y201" t="n">
        <v>579.770625</v>
      </c>
      <c r="Z201" t="n">
        <v>4535.549158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1" t="inlineStr">
        <is>
          <t>Dem L pred</t>
        </is>
      </c>
      <c r="E202" t="n">
        <v>163.765772</v>
      </c>
      <c r="F202" t="n">
        <v>702.92427</v>
      </c>
      <c r="G202" t="n">
        <v>669.216325</v>
      </c>
      <c r="H202" t="n">
        <v>8905.495621</v>
      </c>
      <c r="I202" t="n">
        <v>6777.626749</v>
      </c>
      <c r="J202" t="n">
        <v>6838.543559</v>
      </c>
      <c r="K202" t="n">
        <v>5761.94028</v>
      </c>
      <c r="L202" t="n">
        <v>11046.542562</v>
      </c>
      <c r="M202" t="n">
        <v>11046.542562</v>
      </c>
      <c r="N202" t="n">
        <v>11046.542562</v>
      </c>
      <c r="O202" t="n">
        <v>5782.706959</v>
      </c>
      <c r="P202" t="n">
        <v>2043.80318</v>
      </c>
      <c r="Q202" t="n">
        <v>11046.542562</v>
      </c>
      <c r="R202" t="n">
        <v>11049.934606</v>
      </c>
      <c r="S202" t="n">
        <v>5782.706959</v>
      </c>
      <c r="T202" t="n">
        <v>5785.88935</v>
      </c>
      <c r="U202" t="n">
        <v>2043.80318</v>
      </c>
      <c r="V202" t="n">
        <v>-21771.784771</v>
      </c>
      <c r="W202" t="n">
        <v>6494.006214</v>
      </c>
      <c r="X202" t="n">
        <v>12063.058581</v>
      </c>
      <c r="Y202" t="n">
        <v>400.815207</v>
      </c>
      <c r="Z202" t="n">
        <v>3457.571618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1" t="inlineStr">
        <is>
          <t>Dem L pred</t>
        </is>
      </c>
      <c r="E203" t="n">
        <v>163.765772</v>
      </c>
      <c r="F203" t="n">
        <v>702.92427</v>
      </c>
      <c r="G203" t="n">
        <v>669.216325</v>
      </c>
      <c r="H203" t="n">
        <v>8905.495621</v>
      </c>
      <c r="I203" t="n">
        <v>6777.626749</v>
      </c>
      <c r="J203" t="n">
        <v>6838.543559</v>
      </c>
      <c r="K203" t="n">
        <v>5761.94028</v>
      </c>
      <c r="L203" t="n">
        <v>11046.542562</v>
      </c>
      <c r="M203" t="n">
        <v>11046.542562</v>
      </c>
      <c r="N203" t="n">
        <v>11046.542562</v>
      </c>
      <c r="O203" t="n">
        <v>5782.706959</v>
      </c>
      <c r="P203" t="n">
        <v>2043.80318</v>
      </c>
      <c r="Q203" t="n">
        <v>11046.542562</v>
      </c>
      <c r="R203" t="n">
        <v>11049.934606</v>
      </c>
      <c r="S203" t="n">
        <v>5782.706959</v>
      </c>
      <c r="T203" t="n">
        <v>5785.88935</v>
      </c>
      <c r="U203" t="n">
        <v>2043.80318</v>
      </c>
      <c r="V203" t="n">
        <v>-21771.784771</v>
      </c>
      <c r="W203" t="n">
        <v>6494.006214</v>
      </c>
      <c r="X203" t="n">
        <v>12063.058581</v>
      </c>
      <c r="Y203" t="n">
        <v>400.815207</v>
      </c>
      <c r="Z203" t="n">
        <v>3457.571618</v>
      </c>
    </row>
    <row r="204" ht="21" customHeight="1">
      <c r="A204" t="inlineStr">
        <is>
          <t>Abudefduf</t>
        </is>
      </c>
      <c r="D204" s="11" t="inlineStr">
        <is>
          <t>Côtier S inv</t>
        </is>
      </c>
      <c r="E204" t="n">
        <v>163.765772</v>
      </c>
      <c r="F204" t="n">
        <v>79.510256</v>
      </c>
      <c r="G204" t="n">
        <v>76.944312</v>
      </c>
      <c r="H204" t="n">
        <v>373.180416</v>
      </c>
      <c r="I204" t="n">
        <v>228.22673</v>
      </c>
      <c r="J204" t="n">
        <v>228.830344</v>
      </c>
      <c r="K204" t="n">
        <v>223.019358</v>
      </c>
      <c r="L204" t="n">
        <v>302.460327</v>
      </c>
      <c r="M204" t="n">
        <v>302.460327</v>
      </c>
      <c r="N204" t="n">
        <v>302.460327</v>
      </c>
      <c r="O204" t="n">
        <v>244.226076</v>
      </c>
      <c r="P204" t="n">
        <v>127.659422</v>
      </c>
      <c r="Q204" t="n">
        <v>302.460327</v>
      </c>
      <c r="R204" t="n">
        <v>303.400726</v>
      </c>
      <c r="S204" t="n">
        <v>244.226076</v>
      </c>
      <c r="T204" t="n">
        <v>245.025938</v>
      </c>
      <c r="U204" t="n">
        <v>127.659422</v>
      </c>
      <c r="V204" t="n">
        <v>-1352.064159</v>
      </c>
      <c r="W204" t="n">
        <v>266.013821</v>
      </c>
      <c r="X204" t="n">
        <v>316.479608</v>
      </c>
      <c r="Y204" t="n">
        <v>54.647132</v>
      </c>
      <c r="Z204" t="n">
        <v>203.050192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1" t="inlineStr">
        <is>
          <t>Dem M pred</t>
        </is>
      </c>
      <c r="E205" t="n">
        <v>163.765772</v>
      </c>
      <c r="F205" t="n">
        <v>865.196085</v>
      </c>
      <c r="G205" t="n">
        <v>822.424992</v>
      </c>
      <c r="H205" t="n">
        <v>5615.493407</v>
      </c>
      <c r="I205" t="n">
        <v>2546.011711</v>
      </c>
      <c r="J205" t="n">
        <v>2549.035034</v>
      </c>
      <c r="K205" t="n">
        <v>2421.583282</v>
      </c>
      <c r="L205" t="n">
        <v>3524.187941</v>
      </c>
      <c r="M205" t="n">
        <v>3524.187941</v>
      </c>
      <c r="N205" t="n">
        <v>3524.187941</v>
      </c>
      <c r="O205" t="n">
        <v>2342.135982</v>
      </c>
      <c r="P205" t="n">
        <v>967.00559</v>
      </c>
      <c r="Q205" t="n">
        <v>3524.187941</v>
      </c>
      <c r="R205" t="n">
        <v>3525.764533</v>
      </c>
      <c r="S205" t="n">
        <v>2342.135982</v>
      </c>
      <c r="T205" t="n">
        <v>2343.769424</v>
      </c>
      <c r="U205" t="n">
        <v>967.00559</v>
      </c>
      <c r="V205" t="n">
        <v>-10416.992768</v>
      </c>
      <c r="W205" t="n">
        <v>2575.217274</v>
      </c>
      <c r="X205" t="n">
        <v>3752.05936</v>
      </c>
      <c r="Y205" t="n">
        <v>484.640876</v>
      </c>
      <c r="Z205" t="n">
        <v>2412.077537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1" t="inlineStr">
        <is>
          <t>Céphalopodes</t>
        </is>
      </c>
      <c r="E206" t="n">
        <v>163.765772</v>
      </c>
      <c r="F206" t="n">
        <v>822.926928</v>
      </c>
      <c r="G206" t="n">
        <v>782.5392000000001</v>
      </c>
      <c r="H206" t="n">
        <v>2911.87363</v>
      </c>
      <c r="I206" t="n">
        <v>776.133746</v>
      </c>
      <c r="J206" t="n">
        <v>776.133746</v>
      </c>
      <c r="K206" t="n">
        <v>737.327059</v>
      </c>
      <c r="L206" t="n">
        <v>1169.062418</v>
      </c>
      <c r="M206" t="n">
        <v>1169.062418</v>
      </c>
      <c r="N206" t="n">
        <v>1169.062418</v>
      </c>
      <c r="O206" t="n">
        <v>633.532727</v>
      </c>
      <c r="P206" t="n">
        <v>262.848004</v>
      </c>
      <c r="Q206" t="n">
        <v>1169.062418</v>
      </c>
      <c r="R206" t="n">
        <v>1169.12609</v>
      </c>
      <c r="S206" t="n">
        <v>633.532727</v>
      </c>
      <c r="T206" t="n">
        <v>633.690429</v>
      </c>
      <c r="U206" t="n">
        <v>262.848004</v>
      </c>
      <c r="V206" t="n">
        <v>-2693.977387</v>
      </c>
      <c r="W206" t="n">
        <v>696.074883</v>
      </c>
      <c r="X206" t="n">
        <v>1245.601022</v>
      </c>
      <c r="Y206" t="n">
        <v>462.946606</v>
      </c>
      <c r="Z206" t="n">
        <v>1388.475781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1" t="inlineStr">
        <is>
          <t>Dem M inv</t>
        </is>
      </c>
      <c r="E207" t="n">
        <v>163.765772</v>
      </c>
      <c r="F207" t="n">
        <v>172.485056</v>
      </c>
      <c r="G207" t="n">
        <v>165.952401</v>
      </c>
      <c r="H207" t="n">
        <v>511.347723</v>
      </c>
      <c r="I207" t="n">
        <v>706.004578</v>
      </c>
      <c r="J207" t="n">
        <v>706.004578</v>
      </c>
      <c r="K207" t="n">
        <v>670.704349</v>
      </c>
      <c r="L207" t="n">
        <v>890.128168</v>
      </c>
      <c r="M207" t="n">
        <v>890.128168</v>
      </c>
      <c r="N207" t="n">
        <v>890.128168</v>
      </c>
      <c r="O207" t="n">
        <v>735.262371</v>
      </c>
      <c r="P207" t="n">
        <v>400.351586</v>
      </c>
      <c r="Q207" t="n">
        <v>890.128168</v>
      </c>
      <c r="R207" t="n">
        <v>890.128168</v>
      </c>
      <c r="S207" t="n">
        <v>735.262371</v>
      </c>
      <c r="T207" t="n">
        <v>735.404934</v>
      </c>
      <c r="U207" t="n">
        <v>400.351586</v>
      </c>
      <c r="V207" t="n">
        <v>-4414.739474</v>
      </c>
      <c r="W207" t="n">
        <v>805.768964</v>
      </c>
      <c r="X207" t="n">
        <v>945.574586</v>
      </c>
      <c r="Y207" t="n">
        <v>110.936439</v>
      </c>
      <c r="Z207" t="n">
        <v>283.97695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1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1" t="inlineStr">
        <is>
          <t>Sélaciens L côtiers</t>
        </is>
      </c>
      <c r="E209" t="n">
        <v>163.765772</v>
      </c>
      <c r="F209" t="n">
        <v>1149.132987</v>
      </c>
      <c r="G209" t="n">
        <v>1090.003899</v>
      </c>
      <c r="H209" t="n">
        <v>26127.395566</v>
      </c>
      <c r="I209" t="n">
        <v>60050.075009</v>
      </c>
      <c r="J209" t="n">
        <v>53916.35667</v>
      </c>
      <c r="K209" t="n">
        <v>48299.467469</v>
      </c>
      <c r="L209" t="n">
        <v>144843.028709</v>
      </c>
      <c r="M209" t="n">
        <v>144843.028709</v>
      </c>
      <c r="N209" t="n">
        <v>144843.028709</v>
      </c>
      <c r="O209" t="n">
        <v>27575.4076</v>
      </c>
      <c r="P209" t="n">
        <v>7327.206978</v>
      </c>
      <c r="Q209" t="n">
        <v>144843.028709</v>
      </c>
      <c r="R209" t="n">
        <v>-325556.764098</v>
      </c>
      <c r="S209" t="n">
        <v>27575.4076</v>
      </c>
      <c r="T209" t="n">
        <v>27614.770708</v>
      </c>
      <c r="U209" t="n">
        <v>7327.206978</v>
      </c>
      <c r="V209" t="n">
        <v>-737148.930634</v>
      </c>
      <c r="W209" t="n">
        <v>30898.696538</v>
      </c>
      <c r="X209" t="n">
        <v>163594.27594</v>
      </c>
      <c r="Y209" t="n">
        <v>628.222446</v>
      </c>
      <c r="Z209" t="n">
        <v>9215.010265999999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1" t="inlineStr">
        <is>
          <t>Bathy L pred</t>
        </is>
      </c>
      <c r="E210" t="n">
        <v>163.765772</v>
      </c>
      <c r="F210" t="n">
        <v>1106.358887</v>
      </c>
      <c r="G210" t="n">
        <v>1049.729226</v>
      </c>
      <c r="H210" t="n">
        <v>7084.224774</v>
      </c>
      <c r="I210" t="n">
        <v>3065.63011</v>
      </c>
      <c r="J210" t="n">
        <v>3130.321128</v>
      </c>
      <c r="K210" t="n">
        <v>2973.805071</v>
      </c>
      <c r="L210" t="n">
        <v>5058.409669</v>
      </c>
      <c r="M210" t="n">
        <v>5058.409669</v>
      </c>
      <c r="N210" t="n">
        <v>5058.409669</v>
      </c>
      <c r="O210" t="n">
        <v>2368.213267</v>
      </c>
      <c r="P210" t="n">
        <v>807.090989</v>
      </c>
      <c r="Q210" t="n">
        <v>5058.409669</v>
      </c>
      <c r="R210" t="n">
        <v>5058.887376</v>
      </c>
      <c r="S210" t="n">
        <v>2368.213267</v>
      </c>
      <c r="T210" t="n">
        <v>2368.90613</v>
      </c>
      <c r="U210" t="n">
        <v>807.090989</v>
      </c>
      <c r="V210" t="n">
        <v>-8012.255817</v>
      </c>
      <c r="W210" t="n">
        <v>2656.820722</v>
      </c>
      <c r="X210" t="n">
        <v>5385.081532</v>
      </c>
      <c r="Y210" t="n">
        <v>606.8075</v>
      </c>
      <c r="Z210" t="n">
        <v>2931.579205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1" t="inlineStr">
        <is>
          <t>Thons majeurs</t>
        </is>
      </c>
      <c r="E211" t="n">
        <v>163.765772</v>
      </c>
      <c r="F211" t="n">
        <v>2736.422785</v>
      </c>
      <c r="G211" t="n">
        <v>2578.791074</v>
      </c>
      <c r="H211" t="n">
        <v>17894.357856</v>
      </c>
      <c r="I211" t="n">
        <v>8524.661732</v>
      </c>
      <c r="J211" t="n">
        <v>8877.094804</v>
      </c>
      <c r="K211" t="n">
        <v>4438.547402</v>
      </c>
      <c r="L211" t="n">
        <v>13559.45898</v>
      </c>
      <c r="M211" t="n">
        <v>13559.45898</v>
      </c>
      <c r="N211" t="n">
        <v>13559.45898</v>
      </c>
      <c r="O211" t="n">
        <v>3620.876362</v>
      </c>
      <c r="P211" t="n">
        <v>1183.597755</v>
      </c>
      <c r="Q211" t="n">
        <v>13559.45898</v>
      </c>
      <c r="R211" t="n">
        <v>-35797.700389</v>
      </c>
      <c r="S211" t="n">
        <v>3620.876362</v>
      </c>
      <c r="T211" t="n">
        <v>3622.234339</v>
      </c>
      <c r="U211" t="n">
        <v>1183.597755</v>
      </c>
      <c r="V211" t="n">
        <v>-69439.82694100001</v>
      </c>
      <c r="W211" t="n">
        <v>4014.207129</v>
      </c>
      <c r="X211" t="n">
        <v>14860.336328</v>
      </c>
      <c r="Y211" t="n">
        <v>1388.786767</v>
      </c>
      <c r="Z211" t="n">
        <v>6982.262246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1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1" t="inlineStr">
        <is>
          <t>Sélaciens L prof | Sélaciens L côtiers | Sélaciens M prof | Sélaciens M côtiers</t>
        </is>
      </c>
      <c r="E213" t="n">
        <v>163.765772</v>
      </c>
      <c r="F213" t="n">
        <v>2769.459489</v>
      </c>
      <c r="G213" t="n">
        <v>2609.234813</v>
      </c>
      <c r="H213" t="n">
        <v>29837.845747</v>
      </c>
      <c r="I213" t="n">
        <v>101657.718481</v>
      </c>
      <c r="J213" t="n">
        <v>104398.134468</v>
      </c>
      <c r="K213" t="n">
        <v>54134.586328</v>
      </c>
      <c r="L213" t="n">
        <v>481965.932532</v>
      </c>
      <c r="M213" t="n">
        <v>481965.932532</v>
      </c>
      <c r="N213" t="n">
        <v>481965.932532</v>
      </c>
      <c r="O213" t="n">
        <v>42015.216824</v>
      </c>
      <c r="P213" t="n">
        <v>10784.020922</v>
      </c>
      <c r="Q213" t="n">
        <v>481965.932532</v>
      </c>
      <c r="R213" t="n">
        <v>-1054779.03534</v>
      </c>
      <c r="S213" t="n">
        <v>42015.216824</v>
      </c>
      <c r="T213" t="n">
        <v>42036.176323</v>
      </c>
      <c r="U213" t="n">
        <v>10784.020922</v>
      </c>
      <c r="V213" t="n">
        <v>-804951.6234480001</v>
      </c>
      <c r="W213" t="n">
        <v>47810.818811</v>
      </c>
      <c r="X213" t="n">
        <v>582150.568204</v>
      </c>
      <c r="Y213" t="n">
        <v>1401.4805</v>
      </c>
      <c r="Z213" t="n">
        <v>10590.209668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1" t="inlineStr">
        <is>
          <t>Côtier pel L pred</t>
        </is>
      </c>
      <c r="E214" t="n">
        <v>163.765772</v>
      </c>
      <c r="F214" t="n">
        <v>1052.557933</v>
      </c>
      <c r="G214" t="n">
        <v>999.055395</v>
      </c>
      <c r="H214" t="n">
        <v>11777.423523</v>
      </c>
      <c r="I214" t="n">
        <v>6532.776468</v>
      </c>
      <c r="J214" t="n">
        <v>7781.630289</v>
      </c>
      <c r="K214" t="n">
        <v>7457.950731</v>
      </c>
      <c r="L214" t="n">
        <v>14096.896099</v>
      </c>
      <c r="M214" t="n">
        <v>14096.896099</v>
      </c>
      <c r="N214" t="n">
        <v>14096.896099</v>
      </c>
      <c r="O214" t="n">
        <v>6109.578522</v>
      </c>
      <c r="P214" t="n">
        <v>1921.956368</v>
      </c>
      <c r="Q214" t="n">
        <v>14096.896099</v>
      </c>
      <c r="R214" t="n">
        <v>-57719.913078</v>
      </c>
      <c r="S214" t="n">
        <v>6109.578522</v>
      </c>
      <c r="T214" t="n">
        <v>6113.693041</v>
      </c>
      <c r="U214" t="n">
        <v>1921.956368</v>
      </c>
      <c r="V214" t="n">
        <v>-289813.58612</v>
      </c>
      <c r="W214" t="n">
        <v>6783.158943</v>
      </c>
      <c r="X214" t="n">
        <v>15274.306707</v>
      </c>
      <c r="Y214" t="n">
        <v>579.770625</v>
      </c>
      <c r="Z214" t="n">
        <v>4535.549158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1" t="inlineStr">
        <is>
          <t>Sélaciens L côtiers | Sélaciens M côtiers</t>
        </is>
      </c>
      <c r="E215" t="n">
        <v>163.765772</v>
      </c>
      <c r="F215" t="n">
        <v>1153.061509</v>
      </c>
      <c r="G215" t="n">
        <v>1093.701635</v>
      </c>
      <c r="H215" t="n">
        <v>25164.033475</v>
      </c>
      <c r="I215" t="n">
        <v>57150.226233</v>
      </c>
      <c r="J215" t="n">
        <v>51505.775538</v>
      </c>
      <c r="K215" t="n">
        <v>45688.726754</v>
      </c>
      <c r="L215" t="n">
        <v>137125.897636</v>
      </c>
      <c r="M215" t="n">
        <v>137125.897636</v>
      </c>
      <c r="N215" t="n">
        <v>137125.897636</v>
      </c>
      <c r="O215" t="n">
        <v>26241.404233</v>
      </c>
      <c r="P215" t="n">
        <v>7002.787354</v>
      </c>
      <c r="Q215" t="n">
        <v>137125.897636</v>
      </c>
      <c r="R215" t="n">
        <v>-312100.909077</v>
      </c>
      <c r="S215" t="n">
        <v>26241.404233</v>
      </c>
      <c r="T215" t="n">
        <v>26278.419722</v>
      </c>
      <c r="U215" t="n">
        <v>7002.787354</v>
      </c>
      <c r="V215" t="n">
        <v>-704949.706355</v>
      </c>
      <c r="W215" t="n">
        <v>29402.154661</v>
      </c>
      <c r="X215" t="n">
        <v>154801.497935</v>
      </c>
      <c r="Y215" t="n">
        <v>630.181807</v>
      </c>
      <c r="Z215" t="n">
        <v>8899.83473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1" t="inlineStr">
        <is>
          <t>Bathy L pred | Dem M pred</t>
        </is>
      </c>
      <c r="E216" t="n">
        <v>163.765772</v>
      </c>
      <c r="F216" t="n">
        <v>885.3131069999999</v>
      </c>
      <c r="G216" t="n">
        <v>841.385976</v>
      </c>
      <c r="H216" t="n">
        <v>5738.010232</v>
      </c>
      <c r="I216" t="n">
        <v>2589.356599</v>
      </c>
      <c r="J216" t="n">
        <v>2597.524042</v>
      </c>
      <c r="K216" t="n">
        <v>2467.64784</v>
      </c>
      <c r="L216" t="n">
        <v>3652.16776</v>
      </c>
      <c r="M216" t="n">
        <v>3652.16776</v>
      </c>
      <c r="N216" t="n">
        <v>3652.16776</v>
      </c>
      <c r="O216" t="n">
        <v>2344.311265</v>
      </c>
      <c r="P216" t="n">
        <v>953.666031</v>
      </c>
      <c r="Q216" t="n">
        <v>3652.16776</v>
      </c>
      <c r="R216" t="n">
        <v>3653.652687</v>
      </c>
      <c r="S216" t="n">
        <v>2344.311265</v>
      </c>
      <c r="T216" t="n">
        <v>2345.866246</v>
      </c>
      <c r="U216" t="n">
        <v>953.666031</v>
      </c>
      <c r="V216" t="n">
        <v>-10216.397382</v>
      </c>
      <c r="W216" t="n">
        <v>2582.02437</v>
      </c>
      <c r="X216" t="n">
        <v>3888.280793</v>
      </c>
      <c r="Y216" t="n">
        <v>494.831621</v>
      </c>
      <c r="Z216" t="n">
        <v>2455.412688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1" t="inlineStr">
        <is>
          <t>Thons majeurs</t>
        </is>
      </c>
      <c r="E217" t="n">
        <v>163.765772</v>
      </c>
      <c r="F217" t="n">
        <v>2736.422785</v>
      </c>
      <c r="G217" t="n">
        <v>2578.791074</v>
      </c>
      <c r="H217" t="n">
        <v>17894.357856</v>
      </c>
      <c r="I217" t="n">
        <v>8524.661732</v>
      </c>
      <c r="J217" t="n">
        <v>8877.094804</v>
      </c>
      <c r="K217" t="n">
        <v>4438.547402</v>
      </c>
      <c r="L217" t="n">
        <v>13559.45898</v>
      </c>
      <c r="M217" t="n">
        <v>13559.45898</v>
      </c>
      <c r="N217" t="n">
        <v>13559.45898</v>
      </c>
      <c r="O217" t="n">
        <v>3620.876362</v>
      </c>
      <c r="P217" t="n">
        <v>1183.597755</v>
      </c>
      <c r="Q217" t="n">
        <v>13559.45898</v>
      </c>
      <c r="R217" t="n">
        <v>-35797.700389</v>
      </c>
      <c r="S217" t="n">
        <v>3620.876362</v>
      </c>
      <c r="T217" t="n">
        <v>3622.234339</v>
      </c>
      <c r="U217" t="n">
        <v>1183.597755</v>
      </c>
      <c r="V217" t="n">
        <v>-69439.82694100001</v>
      </c>
      <c r="W217" t="n">
        <v>4014.207129</v>
      </c>
      <c r="X217" t="n">
        <v>14860.336328</v>
      </c>
      <c r="Y217" t="n">
        <v>1388.786767</v>
      </c>
      <c r="Z217" t="n">
        <v>6982.262246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1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1" t="inlineStr">
        <is>
          <t>Dem L pred</t>
        </is>
      </c>
      <c r="E219" t="n">
        <v>163.765772</v>
      </c>
      <c r="F219" t="n">
        <v>702.92427</v>
      </c>
      <c r="G219" t="n">
        <v>669.216325</v>
      </c>
      <c r="H219" t="n">
        <v>8905.495621</v>
      </c>
      <c r="I219" t="n">
        <v>6777.626749</v>
      </c>
      <c r="J219" t="n">
        <v>6838.543559</v>
      </c>
      <c r="K219" t="n">
        <v>5761.94028</v>
      </c>
      <c r="L219" t="n">
        <v>11046.542562</v>
      </c>
      <c r="M219" t="n">
        <v>11046.542562</v>
      </c>
      <c r="N219" t="n">
        <v>11046.542562</v>
      </c>
      <c r="O219" t="n">
        <v>5782.706959</v>
      </c>
      <c r="P219" t="n">
        <v>2043.80318</v>
      </c>
      <c r="Q219" t="n">
        <v>11046.542562</v>
      </c>
      <c r="R219" t="n">
        <v>11049.934606</v>
      </c>
      <c r="S219" t="n">
        <v>5782.706959</v>
      </c>
      <c r="T219" t="n">
        <v>5785.88935</v>
      </c>
      <c r="U219" t="n">
        <v>2043.80318</v>
      </c>
      <c r="V219" t="n">
        <v>-21771.784771</v>
      </c>
      <c r="W219" t="n">
        <v>6494.006214</v>
      </c>
      <c r="X219" t="n">
        <v>12063.058581</v>
      </c>
      <c r="Y219" t="n">
        <v>400.815207</v>
      </c>
      <c r="Z219" t="n">
        <v>3457.571618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1" t="inlineStr">
        <is>
          <t>Céphalopodes</t>
        </is>
      </c>
      <c r="E220" t="n">
        <v>163.765772</v>
      </c>
      <c r="F220" t="n">
        <v>822.926928</v>
      </c>
      <c r="G220" t="n">
        <v>782.5392000000001</v>
      </c>
      <c r="H220" t="n">
        <v>2911.87363</v>
      </c>
      <c r="I220" t="n">
        <v>776.133746</v>
      </c>
      <c r="J220" t="n">
        <v>776.133746</v>
      </c>
      <c r="K220" t="n">
        <v>737.327059</v>
      </c>
      <c r="L220" t="n">
        <v>1169.062418</v>
      </c>
      <c r="M220" t="n">
        <v>1169.062418</v>
      </c>
      <c r="N220" t="n">
        <v>1169.062418</v>
      </c>
      <c r="O220" t="n">
        <v>633.532727</v>
      </c>
      <c r="P220" t="n">
        <v>262.848004</v>
      </c>
      <c r="Q220" t="n">
        <v>1169.062418</v>
      </c>
      <c r="R220" t="n">
        <v>1169.12609</v>
      </c>
      <c r="S220" t="n">
        <v>633.532727</v>
      </c>
      <c r="T220" t="n">
        <v>633.690429</v>
      </c>
      <c r="U220" t="n">
        <v>262.848004</v>
      </c>
      <c r="V220" t="n">
        <v>-2693.977387</v>
      </c>
      <c r="W220" t="n">
        <v>696.074883</v>
      </c>
      <c r="X220" t="n">
        <v>1245.601022</v>
      </c>
      <c r="Y220" t="n">
        <v>462.946606</v>
      </c>
      <c r="Z220" t="n">
        <v>1388.475781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1" t="inlineStr">
        <is>
          <t>Côtier L pred | Côtier M pred | Côtier M inv | Côtier S pred | Côtier S inv | Dem L pred | Dem L inv | Dem M pred | Dem M inv | Dem S pred | Dem S inv</t>
        </is>
      </c>
      <c r="E221" t="n">
        <v>163.765772</v>
      </c>
      <c r="F221" t="n">
        <v>357.274322</v>
      </c>
      <c r="G221" t="n">
        <v>340.933365</v>
      </c>
      <c r="H221" t="n">
        <v>2733.02885</v>
      </c>
      <c r="I221" t="n">
        <v>1872.088359</v>
      </c>
      <c r="J221" t="n">
        <v>2944.680801</v>
      </c>
      <c r="K221" t="n">
        <v>2569.838657</v>
      </c>
      <c r="L221" t="n">
        <v>5569.719852</v>
      </c>
      <c r="M221" t="n">
        <v>5569.719852</v>
      </c>
      <c r="N221" t="n">
        <v>5569.719852</v>
      </c>
      <c r="O221" t="n">
        <v>2133.113004</v>
      </c>
      <c r="P221" t="n">
        <v>753.314588</v>
      </c>
      <c r="Q221" t="n">
        <v>5569.719852</v>
      </c>
      <c r="R221" t="n">
        <v>-19300.864834</v>
      </c>
      <c r="S221" t="n">
        <v>2133.113004</v>
      </c>
      <c r="T221" t="n">
        <v>2134.882499</v>
      </c>
      <c r="U221" t="n">
        <v>753.314588</v>
      </c>
      <c r="V221" t="n">
        <v>-115006.949704</v>
      </c>
      <c r="W221" t="n">
        <v>2350.8878</v>
      </c>
      <c r="X221" t="n">
        <v>6003.292274</v>
      </c>
      <c r="Y221" t="n">
        <v>209.626712</v>
      </c>
      <c r="Z221" t="n">
        <v>1161.381199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1" t="inlineStr">
        <is>
          <t>Pel S inv</t>
        </is>
      </c>
      <c r="E222" t="n">
        <v>163.765772</v>
      </c>
      <c r="F222" t="n">
        <v>157.970864</v>
      </c>
      <c r="G222" t="n">
        <v>152.088101</v>
      </c>
      <c r="H222" t="n">
        <v>577.271661</v>
      </c>
      <c r="I222" t="n">
        <v>239.810236</v>
      </c>
      <c r="J222" t="n">
        <v>250.631699</v>
      </c>
      <c r="K222" t="n">
        <v>247.597025</v>
      </c>
      <c r="L222" t="n">
        <v>317.630863</v>
      </c>
      <c r="M222" t="n">
        <v>317.630863</v>
      </c>
      <c r="N222" t="n">
        <v>317.630863</v>
      </c>
      <c r="O222" t="n">
        <v>109.892321</v>
      </c>
      <c r="P222" t="n">
        <v>46.754763</v>
      </c>
      <c r="Q222" t="n">
        <v>317.630863</v>
      </c>
      <c r="R222" t="n">
        <v>317.632445</v>
      </c>
      <c r="S222" t="n">
        <v>109.892321</v>
      </c>
      <c r="T222" t="n">
        <v>109.904682</v>
      </c>
      <c r="U222" t="n">
        <v>46.754763</v>
      </c>
      <c r="V222" t="n">
        <v>-281.147296</v>
      </c>
      <c r="W222" t="n">
        <v>116.066511</v>
      </c>
      <c r="X222" t="n">
        <v>339.622882</v>
      </c>
      <c r="Y222" t="n">
        <v>102.369618</v>
      </c>
      <c r="Z222" t="n">
        <v>312.790013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1" t="inlineStr">
        <is>
          <t>Côtier S inv | Côtier S pred</t>
        </is>
      </c>
      <c r="E223" t="n">
        <v>163.765772</v>
      </c>
      <c r="F223" t="n">
        <v>154.555024</v>
      </c>
      <c r="G223" t="n">
        <v>148.348512</v>
      </c>
      <c r="H223" t="n">
        <v>1104.565874</v>
      </c>
      <c r="I223" t="n">
        <v>396.782653</v>
      </c>
      <c r="J223" t="n">
        <v>397.391162</v>
      </c>
      <c r="K223" t="n">
        <v>372.184956</v>
      </c>
      <c r="L223" t="n">
        <v>549.268051</v>
      </c>
      <c r="M223" t="n">
        <v>549.268051</v>
      </c>
      <c r="N223" t="n">
        <v>549.268051</v>
      </c>
      <c r="O223" t="n">
        <v>376.764299</v>
      </c>
      <c r="P223" t="n">
        <v>173.989273</v>
      </c>
      <c r="Q223" t="n">
        <v>549.268051</v>
      </c>
      <c r="R223" t="n">
        <v>550.17509</v>
      </c>
      <c r="S223" t="n">
        <v>376.764299</v>
      </c>
      <c r="T223" t="n">
        <v>377.550568</v>
      </c>
      <c r="U223" t="n">
        <v>173.989273</v>
      </c>
      <c r="V223" t="n">
        <v>-1818.437836</v>
      </c>
      <c r="W223" t="n">
        <v>412.761039</v>
      </c>
      <c r="X223" t="n">
        <v>578.457976</v>
      </c>
      <c r="Y223" t="n">
        <v>97.03822099999999</v>
      </c>
      <c r="Z223" t="n">
        <v>506.625629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1" t="inlineStr">
        <is>
          <t>Côtier pel L pred</t>
        </is>
      </c>
      <c r="E224" t="n">
        <v>163.765772</v>
      </c>
      <c r="F224" t="n">
        <v>1052.557933</v>
      </c>
      <c r="G224" t="n">
        <v>999.055395</v>
      </c>
      <c r="H224" t="n">
        <v>11777.423523</v>
      </c>
      <c r="I224" t="n">
        <v>6532.776468</v>
      </c>
      <c r="J224" t="n">
        <v>7781.630289</v>
      </c>
      <c r="K224" t="n">
        <v>7457.950731</v>
      </c>
      <c r="L224" t="n">
        <v>14096.896099</v>
      </c>
      <c r="M224" t="n">
        <v>14096.896099</v>
      </c>
      <c r="N224" t="n">
        <v>14096.896099</v>
      </c>
      <c r="O224" t="n">
        <v>6109.578522</v>
      </c>
      <c r="P224" t="n">
        <v>1921.956368</v>
      </c>
      <c r="Q224" t="n">
        <v>14096.896099</v>
      </c>
      <c r="R224" t="n">
        <v>-57719.913078</v>
      </c>
      <c r="S224" t="n">
        <v>6109.578522</v>
      </c>
      <c r="T224" t="n">
        <v>6113.693041</v>
      </c>
      <c r="U224" t="n">
        <v>1921.956368</v>
      </c>
      <c r="V224" t="n">
        <v>-289813.58612</v>
      </c>
      <c r="W224" t="n">
        <v>6783.158943</v>
      </c>
      <c r="X224" t="n">
        <v>15274.306707</v>
      </c>
      <c r="Y224" t="n">
        <v>579.770625</v>
      </c>
      <c r="Z224" t="n">
        <v>4535.549158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1" t="inlineStr">
        <is>
          <t>Crustacés</t>
        </is>
      </c>
      <c r="E225" t="n">
        <v>163.765772</v>
      </c>
      <c r="F225" t="n">
        <v>79.64922</v>
      </c>
      <c r="G225" t="n">
        <v>77.077782</v>
      </c>
      <c r="H225" t="n">
        <v>199.420396</v>
      </c>
      <c r="I225" t="n">
        <v>94.919134</v>
      </c>
      <c r="J225" t="n">
        <v>94.919134</v>
      </c>
      <c r="K225" t="n">
        <v>90.173177</v>
      </c>
      <c r="L225" t="n">
        <v>135.651174</v>
      </c>
      <c r="M225" t="n">
        <v>135.651174</v>
      </c>
      <c r="N225" t="n">
        <v>135.651174</v>
      </c>
      <c r="O225" t="n">
        <v>112.097094</v>
      </c>
      <c r="P225" t="n">
        <v>63.65447</v>
      </c>
      <c r="Q225" t="n">
        <v>135.651174</v>
      </c>
      <c r="R225" t="n">
        <v>135.651174</v>
      </c>
      <c r="S225" t="n">
        <v>112.097094</v>
      </c>
      <c r="T225" t="n">
        <v>112.118405</v>
      </c>
      <c r="U225" t="n">
        <v>63.65447</v>
      </c>
      <c r="V225" t="n">
        <v>-691.708697</v>
      </c>
      <c r="W225" t="n">
        <v>122.926325</v>
      </c>
      <c r="X225" t="n">
        <v>140.897505</v>
      </c>
      <c r="Y225" t="n">
        <v>54.73445</v>
      </c>
      <c r="Z225" t="n">
        <v>122.753568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1" t="inlineStr">
        <is>
          <t>Côtier S inv</t>
        </is>
      </c>
      <c r="E226" t="n">
        <v>163.765772</v>
      </c>
      <c r="F226" t="n">
        <v>79.510256</v>
      </c>
      <c r="G226" t="n">
        <v>76.944312</v>
      </c>
      <c r="H226" t="n">
        <v>373.180416</v>
      </c>
      <c r="I226" t="n">
        <v>228.22673</v>
      </c>
      <c r="J226" t="n">
        <v>228.830344</v>
      </c>
      <c r="K226" t="n">
        <v>223.019358</v>
      </c>
      <c r="L226" t="n">
        <v>302.460327</v>
      </c>
      <c r="M226" t="n">
        <v>302.460327</v>
      </c>
      <c r="N226" t="n">
        <v>302.460327</v>
      </c>
      <c r="O226" t="n">
        <v>244.226076</v>
      </c>
      <c r="P226" t="n">
        <v>127.659422</v>
      </c>
      <c r="Q226" t="n">
        <v>302.460327</v>
      </c>
      <c r="R226" t="n">
        <v>303.400726</v>
      </c>
      <c r="S226" t="n">
        <v>244.226076</v>
      </c>
      <c r="T226" t="n">
        <v>245.025938</v>
      </c>
      <c r="U226" t="n">
        <v>127.659422</v>
      </c>
      <c r="V226" t="n">
        <v>-1352.064159</v>
      </c>
      <c r="W226" t="n">
        <v>266.013821</v>
      </c>
      <c r="X226" t="n">
        <v>316.479608</v>
      </c>
      <c r="Y226" t="n">
        <v>54.647132</v>
      </c>
      <c r="Z226" t="n">
        <v>203.050192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1" t="inlineStr">
        <is>
          <t>Crustacés</t>
        </is>
      </c>
      <c r="E227" t="n">
        <v>163.765772</v>
      </c>
      <c r="F227" t="n">
        <v>79.64922</v>
      </c>
      <c r="G227" t="n">
        <v>77.077782</v>
      </c>
      <c r="H227" t="n">
        <v>199.420396</v>
      </c>
      <c r="I227" t="n">
        <v>94.919134</v>
      </c>
      <c r="J227" t="n">
        <v>94.919134</v>
      </c>
      <c r="K227" t="n">
        <v>90.173177</v>
      </c>
      <c r="L227" t="n">
        <v>135.651174</v>
      </c>
      <c r="M227" t="n">
        <v>135.651174</v>
      </c>
      <c r="N227" t="n">
        <v>135.651174</v>
      </c>
      <c r="O227" t="n">
        <v>112.097094</v>
      </c>
      <c r="P227" t="n">
        <v>63.65447</v>
      </c>
      <c r="Q227" t="n">
        <v>135.651174</v>
      </c>
      <c r="R227" t="n">
        <v>135.651174</v>
      </c>
      <c r="S227" t="n">
        <v>112.097094</v>
      </c>
      <c r="T227" t="n">
        <v>112.118405</v>
      </c>
      <c r="U227" t="n">
        <v>63.65447</v>
      </c>
      <c r="V227" t="n">
        <v>-691.708697</v>
      </c>
      <c r="W227" t="n">
        <v>122.926325</v>
      </c>
      <c r="X227" t="n">
        <v>140.897505</v>
      </c>
      <c r="Y227" t="n">
        <v>54.73445</v>
      </c>
      <c r="Z227" t="n">
        <v>122.753568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1" t="inlineStr">
        <is>
          <t>Côtier S pred</t>
        </is>
      </c>
      <c r="E228" t="n">
        <v>163.765772</v>
      </c>
      <c r="F228" t="n">
        <v>545.757696</v>
      </c>
      <c r="G228" t="n">
        <v>520.573184</v>
      </c>
      <c r="H228" t="n">
        <v>4917.222698</v>
      </c>
      <c r="I228" t="n">
        <v>1275.451871</v>
      </c>
      <c r="J228" t="n">
        <v>1276.0859</v>
      </c>
      <c r="K228" t="n">
        <v>1149.773886</v>
      </c>
      <c r="L228" t="n">
        <v>1835.857966</v>
      </c>
      <c r="M228" t="n">
        <v>1835.857966</v>
      </c>
      <c r="N228" t="n">
        <v>1835.857966</v>
      </c>
      <c r="O228" t="n">
        <v>1067.675983</v>
      </c>
      <c r="P228" t="n">
        <v>415.50327</v>
      </c>
      <c r="Q228" t="n">
        <v>1835.857966</v>
      </c>
      <c r="R228" t="n">
        <v>1836.5911</v>
      </c>
      <c r="S228" t="n">
        <v>1067.675983</v>
      </c>
      <c r="T228" t="n">
        <v>1068.391396</v>
      </c>
      <c r="U228" t="n">
        <v>415.50327</v>
      </c>
      <c r="V228" t="n">
        <v>-4249.608379</v>
      </c>
      <c r="W228" t="n">
        <v>1177.743138</v>
      </c>
      <c r="X228" t="n">
        <v>1944.131304</v>
      </c>
      <c r="Y228" t="n">
        <v>318.019746</v>
      </c>
      <c r="Z228" t="n">
        <v>2089.141318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1" t="inlineStr">
        <is>
          <t>Sélaciens L côtiers</t>
        </is>
      </c>
      <c r="E229" t="n">
        <v>163.765772</v>
      </c>
      <c r="F229" t="n">
        <v>1149.132987</v>
      </c>
      <c r="G229" t="n">
        <v>1090.003899</v>
      </c>
      <c r="H229" t="n">
        <v>26127.395566</v>
      </c>
      <c r="I229" t="n">
        <v>60050.075009</v>
      </c>
      <c r="J229" t="n">
        <v>53916.35667</v>
      </c>
      <c r="K229" t="n">
        <v>48299.467469</v>
      </c>
      <c r="L229" t="n">
        <v>144843.028709</v>
      </c>
      <c r="M229" t="n">
        <v>144843.028709</v>
      </c>
      <c r="N229" t="n">
        <v>144843.028709</v>
      </c>
      <c r="O229" t="n">
        <v>27575.4076</v>
      </c>
      <c r="P229" t="n">
        <v>7327.206978</v>
      </c>
      <c r="Q229" t="n">
        <v>144843.028709</v>
      </c>
      <c r="R229" t="n">
        <v>-325556.764098</v>
      </c>
      <c r="S229" t="n">
        <v>27575.4076</v>
      </c>
      <c r="T229" t="n">
        <v>27614.770708</v>
      </c>
      <c r="U229" t="n">
        <v>7327.206978</v>
      </c>
      <c r="V229" t="n">
        <v>-737148.930634</v>
      </c>
      <c r="W229" t="n">
        <v>30898.696538</v>
      </c>
      <c r="X229" t="n">
        <v>163594.27594</v>
      </c>
      <c r="Y229" t="n">
        <v>628.222446</v>
      </c>
      <c r="Z229" t="n">
        <v>9215.010265999999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1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1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1" t="inlineStr">
        <is>
          <t>Côtier S inv</t>
        </is>
      </c>
      <c r="E232" t="n">
        <v>163.765772</v>
      </c>
      <c r="F232" t="n">
        <v>79.510256</v>
      </c>
      <c r="G232" t="n">
        <v>76.944312</v>
      </c>
      <c r="H232" t="n">
        <v>373.180416</v>
      </c>
      <c r="I232" t="n">
        <v>228.22673</v>
      </c>
      <c r="J232" t="n">
        <v>228.830344</v>
      </c>
      <c r="K232" t="n">
        <v>223.019358</v>
      </c>
      <c r="L232" t="n">
        <v>302.460327</v>
      </c>
      <c r="M232" t="n">
        <v>302.460327</v>
      </c>
      <c r="N232" t="n">
        <v>302.460327</v>
      </c>
      <c r="O232" t="n">
        <v>244.226076</v>
      </c>
      <c r="P232" t="n">
        <v>127.659422</v>
      </c>
      <c r="Q232" t="n">
        <v>302.460327</v>
      </c>
      <c r="R232" t="n">
        <v>303.400726</v>
      </c>
      <c r="S232" t="n">
        <v>244.226076</v>
      </c>
      <c r="T232" t="n">
        <v>245.025938</v>
      </c>
      <c r="U232" t="n">
        <v>127.659422</v>
      </c>
      <c r="V232" t="n">
        <v>-1352.064159</v>
      </c>
      <c r="W232" t="n">
        <v>266.013821</v>
      </c>
      <c r="X232" t="n">
        <v>316.479608</v>
      </c>
      <c r="Y232" t="n">
        <v>54.647132</v>
      </c>
      <c r="Z232" t="n">
        <v>203.050192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1" t="inlineStr">
        <is>
          <t>Côtier L pred</t>
        </is>
      </c>
      <c r="E233" t="n">
        <v>163.765772</v>
      </c>
      <c r="F233" t="n">
        <v>834.792702</v>
      </c>
      <c r="G233" t="n">
        <v>793.737434</v>
      </c>
      <c r="H233" t="n">
        <v>7076.97786</v>
      </c>
      <c r="I233" t="n">
        <v>5090.744396</v>
      </c>
      <c r="J233" t="n">
        <v>9568.388961000001</v>
      </c>
      <c r="K233" t="n">
        <v>8272.995088</v>
      </c>
      <c r="L233" t="n">
        <v>19279.70472</v>
      </c>
      <c r="M233" t="n">
        <v>19279.70472</v>
      </c>
      <c r="N233" t="n">
        <v>19279.70472</v>
      </c>
      <c r="O233" t="n">
        <v>6360.723192</v>
      </c>
      <c r="P233" t="n">
        <v>2029.298348</v>
      </c>
      <c r="Q233" t="n">
        <v>19279.70472</v>
      </c>
      <c r="R233" t="n">
        <v>-84799.195448</v>
      </c>
      <c r="S233" t="n">
        <v>6360.723192</v>
      </c>
      <c r="T233" t="n">
        <v>6366.23078</v>
      </c>
      <c r="U233" t="n">
        <v>2029.298348</v>
      </c>
      <c r="V233" t="n">
        <v>-469234.864873</v>
      </c>
      <c r="W233" t="n">
        <v>6996.154043</v>
      </c>
      <c r="X233" t="n">
        <v>20790.115719</v>
      </c>
      <c r="Y233" t="n">
        <v>469.046047</v>
      </c>
      <c r="Z233" t="n">
        <v>2908.726875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1" t="inlineStr">
        <is>
          <t>Céphalopodes</t>
        </is>
      </c>
      <c r="E234" t="n">
        <v>163.765772</v>
      </c>
      <c r="F234" t="n">
        <v>822.926928</v>
      </c>
      <c r="G234" t="n">
        <v>782.5392000000001</v>
      </c>
      <c r="H234" t="n">
        <v>2911.87363</v>
      </c>
      <c r="I234" t="n">
        <v>776.133746</v>
      </c>
      <c r="J234" t="n">
        <v>776.133746</v>
      </c>
      <c r="K234" t="n">
        <v>737.327059</v>
      </c>
      <c r="L234" t="n">
        <v>1169.062418</v>
      </c>
      <c r="M234" t="n">
        <v>1169.062418</v>
      </c>
      <c r="N234" t="n">
        <v>1169.062418</v>
      </c>
      <c r="O234" t="n">
        <v>633.532727</v>
      </c>
      <c r="P234" t="n">
        <v>262.848004</v>
      </c>
      <c r="Q234" t="n">
        <v>1169.062418</v>
      </c>
      <c r="R234" t="n">
        <v>1169.12609</v>
      </c>
      <c r="S234" t="n">
        <v>633.532727</v>
      </c>
      <c r="T234" t="n">
        <v>633.690429</v>
      </c>
      <c r="U234" t="n">
        <v>262.848004</v>
      </c>
      <c r="V234" t="n">
        <v>-2693.977387</v>
      </c>
      <c r="W234" t="n">
        <v>696.074883</v>
      </c>
      <c r="X234" t="n">
        <v>1245.601022</v>
      </c>
      <c r="Y234" t="n">
        <v>462.946606</v>
      </c>
      <c r="Z234" t="n">
        <v>1388.475781</v>
      </c>
    </row>
    <row r="235" ht="21" customHeight="1">
      <c r="A235" t="inlineStr">
        <is>
          <t>Istiophorus</t>
        </is>
      </c>
      <c r="D235" s="11" t="inlineStr">
        <is>
          <t>Thons majeurs</t>
        </is>
      </c>
      <c r="E235" t="n">
        <v>163.765772</v>
      </c>
      <c r="F235" t="n">
        <v>2736.422785</v>
      </c>
      <c r="G235" t="n">
        <v>2578.791074</v>
      </c>
      <c r="H235" t="n">
        <v>17894.357856</v>
      </c>
      <c r="I235" t="n">
        <v>8524.661732</v>
      </c>
      <c r="J235" t="n">
        <v>8877.094804</v>
      </c>
      <c r="K235" t="n">
        <v>4438.547402</v>
      </c>
      <c r="L235" t="n">
        <v>13559.45898</v>
      </c>
      <c r="M235" t="n">
        <v>13559.45898</v>
      </c>
      <c r="N235" t="n">
        <v>13559.45898</v>
      </c>
      <c r="O235" t="n">
        <v>3620.876362</v>
      </c>
      <c r="P235" t="n">
        <v>1183.597755</v>
      </c>
      <c r="Q235" t="n">
        <v>13559.45898</v>
      </c>
      <c r="R235" t="n">
        <v>-35797.700389</v>
      </c>
      <c r="S235" t="n">
        <v>3620.876362</v>
      </c>
      <c r="T235" t="n">
        <v>3622.234339</v>
      </c>
      <c r="U235" t="n">
        <v>1183.597755</v>
      </c>
      <c r="V235" t="n">
        <v>-69439.82694100001</v>
      </c>
      <c r="W235" t="n">
        <v>4014.207129</v>
      </c>
      <c r="X235" t="n">
        <v>14860.336328</v>
      </c>
      <c r="Y235" t="n">
        <v>1388.786767</v>
      </c>
      <c r="Z235" t="n">
        <v>6982.262246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1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1" t="inlineStr">
        <is>
          <t>Dem L pred</t>
        </is>
      </c>
      <c r="E237" t="n">
        <v>163.765772</v>
      </c>
      <c r="F237" t="n">
        <v>702.92427</v>
      </c>
      <c r="G237" t="n">
        <v>669.216325</v>
      </c>
      <c r="H237" t="n">
        <v>8905.495621</v>
      </c>
      <c r="I237" t="n">
        <v>6777.626749</v>
      </c>
      <c r="J237" t="n">
        <v>6838.543559</v>
      </c>
      <c r="K237" t="n">
        <v>5761.94028</v>
      </c>
      <c r="L237" t="n">
        <v>11046.542562</v>
      </c>
      <c r="M237" t="n">
        <v>11046.542562</v>
      </c>
      <c r="N237" t="n">
        <v>11046.542562</v>
      </c>
      <c r="O237" t="n">
        <v>5782.706959</v>
      </c>
      <c r="P237" t="n">
        <v>2043.80318</v>
      </c>
      <c r="Q237" t="n">
        <v>11046.542562</v>
      </c>
      <c r="R237" t="n">
        <v>11049.934606</v>
      </c>
      <c r="S237" t="n">
        <v>5782.706959</v>
      </c>
      <c r="T237" t="n">
        <v>5785.88935</v>
      </c>
      <c r="U237" t="n">
        <v>2043.80318</v>
      </c>
      <c r="V237" t="n">
        <v>-21771.784771</v>
      </c>
      <c r="W237" t="n">
        <v>6494.006214</v>
      </c>
      <c r="X237" t="n">
        <v>12063.058581</v>
      </c>
      <c r="Y237" t="n">
        <v>400.815207</v>
      </c>
      <c r="Z237" t="n">
        <v>3457.571618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1" t="inlineStr">
        <is>
          <t>Dem M pred</t>
        </is>
      </c>
      <c r="E238" t="n">
        <v>163.765772</v>
      </c>
      <c r="F238" t="n">
        <v>865.196085</v>
      </c>
      <c r="G238" t="n">
        <v>822.424992</v>
      </c>
      <c r="H238" t="n">
        <v>5615.493407</v>
      </c>
      <c r="I238" t="n">
        <v>2546.011711</v>
      </c>
      <c r="J238" t="n">
        <v>2549.035034</v>
      </c>
      <c r="K238" t="n">
        <v>2421.583282</v>
      </c>
      <c r="L238" t="n">
        <v>3524.187941</v>
      </c>
      <c r="M238" t="n">
        <v>3524.187941</v>
      </c>
      <c r="N238" t="n">
        <v>3524.187941</v>
      </c>
      <c r="O238" t="n">
        <v>2342.135982</v>
      </c>
      <c r="P238" t="n">
        <v>967.00559</v>
      </c>
      <c r="Q238" t="n">
        <v>3524.187941</v>
      </c>
      <c r="R238" t="n">
        <v>3525.764533</v>
      </c>
      <c r="S238" t="n">
        <v>2342.135982</v>
      </c>
      <c r="T238" t="n">
        <v>2343.769424</v>
      </c>
      <c r="U238" t="n">
        <v>967.00559</v>
      </c>
      <c r="V238" t="n">
        <v>-10416.992768</v>
      </c>
      <c r="W238" t="n">
        <v>2575.217274</v>
      </c>
      <c r="X238" t="n">
        <v>3752.05936</v>
      </c>
      <c r="Y238" t="n">
        <v>484.640876</v>
      </c>
      <c r="Z238" t="n">
        <v>2412.077537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1" t="inlineStr">
        <is>
          <t>Sélaciens M côtiers</t>
        </is>
      </c>
      <c r="E239" t="n">
        <v>163.765772</v>
      </c>
      <c r="F239" t="n">
        <v>1208.786277</v>
      </c>
      <c r="G239" t="n">
        <v>1146.152781</v>
      </c>
      <c r="H239" t="n">
        <v>11499.065322</v>
      </c>
      <c r="I239" t="n">
        <v>16016.843936</v>
      </c>
      <c r="J239" t="n">
        <v>17312.490663</v>
      </c>
      <c r="K239" t="n">
        <v>8656.245332</v>
      </c>
      <c r="L239" t="n">
        <v>27660.981631</v>
      </c>
      <c r="M239" t="n">
        <v>27660.981631</v>
      </c>
      <c r="N239" t="n">
        <v>27660.981631</v>
      </c>
      <c r="O239" t="n">
        <v>7319.01389</v>
      </c>
      <c r="P239" t="n">
        <v>2401.003797</v>
      </c>
      <c r="Q239" t="n">
        <v>27660.981631</v>
      </c>
      <c r="R239" t="n">
        <v>-121234.118574</v>
      </c>
      <c r="S239" t="n">
        <v>7319.01389</v>
      </c>
      <c r="T239" t="n">
        <v>7322.729198</v>
      </c>
      <c r="U239" t="n">
        <v>2401.003797</v>
      </c>
      <c r="V239" t="n">
        <v>-248214.509275</v>
      </c>
      <c r="W239" t="n">
        <v>8174.210058</v>
      </c>
      <c r="X239" t="n">
        <v>30078.890949</v>
      </c>
      <c r="Y239" t="n">
        <v>657.974678</v>
      </c>
      <c r="Z239" t="n">
        <v>4429.175463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1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1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1" t="inlineStr">
        <is>
          <t>Côtier S inv</t>
        </is>
      </c>
      <c r="E242" t="n">
        <v>163.765772</v>
      </c>
      <c r="F242" t="n">
        <v>79.510256</v>
      </c>
      <c r="G242" t="n">
        <v>76.944312</v>
      </c>
      <c r="H242" t="n">
        <v>373.180416</v>
      </c>
      <c r="I242" t="n">
        <v>228.22673</v>
      </c>
      <c r="J242" t="n">
        <v>228.830344</v>
      </c>
      <c r="K242" t="n">
        <v>223.019358</v>
      </c>
      <c r="L242" t="n">
        <v>302.460327</v>
      </c>
      <c r="M242" t="n">
        <v>302.460327</v>
      </c>
      <c r="N242" t="n">
        <v>302.460327</v>
      </c>
      <c r="O242" t="n">
        <v>244.226076</v>
      </c>
      <c r="P242" t="n">
        <v>127.659422</v>
      </c>
      <c r="Q242" t="n">
        <v>302.460327</v>
      </c>
      <c r="R242" t="n">
        <v>303.400726</v>
      </c>
      <c r="S242" t="n">
        <v>244.226076</v>
      </c>
      <c r="T242" t="n">
        <v>245.025938</v>
      </c>
      <c r="U242" t="n">
        <v>127.659422</v>
      </c>
      <c r="V242" t="n">
        <v>-1352.064159</v>
      </c>
      <c r="W242" t="n">
        <v>266.013821</v>
      </c>
      <c r="X242" t="n">
        <v>316.479608</v>
      </c>
      <c r="Y242" t="n">
        <v>54.647132</v>
      </c>
      <c r="Z242" t="n">
        <v>203.050192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1" t="inlineStr">
        <is>
          <t>Sélaciens L côtiers</t>
        </is>
      </c>
      <c r="E243" t="n">
        <v>163.765772</v>
      </c>
      <c r="F243" t="n">
        <v>1149.132987</v>
      </c>
      <c r="G243" t="n">
        <v>1090.003899</v>
      </c>
      <c r="H243" t="n">
        <v>26127.395566</v>
      </c>
      <c r="I243" t="n">
        <v>60050.075009</v>
      </c>
      <c r="J243" t="n">
        <v>53916.35667</v>
      </c>
      <c r="K243" t="n">
        <v>48299.467469</v>
      </c>
      <c r="L243" t="n">
        <v>144843.028709</v>
      </c>
      <c r="M243" t="n">
        <v>144843.028709</v>
      </c>
      <c r="N243" t="n">
        <v>144843.028709</v>
      </c>
      <c r="O243" t="n">
        <v>27575.4076</v>
      </c>
      <c r="P243" t="n">
        <v>7327.206978</v>
      </c>
      <c r="Q243" t="n">
        <v>144843.028709</v>
      </c>
      <c r="R243" t="n">
        <v>-325556.764098</v>
      </c>
      <c r="S243" t="n">
        <v>27575.4076</v>
      </c>
      <c r="T243" t="n">
        <v>27614.770708</v>
      </c>
      <c r="U243" t="n">
        <v>7327.206978</v>
      </c>
      <c r="V243" t="n">
        <v>-737148.930634</v>
      </c>
      <c r="W243" t="n">
        <v>30898.696538</v>
      </c>
      <c r="X243" t="n">
        <v>163594.27594</v>
      </c>
      <c r="Y243" t="n">
        <v>628.222446</v>
      </c>
      <c r="Z243" t="n">
        <v>9215.010265999999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1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1" t="inlineStr">
        <is>
          <t>Pel L pred</t>
        </is>
      </c>
      <c r="E245" t="n">
        <v>163.765772</v>
      </c>
      <c r="F245" t="n">
        <v>1087.886765</v>
      </c>
      <c r="G245" t="n">
        <v>1032.332906</v>
      </c>
      <c r="H245" t="n">
        <v>5007.06664</v>
      </c>
      <c r="I245" t="n">
        <v>3058.871294</v>
      </c>
      <c r="J245" t="n">
        <v>3141.852848</v>
      </c>
      <c r="K245" t="n">
        <v>2984.760205</v>
      </c>
      <c r="L245" t="n">
        <v>5671.231047</v>
      </c>
      <c r="M245" t="n">
        <v>5671.231047</v>
      </c>
      <c r="N245" t="n">
        <v>5671.231047</v>
      </c>
      <c r="O245" t="n">
        <v>2818.57099</v>
      </c>
      <c r="P245" t="n">
        <v>998.224983</v>
      </c>
      <c r="Q245" t="n">
        <v>5671.231047</v>
      </c>
      <c r="R245" t="n">
        <v>-68817.83068299999</v>
      </c>
      <c r="S245" t="n">
        <v>2818.57099</v>
      </c>
      <c r="T245" t="n">
        <v>2819.301833</v>
      </c>
      <c r="U245" t="n">
        <v>998.224983</v>
      </c>
      <c r="V245" t="n">
        <v>-142557.851524</v>
      </c>
      <c r="W245" t="n">
        <v>3155.548468</v>
      </c>
      <c r="X245" t="n">
        <v>6096.563992</v>
      </c>
      <c r="Y245" t="n">
        <v>597.537591</v>
      </c>
      <c r="Z245" t="n">
        <v>2190.300014</v>
      </c>
    </row>
    <row r="246" ht="21" customHeight="1">
      <c r="A246" t="inlineStr">
        <is>
          <t>Glaucostegus cemiculus</t>
        </is>
      </c>
      <c r="D246" s="11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1" t="inlineStr">
        <is>
          <t>Côtier M inv | Dem S pred</t>
        </is>
      </c>
      <c r="E247" t="n">
        <v>163.765772</v>
      </c>
      <c r="F247" t="n">
        <v>170.878471</v>
      </c>
      <c r="G247" t="n">
        <v>164.41799</v>
      </c>
      <c r="H247" t="n">
        <v>573.400026</v>
      </c>
      <c r="I247" t="n">
        <v>332.930401</v>
      </c>
      <c r="J247" t="n">
        <v>332.933336</v>
      </c>
      <c r="K247" t="n">
        <v>331.303695</v>
      </c>
      <c r="L247" t="n">
        <v>425.933196</v>
      </c>
      <c r="M247" t="n">
        <v>425.933196</v>
      </c>
      <c r="N247" t="n">
        <v>425.933196</v>
      </c>
      <c r="O247" t="n">
        <v>368.533357</v>
      </c>
      <c r="P247" t="n">
        <v>198.284222</v>
      </c>
      <c r="Q247" t="n">
        <v>425.933196</v>
      </c>
      <c r="R247" t="n">
        <v>425.933252</v>
      </c>
      <c r="S247" t="n">
        <v>368.533357</v>
      </c>
      <c r="T247" t="n">
        <v>368.605259</v>
      </c>
      <c r="U247" t="n">
        <v>198.284222</v>
      </c>
      <c r="V247" t="n">
        <v>-2197.476443</v>
      </c>
      <c r="W247" t="n">
        <v>402.732655</v>
      </c>
      <c r="X247" t="n">
        <v>447.663254</v>
      </c>
      <c r="Y247" t="n">
        <v>109.989896</v>
      </c>
      <c r="Z247" t="n">
        <v>314.343806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1" t="inlineStr">
        <is>
          <t>Sélaciens L côtiers</t>
        </is>
      </c>
      <c r="E248" t="n">
        <v>163.765772</v>
      </c>
      <c r="F248" t="n">
        <v>1149.132987</v>
      </c>
      <c r="G248" t="n">
        <v>1090.003899</v>
      </c>
      <c r="H248" t="n">
        <v>26127.395566</v>
      </c>
      <c r="I248" t="n">
        <v>60050.075009</v>
      </c>
      <c r="J248" t="n">
        <v>53916.35667</v>
      </c>
      <c r="K248" t="n">
        <v>48299.467469</v>
      </c>
      <c r="L248" t="n">
        <v>144843.028709</v>
      </c>
      <c r="M248" t="n">
        <v>144843.028709</v>
      </c>
      <c r="N248" t="n">
        <v>144843.028709</v>
      </c>
      <c r="O248" t="n">
        <v>27575.4076</v>
      </c>
      <c r="P248" t="n">
        <v>7327.206978</v>
      </c>
      <c r="Q248" t="n">
        <v>144843.028709</v>
      </c>
      <c r="R248" t="n">
        <v>-325556.764098</v>
      </c>
      <c r="S248" t="n">
        <v>27575.4076</v>
      </c>
      <c r="T248" t="n">
        <v>27614.770708</v>
      </c>
      <c r="U248" t="n">
        <v>7327.206978</v>
      </c>
      <c r="V248" t="n">
        <v>-737148.930634</v>
      </c>
      <c r="W248" t="n">
        <v>30898.696538</v>
      </c>
      <c r="X248" t="n">
        <v>163594.27594</v>
      </c>
      <c r="Y248" t="n">
        <v>628.222446</v>
      </c>
      <c r="Z248" t="n">
        <v>9215.010265999999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1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1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1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1" t="inlineStr">
        <is>
          <t>Bathy L pred</t>
        </is>
      </c>
      <c r="E252" t="n">
        <v>163.765772</v>
      </c>
      <c r="F252" t="n">
        <v>1106.358887</v>
      </c>
      <c r="G252" t="n">
        <v>1049.729226</v>
      </c>
      <c r="H252" t="n">
        <v>7084.224774</v>
      </c>
      <c r="I252" t="n">
        <v>3065.63011</v>
      </c>
      <c r="J252" t="n">
        <v>3130.321128</v>
      </c>
      <c r="K252" t="n">
        <v>2973.805071</v>
      </c>
      <c r="L252" t="n">
        <v>5058.409669</v>
      </c>
      <c r="M252" t="n">
        <v>5058.409669</v>
      </c>
      <c r="N252" t="n">
        <v>5058.409669</v>
      </c>
      <c r="O252" t="n">
        <v>2368.213267</v>
      </c>
      <c r="P252" t="n">
        <v>807.090989</v>
      </c>
      <c r="Q252" t="n">
        <v>5058.409669</v>
      </c>
      <c r="R252" t="n">
        <v>5058.887376</v>
      </c>
      <c r="S252" t="n">
        <v>2368.213267</v>
      </c>
      <c r="T252" t="n">
        <v>2368.90613</v>
      </c>
      <c r="U252" t="n">
        <v>807.090989</v>
      </c>
      <c r="V252" t="n">
        <v>-8012.255817</v>
      </c>
      <c r="W252" t="n">
        <v>2656.820722</v>
      </c>
      <c r="X252" t="n">
        <v>5385.081532</v>
      </c>
      <c r="Y252" t="n">
        <v>606.8075</v>
      </c>
      <c r="Z252" t="n">
        <v>2931.579205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1" t="inlineStr">
        <is>
          <t>Bathy L pred</t>
        </is>
      </c>
      <c r="E253" t="n">
        <v>163.765772</v>
      </c>
      <c r="F253" t="n">
        <v>1106.358887</v>
      </c>
      <c r="G253" t="n">
        <v>1049.729226</v>
      </c>
      <c r="H253" t="n">
        <v>7084.224774</v>
      </c>
      <c r="I253" t="n">
        <v>3065.63011</v>
      </c>
      <c r="J253" t="n">
        <v>3130.321128</v>
      </c>
      <c r="K253" t="n">
        <v>2973.805071</v>
      </c>
      <c r="L253" t="n">
        <v>5058.409669</v>
      </c>
      <c r="M253" t="n">
        <v>5058.409669</v>
      </c>
      <c r="N253" t="n">
        <v>5058.409669</v>
      </c>
      <c r="O253" t="n">
        <v>2368.213267</v>
      </c>
      <c r="P253" t="n">
        <v>807.090989</v>
      </c>
      <c r="Q253" t="n">
        <v>5058.409669</v>
      </c>
      <c r="R253" t="n">
        <v>5058.887376</v>
      </c>
      <c r="S253" t="n">
        <v>2368.213267</v>
      </c>
      <c r="T253" t="n">
        <v>2368.90613</v>
      </c>
      <c r="U253" t="n">
        <v>807.090989</v>
      </c>
      <c r="V253" t="n">
        <v>-8012.255817</v>
      </c>
      <c r="W253" t="n">
        <v>2656.820722</v>
      </c>
      <c r="X253" t="n">
        <v>5385.081532</v>
      </c>
      <c r="Y253" t="n">
        <v>606.8075</v>
      </c>
      <c r="Z253" t="n">
        <v>2931.579205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1" t="inlineStr">
        <is>
          <t>Pel L pred</t>
        </is>
      </c>
      <c r="E254" t="n">
        <v>163.765772</v>
      </c>
      <c r="F254" t="n">
        <v>1087.886765</v>
      </c>
      <c r="G254" t="n">
        <v>1032.332906</v>
      </c>
      <c r="H254" t="n">
        <v>5007.06664</v>
      </c>
      <c r="I254" t="n">
        <v>3058.871294</v>
      </c>
      <c r="J254" t="n">
        <v>3141.852848</v>
      </c>
      <c r="K254" t="n">
        <v>2984.760205</v>
      </c>
      <c r="L254" t="n">
        <v>5671.231047</v>
      </c>
      <c r="M254" t="n">
        <v>5671.231047</v>
      </c>
      <c r="N254" t="n">
        <v>5671.231047</v>
      </c>
      <c r="O254" t="n">
        <v>2818.57099</v>
      </c>
      <c r="P254" t="n">
        <v>998.224983</v>
      </c>
      <c r="Q254" t="n">
        <v>5671.231047</v>
      </c>
      <c r="R254" t="n">
        <v>-68817.83068299999</v>
      </c>
      <c r="S254" t="n">
        <v>2818.57099</v>
      </c>
      <c r="T254" t="n">
        <v>2819.301833</v>
      </c>
      <c r="U254" t="n">
        <v>998.224983</v>
      </c>
      <c r="V254" t="n">
        <v>-142557.851524</v>
      </c>
      <c r="W254" t="n">
        <v>3155.548468</v>
      </c>
      <c r="X254" t="n">
        <v>6096.563992</v>
      </c>
      <c r="Y254" t="n">
        <v>597.537591</v>
      </c>
      <c r="Z254" t="n">
        <v>2190.300014</v>
      </c>
    </row>
    <row r="255" ht="21" customHeight="1">
      <c r="A255" t="inlineStr">
        <is>
          <t>Myctophidae</t>
        </is>
      </c>
      <c r="D255" s="11" t="inlineStr">
        <is>
          <t>Mésopélagiques</t>
        </is>
      </c>
      <c r="E255" t="n">
        <v>163.765772</v>
      </c>
      <c r="F255" t="n">
        <v>162.374858</v>
      </c>
      <c r="G255" t="n">
        <v>156.295871</v>
      </c>
      <c r="H255" t="n">
        <v>294.923439</v>
      </c>
      <c r="I255" t="n">
        <v>261.567792</v>
      </c>
      <c r="J255" t="n">
        <v>281.548037</v>
      </c>
      <c r="K255" t="n">
        <v>84.28940799999999</v>
      </c>
      <c r="L255" t="n">
        <v>361.644525</v>
      </c>
      <c r="M255" t="n">
        <v>361.644525</v>
      </c>
      <c r="N255" t="n">
        <v>361.644525</v>
      </c>
      <c r="O255" t="n">
        <v>73.370784</v>
      </c>
      <c r="P255" t="n">
        <v>36.159381</v>
      </c>
      <c r="Q255" t="n">
        <v>361.644525</v>
      </c>
      <c r="R255" t="n">
        <v>361.647261</v>
      </c>
      <c r="S255" t="n">
        <v>73.370784</v>
      </c>
      <c r="T255" t="n">
        <v>73.381674</v>
      </c>
      <c r="U255" t="n">
        <v>36.159381</v>
      </c>
      <c r="V255" t="n">
        <v>-294.067088</v>
      </c>
      <c r="W255" t="n">
        <v>78.987893</v>
      </c>
      <c r="X255" t="n">
        <v>372.17706</v>
      </c>
      <c r="Y255" t="n">
        <v>104.97588</v>
      </c>
      <c r="Z255" t="n">
        <v>177.370423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1" t="inlineStr">
        <is>
          <t>Mulets</t>
        </is>
      </c>
      <c r="E256" t="n">
        <v>163.765772</v>
      </c>
      <c r="F256" t="n">
        <v>20.76151</v>
      </c>
      <c r="G256" t="n">
        <v>20.294765</v>
      </c>
      <c r="H256" t="n">
        <v>104.055417</v>
      </c>
      <c r="I256" t="n">
        <v>84.96705300000001</v>
      </c>
      <c r="J256" t="n">
        <v>84.96705300000001</v>
      </c>
      <c r="K256" t="n">
        <v>80.7187</v>
      </c>
      <c r="L256" t="n">
        <v>87.916766</v>
      </c>
      <c r="M256" t="n">
        <v>87.916766</v>
      </c>
      <c r="N256" t="n">
        <v>87.916766</v>
      </c>
      <c r="O256" t="n">
        <v>58.81521</v>
      </c>
      <c r="P256" t="n">
        <v>32.075058</v>
      </c>
      <c r="Q256" t="n">
        <v>87.916766</v>
      </c>
      <c r="R256" t="n">
        <v>87.916766</v>
      </c>
      <c r="S256" t="n">
        <v>58.81521</v>
      </c>
      <c r="T256" t="n">
        <v>58.820906</v>
      </c>
      <c r="U256" t="n">
        <v>32.075058</v>
      </c>
      <c r="V256" t="n">
        <v>-183.117525</v>
      </c>
      <c r="W256" t="n">
        <v>61.214848</v>
      </c>
      <c r="X256" t="n">
        <v>89.985946</v>
      </c>
      <c r="Y256" t="n">
        <v>16.009476</v>
      </c>
      <c r="Z256" t="n">
        <v>63.984768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1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1" t="inlineStr">
        <is>
          <t>Bathy L pred</t>
        </is>
      </c>
      <c r="E258" t="n">
        <v>163.765772</v>
      </c>
      <c r="F258" t="n">
        <v>1106.358887</v>
      </c>
      <c r="G258" t="n">
        <v>1049.729226</v>
      </c>
      <c r="H258" t="n">
        <v>7084.224774</v>
      </c>
      <c r="I258" t="n">
        <v>3065.63011</v>
      </c>
      <c r="J258" t="n">
        <v>3130.321128</v>
      </c>
      <c r="K258" t="n">
        <v>2973.805071</v>
      </c>
      <c r="L258" t="n">
        <v>5058.409669</v>
      </c>
      <c r="M258" t="n">
        <v>5058.409669</v>
      </c>
      <c r="N258" t="n">
        <v>5058.409669</v>
      </c>
      <c r="O258" t="n">
        <v>2368.213267</v>
      </c>
      <c r="P258" t="n">
        <v>807.090989</v>
      </c>
      <c r="Q258" t="n">
        <v>5058.409669</v>
      </c>
      <c r="R258" t="n">
        <v>5058.887376</v>
      </c>
      <c r="S258" t="n">
        <v>2368.213267</v>
      </c>
      <c r="T258" t="n">
        <v>2368.90613</v>
      </c>
      <c r="U258" t="n">
        <v>807.090989</v>
      </c>
      <c r="V258" t="n">
        <v>-8012.255817</v>
      </c>
      <c r="W258" t="n">
        <v>2656.820722</v>
      </c>
      <c r="X258" t="n">
        <v>5385.081532</v>
      </c>
      <c r="Y258" t="n">
        <v>606.8075</v>
      </c>
      <c r="Z258" t="n">
        <v>2931.579205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1" t="inlineStr">
        <is>
          <t>Crustacés</t>
        </is>
      </c>
      <c r="E259" t="n">
        <v>163.765772</v>
      </c>
      <c r="F259" t="n">
        <v>79.64922</v>
      </c>
      <c r="G259" t="n">
        <v>77.077782</v>
      </c>
      <c r="H259" t="n">
        <v>199.420396</v>
      </c>
      <c r="I259" t="n">
        <v>94.919134</v>
      </c>
      <c r="J259" t="n">
        <v>94.919134</v>
      </c>
      <c r="K259" t="n">
        <v>90.173177</v>
      </c>
      <c r="L259" t="n">
        <v>135.651174</v>
      </c>
      <c r="M259" t="n">
        <v>135.651174</v>
      </c>
      <c r="N259" t="n">
        <v>135.651174</v>
      </c>
      <c r="O259" t="n">
        <v>112.097094</v>
      </c>
      <c r="P259" t="n">
        <v>63.65447</v>
      </c>
      <c r="Q259" t="n">
        <v>135.651174</v>
      </c>
      <c r="R259" t="n">
        <v>135.651174</v>
      </c>
      <c r="S259" t="n">
        <v>112.097094</v>
      </c>
      <c r="T259" t="n">
        <v>112.118405</v>
      </c>
      <c r="U259" t="n">
        <v>63.65447</v>
      </c>
      <c r="V259" t="n">
        <v>-691.708697</v>
      </c>
      <c r="W259" t="n">
        <v>122.926325</v>
      </c>
      <c r="X259" t="n">
        <v>140.897505</v>
      </c>
      <c r="Y259" t="n">
        <v>54.73445</v>
      </c>
      <c r="Z259" t="n">
        <v>122.753568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1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1" t="inlineStr">
        <is>
          <t>Côtier L pred</t>
        </is>
      </c>
      <c r="E261" t="n">
        <v>163.765772</v>
      </c>
      <c r="F261" t="n">
        <v>834.792702</v>
      </c>
      <c r="G261" t="n">
        <v>793.737434</v>
      </c>
      <c r="H261" t="n">
        <v>7076.97786</v>
      </c>
      <c r="I261" t="n">
        <v>5090.744396</v>
      </c>
      <c r="J261" t="n">
        <v>9568.388961000001</v>
      </c>
      <c r="K261" t="n">
        <v>8272.995088</v>
      </c>
      <c r="L261" t="n">
        <v>19279.70472</v>
      </c>
      <c r="M261" t="n">
        <v>19279.70472</v>
      </c>
      <c r="N261" t="n">
        <v>19279.70472</v>
      </c>
      <c r="O261" t="n">
        <v>6360.723192</v>
      </c>
      <c r="P261" t="n">
        <v>2029.298348</v>
      </c>
      <c r="Q261" t="n">
        <v>19279.70472</v>
      </c>
      <c r="R261" t="n">
        <v>-84799.195448</v>
      </c>
      <c r="S261" t="n">
        <v>6360.723192</v>
      </c>
      <c r="T261" t="n">
        <v>6366.23078</v>
      </c>
      <c r="U261" t="n">
        <v>2029.298348</v>
      </c>
      <c r="V261" t="n">
        <v>-469234.864873</v>
      </c>
      <c r="W261" t="n">
        <v>6996.154043</v>
      </c>
      <c r="X261" t="n">
        <v>20790.115719</v>
      </c>
      <c r="Y261" t="n">
        <v>469.046047</v>
      </c>
      <c r="Z261" t="n">
        <v>2908.726875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1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1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1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1" t="inlineStr">
        <is>
          <t>Sélaciens L côtiers</t>
        </is>
      </c>
      <c r="E265" t="n">
        <v>163.765772</v>
      </c>
      <c r="F265" t="n">
        <v>1149.132987</v>
      </c>
      <c r="G265" t="n">
        <v>1090.003899</v>
      </c>
      <c r="H265" t="n">
        <v>26127.395566</v>
      </c>
      <c r="I265" t="n">
        <v>60050.075009</v>
      </c>
      <c r="J265" t="n">
        <v>53916.35667</v>
      </c>
      <c r="K265" t="n">
        <v>48299.467469</v>
      </c>
      <c r="L265" t="n">
        <v>144843.028709</v>
      </c>
      <c r="M265" t="n">
        <v>144843.028709</v>
      </c>
      <c r="N265" t="n">
        <v>144843.028709</v>
      </c>
      <c r="O265" t="n">
        <v>27575.4076</v>
      </c>
      <c r="P265" t="n">
        <v>7327.206978</v>
      </c>
      <c r="Q265" t="n">
        <v>144843.028709</v>
      </c>
      <c r="R265" t="n">
        <v>-325556.764098</v>
      </c>
      <c r="S265" t="n">
        <v>27575.4076</v>
      </c>
      <c r="T265" t="n">
        <v>27614.770708</v>
      </c>
      <c r="U265" t="n">
        <v>7327.206978</v>
      </c>
      <c r="V265" t="n">
        <v>-737148.930634</v>
      </c>
      <c r="W265" t="n">
        <v>30898.696538</v>
      </c>
      <c r="X265" t="n">
        <v>163594.27594</v>
      </c>
      <c r="Y265" t="n">
        <v>628.222446</v>
      </c>
      <c r="Z265" t="n">
        <v>9215.010265999999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1" t="inlineStr">
        <is>
          <t>Bathy S pred</t>
        </is>
      </c>
      <c r="E266" t="n">
        <v>163.765772</v>
      </c>
      <c r="F266" t="n">
        <v>534.286597</v>
      </c>
      <c r="G266" t="n">
        <v>509.712594</v>
      </c>
      <c r="H266" t="n">
        <v>1642.875338</v>
      </c>
      <c r="I266" t="n">
        <v>1036.424218</v>
      </c>
      <c r="J266" t="n">
        <v>1086.989045</v>
      </c>
      <c r="K266" t="n">
        <v>1032.639593</v>
      </c>
      <c r="L266" t="n">
        <v>1419.87605</v>
      </c>
      <c r="M266" t="n">
        <v>1419.87605</v>
      </c>
      <c r="N266" t="n">
        <v>1419.87605</v>
      </c>
      <c r="O266" t="n">
        <v>490.205622</v>
      </c>
      <c r="P266" t="n">
        <v>214.306325</v>
      </c>
      <c r="Q266" t="n">
        <v>1419.87605</v>
      </c>
      <c r="R266" t="n">
        <v>1419.883669</v>
      </c>
      <c r="S266" t="n">
        <v>490.205622</v>
      </c>
      <c r="T266" t="n">
        <v>490.284041</v>
      </c>
      <c r="U266" t="n">
        <v>214.306325</v>
      </c>
      <c r="V266" t="n">
        <v>-1962.486374</v>
      </c>
      <c r="W266" t="n">
        <v>538.063505</v>
      </c>
      <c r="X266" t="n">
        <v>1480.145124</v>
      </c>
      <c r="Y266" t="n">
        <v>311.902661</v>
      </c>
      <c r="Z266" t="n">
        <v>836.088699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1" t="inlineStr">
        <is>
          <t>Côtier L pred</t>
        </is>
      </c>
      <c r="E267" t="n">
        <v>163.765772</v>
      </c>
      <c r="F267" t="n">
        <v>834.792702</v>
      </c>
      <c r="G267" t="n">
        <v>793.737434</v>
      </c>
      <c r="H267" t="n">
        <v>7076.97786</v>
      </c>
      <c r="I267" t="n">
        <v>5090.744396</v>
      </c>
      <c r="J267" t="n">
        <v>9568.388961000001</v>
      </c>
      <c r="K267" t="n">
        <v>8272.995088</v>
      </c>
      <c r="L267" t="n">
        <v>19279.70472</v>
      </c>
      <c r="M267" t="n">
        <v>19279.70472</v>
      </c>
      <c r="N267" t="n">
        <v>19279.70472</v>
      </c>
      <c r="O267" t="n">
        <v>6360.723192</v>
      </c>
      <c r="P267" t="n">
        <v>2029.298348</v>
      </c>
      <c r="Q267" t="n">
        <v>19279.70472</v>
      </c>
      <c r="R267" t="n">
        <v>-84799.195448</v>
      </c>
      <c r="S267" t="n">
        <v>6360.723192</v>
      </c>
      <c r="T267" t="n">
        <v>6366.23078</v>
      </c>
      <c r="U267" t="n">
        <v>2029.298348</v>
      </c>
      <c r="V267" t="n">
        <v>-469234.864873</v>
      </c>
      <c r="W267" t="n">
        <v>6996.154043</v>
      </c>
      <c r="X267" t="n">
        <v>20790.115719</v>
      </c>
      <c r="Y267" t="n">
        <v>469.046047</v>
      </c>
      <c r="Z267" t="n">
        <v>2908.726875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1" t="inlineStr">
        <is>
          <t>Sélaciens L prof</t>
        </is>
      </c>
      <c r="E268" t="n">
        <v>163.765772</v>
      </c>
      <c r="F268" t="n">
        <v>2984.356694</v>
      </c>
      <c r="G268" t="n">
        <v>2810.614697</v>
      </c>
      <c r="H268" t="n">
        <v>33756.075827</v>
      </c>
      <c r="I268" t="n">
        <v>124489.068835</v>
      </c>
      <c r="J268" t="n">
        <v>128867.658555</v>
      </c>
      <c r="K268" t="n">
        <v>64433.829278</v>
      </c>
      <c r="L268" t="n">
        <v>630808.944285</v>
      </c>
      <c r="M268" t="n">
        <v>630808.944285</v>
      </c>
      <c r="N268" t="n">
        <v>630808.944285</v>
      </c>
      <c r="O268" t="n">
        <v>51235.427712</v>
      </c>
      <c r="P268" t="n">
        <v>12872.10487</v>
      </c>
      <c r="Q268" t="n">
        <v>630808.944285</v>
      </c>
      <c r="R268" t="n">
        <v>-1411467.842509</v>
      </c>
      <c r="S268" t="n">
        <v>51235.427712</v>
      </c>
      <c r="T268" t="n">
        <v>51258.187051</v>
      </c>
      <c r="U268" t="n">
        <v>12872.10487</v>
      </c>
      <c r="V268" t="n">
        <v>-997628.83218</v>
      </c>
      <c r="W268" t="n">
        <v>58369.961914</v>
      </c>
      <c r="X268" t="n">
        <v>764652.412024</v>
      </c>
      <c r="Y268" t="n">
        <v>1503.40227</v>
      </c>
      <c r="Z268" t="n">
        <v>11832.505589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1" t="inlineStr">
        <is>
          <t>Crustacés</t>
        </is>
      </c>
      <c r="E269" t="n">
        <v>163.765772</v>
      </c>
      <c r="F269" t="n">
        <v>79.64922</v>
      </c>
      <c r="G269" t="n">
        <v>77.077782</v>
      </c>
      <c r="H269" t="n">
        <v>199.420396</v>
      </c>
      <c r="I269" t="n">
        <v>94.919134</v>
      </c>
      <c r="J269" t="n">
        <v>94.919134</v>
      </c>
      <c r="K269" t="n">
        <v>90.173177</v>
      </c>
      <c r="L269" t="n">
        <v>135.651174</v>
      </c>
      <c r="M269" t="n">
        <v>135.651174</v>
      </c>
      <c r="N269" t="n">
        <v>135.651174</v>
      </c>
      <c r="O269" t="n">
        <v>112.097094</v>
      </c>
      <c r="P269" t="n">
        <v>63.65447</v>
      </c>
      <c r="Q269" t="n">
        <v>135.651174</v>
      </c>
      <c r="R269" t="n">
        <v>135.651174</v>
      </c>
      <c r="S269" t="n">
        <v>112.097094</v>
      </c>
      <c r="T269" t="n">
        <v>112.118405</v>
      </c>
      <c r="U269" t="n">
        <v>63.65447</v>
      </c>
      <c r="V269" t="n">
        <v>-691.708697</v>
      </c>
      <c r="W269" t="n">
        <v>122.926325</v>
      </c>
      <c r="X269" t="n">
        <v>140.897505</v>
      </c>
      <c r="Y269" t="n">
        <v>54.73445</v>
      </c>
      <c r="Z269" t="n">
        <v>122.753568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1" t="inlineStr">
        <is>
          <t>Sélaciens L côtiers</t>
        </is>
      </c>
      <c r="E270" t="n">
        <v>163.765772</v>
      </c>
      <c r="F270" t="n">
        <v>1149.132987</v>
      </c>
      <c r="G270" t="n">
        <v>1090.003899</v>
      </c>
      <c r="H270" t="n">
        <v>26127.395566</v>
      </c>
      <c r="I270" t="n">
        <v>60050.075009</v>
      </c>
      <c r="J270" t="n">
        <v>53916.35667</v>
      </c>
      <c r="K270" t="n">
        <v>48299.467469</v>
      </c>
      <c r="L270" t="n">
        <v>144843.028709</v>
      </c>
      <c r="M270" t="n">
        <v>144843.028709</v>
      </c>
      <c r="N270" t="n">
        <v>144843.028709</v>
      </c>
      <c r="O270" t="n">
        <v>27575.4076</v>
      </c>
      <c r="P270" t="n">
        <v>7327.206978</v>
      </c>
      <c r="Q270" t="n">
        <v>144843.028709</v>
      </c>
      <c r="R270" t="n">
        <v>-325556.764098</v>
      </c>
      <c r="S270" t="n">
        <v>27575.4076</v>
      </c>
      <c r="T270" t="n">
        <v>27614.770708</v>
      </c>
      <c r="U270" t="n">
        <v>7327.206978</v>
      </c>
      <c r="V270" t="n">
        <v>-737148.930634</v>
      </c>
      <c r="W270" t="n">
        <v>30898.696538</v>
      </c>
      <c r="X270" t="n">
        <v>163594.27594</v>
      </c>
      <c r="Y270" t="n">
        <v>628.222446</v>
      </c>
      <c r="Z270" t="n">
        <v>9215.010265999999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1" t="inlineStr">
        <is>
          <t>Bathy L pred</t>
        </is>
      </c>
      <c r="E271" t="n">
        <v>163.765772</v>
      </c>
      <c r="F271" t="n">
        <v>1106.358887</v>
      </c>
      <c r="G271" t="n">
        <v>1049.729226</v>
      </c>
      <c r="H271" t="n">
        <v>7084.224774</v>
      </c>
      <c r="I271" t="n">
        <v>3065.63011</v>
      </c>
      <c r="J271" t="n">
        <v>3130.321128</v>
      </c>
      <c r="K271" t="n">
        <v>2973.805071</v>
      </c>
      <c r="L271" t="n">
        <v>5058.409669</v>
      </c>
      <c r="M271" t="n">
        <v>5058.409669</v>
      </c>
      <c r="N271" t="n">
        <v>5058.409669</v>
      </c>
      <c r="O271" t="n">
        <v>2368.213267</v>
      </c>
      <c r="P271" t="n">
        <v>807.090989</v>
      </c>
      <c r="Q271" t="n">
        <v>5058.409669</v>
      </c>
      <c r="R271" t="n">
        <v>5058.887376</v>
      </c>
      <c r="S271" t="n">
        <v>2368.213267</v>
      </c>
      <c r="T271" t="n">
        <v>2368.90613</v>
      </c>
      <c r="U271" t="n">
        <v>807.090989</v>
      </c>
      <c r="V271" t="n">
        <v>-8012.255817</v>
      </c>
      <c r="W271" t="n">
        <v>2656.820722</v>
      </c>
      <c r="X271" t="n">
        <v>5385.081532</v>
      </c>
      <c r="Y271" t="n">
        <v>606.8075</v>
      </c>
      <c r="Z271" t="n">
        <v>2931.579205</v>
      </c>
    </row>
    <row r="272" ht="81" customHeight="1">
      <c r="A272" t="inlineStr">
        <is>
          <t>Marine finfishes not identified</t>
        </is>
      </c>
      <c r="D272" s="11" t="inlineStr">
        <is>
          <t>Côtier L pred | Côtier M pred | Côtier M inv | Côtier S pred | Côtier S inv | Dem L pred | Dem L inv | Dem M pred | Dem M inv | Dem S pred | Dem S inv</t>
        </is>
      </c>
      <c r="E272" t="n">
        <v>163.765772</v>
      </c>
      <c r="F272" t="n">
        <v>357.274322</v>
      </c>
      <c r="G272" t="n">
        <v>340.933365</v>
      </c>
      <c r="H272" t="n">
        <v>2733.02885</v>
      </c>
      <c r="I272" t="n">
        <v>1872.088359</v>
      </c>
      <c r="J272" t="n">
        <v>2944.680801</v>
      </c>
      <c r="K272" t="n">
        <v>2569.838657</v>
      </c>
      <c r="L272" t="n">
        <v>5569.719852</v>
      </c>
      <c r="M272" t="n">
        <v>5569.719852</v>
      </c>
      <c r="N272" t="n">
        <v>5569.719852</v>
      </c>
      <c r="O272" t="n">
        <v>2133.113004</v>
      </c>
      <c r="P272" t="n">
        <v>753.314588</v>
      </c>
      <c r="Q272" t="n">
        <v>5569.719852</v>
      </c>
      <c r="R272" t="n">
        <v>-19300.864834</v>
      </c>
      <c r="S272" t="n">
        <v>2133.113004</v>
      </c>
      <c r="T272" t="n">
        <v>2134.882499</v>
      </c>
      <c r="U272" t="n">
        <v>753.314588</v>
      </c>
      <c r="V272" t="n">
        <v>-115006.949704</v>
      </c>
      <c r="W272" t="n">
        <v>2350.8878</v>
      </c>
      <c r="X272" t="n">
        <v>6003.292274</v>
      </c>
      <c r="Y272" t="n">
        <v>209.626712</v>
      </c>
      <c r="Z272" t="n">
        <v>1161.381199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1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1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1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1" t="inlineStr">
        <is>
          <t>Côtier M pred</t>
        </is>
      </c>
      <c r="E276" t="n">
        <v>163.765772</v>
      </c>
      <c r="F276" t="n">
        <v>369.644464</v>
      </c>
      <c r="G276" t="n">
        <v>353.618246</v>
      </c>
      <c r="H276" t="n">
        <v>5618.07676</v>
      </c>
      <c r="I276" t="n">
        <v>4122.703208</v>
      </c>
      <c r="J276" t="n">
        <v>4125.865215</v>
      </c>
      <c r="K276" t="n">
        <v>3919.571954</v>
      </c>
      <c r="L276" t="n">
        <v>5709.651166</v>
      </c>
      <c r="M276" t="n">
        <v>5709.651166</v>
      </c>
      <c r="N276" t="n">
        <v>5709.651166</v>
      </c>
      <c r="O276" t="n">
        <v>3836.132449</v>
      </c>
      <c r="P276" t="n">
        <v>1443.832495</v>
      </c>
      <c r="Q276" t="n">
        <v>5709.651166</v>
      </c>
      <c r="R276" t="n">
        <v>-254579.602961</v>
      </c>
      <c r="S276" t="n">
        <v>3836.132449</v>
      </c>
      <c r="T276" t="n">
        <v>3839.420568</v>
      </c>
      <c r="U276" t="n">
        <v>1443.832495</v>
      </c>
      <c r="V276" t="n">
        <v>-776414.352868</v>
      </c>
      <c r="W276" t="n">
        <v>4226.531839</v>
      </c>
      <c r="X276" t="n">
        <v>5979.062362</v>
      </c>
      <c r="Y276" t="n">
        <v>222.709772</v>
      </c>
      <c r="Z276" t="n">
        <v>2268.177034</v>
      </c>
    </row>
    <row r="277" ht="21" customHeight="1">
      <c r="A277" t="inlineStr">
        <is>
          <t>Echeneidae</t>
        </is>
      </c>
      <c r="D277" s="11" t="inlineStr">
        <is>
          <t>Dem L inv</t>
        </is>
      </c>
      <c r="E277" t="n">
        <v>163.765772</v>
      </c>
      <c r="F277" t="n">
        <v>128.142544</v>
      </c>
      <c r="G277" t="n">
        <v>123.564267</v>
      </c>
      <c r="H277" t="n">
        <v>594.540571</v>
      </c>
      <c r="I277" t="n">
        <v>364.900286</v>
      </c>
      <c r="J277" t="n">
        <v>364.900286</v>
      </c>
      <c r="K277" t="n">
        <v>346.655272</v>
      </c>
      <c r="L277" t="n">
        <v>481.097618</v>
      </c>
      <c r="M277" t="n">
        <v>481.097618</v>
      </c>
      <c r="N277" t="n">
        <v>481.097618</v>
      </c>
      <c r="O277" t="n">
        <v>394.134001</v>
      </c>
      <c r="P277" t="n">
        <v>202.522778</v>
      </c>
      <c r="Q277" t="n">
        <v>481.097618</v>
      </c>
      <c r="R277" t="n">
        <v>481.097618</v>
      </c>
      <c r="S277" t="n">
        <v>394.134001</v>
      </c>
      <c r="T277" t="n">
        <v>394.210214</v>
      </c>
      <c r="U277" t="n">
        <v>202.522778</v>
      </c>
      <c r="V277" t="n">
        <v>-2227.375206</v>
      </c>
      <c r="W277" t="n">
        <v>437.21542</v>
      </c>
      <c r="X277" t="n">
        <v>511.290128</v>
      </c>
      <c r="Y277" t="n">
        <v>84.54261099999999</v>
      </c>
      <c r="Z277" t="n">
        <v>318.940827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1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1" t="inlineStr">
        <is>
          <t>Côtier pel L pred</t>
        </is>
      </c>
      <c r="E279" t="n">
        <v>163.765772</v>
      </c>
      <c r="F279" t="n">
        <v>1052.557933</v>
      </c>
      <c r="G279" t="n">
        <v>999.055395</v>
      </c>
      <c r="H279" t="n">
        <v>11777.423523</v>
      </c>
      <c r="I279" t="n">
        <v>6532.776468</v>
      </c>
      <c r="J279" t="n">
        <v>7781.630289</v>
      </c>
      <c r="K279" t="n">
        <v>7457.950731</v>
      </c>
      <c r="L279" t="n">
        <v>14096.896099</v>
      </c>
      <c r="M279" t="n">
        <v>14096.896099</v>
      </c>
      <c r="N279" t="n">
        <v>14096.896099</v>
      </c>
      <c r="O279" t="n">
        <v>6109.578522</v>
      </c>
      <c r="P279" t="n">
        <v>1921.956368</v>
      </c>
      <c r="Q279" t="n">
        <v>14096.896099</v>
      </c>
      <c r="R279" t="n">
        <v>-57719.913078</v>
      </c>
      <c r="S279" t="n">
        <v>6109.578522</v>
      </c>
      <c r="T279" t="n">
        <v>6113.693041</v>
      </c>
      <c r="U279" t="n">
        <v>1921.956368</v>
      </c>
      <c r="V279" t="n">
        <v>-289813.58612</v>
      </c>
      <c r="W279" t="n">
        <v>6783.158943</v>
      </c>
      <c r="X279" t="n">
        <v>15274.306707</v>
      </c>
      <c r="Y279" t="n">
        <v>579.770625</v>
      </c>
      <c r="Z279" t="n">
        <v>4535.549158</v>
      </c>
    </row>
    <row r="280" ht="21" customHeight="1">
      <c r="A280" t="inlineStr">
        <is>
          <t>Holothuriidae</t>
        </is>
      </c>
      <c r="D280" s="11" t="inlineStr">
        <is>
          <t>Benthos</t>
        </is>
      </c>
      <c r="E280" t="n">
        <v>163.765772</v>
      </c>
      <c r="F280" t="n">
        <v>14.225293</v>
      </c>
      <c r="G280" t="n">
        <v>13.944959</v>
      </c>
      <c r="H280" t="n">
        <v>22.648952</v>
      </c>
      <c r="I280" t="n">
        <v>39.053581</v>
      </c>
      <c r="J280" t="n">
        <v>39.053581</v>
      </c>
      <c r="K280" t="n">
        <v>28.888889</v>
      </c>
      <c r="L280" t="n">
        <v>46.572283</v>
      </c>
      <c r="M280" t="n">
        <v>46.572283</v>
      </c>
      <c r="N280" t="n">
        <v>46.572283</v>
      </c>
      <c r="O280" t="n">
        <v>43.496371</v>
      </c>
      <c r="P280" t="n">
        <v>33.04828</v>
      </c>
      <c r="Q280" t="n">
        <v>46.572283</v>
      </c>
      <c r="R280" t="n">
        <v>46.572283</v>
      </c>
      <c r="S280" t="n">
        <v>43.496371</v>
      </c>
      <c r="T280" t="n">
        <v>43.50535</v>
      </c>
      <c r="U280" t="n">
        <v>33.04828</v>
      </c>
      <c r="V280" t="n">
        <v>-381.521079</v>
      </c>
      <c r="W280" t="n">
        <v>46.817883</v>
      </c>
      <c r="X280" t="n">
        <v>48.197268</v>
      </c>
      <c r="Y280" t="n">
        <v>11.33053</v>
      </c>
      <c r="Z280" t="n">
        <v>16.922572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1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1" t="inlineStr">
        <is>
          <t>Mulets</t>
        </is>
      </c>
      <c r="E282" t="n">
        <v>163.765772</v>
      </c>
      <c r="F282" t="n">
        <v>20.76151</v>
      </c>
      <c r="G282" t="n">
        <v>20.294765</v>
      </c>
      <c r="H282" t="n">
        <v>104.055417</v>
      </c>
      <c r="I282" t="n">
        <v>84.96705300000001</v>
      </c>
      <c r="J282" t="n">
        <v>84.96705300000001</v>
      </c>
      <c r="K282" t="n">
        <v>80.7187</v>
      </c>
      <c r="L282" t="n">
        <v>87.916766</v>
      </c>
      <c r="M282" t="n">
        <v>87.916766</v>
      </c>
      <c r="N282" t="n">
        <v>87.916766</v>
      </c>
      <c r="O282" t="n">
        <v>58.81521</v>
      </c>
      <c r="P282" t="n">
        <v>32.075058</v>
      </c>
      <c r="Q282" t="n">
        <v>87.916766</v>
      </c>
      <c r="R282" t="n">
        <v>87.916766</v>
      </c>
      <c r="S282" t="n">
        <v>58.81521</v>
      </c>
      <c r="T282" t="n">
        <v>58.820906</v>
      </c>
      <c r="U282" t="n">
        <v>32.075058</v>
      </c>
      <c r="V282" t="n">
        <v>-183.117525</v>
      </c>
      <c r="W282" t="n">
        <v>61.214848</v>
      </c>
      <c r="X282" t="n">
        <v>89.985946</v>
      </c>
      <c r="Y282" t="n">
        <v>16.009476</v>
      </c>
      <c r="Z282" t="n">
        <v>63.984768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1" t="inlineStr">
        <is>
          <t>Crustacés</t>
        </is>
      </c>
      <c r="E283" t="n">
        <v>163.765772</v>
      </c>
      <c r="F283" t="n">
        <v>79.64922</v>
      </c>
      <c r="G283" t="n">
        <v>77.077782</v>
      </c>
      <c r="H283" t="n">
        <v>199.420396</v>
      </c>
      <c r="I283" t="n">
        <v>94.919134</v>
      </c>
      <c r="J283" t="n">
        <v>94.919134</v>
      </c>
      <c r="K283" t="n">
        <v>90.173177</v>
      </c>
      <c r="L283" t="n">
        <v>135.651174</v>
      </c>
      <c r="M283" t="n">
        <v>135.651174</v>
      </c>
      <c r="N283" t="n">
        <v>135.651174</v>
      </c>
      <c r="O283" t="n">
        <v>112.097094</v>
      </c>
      <c r="P283" t="n">
        <v>63.65447</v>
      </c>
      <c r="Q283" t="n">
        <v>135.651174</v>
      </c>
      <c r="R283" t="n">
        <v>135.651174</v>
      </c>
      <c r="S283" t="n">
        <v>112.097094</v>
      </c>
      <c r="T283" t="n">
        <v>112.118405</v>
      </c>
      <c r="U283" t="n">
        <v>63.65447</v>
      </c>
      <c r="V283" t="n">
        <v>-691.708697</v>
      </c>
      <c r="W283" t="n">
        <v>122.926325</v>
      </c>
      <c r="X283" t="n">
        <v>140.897505</v>
      </c>
      <c r="Y283" t="n">
        <v>54.73445</v>
      </c>
      <c r="Z283" t="n">
        <v>122.753568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1" t="inlineStr">
        <is>
          <t>Sélaciens L prof</t>
        </is>
      </c>
      <c r="E284" t="n">
        <v>163.765772</v>
      </c>
      <c r="F284" t="n">
        <v>2984.356694</v>
      </c>
      <c r="G284" t="n">
        <v>2810.614697</v>
      </c>
      <c r="H284" t="n">
        <v>33756.075827</v>
      </c>
      <c r="I284" t="n">
        <v>124489.068835</v>
      </c>
      <c r="J284" t="n">
        <v>128867.658555</v>
      </c>
      <c r="K284" t="n">
        <v>64433.829278</v>
      </c>
      <c r="L284" t="n">
        <v>630808.944285</v>
      </c>
      <c r="M284" t="n">
        <v>630808.944285</v>
      </c>
      <c r="N284" t="n">
        <v>630808.944285</v>
      </c>
      <c r="O284" t="n">
        <v>51235.427712</v>
      </c>
      <c r="P284" t="n">
        <v>12872.10487</v>
      </c>
      <c r="Q284" t="n">
        <v>630808.944285</v>
      </c>
      <c r="R284" t="n">
        <v>-1411467.842509</v>
      </c>
      <c r="S284" t="n">
        <v>51235.427712</v>
      </c>
      <c r="T284" t="n">
        <v>51258.187051</v>
      </c>
      <c r="U284" t="n">
        <v>12872.10487</v>
      </c>
      <c r="V284" t="n">
        <v>-997628.83218</v>
      </c>
      <c r="W284" t="n">
        <v>58369.961914</v>
      </c>
      <c r="X284" t="n">
        <v>764652.412024</v>
      </c>
      <c r="Y284" t="n">
        <v>1503.40227</v>
      </c>
      <c r="Z284" t="n">
        <v>11832.505589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1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1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1" t="inlineStr">
        <is>
          <t>Unresolved</t>
        </is>
      </c>
    </row>
    <row r="288" ht="21" customHeight="1">
      <c r="A288" t="inlineStr">
        <is>
          <t>Mustelus</t>
        </is>
      </c>
      <c r="D288" s="11" t="inlineStr">
        <is>
          <t>Sélaciens L côtiers</t>
        </is>
      </c>
      <c r="E288" t="n">
        <v>163.765772</v>
      </c>
      <c r="F288" t="n">
        <v>1149.132987</v>
      </c>
      <c r="G288" t="n">
        <v>1090.003899</v>
      </c>
      <c r="H288" t="n">
        <v>26127.395566</v>
      </c>
      <c r="I288" t="n">
        <v>60050.075009</v>
      </c>
      <c r="J288" t="n">
        <v>53916.35667</v>
      </c>
      <c r="K288" t="n">
        <v>48299.467469</v>
      </c>
      <c r="L288" t="n">
        <v>144843.028709</v>
      </c>
      <c r="M288" t="n">
        <v>144843.028709</v>
      </c>
      <c r="N288" t="n">
        <v>144843.028709</v>
      </c>
      <c r="O288" t="n">
        <v>27575.4076</v>
      </c>
      <c r="P288" t="n">
        <v>7327.206978</v>
      </c>
      <c r="Q288" t="n">
        <v>144843.028709</v>
      </c>
      <c r="R288" t="n">
        <v>-325556.764098</v>
      </c>
      <c r="S288" t="n">
        <v>27575.4076</v>
      </c>
      <c r="T288" t="n">
        <v>27614.770708</v>
      </c>
      <c r="U288" t="n">
        <v>7327.206978</v>
      </c>
      <c r="V288" t="n">
        <v>-737148.930634</v>
      </c>
      <c r="W288" t="n">
        <v>30898.696538</v>
      </c>
      <c r="X288" t="n">
        <v>163594.27594</v>
      </c>
      <c r="Y288" t="n">
        <v>628.222446</v>
      </c>
      <c r="Z288" t="n">
        <v>9215.010265999999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1" t="inlineStr">
        <is>
          <t>Dem S pred</t>
        </is>
      </c>
      <c r="E289" t="n">
        <v>163.765772</v>
      </c>
      <c r="F289" t="n">
        <v>562.12163</v>
      </c>
      <c r="G289" t="n">
        <v>536.063253</v>
      </c>
      <c r="H289" t="n">
        <v>2736.257526</v>
      </c>
      <c r="I289" t="n">
        <v>1462.251251</v>
      </c>
      <c r="J289" t="n">
        <v>1490.346835</v>
      </c>
      <c r="K289" t="n">
        <v>1415.829494</v>
      </c>
      <c r="L289" t="n">
        <v>2349.767278</v>
      </c>
      <c r="M289" t="n">
        <v>2349.767278</v>
      </c>
      <c r="N289" t="n">
        <v>2349.767278</v>
      </c>
      <c r="O289" t="n">
        <v>1392.08316</v>
      </c>
      <c r="P289" t="n">
        <v>591.67245</v>
      </c>
      <c r="Q289" t="n">
        <v>2349.767278</v>
      </c>
      <c r="R289" t="n">
        <v>2350.303421</v>
      </c>
      <c r="S289" t="n">
        <v>1392.08316</v>
      </c>
      <c r="T289" t="n">
        <v>1392.740882</v>
      </c>
      <c r="U289" t="n">
        <v>591.67245</v>
      </c>
      <c r="V289" t="n">
        <v>-6300.958292</v>
      </c>
      <c r="W289" t="n">
        <v>1546.315964</v>
      </c>
      <c r="X289" t="n">
        <v>2470.640553</v>
      </c>
      <c r="Y289" t="n">
        <v>326.726995</v>
      </c>
      <c r="Z289" t="n">
        <v>1284.662742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1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1" t="inlineStr">
        <is>
          <t>Dem L pred</t>
        </is>
      </c>
      <c r="E291" t="n">
        <v>163.765772</v>
      </c>
      <c r="F291" t="n">
        <v>702.92427</v>
      </c>
      <c r="G291" t="n">
        <v>669.216325</v>
      </c>
      <c r="H291" t="n">
        <v>8905.495621</v>
      </c>
      <c r="I291" t="n">
        <v>6777.626749</v>
      </c>
      <c r="J291" t="n">
        <v>6838.543559</v>
      </c>
      <c r="K291" t="n">
        <v>5761.94028</v>
      </c>
      <c r="L291" t="n">
        <v>11046.542562</v>
      </c>
      <c r="M291" t="n">
        <v>11046.542562</v>
      </c>
      <c r="N291" t="n">
        <v>11046.542562</v>
      </c>
      <c r="O291" t="n">
        <v>5782.706959</v>
      </c>
      <c r="P291" t="n">
        <v>2043.80318</v>
      </c>
      <c r="Q291" t="n">
        <v>11046.542562</v>
      </c>
      <c r="R291" t="n">
        <v>11049.934606</v>
      </c>
      <c r="S291" t="n">
        <v>5782.706959</v>
      </c>
      <c r="T291" t="n">
        <v>5785.88935</v>
      </c>
      <c r="U291" t="n">
        <v>2043.80318</v>
      </c>
      <c r="V291" t="n">
        <v>-21771.784771</v>
      </c>
      <c r="W291" t="n">
        <v>6494.006214</v>
      </c>
      <c r="X291" t="n">
        <v>12063.058581</v>
      </c>
      <c r="Y291" t="n">
        <v>400.815207</v>
      </c>
      <c r="Z291" t="n">
        <v>3457.571618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1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1" t="inlineStr">
        <is>
          <t>Sélaciens L côtiers</t>
        </is>
      </c>
      <c r="E293" t="n">
        <v>163.765772</v>
      </c>
      <c r="F293" t="n">
        <v>1149.132987</v>
      </c>
      <c r="G293" t="n">
        <v>1090.003899</v>
      </c>
      <c r="H293" t="n">
        <v>26127.395566</v>
      </c>
      <c r="I293" t="n">
        <v>60050.075009</v>
      </c>
      <c r="J293" t="n">
        <v>53916.35667</v>
      </c>
      <c r="K293" t="n">
        <v>48299.467469</v>
      </c>
      <c r="L293" t="n">
        <v>144843.028709</v>
      </c>
      <c r="M293" t="n">
        <v>144843.028709</v>
      </c>
      <c r="N293" t="n">
        <v>144843.028709</v>
      </c>
      <c r="O293" t="n">
        <v>27575.4076</v>
      </c>
      <c r="P293" t="n">
        <v>7327.206978</v>
      </c>
      <c r="Q293" t="n">
        <v>144843.028709</v>
      </c>
      <c r="R293" t="n">
        <v>-325556.764098</v>
      </c>
      <c r="S293" t="n">
        <v>27575.4076</v>
      </c>
      <c r="T293" t="n">
        <v>27614.770708</v>
      </c>
      <c r="U293" t="n">
        <v>7327.206978</v>
      </c>
      <c r="V293" t="n">
        <v>-737148.930634</v>
      </c>
      <c r="W293" t="n">
        <v>30898.696538</v>
      </c>
      <c r="X293" t="n">
        <v>163594.27594</v>
      </c>
      <c r="Y293" t="n">
        <v>628.222446</v>
      </c>
      <c r="Z293" t="n">
        <v>9215.010265999999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1" t="inlineStr">
        <is>
          <t>Sélaciens L côtiers</t>
        </is>
      </c>
      <c r="E294" t="n">
        <v>163.765772</v>
      </c>
      <c r="F294" t="n">
        <v>1149.132987</v>
      </c>
      <c r="G294" t="n">
        <v>1090.003899</v>
      </c>
      <c r="H294" t="n">
        <v>26127.395566</v>
      </c>
      <c r="I294" t="n">
        <v>60050.075009</v>
      </c>
      <c r="J294" t="n">
        <v>53916.35667</v>
      </c>
      <c r="K294" t="n">
        <v>48299.467469</v>
      </c>
      <c r="L294" t="n">
        <v>144843.028709</v>
      </c>
      <c r="M294" t="n">
        <v>144843.028709</v>
      </c>
      <c r="N294" t="n">
        <v>144843.028709</v>
      </c>
      <c r="O294" t="n">
        <v>27575.4076</v>
      </c>
      <c r="P294" t="n">
        <v>7327.206978</v>
      </c>
      <c r="Q294" t="n">
        <v>144843.028709</v>
      </c>
      <c r="R294" t="n">
        <v>-325556.764098</v>
      </c>
      <c r="S294" t="n">
        <v>27575.4076</v>
      </c>
      <c r="T294" t="n">
        <v>27614.770708</v>
      </c>
      <c r="U294" t="n">
        <v>7327.206978</v>
      </c>
      <c r="V294" t="n">
        <v>-737148.930634</v>
      </c>
      <c r="W294" t="n">
        <v>30898.696538</v>
      </c>
      <c r="X294" t="n">
        <v>163594.27594</v>
      </c>
      <c r="Y294" t="n">
        <v>628.222446</v>
      </c>
      <c r="Z294" t="n">
        <v>9215.010265999999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1" t="inlineStr">
        <is>
          <t>Crustacés</t>
        </is>
      </c>
      <c r="E295" t="n">
        <v>163.765772</v>
      </c>
      <c r="F295" t="n">
        <v>79.64922</v>
      </c>
      <c r="G295" t="n">
        <v>77.077782</v>
      </c>
      <c r="H295" t="n">
        <v>199.420396</v>
      </c>
      <c r="I295" t="n">
        <v>94.919134</v>
      </c>
      <c r="J295" t="n">
        <v>94.919134</v>
      </c>
      <c r="K295" t="n">
        <v>90.173177</v>
      </c>
      <c r="L295" t="n">
        <v>135.651174</v>
      </c>
      <c r="M295" t="n">
        <v>135.651174</v>
      </c>
      <c r="N295" t="n">
        <v>135.651174</v>
      </c>
      <c r="O295" t="n">
        <v>112.097094</v>
      </c>
      <c r="P295" t="n">
        <v>63.65447</v>
      </c>
      <c r="Q295" t="n">
        <v>135.651174</v>
      </c>
      <c r="R295" t="n">
        <v>135.651174</v>
      </c>
      <c r="S295" t="n">
        <v>112.097094</v>
      </c>
      <c r="T295" t="n">
        <v>112.118405</v>
      </c>
      <c r="U295" t="n">
        <v>63.65447</v>
      </c>
      <c r="V295" t="n">
        <v>-691.708697</v>
      </c>
      <c r="W295" t="n">
        <v>122.926325</v>
      </c>
      <c r="X295" t="n">
        <v>140.897505</v>
      </c>
      <c r="Y295" t="n">
        <v>54.73445</v>
      </c>
      <c r="Z295" t="n">
        <v>122.753568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1" t="inlineStr">
        <is>
          <t>Côtier M inv</t>
        </is>
      </c>
      <c r="E296" t="n">
        <v>163.765772</v>
      </c>
      <c r="F296" t="n">
        <v>170.837609</v>
      </c>
      <c r="G296" t="n">
        <v>164.379174</v>
      </c>
      <c r="H296" t="n">
        <v>573.174129</v>
      </c>
      <c r="I296" t="n">
        <v>332.812451</v>
      </c>
      <c r="J296" t="n">
        <v>332.812451</v>
      </c>
      <c r="K296" t="n">
        <v>331.190423</v>
      </c>
      <c r="L296" t="n">
        <v>425.732264</v>
      </c>
      <c r="M296" t="n">
        <v>425.732264</v>
      </c>
      <c r="N296" t="n">
        <v>425.732264</v>
      </c>
      <c r="O296" t="n">
        <v>368.426453</v>
      </c>
      <c r="P296" t="n">
        <v>198.243136</v>
      </c>
      <c r="Q296" t="n">
        <v>425.732264</v>
      </c>
      <c r="R296" t="n">
        <v>425.732264</v>
      </c>
      <c r="S296" t="n">
        <v>368.426453</v>
      </c>
      <c r="T296" t="n">
        <v>368.498294</v>
      </c>
      <c r="U296" t="n">
        <v>198.243136</v>
      </c>
      <c r="V296" t="n">
        <v>-2197.047861</v>
      </c>
      <c r="W296" t="n">
        <v>402.613215</v>
      </c>
      <c r="X296" t="n">
        <v>447.451967</v>
      </c>
      <c r="Y296" t="n">
        <v>109.967259</v>
      </c>
      <c r="Z296" t="n">
        <v>314.242463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1" t="inlineStr">
        <is>
          <t>Crustacés</t>
        </is>
      </c>
      <c r="E297" t="n">
        <v>163.765772</v>
      </c>
      <c r="F297" t="n">
        <v>79.64922</v>
      </c>
      <c r="G297" t="n">
        <v>77.077782</v>
      </c>
      <c r="H297" t="n">
        <v>199.420396</v>
      </c>
      <c r="I297" t="n">
        <v>94.919134</v>
      </c>
      <c r="J297" t="n">
        <v>94.919134</v>
      </c>
      <c r="K297" t="n">
        <v>90.173177</v>
      </c>
      <c r="L297" t="n">
        <v>135.651174</v>
      </c>
      <c r="M297" t="n">
        <v>135.651174</v>
      </c>
      <c r="N297" t="n">
        <v>135.651174</v>
      </c>
      <c r="O297" t="n">
        <v>112.097094</v>
      </c>
      <c r="P297" t="n">
        <v>63.65447</v>
      </c>
      <c r="Q297" t="n">
        <v>135.651174</v>
      </c>
      <c r="R297" t="n">
        <v>135.651174</v>
      </c>
      <c r="S297" t="n">
        <v>112.097094</v>
      </c>
      <c r="T297" t="n">
        <v>112.118405</v>
      </c>
      <c r="U297" t="n">
        <v>63.65447</v>
      </c>
      <c r="V297" t="n">
        <v>-691.708697</v>
      </c>
      <c r="W297" t="n">
        <v>122.926325</v>
      </c>
      <c r="X297" t="n">
        <v>140.897505</v>
      </c>
      <c r="Y297" t="n">
        <v>54.73445</v>
      </c>
      <c r="Z297" t="n">
        <v>122.753568</v>
      </c>
    </row>
    <row r="298" ht="21" customHeight="1">
      <c r="A298" t="inlineStr">
        <is>
          <t>Trachichthyidae</t>
        </is>
      </c>
      <c r="D298" s="11" t="inlineStr">
        <is>
          <t>Bathy L pred</t>
        </is>
      </c>
      <c r="E298" t="n">
        <v>163.765772</v>
      </c>
      <c r="F298" t="n">
        <v>1106.358887</v>
      </c>
      <c r="G298" t="n">
        <v>1049.729226</v>
      </c>
      <c r="H298" t="n">
        <v>7084.224774</v>
      </c>
      <c r="I298" t="n">
        <v>3065.63011</v>
      </c>
      <c r="J298" t="n">
        <v>3130.321128</v>
      </c>
      <c r="K298" t="n">
        <v>2973.805071</v>
      </c>
      <c r="L298" t="n">
        <v>5058.409669</v>
      </c>
      <c r="M298" t="n">
        <v>5058.409669</v>
      </c>
      <c r="N298" t="n">
        <v>5058.409669</v>
      </c>
      <c r="O298" t="n">
        <v>2368.213267</v>
      </c>
      <c r="P298" t="n">
        <v>807.090989</v>
      </c>
      <c r="Q298" t="n">
        <v>5058.409669</v>
      </c>
      <c r="R298" t="n">
        <v>5058.887376</v>
      </c>
      <c r="S298" t="n">
        <v>2368.213267</v>
      </c>
      <c r="T298" t="n">
        <v>2368.90613</v>
      </c>
      <c r="U298" t="n">
        <v>807.090989</v>
      </c>
      <c r="V298" t="n">
        <v>-8012.255817</v>
      </c>
      <c r="W298" t="n">
        <v>2656.820722</v>
      </c>
      <c r="X298" t="n">
        <v>5385.081532</v>
      </c>
      <c r="Y298" t="n">
        <v>606.8075</v>
      </c>
      <c r="Z298" t="n">
        <v>2931.579205</v>
      </c>
    </row>
    <row r="299" ht="21" customHeight="1">
      <c r="A299" t="inlineStr">
        <is>
          <t>Leptocharias smithii</t>
        </is>
      </c>
      <c r="D299" s="11" t="inlineStr">
        <is>
          <t>Sélaciens L côtiers</t>
        </is>
      </c>
      <c r="E299" t="n">
        <v>163.765772</v>
      </c>
      <c r="F299" t="n">
        <v>1149.132987</v>
      </c>
      <c r="G299" t="n">
        <v>1090.003899</v>
      </c>
      <c r="H299" t="n">
        <v>26127.395566</v>
      </c>
      <c r="I299" t="n">
        <v>60050.075009</v>
      </c>
      <c r="J299" t="n">
        <v>53916.35667</v>
      </c>
      <c r="K299" t="n">
        <v>48299.467469</v>
      </c>
      <c r="L299" t="n">
        <v>144843.028709</v>
      </c>
      <c r="M299" t="n">
        <v>144843.028709</v>
      </c>
      <c r="N299" t="n">
        <v>144843.028709</v>
      </c>
      <c r="O299" t="n">
        <v>27575.4076</v>
      </c>
      <c r="P299" t="n">
        <v>7327.206978</v>
      </c>
      <c r="Q299" t="n">
        <v>144843.028709</v>
      </c>
      <c r="R299" t="n">
        <v>-325556.764098</v>
      </c>
      <c r="S299" t="n">
        <v>27575.4076</v>
      </c>
      <c r="T299" t="n">
        <v>27614.770708</v>
      </c>
      <c r="U299" t="n">
        <v>7327.206978</v>
      </c>
      <c r="V299" t="n">
        <v>-737148.930634</v>
      </c>
      <c r="W299" t="n">
        <v>30898.696538</v>
      </c>
      <c r="X299" t="n">
        <v>163594.27594</v>
      </c>
      <c r="Y299" t="n">
        <v>628.222446</v>
      </c>
      <c r="Z299" t="n">
        <v>9215.010265999999</v>
      </c>
    </row>
    <row r="300" ht="21" customHeight="1">
      <c r="A300" t="inlineStr">
        <is>
          <t>Lophius vaillanti</t>
        </is>
      </c>
      <c r="D300" s="11" t="inlineStr">
        <is>
          <t>Bathy L pred</t>
        </is>
      </c>
      <c r="E300" t="n">
        <v>163.765772</v>
      </c>
      <c r="F300" t="n">
        <v>1106.358887</v>
      </c>
      <c r="G300" t="n">
        <v>1049.729226</v>
      </c>
      <c r="H300" t="n">
        <v>7084.224774</v>
      </c>
      <c r="I300" t="n">
        <v>3065.63011</v>
      </c>
      <c r="J300" t="n">
        <v>3130.321128</v>
      </c>
      <c r="K300" t="n">
        <v>2973.805071</v>
      </c>
      <c r="L300" t="n">
        <v>5058.409669</v>
      </c>
      <c r="M300" t="n">
        <v>5058.409669</v>
      </c>
      <c r="N300" t="n">
        <v>5058.409669</v>
      </c>
      <c r="O300" t="n">
        <v>2368.213267</v>
      </c>
      <c r="P300" t="n">
        <v>807.090989</v>
      </c>
      <c r="Q300" t="n">
        <v>5058.409669</v>
      </c>
      <c r="R300" t="n">
        <v>5058.887376</v>
      </c>
      <c r="S300" t="n">
        <v>2368.213267</v>
      </c>
      <c r="T300" t="n">
        <v>2368.90613</v>
      </c>
      <c r="U300" t="n">
        <v>807.090989</v>
      </c>
      <c r="V300" t="n">
        <v>-8012.255817</v>
      </c>
      <c r="W300" t="n">
        <v>2656.820722</v>
      </c>
      <c r="X300" t="n">
        <v>5385.081532</v>
      </c>
      <c r="Y300" t="n">
        <v>606.8075</v>
      </c>
      <c r="Z300" t="n">
        <v>2931.579205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1" t="inlineStr">
        <is>
          <t>Dem M pred</t>
        </is>
      </c>
      <c r="E301" t="n">
        <v>163.765772</v>
      </c>
      <c r="F301" t="n">
        <v>865.196085</v>
      </c>
      <c r="G301" t="n">
        <v>822.424992</v>
      </c>
      <c r="H301" t="n">
        <v>5615.493407</v>
      </c>
      <c r="I301" t="n">
        <v>2546.011711</v>
      </c>
      <c r="J301" t="n">
        <v>2549.035034</v>
      </c>
      <c r="K301" t="n">
        <v>2421.583282</v>
      </c>
      <c r="L301" t="n">
        <v>3524.187941</v>
      </c>
      <c r="M301" t="n">
        <v>3524.187941</v>
      </c>
      <c r="N301" t="n">
        <v>3524.187941</v>
      </c>
      <c r="O301" t="n">
        <v>2342.135982</v>
      </c>
      <c r="P301" t="n">
        <v>967.00559</v>
      </c>
      <c r="Q301" t="n">
        <v>3524.187941</v>
      </c>
      <c r="R301" t="n">
        <v>3525.764533</v>
      </c>
      <c r="S301" t="n">
        <v>2342.135982</v>
      </c>
      <c r="T301" t="n">
        <v>2343.769424</v>
      </c>
      <c r="U301" t="n">
        <v>967.00559</v>
      </c>
      <c r="V301" t="n">
        <v>-10416.992768</v>
      </c>
      <c r="W301" t="n">
        <v>2575.217274</v>
      </c>
      <c r="X301" t="n">
        <v>3752.05936</v>
      </c>
      <c r="Y301" t="n">
        <v>484.640876</v>
      </c>
      <c r="Z301" t="n">
        <v>2412.077537</v>
      </c>
    </row>
    <row r="302" ht="21" customHeight="1">
      <c r="A302" t="inlineStr">
        <is>
          <t>Cyprinidae</t>
        </is>
      </c>
      <c r="D302" s="11" t="inlineStr">
        <is>
          <t>Unresolved</t>
        </is>
      </c>
    </row>
    <row r="303" ht="21" customHeight="1">
      <c r="A303" t="inlineStr">
        <is>
          <t>Inermiidae</t>
        </is>
      </c>
      <c r="D303" s="11" t="inlineStr">
        <is>
          <t>Unresolved</t>
        </is>
      </c>
    </row>
    <row r="304" ht="21" customHeight="1">
      <c r="A304" t="inlineStr">
        <is>
          <t>Pristidae</t>
        </is>
      </c>
      <c r="D304" s="11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1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1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1" t="inlineStr">
        <is>
          <t>Céphalopodes</t>
        </is>
      </c>
      <c r="E307" t="n">
        <v>163.765772</v>
      </c>
      <c r="F307" t="n">
        <v>822.926928</v>
      </c>
      <c r="G307" t="n">
        <v>782.5392000000001</v>
      </c>
      <c r="H307" t="n">
        <v>2911.87363</v>
      </c>
      <c r="I307" t="n">
        <v>776.133746</v>
      </c>
      <c r="J307" t="n">
        <v>776.133746</v>
      </c>
      <c r="K307" t="n">
        <v>737.327059</v>
      </c>
      <c r="L307" t="n">
        <v>1169.062418</v>
      </c>
      <c r="M307" t="n">
        <v>1169.062418</v>
      </c>
      <c r="N307" t="n">
        <v>1169.062418</v>
      </c>
      <c r="O307" t="n">
        <v>633.532727</v>
      </c>
      <c r="P307" t="n">
        <v>262.848004</v>
      </c>
      <c r="Q307" t="n">
        <v>1169.062418</v>
      </c>
      <c r="R307" t="n">
        <v>1169.12609</v>
      </c>
      <c r="S307" t="n">
        <v>633.532727</v>
      </c>
      <c r="T307" t="n">
        <v>633.690429</v>
      </c>
      <c r="U307" t="n">
        <v>262.848004</v>
      </c>
      <c r="V307" t="n">
        <v>-2693.977387</v>
      </c>
      <c r="W307" t="n">
        <v>696.074883</v>
      </c>
      <c r="X307" t="n">
        <v>1245.601022</v>
      </c>
      <c r="Y307" t="n">
        <v>462.946606</v>
      </c>
      <c r="Z307" t="n">
        <v>1388.475781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1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1" t="inlineStr">
        <is>
          <t>Dem L pred</t>
        </is>
      </c>
      <c r="E309" t="n">
        <v>163.765772</v>
      </c>
      <c r="F309" t="n">
        <v>702.92427</v>
      </c>
      <c r="G309" t="n">
        <v>669.216325</v>
      </c>
      <c r="H309" t="n">
        <v>8905.495621</v>
      </c>
      <c r="I309" t="n">
        <v>6777.626749</v>
      </c>
      <c r="J309" t="n">
        <v>6838.543559</v>
      </c>
      <c r="K309" t="n">
        <v>5761.94028</v>
      </c>
      <c r="L309" t="n">
        <v>11046.542562</v>
      </c>
      <c r="M309" t="n">
        <v>11046.542562</v>
      </c>
      <c r="N309" t="n">
        <v>11046.542562</v>
      </c>
      <c r="O309" t="n">
        <v>5782.706959</v>
      </c>
      <c r="P309" t="n">
        <v>2043.80318</v>
      </c>
      <c r="Q309" t="n">
        <v>11046.542562</v>
      </c>
      <c r="R309" t="n">
        <v>11049.934606</v>
      </c>
      <c r="S309" t="n">
        <v>5782.706959</v>
      </c>
      <c r="T309" t="n">
        <v>5785.88935</v>
      </c>
      <c r="U309" t="n">
        <v>2043.80318</v>
      </c>
      <c r="V309" t="n">
        <v>-21771.784771</v>
      </c>
      <c r="W309" t="n">
        <v>6494.006214</v>
      </c>
      <c r="X309" t="n">
        <v>12063.058581</v>
      </c>
      <c r="Y309" t="n">
        <v>400.815207</v>
      </c>
      <c r="Z309" t="n">
        <v>3457.571618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1" t="inlineStr">
        <is>
          <t>Pel L pred</t>
        </is>
      </c>
      <c r="E310" t="n">
        <v>163.765772</v>
      </c>
      <c r="F310" t="n">
        <v>1087.886765</v>
      </c>
      <c r="G310" t="n">
        <v>1032.332906</v>
      </c>
      <c r="H310" t="n">
        <v>5007.06664</v>
      </c>
      <c r="I310" t="n">
        <v>3058.871294</v>
      </c>
      <c r="J310" t="n">
        <v>3141.852848</v>
      </c>
      <c r="K310" t="n">
        <v>2984.760205</v>
      </c>
      <c r="L310" t="n">
        <v>5671.231047</v>
      </c>
      <c r="M310" t="n">
        <v>5671.231047</v>
      </c>
      <c r="N310" t="n">
        <v>5671.231047</v>
      </c>
      <c r="O310" t="n">
        <v>2818.57099</v>
      </c>
      <c r="P310" t="n">
        <v>998.224983</v>
      </c>
      <c r="Q310" t="n">
        <v>5671.231047</v>
      </c>
      <c r="R310" t="n">
        <v>-68817.83068299999</v>
      </c>
      <c r="S310" t="n">
        <v>2818.57099</v>
      </c>
      <c r="T310" t="n">
        <v>2819.301833</v>
      </c>
      <c r="U310" t="n">
        <v>998.224983</v>
      </c>
      <c r="V310" t="n">
        <v>-142557.851524</v>
      </c>
      <c r="W310" t="n">
        <v>3155.548468</v>
      </c>
      <c r="X310" t="n">
        <v>6096.563992</v>
      </c>
      <c r="Y310" t="n">
        <v>597.537591</v>
      </c>
      <c r="Z310" t="n">
        <v>2190.300014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1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1" t="inlineStr">
        <is>
          <t>Sélaciens L prof</t>
        </is>
      </c>
      <c r="E312" t="n">
        <v>163.765772</v>
      </c>
      <c r="F312" t="n">
        <v>2984.356694</v>
      </c>
      <c r="G312" t="n">
        <v>2810.614697</v>
      </c>
      <c r="H312" t="n">
        <v>33756.075827</v>
      </c>
      <c r="I312" t="n">
        <v>124489.068835</v>
      </c>
      <c r="J312" t="n">
        <v>128867.658555</v>
      </c>
      <c r="K312" t="n">
        <v>64433.829278</v>
      </c>
      <c r="L312" t="n">
        <v>630808.944285</v>
      </c>
      <c r="M312" t="n">
        <v>630808.944285</v>
      </c>
      <c r="N312" t="n">
        <v>630808.944285</v>
      </c>
      <c r="O312" t="n">
        <v>51235.427712</v>
      </c>
      <c r="P312" t="n">
        <v>12872.10487</v>
      </c>
      <c r="Q312" t="n">
        <v>630808.944285</v>
      </c>
      <c r="R312" t="n">
        <v>-1411467.842509</v>
      </c>
      <c r="S312" t="n">
        <v>51235.427712</v>
      </c>
      <c r="T312" t="n">
        <v>51258.187051</v>
      </c>
      <c r="U312" t="n">
        <v>12872.10487</v>
      </c>
      <c r="V312" t="n">
        <v>-997628.83218</v>
      </c>
      <c r="W312" t="n">
        <v>58369.961914</v>
      </c>
      <c r="X312" t="n">
        <v>764652.412024</v>
      </c>
      <c r="Y312" t="n">
        <v>1503.40227</v>
      </c>
      <c r="Z312" t="n">
        <v>11832.505589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1" t="inlineStr">
        <is>
          <t>Bathy L pred</t>
        </is>
      </c>
      <c r="E313" t="n">
        <v>163.765772</v>
      </c>
      <c r="F313" t="n">
        <v>1106.358887</v>
      </c>
      <c r="G313" t="n">
        <v>1049.729226</v>
      </c>
      <c r="H313" t="n">
        <v>7084.224774</v>
      </c>
      <c r="I313" t="n">
        <v>3065.63011</v>
      </c>
      <c r="J313" t="n">
        <v>3130.321128</v>
      </c>
      <c r="K313" t="n">
        <v>2973.805071</v>
      </c>
      <c r="L313" t="n">
        <v>5058.409669</v>
      </c>
      <c r="M313" t="n">
        <v>5058.409669</v>
      </c>
      <c r="N313" t="n">
        <v>5058.409669</v>
      </c>
      <c r="O313" t="n">
        <v>2368.213267</v>
      </c>
      <c r="P313" t="n">
        <v>807.090989</v>
      </c>
      <c r="Q313" t="n">
        <v>5058.409669</v>
      </c>
      <c r="R313" t="n">
        <v>5058.887376</v>
      </c>
      <c r="S313" t="n">
        <v>2368.213267</v>
      </c>
      <c r="T313" t="n">
        <v>2368.90613</v>
      </c>
      <c r="U313" t="n">
        <v>807.090989</v>
      </c>
      <c r="V313" t="n">
        <v>-8012.255817</v>
      </c>
      <c r="W313" t="n">
        <v>2656.820722</v>
      </c>
      <c r="X313" t="n">
        <v>5385.081532</v>
      </c>
      <c r="Y313" t="n">
        <v>606.8075</v>
      </c>
      <c r="Z313" t="n">
        <v>2931.579205</v>
      </c>
    </row>
    <row r="314" ht="21" customHeight="1">
      <c r="A314" t="inlineStr">
        <is>
          <t>Centrophorus lusitanicus</t>
        </is>
      </c>
      <c r="D314" s="11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1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1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1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1" t="inlineStr">
        <is>
          <t>Sélaciens L prof</t>
        </is>
      </c>
      <c r="E318" t="n">
        <v>163.765772</v>
      </c>
      <c r="F318" t="n">
        <v>2984.356694</v>
      </c>
      <c r="G318" t="n">
        <v>2810.614697</v>
      </c>
      <c r="H318" t="n">
        <v>33756.075827</v>
      </c>
      <c r="I318" t="n">
        <v>124489.068835</v>
      </c>
      <c r="J318" t="n">
        <v>128867.658555</v>
      </c>
      <c r="K318" t="n">
        <v>64433.829278</v>
      </c>
      <c r="L318" t="n">
        <v>630808.944285</v>
      </c>
      <c r="M318" t="n">
        <v>630808.944285</v>
      </c>
      <c r="N318" t="n">
        <v>630808.944285</v>
      </c>
      <c r="O318" t="n">
        <v>51235.427712</v>
      </c>
      <c r="P318" t="n">
        <v>12872.10487</v>
      </c>
      <c r="Q318" t="n">
        <v>630808.944285</v>
      </c>
      <c r="R318" t="n">
        <v>-1411467.842509</v>
      </c>
      <c r="S318" t="n">
        <v>51235.427712</v>
      </c>
      <c r="T318" t="n">
        <v>51258.187051</v>
      </c>
      <c r="U318" t="n">
        <v>12872.10487</v>
      </c>
      <c r="V318" t="n">
        <v>-997628.83218</v>
      </c>
      <c r="W318" t="n">
        <v>58369.961914</v>
      </c>
      <c r="X318" t="n">
        <v>764652.412024</v>
      </c>
      <c r="Y318" t="n">
        <v>1503.40227</v>
      </c>
      <c r="Z318" t="n">
        <v>11832.505589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1" t="inlineStr">
        <is>
          <t>Benthos</t>
        </is>
      </c>
      <c r="E319" t="n">
        <v>163.765772</v>
      </c>
      <c r="F319" t="n">
        <v>14.225293</v>
      </c>
      <c r="G319" t="n">
        <v>13.944959</v>
      </c>
      <c r="H319" t="n">
        <v>22.648952</v>
      </c>
      <c r="I319" t="n">
        <v>39.053581</v>
      </c>
      <c r="J319" t="n">
        <v>39.053581</v>
      </c>
      <c r="K319" t="n">
        <v>28.888889</v>
      </c>
      <c r="L319" t="n">
        <v>46.572283</v>
      </c>
      <c r="M319" t="n">
        <v>46.572283</v>
      </c>
      <c r="N319" t="n">
        <v>46.572283</v>
      </c>
      <c r="O319" t="n">
        <v>43.496371</v>
      </c>
      <c r="P319" t="n">
        <v>33.04828</v>
      </c>
      <c r="Q319" t="n">
        <v>46.572283</v>
      </c>
      <c r="R319" t="n">
        <v>46.572283</v>
      </c>
      <c r="S319" t="n">
        <v>43.496371</v>
      </c>
      <c r="T319" t="n">
        <v>43.50535</v>
      </c>
      <c r="U319" t="n">
        <v>33.04828</v>
      </c>
      <c r="V319" t="n">
        <v>-381.521079</v>
      </c>
      <c r="W319" t="n">
        <v>46.817883</v>
      </c>
      <c r="X319" t="n">
        <v>48.197268</v>
      </c>
      <c r="Y319" t="n">
        <v>11.33053</v>
      </c>
      <c r="Z319" t="n">
        <v>16.922572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1" t="inlineStr">
        <is>
          <t>Côtier pel L pred</t>
        </is>
      </c>
      <c r="E320" t="n">
        <v>163.765772</v>
      </c>
      <c r="F320" t="n">
        <v>1052.557933</v>
      </c>
      <c r="G320" t="n">
        <v>999.055395</v>
      </c>
      <c r="H320" t="n">
        <v>11777.423523</v>
      </c>
      <c r="I320" t="n">
        <v>6532.776468</v>
      </c>
      <c r="J320" t="n">
        <v>7781.630289</v>
      </c>
      <c r="K320" t="n">
        <v>7457.950731</v>
      </c>
      <c r="L320" t="n">
        <v>14096.896099</v>
      </c>
      <c r="M320" t="n">
        <v>14096.896099</v>
      </c>
      <c r="N320" t="n">
        <v>14096.896099</v>
      </c>
      <c r="O320" t="n">
        <v>6109.578522</v>
      </c>
      <c r="P320" t="n">
        <v>1921.956368</v>
      </c>
      <c r="Q320" t="n">
        <v>14096.896099</v>
      </c>
      <c r="R320" t="n">
        <v>-57719.913078</v>
      </c>
      <c r="S320" t="n">
        <v>6109.578522</v>
      </c>
      <c r="T320" t="n">
        <v>6113.693041</v>
      </c>
      <c r="U320" t="n">
        <v>1921.956368</v>
      </c>
      <c r="V320" t="n">
        <v>-289813.58612</v>
      </c>
      <c r="W320" t="n">
        <v>6783.158943</v>
      </c>
      <c r="X320" t="n">
        <v>15274.306707</v>
      </c>
      <c r="Y320" t="n">
        <v>579.770625</v>
      </c>
      <c r="Z320" t="n">
        <v>4535.549158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1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1" t="inlineStr">
        <is>
          <t>Côtier pel L pred</t>
        </is>
      </c>
      <c r="E322" t="n">
        <v>163.765772</v>
      </c>
      <c r="F322" t="n">
        <v>1052.557933</v>
      </c>
      <c r="G322" t="n">
        <v>999.055395</v>
      </c>
      <c r="H322" t="n">
        <v>11777.423523</v>
      </c>
      <c r="I322" t="n">
        <v>6532.776468</v>
      </c>
      <c r="J322" t="n">
        <v>7781.630289</v>
      </c>
      <c r="K322" t="n">
        <v>7457.950731</v>
      </c>
      <c r="L322" t="n">
        <v>14096.896099</v>
      </c>
      <c r="M322" t="n">
        <v>14096.896099</v>
      </c>
      <c r="N322" t="n">
        <v>14096.896099</v>
      </c>
      <c r="O322" t="n">
        <v>6109.578522</v>
      </c>
      <c r="P322" t="n">
        <v>1921.956368</v>
      </c>
      <c r="Q322" t="n">
        <v>14096.896099</v>
      </c>
      <c r="R322" t="n">
        <v>-57719.913078</v>
      </c>
      <c r="S322" t="n">
        <v>6109.578522</v>
      </c>
      <c r="T322" t="n">
        <v>6113.693041</v>
      </c>
      <c r="U322" t="n">
        <v>1921.956368</v>
      </c>
      <c r="V322" t="n">
        <v>-289813.58612</v>
      </c>
      <c r="W322" t="n">
        <v>6783.158943</v>
      </c>
      <c r="X322" t="n">
        <v>15274.306707</v>
      </c>
      <c r="Y322" t="n">
        <v>579.770625</v>
      </c>
      <c r="Z322" t="n">
        <v>4535.549158</v>
      </c>
    </row>
    <row r="323" ht="21" customHeight="1">
      <c r="A323" t="inlineStr">
        <is>
          <t>Oblada melanurus</t>
        </is>
      </c>
      <c r="D323" s="11" t="inlineStr">
        <is>
          <t>Côtier S inv</t>
        </is>
      </c>
      <c r="E323" t="n">
        <v>163.765772</v>
      </c>
      <c r="F323" t="n">
        <v>79.510256</v>
      </c>
      <c r="G323" t="n">
        <v>76.944312</v>
      </c>
      <c r="H323" t="n">
        <v>373.180416</v>
      </c>
      <c r="I323" t="n">
        <v>228.22673</v>
      </c>
      <c r="J323" t="n">
        <v>228.830344</v>
      </c>
      <c r="K323" t="n">
        <v>223.019358</v>
      </c>
      <c r="L323" t="n">
        <v>302.460327</v>
      </c>
      <c r="M323" t="n">
        <v>302.460327</v>
      </c>
      <c r="N323" t="n">
        <v>302.460327</v>
      </c>
      <c r="O323" t="n">
        <v>244.226076</v>
      </c>
      <c r="P323" t="n">
        <v>127.659422</v>
      </c>
      <c r="Q323" t="n">
        <v>302.460327</v>
      </c>
      <c r="R323" t="n">
        <v>303.400726</v>
      </c>
      <c r="S323" t="n">
        <v>244.226076</v>
      </c>
      <c r="T323" t="n">
        <v>245.025938</v>
      </c>
      <c r="U323" t="n">
        <v>127.659422</v>
      </c>
      <c r="V323" t="n">
        <v>-1352.064159</v>
      </c>
      <c r="W323" t="n">
        <v>266.013821</v>
      </c>
      <c r="X323" t="n">
        <v>316.479608</v>
      </c>
      <c r="Y323" t="n">
        <v>54.647132</v>
      </c>
      <c r="Z323" t="n">
        <v>203.050192</v>
      </c>
    </row>
    <row r="324" ht="21" customHeight="1">
      <c r="A324" t="inlineStr">
        <is>
          <t>Carcharhiniformes</t>
        </is>
      </c>
      <c r="D324" s="11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1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1" t="inlineStr">
        <is>
          <t>Céphalopodes | Crustacés | Benthos</t>
        </is>
      </c>
      <c r="E326" t="n">
        <v>163.765772</v>
      </c>
      <c r="F326" t="n">
        <v>550.556954</v>
      </c>
      <c r="G326" t="n">
        <v>523.977991</v>
      </c>
      <c r="H326" t="n">
        <v>1920.825748</v>
      </c>
      <c r="I326" t="n">
        <v>526.6990950000001</v>
      </c>
      <c r="J326" t="n">
        <v>526.6990950000001</v>
      </c>
      <c r="K326" t="n">
        <v>499.97786</v>
      </c>
      <c r="L326" t="n">
        <v>790.463193</v>
      </c>
      <c r="M326" t="n">
        <v>790.463193</v>
      </c>
      <c r="N326" t="n">
        <v>790.463193</v>
      </c>
      <c r="O326" t="n">
        <v>441.387607</v>
      </c>
      <c r="P326" t="n">
        <v>189.23971</v>
      </c>
      <c r="Q326" t="n">
        <v>790.463193</v>
      </c>
      <c r="R326" t="n">
        <v>790.503796</v>
      </c>
      <c r="S326" t="n">
        <v>441.387607</v>
      </c>
      <c r="T326" t="n">
        <v>441.495314</v>
      </c>
      <c r="U326" t="n">
        <v>189.23971</v>
      </c>
      <c r="V326" t="n">
        <v>-1953.956561</v>
      </c>
      <c r="W326" t="n">
        <v>484.840808</v>
      </c>
      <c r="X326" t="n">
        <v>841.001974</v>
      </c>
      <c r="Y326" t="n">
        <v>313.00803</v>
      </c>
      <c r="Z326" t="n">
        <v>924.921354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1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1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1" t="inlineStr">
        <is>
          <t>Dem M pred</t>
        </is>
      </c>
      <c r="E329" t="n">
        <v>163.765772</v>
      </c>
      <c r="F329" t="n">
        <v>865.196085</v>
      </c>
      <c r="G329" t="n">
        <v>822.424992</v>
      </c>
      <c r="H329" t="n">
        <v>5615.493407</v>
      </c>
      <c r="I329" t="n">
        <v>2546.011711</v>
      </c>
      <c r="J329" t="n">
        <v>2549.035034</v>
      </c>
      <c r="K329" t="n">
        <v>2421.583282</v>
      </c>
      <c r="L329" t="n">
        <v>3524.187941</v>
      </c>
      <c r="M329" t="n">
        <v>3524.187941</v>
      </c>
      <c r="N329" t="n">
        <v>3524.187941</v>
      </c>
      <c r="O329" t="n">
        <v>2342.135982</v>
      </c>
      <c r="P329" t="n">
        <v>967.00559</v>
      </c>
      <c r="Q329" t="n">
        <v>3524.187941</v>
      </c>
      <c r="R329" t="n">
        <v>3525.764533</v>
      </c>
      <c r="S329" t="n">
        <v>2342.135982</v>
      </c>
      <c r="T329" t="n">
        <v>2343.769424</v>
      </c>
      <c r="U329" t="n">
        <v>967.00559</v>
      </c>
      <c r="V329" t="n">
        <v>-10416.992768</v>
      </c>
      <c r="W329" t="n">
        <v>2575.217274</v>
      </c>
      <c r="X329" t="n">
        <v>3752.05936</v>
      </c>
      <c r="Y329" t="n">
        <v>484.640876</v>
      </c>
      <c r="Z329" t="n">
        <v>2412.077537</v>
      </c>
    </row>
    <row r="330" ht="21" customHeight="1">
      <c r="A330" t="inlineStr">
        <is>
          <t>Rachycentridae</t>
        </is>
      </c>
      <c r="D330" s="11" t="inlineStr">
        <is>
          <t>Côtier pel L pred</t>
        </is>
      </c>
      <c r="E330" t="n">
        <v>163.765772</v>
      </c>
      <c r="F330" t="n">
        <v>1052.557933</v>
      </c>
      <c r="G330" t="n">
        <v>999.055395</v>
      </c>
      <c r="H330" t="n">
        <v>11777.423523</v>
      </c>
      <c r="I330" t="n">
        <v>6532.776468</v>
      </c>
      <c r="J330" t="n">
        <v>7781.630289</v>
      </c>
      <c r="K330" t="n">
        <v>7457.950731</v>
      </c>
      <c r="L330" t="n">
        <v>14096.896099</v>
      </c>
      <c r="M330" t="n">
        <v>14096.896099</v>
      </c>
      <c r="N330" t="n">
        <v>14096.896099</v>
      </c>
      <c r="O330" t="n">
        <v>6109.578522</v>
      </c>
      <c r="P330" t="n">
        <v>1921.956368</v>
      </c>
      <c r="Q330" t="n">
        <v>14096.896099</v>
      </c>
      <c r="R330" t="n">
        <v>-57719.913078</v>
      </c>
      <c r="S330" t="n">
        <v>6109.578522</v>
      </c>
      <c r="T330" t="n">
        <v>6113.693041</v>
      </c>
      <c r="U330" t="n">
        <v>1921.956368</v>
      </c>
      <c r="V330" t="n">
        <v>-289813.58612</v>
      </c>
      <c r="W330" t="n">
        <v>6783.158943</v>
      </c>
      <c r="X330" t="n">
        <v>15274.306707</v>
      </c>
      <c r="Y330" t="n">
        <v>579.770625</v>
      </c>
      <c r="Z330" t="n">
        <v>4535.549158</v>
      </c>
    </row>
    <row r="331" ht="21" customHeight="1">
      <c r="A331" t="inlineStr">
        <is>
          <t>Lamnidae</t>
        </is>
      </c>
      <c r="D331" s="11" t="inlineStr">
        <is>
          <t>Sélaciens L prof</t>
        </is>
      </c>
      <c r="E331" t="n">
        <v>163.765772</v>
      </c>
      <c r="F331" t="n">
        <v>2984.356694</v>
      </c>
      <c r="G331" t="n">
        <v>2810.614697</v>
      </c>
      <c r="H331" t="n">
        <v>33756.075827</v>
      </c>
      <c r="I331" t="n">
        <v>124489.068835</v>
      </c>
      <c r="J331" t="n">
        <v>128867.658555</v>
      </c>
      <c r="K331" t="n">
        <v>64433.829278</v>
      </c>
      <c r="L331" t="n">
        <v>630808.944285</v>
      </c>
      <c r="M331" t="n">
        <v>630808.944285</v>
      </c>
      <c r="N331" t="n">
        <v>630808.944285</v>
      </c>
      <c r="O331" t="n">
        <v>51235.427712</v>
      </c>
      <c r="P331" t="n">
        <v>12872.10487</v>
      </c>
      <c r="Q331" t="n">
        <v>630808.944285</v>
      </c>
      <c r="R331" t="n">
        <v>-1411467.842509</v>
      </c>
      <c r="S331" t="n">
        <v>51235.427712</v>
      </c>
      <c r="T331" t="n">
        <v>51258.187051</v>
      </c>
      <c r="U331" t="n">
        <v>12872.10487</v>
      </c>
      <c r="V331" t="n">
        <v>-997628.83218</v>
      </c>
      <c r="W331" t="n">
        <v>58369.961914</v>
      </c>
      <c r="X331" t="n">
        <v>764652.412024</v>
      </c>
      <c r="Y331" t="n">
        <v>1503.40227</v>
      </c>
      <c r="Z331" t="n">
        <v>11832.505589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1" t="inlineStr">
        <is>
          <t>Thons mineurs</t>
        </is>
      </c>
      <c r="E332" t="n">
        <v>163.765772</v>
      </c>
      <c r="F332" t="n">
        <v>1395.634937</v>
      </c>
      <c r="G332" t="n">
        <v>1321.894731</v>
      </c>
      <c r="H332" t="n">
        <v>9241.41209</v>
      </c>
      <c r="I332" t="n">
        <v>2965.086479</v>
      </c>
      <c r="J332" t="n">
        <v>2997.818641</v>
      </c>
      <c r="K332" t="n">
        <v>1727.313722</v>
      </c>
      <c r="L332" t="n">
        <v>4278.69855</v>
      </c>
      <c r="M332" t="n">
        <v>4278.69855</v>
      </c>
      <c r="N332" t="n">
        <v>4278.69855</v>
      </c>
      <c r="O332" t="n">
        <v>1413.60711</v>
      </c>
      <c r="P332" t="n">
        <v>516.926347</v>
      </c>
      <c r="Q332" t="n">
        <v>4278.69855</v>
      </c>
      <c r="R332" t="n">
        <v>4279.691205</v>
      </c>
      <c r="S332" t="n">
        <v>1413.60711</v>
      </c>
      <c r="T332" t="n">
        <v>1414.29973</v>
      </c>
      <c r="U332" t="n">
        <v>516.926347</v>
      </c>
      <c r="V332" t="n">
        <v>-5162.630056</v>
      </c>
      <c r="W332" t="n">
        <v>1554.151413</v>
      </c>
      <c r="X332" t="n">
        <v>4550.096146</v>
      </c>
      <c r="Y332" t="n">
        <v>750.381718</v>
      </c>
      <c r="Z332" t="n">
        <v>3860.227378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1" t="inlineStr">
        <is>
          <t>Sélaciens L prof</t>
        </is>
      </c>
      <c r="E333" t="n">
        <v>163.765772</v>
      </c>
      <c r="F333" t="n">
        <v>2984.356694</v>
      </c>
      <c r="G333" t="n">
        <v>2810.614697</v>
      </c>
      <c r="H333" t="n">
        <v>33756.075827</v>
      </c>
      <c r="I333" t="n">
        <v>124489.068835</v>
      </c>
      <c r="J333" t="n">
        <v>128867.658555</v>
      </c>
      <c r="K333" t="n">
        <v>64433.829278</v>
      </c>
      <c r="L333" t="n">
        <v>630808.944285</v>
      </c>
      <c r="M333" t="n">
        <v>630808.944285</v>
      </c>
      <c r="N333" t="n">
        <v>630808.944285</v>
      </c>
      <c r="O333" t="n">
        <v>51235.427712</v>
      </c>
      <c r="P333" t="n">
        <v>12872.10487</v>
      </c>
      <c r="Q333" t="n">
        <v>630808.944285</v>
      </c>
      <c r="R333" t="n">
        <v>-1411467.842509</v>
      </c>
      <c r="S333" t="n">
        <v>51235.427712</v>
      </c>
      <c r="T333" t="n">
        <v>51258.187051</v>
      </c>
      <c r="U333" t="n">
        <v>12872.10487</v>
      </c>
      <c r="V333" t="n">
        <v>-997628.83218</v>
      </c>
      <c r="W333" t="n">
        <v>58369.961914</v>
      </c>
      <c r="X333" t="n">
        <v>764652.412024</v>
      </c>
      <c r="Y333" t="n">
        <v>1503.40227</v>
      </c>
      <c r="Z333" t="n">
        <v>11832.505589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1" t="inlineStr">
        <is>
          <t>Bathy L pred</t>
        </is>
      </c>
      <c r="E334" t="n">
        <v>163.765772</v>
      </c>
      <c r="F334" t="n">
        <v>1106.358887</v>
      </c>
      <c r="G334" t="n">
        <v>1049.729226</v>
      </c>
      <c r="H334" t="n">
        <v>7084.224774</v>
      </c>
      <c r="I334" t="n">
        <v>3065.63011</v>
      </c>
      <c r="J334" t="n">
        <v>3130.321128</v>
      </c>
      <c r="K334" t="n">
        <v>2973.805071</v>
      </c>
      <c r="L334" t="n">
        <v>5058.409669</v>
      </c>
      <c r="M334" t="n">
        <v>5058.409669</v>
      </c>
      <c r="N334" t="n">
        <v>5058.409669</v>
      </c>
      <c r="O334" t="n">
        <v>2368.213267</v>
      </c>
      <c r="P334" t="n">
        <v>807.090989</v>
      </c>
      <c r="Q334" t="n">
        <v>5058.409669</v>
      </c>
      <c r="R334" t="n">
        <v>5058.887376</v>
      </c>
      <c r="S334" t="n">
        <v>2368.213267</v>
      </c>
      <c r="T334" t="n">
        <v>2368.90613</v>
      </c>
      <c r="U334" t="n">
        <v>807.090989</v>
      </c>
      <c r="V334" t="n">
        <v>-8012.255817</v>
      </c>
      <c r="W334" t="n">
        <v>2656.820722</v>
      </c>
      <c r="X334" t="n">
        <v>5385.081532</v>
      </c>
      <c r="Y334" t="n">
        <v>606.8075</v>
      </c>
      <c r="Z334" t="n">
        <v>2931.579205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1" t="inlineStr">
        <is>
          <t>Bathy L pred</t>
        </is>
      </c>
      <c r="E335" t="n">
        <v>163.765772</v>
      </c>
      <c r="F335" t="n">
        <v>1106.358887</v>
      </c>
      <c r="G335" t="n">
        <v>1049.729226</v>
      </c>
      <c r="H335" t="n">
        <v>7084.224774</v>
      </c>
      <c r="I335" t="n">
        <v>3065.63011</v>
      </c>
      <c r="J335" t="n">
        <v>3130.321128</v>
      </c>
      <c r="K335" t="n">
        <v>2973.805071</v>
      </c>
      <c r="L335" t="n">
        <v>5058.409669</v>
      </c>
      <c r="M335" t="n">
        <v>5058.409669</v>
      </c>
      <c r="N335" t="n">
        <v>5058.409669</v>
      </c>
      <c r="O335" t="n">
        <v>2368.213267</v>
      </c>
      <c r="P335" t="n">
        <v>807.090989</v>
      </c>
      <c r="Q335" t="n">
        <v>5058.409669</v>
      </c>
      <c r="R335" t="n">
        <v>5058.887376</v>
      </c>
      <c r="S335" t="n">
        <v>2368.213267</v>
      </c>
      <c r="T335" t="n">
        <v>2368.90613</v>
      </c>
      <c r="U335" t="n">
        <v>807.090989</v>
      </c>
      <c r="V335" t="n">
        <v>-8012.255817</v>
      </c>
      <c r="W335" t="n">
        <v>2656.820722</v>
      </c>
      <c r="X335" t="n">
        <v>5385.081532</v>
      </c>
      <c r="Y335" t="n">
        <v>606.8075</v>
      </c>
      <c r="Z335" t="n">
        <v>2931.579205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1" t="inlineStr">
        <is>
          <t>Dem M pred</t>
        </is>
      </c>
      <c r="E336" t="n">
        <v>163.765772</v>
      </c>
      <c r="F336" t="n">
        <v>865.196085</v>
      </c>
      <c r="G336" t="n">
        <v>822.424992</v>
      </c>
      <c r="H336" t="n">
        <v>5615.493407</v>
      </c>
      <c r="I336" t="n">
        <v>2546.011711</v>
      </c>
      <c r="J336" t="n">
        <v>2549.035034</v>
      </c>
      <c r="K336" t="n">
        <v>2421.583282</v>
      </c>
      <c r="L336" t="n">
        <v>3524.187941</v>
      </c>
      <c r="M336" t="n">
        <v>3524.187941</v>
      </c>
      <c r="N336" t="n">
        <v>3524.187941</v>
      </c>
      <c r="O336" t="n">
        <v>2342.135982</v>
      </c>
      <c r="P336" t="n">
        <v>967.00559</v>
      </c>
      <c r="Q336" t="n">
        <v>3524.187941</v>
      </c>
      <c r="R336" t="n">
        <v>3525.764533</v>
      </c>
      <c r="S336" t="n">
        <v>2342.135982</v>
      </c>
      <c r="T336" t="n">
        <v>2343.769424</v>
      </c>
      <c r="U336" t="n">
        <v>967.00559</v>
      </c>
      <c r="V336" t="n">
        <v>-10416.992768</v>
      </c>
      <c r="W336" t="n">
        <v>2575.217274</v>
      </c>
      <c r="X336" t="n">
        <v>3752.05936</v>
      </c>
      <c r="Y336" t="n">
        <v>484.640876</v>
      </c>
      <c r="Z336" t="n">
        <v>2412.077537</v>
      </c>
    </row>
    <row r="337" ht="21" customHeight="1">
      <c r="A337" t="inlineStr">
        <is>
          <t>Sebastidae</t>
        </is>
      </c>
      <c r="D337" s="11" t="inlineStr">
        <is>
          <t>Bathy L pred</t>
        </is>
      </c>
      <c r="E337" t="n">
        <v>163.765772</v>
      </c>
      <c r="F337" t="n">
        <v>1106.358887</v>
      </c>
      <c r="G337" t="n">
        <v>1049.729226</v>
      </c>
      <c r="H337" t="n">
        <v>7084.224774</v>
      </c>
      <c r="I337" t="n">
        <v>3065.63011</v>
      </c>
      <c r="J337" t="n">
        <v>3130.321128</v>
      </c>
      <c r="K337" t="n">
        <v>2973.805071</v>
      </c>
      <c r="L337" t="n">
        <v>5058.409669</v>
      </c>
      <c r="M337" t="n">
        <v>5058.409669</v>
      </c>
      <c r="N337" t="n">
        <v>5058.409669</v>
      </c>
      <c r="O337" t="n">
        <v>2368.213267</v>
      </c>
      <c r="P337" t="n">
        <v>807.090989</v>
      </c>
      <c r="Q337" t="n">
        <v>5058.409669</v>
      </c>
      <c r="R337" t="n">
        <v>5058.887376</v>
      </c>
      <c r="S337" t="n">
        <v>2368.213267</v>
      </c>
      <c r="T337" t="n">
        <v>2368.90613</v>
      </c>
      <c r="U337" t="n">
        <v>807.090989</v>
      </c>
      <c r="V337" t="n">
        <v>-8012.255817</v>
      </c>
      <c r="W337" t="n">
        <v>2656.820722</v>
      </c>
      <c r="X337" t="n">
        <v>5385.081532</v>
      </c>
      <c r="Y337" t="n">
        <v>606.8075</v>
      </c>
      <c r="Z337" t="n">
        <v>2931.579205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1" t="inlineStr">
        <is>
          <t>Dem M pred</t>
        </is>
      </c>
      <c r="E338" t="n">
        <v>163.765772</v>
      </c>
      <c r="F338" t="n">
        <v>865.196085</v>
      </c>
      <c r="G338" t="n">
        <v>822.424992</v>
      </c>
      <c r="H338" t="n">
        <v>5615.493407</v>
      </c>
      <c r="I338" t="n">
        <v>2546.011711</v>
      </c>
      <c r="J338" t="n">
        <v>2549.035034</v>
      </c>
      <c r="K338" t="n">
        <v>2421.583282</v>
      </c>
      <c r="L338" t="n">
        <v>3524.187941</v>
      </c>
      <c r="M338" t="n">
        <v>3524.187941</v>
      </c>
      <c r="N338" t="n">
        <v>3524.187941</v>
      </c>
      <c r="O338" t="n">
        <v>2342.135982</v>
      </c>
      <c r="P338" t="n">
        <v>967.00559</v>
      </c>
      <c r="Q338" t="n">
        <v>3524.187941</v>
      </c>
      <c r="R338" t="n">
        <v>3525.764533</v>
      </c>
      <c r="S338" t="n">
        <v>2342.135982</v>
      </c>
      <c r="T338" t="n">
        <v>2343.769424</v>
      </c>
      <c r="U338" t="n">
        <v>967.00559</v>
      </c>
      <c r="V338" t="n">
        <v>-10416.992768</v>
      </c>
      <c r="W338" t="n">
        <v>2575.217274</v>
      </c>
      <c r="X338" t="n">
        <v>3752.05936</v>
      </c>
      <c r="Y338" t="n">
        <v>484.640876</v>
      </c>
      <c r="Z338" t="n">
        <v>2412.077537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1" t="inlineStr">
        <is>
          <t>Côtier M inv</t>
        </is>
      </c>
      <c r="E339" t="n">
        <v>163.765772</v>
      </c>
      <c r="F339" t="n">
        <v>170.837609</v>
      </c>
      <c r="G339" t="n">
        <v>164.379174</v>
      </c>
      <c r="H339" t="n">
        <v>573.174129</v>
      </c>
      <c r="I339" t="n">
        <v>332.812451</v>
      </c>
      <c r="J339" t="n">
        <v>332.812451</v>
      </c>
      <c r="K339" t="n">
        <v>331.190423</v>
      </c>
      <c r="L339" t="n">
        <v>425.732264</v>
      </c>
      <c r="M339" t="n">
        <v>425.732264</v>
      </c>
      <c r="N339" t="n">
        <v>425.732264</v>
      </c>
      <c r="O339" t="n">
        <v>368.426453</v>
      </c>
      <c r="P339" t="n">
        <v>198.243136</v>
      </c>
      <c r="Q339" t="n">
        <v>425.732264</v>
      </c>
      <c r="R339" t="n">
        <v>425.732264</v>
      </c>
      <c r="S339" t="n">
        <v>368.426453</v>
      </c>
      <c r="T339" t="n">
        <v>368.498294</v>
      </c>
      <c r="U339" t="n">
        <v>198.243136</v>
      </c>
      <c r="V339" t="n">
        <v>-2197.047861</v>
      </c>
      <c r="W339" t="n">
        <v>402.613215</v>
      </c>
      <c r="X339" t="n">
        <v>447.451967</v>
      </c>
      <c r="Y339" t="n">
        <v>109.967259</v>
      </c>
      <c r="Z339" t="n">
        <v>314.242463</v>
      </c>
    </row>
    <row r="340" ht="21" customHeight="1">
      <c r="A340" t="inlineStr">
        <is>
          <t>Deania calceus</t>
        </is>
      </c>
      <c r="D340" s="11" t="inlineStr">
        <is>
          <t>Unresolved</t>
        </is>
      </c>
    </row>
    <row r="341" ht="21" customHeight="1">
      <c r="A341" t="inlineStr">
        <is>
          <t>Lamniformes</t>
        </is>
      </c>
      <c r="D341" s="11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1" t="inlineStr">
        <is>
          <t>Côtier M inv</t>
        </is>
      </c>
      <c r="E342" t="n">
        <v>163.765772</v>
      </c>
      <c r="F342" t="n">
        <v>170.837609</v>
      </c>
      <c r="G342" t="n">
        <v>164.379174</v>
      </c>
      <c r="H342" t="n">
        <v>573.174129</v>
      </c>
      <c r="I342" t="n">
        <v>332.812451</v>
      </c>
      <c r="J342" t="n">
        <v>332.812451</v>
      </c>
      <c r="K342" t="n">
        <v>331.190423</v>
      </c>
      <c r="L342" t="n">
        <v>425.732264</v>
      </c>
      <c r="M342" t="n">
        <v>425.732264</v>
      </c>
      <c r="N342" t="n">
        <v>425.732264</v>
      </c>
      <c r="O342" t="n">
        <v>368.426453</v>
      </c>
      <c r="P342" t="n">
        <v>198.243136</v>
      </c>
      <c r="Q342" t="n">
        <v>425.732264</v>
      </c>
      <c r="R342" t="n">
        <v>425.732264</v>
      </c>
      <c r="S342" t="n">
        <v>368.426453</v>
      </c>
      <c r="T342" t="n">
        <v>368.498294</v>
      </c>
      <c r="U342" t="n">
        <v>198.243136</v>
      </c>
      <c r="V342" t="n">
        <v>-2197.047861</v>
      </c>
      <c r="W342" t="n">
        <v>402.613215</v>
      </c>
      <c r="X342" t="n">
        <v>447.451967</v>
      </c>
      <c r="Y342" t="n">
        <v>109.967259</v>
      </c>
      <c r="Z342" t="n">
        <v>314.242463</v>
      </c>
    </row>
    <row r="343" ht="21" customHeight="1">
      <c r="A343" t="inlineStr">
        <is>
          <t>Carcharhinus longimanus</t>
        </is>
      </c>
      <c r="D343" s="11" t="inlineStr">
        <is>
          <t>Sélaciens L prof</t>
        </is>
      </c>
      <c r="E343" t="n">
        <v>163.765772</v>
      </c>
      <c r="F343" t="n">
        <v>2984.356694</v>
      </c>
      <c r="G343" t="n">
        <v>2810.614697</v>
      </c>
      <c r="H343" t="n">
        <v>33756.075827</v>
      </c>
      <c r="I343" t="n">
        <v>124489.068835</v>
      </c>
      <c r="J343" t="n">
        <v>128867.658555</v>
      </c>
      <c r="K343" t="n">
        <v>64433.829278</v>
      </c>
      <c r="L343" t="n">
        <v>630808.944285</v>
      </c>
      <c r="M343" t="n">
        <v>630808.944285</v>
      </c>
      <c r="N343" t="n">
        <v>630808.944285</v>
      </c>
      <c r="O343" t="n">
        <v>51235.427712</v>
      </c>
      <c r="P343" t="n">
        <v>12872.10487</v>
      </c>
      <c r="Q343" t="n">
        <v>630808.944285</v>
      </c>
      <c r="R343" t="n">
        <v>-1411467.842509</v>
      </c>
      <c r="S343" t="n">
        <v>51235.427712</v>
      </c>
      <c r="T343" t="n">
        <v>51258.187051</v>
      </c>
      <c r="U343" t="n">
        <v>12872.10487</v>
      </c>
      <c r="V343" t="n">
        <v>-997628.83218</v>
      </c>
      <c r="W343" t="n">
        <v>58369.961914</v>
      </c>
      <c r="X343" t="n">
        <v>764652.412024</v>
      </c>
      <c r="Y343" t="n">
        <v>1503.40227</v>
      </c>
      <c r="Z343" t="n">
        <v>11832.505589</v>
      </c>
    </row>
    <row r="344" ht="21" customHeight="1">
      <c r="A344" t="inlineStr">
        <is>
          <t>Centroscyllium fabricii</t>
        </is>
      </c>
      <c r="D344" s="11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1" t="inlineStr">
        <is>
          <t>Mulets</t>
        </is>
      </c>
      <c r="E345" t="n">
        <v>163.765772</v>
      </c>
      <c r="F345" t="n">
        <v>20.76151</v>
      </c>
      <c r="G345" t="n">
        <v>20.294765</v>
      </c>
      <c r="H345" t="n">
        <v>104.055417</v>
      </c>
      <c r="I345" t="n">
        <v>84.96705300000001</v>
      </c>
      <c r="J345" t="n">
        <v>84.96705300000001</v>
      </c>
      <c r="K345" t="n">
        <v>80.7187</v>
      </c>
      <c r="L345" t="n">
        <v>87.916766</v>
      </c>
      <c r="M345" t="n">
        <v>87.916766</v>
      </c>
      <c r="N345" t="n">
        <v>87.916766</v>
      </c>
      <c r="O345" t="n">
        <v>58.81521</v>
      </c>
      <c r="P345" t="n">
        <v>32.075058</v>
      </c>
      <c r="Q345" t="n">
        <v>87.916766</v>
      </c>
      <c r="R345" t="n">
        <v>87.916766</v>
      </c>
      <c r="S345" t="n">
        <v>58.81521</v>
      </c>
      <c r="T345" t="n">
        <v>58.820906</v>
      </c>
      <c r="U345" t="n">
        <v>32.075058</v>
      </c>
      <c r="V345" t="n">
        <v>-183.117525</v>
      </c>
      <c r="W345" t="n">
        <v>61.214848</v>
      </c>
      <c r="X345" t="n">
        <v>89.985946</v>
      </c>
      <c r="Y345" t="n">
        <v>16.009476</v>
      </c>
      <c r="Z345" t="n">
        <v>63.984768</v>
      </c>
    </row>
    <row r="346" ht="21" customHeight="1">
      <c r="A346" t="inlineStr">
        <is>
          <t>Alepisaurus ferox</t>
        </is>
      </c>
      <c r="D346" s="11" t="inlineStr">
        <is>
          <t>Unresolved</t>
        </is>
      </c>
    </row>
    <row r="347" ht="21" customHeight="1">
      <c r="A347" t="inlineStr">
        <is>
          <t>Dicentrarchus</t>
        </is>
      </c>
      <c r="D347" s="11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1" t="inlineStr">
        <is>
          <t>Unresolved</t>
        </is>
      </c>
    </row>
    <row r="349" ht="21" customHeight="1">
      <c r="A349" t="inlineStr">
        <is>
          <t>Aphanopus intermedius</t>
        </is>
      </c>
      <c r="D349" s="11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1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1" t="inlineStr">
        <is>
          <t>Dem M pred</t>
        </is>
      </c>
      <c r="E351" t="n">
        <v>163.765772</v>
      </c>
      <c r="F351" t="n">
        <v>865.196085</v>
      </c>
      <c r="G351" t="n">
        <v>822.424992</v>
      </c>
      <c r="H351" t="n">
        <v>5615.493407</v>
      </c>
      <c r="I351" t="n">
        <v>2546.011711</v>
      </c>
      <c r="J351" t="n">
        <v>2549.035034</v>
      </c>
      <c r="K351" t="n">
        <v>2421.583282</v>
      </c>
      <c r="L351" t="n">
        <v>3524.187941</v>
      </c>
      <c r="M351" t="n">
        <v>3524.187941</v>
      </c>
      <c r="N351" t="n">
        <v>3524.187941</v>
      </c>
      <c r="O351" t="n">
        <v>2342.135982</v>
      </c>
      <c r="P351" t="n">
        <v>967.00559</v>
      </c>
      <c r="Q351" t="n">
        <v>3524.187941</v>
      </c>
      <c r="R351" t="n">
        <v>3525.764533</v>
      </c>
      <c r="S351" t="n">
        <v>2342.135982</v>
      </c>
      <c r="T351" t="n">
        <v>2343.769424</v>
      </c>
      <c r="U351" t="n">
        <v>967.00559</v>
      </c>
      <c r="V351" t="n">
        <v>-10416.992768</v>
      </c>
      <c r="W351" t="n">
        <v>2575.217274</v>
      </c>
      <c r="X351" t="n">
        <v>3752.05936</v>
      </c>
      <c r="Y351" t="n">
        <v>484.640876</v>
      </c>
      <c r="Z351" t="n">
        <v>2412.077537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1" t="inlineStr">
        <is>
          <t>Côtier L pred</t>
        </is>
      </c>
      <c r="E352" t="n">
        <v>163.765772</v>
      </c>
      <c r="F352" t="n">
        <v>834.792702</v>
      </c>
      <c r="G352" t="n">
        <v>793.737434</v>
      </c>
      <c r="H352" t="n">
        <v>7076.97786</v>
      </c>
      <c r="I352" t="n">
        <v>5090.744396</v>
      </c>
      <c r="J352" t="n">
        <v>9568.388961000001</v>
      </c>
      <c r="K352" t="n">
        <v>8272.995088</v>
      </c>
      <c r="L352" t="n">
        <v>19279.70472</v>
      </c>
      <c r="M352" t="n">
        <v>19279.70472</v>
      </c>
      <c r="N352" t="n">
        <v>19279.70472</v>
      </c>
      <c r="O352" t="n">
        <v>6360.723192</v>
      </c>
      <c r="P352" t="n">
        <v>2029.298348</v>
      </c>
      <c r="Q352" t="n">
        <v>19279.70472</v>
      </c>
      <c r="R352" t="n">
        <v>-84799.195448</v>
      </c>
      <c r="S352" t="n">
        <v>6360.723192</v>
      </c>
      <c r="T352" t="n">
        <v>6366.23078</v>
      </c>
      <c r="U352" t="n">
        <v>2029.298348</v>
      </c>
      <c r="V352" t="n">
        <v>-469234.864873</v>
      </c>
      <c r="W352" t="n">
        <v>6996.154043</v>
      </c>
      <c r="X352" t="n">
        <v>20790.115719</v>
      </c>
      <c r="Y352" t="n">
        <v>469.046047</v>
      </c>
      <c r="Z352" t="n">
        <v>2908.726875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1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1" t="inlineStr">
        <is>
          <t>Unresolved</t>
        </is>
      </c>
    </row>
    <row r="355" ht="36" customHeight="1">
      <c r="A355" t="inlineStr">
        <is>
          <t>Squalus</t>
        </is>
      </c>
      <c r="D355" s="11" t="inlineStr">
        <is>
          <t>Sélaciens L prof | Sélaciens M prof</t>
        </is>
      </c>
      <c r="E355" t="n">
        <v>163.765772</v>
      </c>
      <c r="F355" t="n">
        <v>2943.265798</v>
      </c>
      <c r="G355" t="n">
        <v>2772.19544</v>
      </c>
      <c r="H355" t="n">
        <v>30340.406421</v>
      </c>
      <c r="I355" t="n">
        <v>106443.47238</v>
      </c>
      <c r="J355" t="n">
        <v>110085.487319</v>
      </c>
      <c r="K355" t="n">
        <v>55042.74366</v>
      </c>
      <c r="L355" t="n">
        <v>519045.522015</v>
      </c>
      <c r="M355" t="n">
        <v>519045.522015</v>
      </c>
      <c r="N355" t="n">
        <v>519045.522015</v>
      </c>
      <c r="O355" t="n">
        <v>43711.326429</v>
      </c>
      <c r="P355" t="n">
        <v>11190.60535</v>
      </c>
      <c r="Q355" t="n">
        <v>519045.522015</v>
      </c>
      <c r="R355" t="n">
        <v>-1134636.932488</v>
      </c>
      <c r="S355" t="n">
        <v>43711.326429</v>
      </c>
      <c r="T355" t="n">
        <v>43730.559477</v>
      </c>
      <c r="U355" t="n">
        <v>11190.60535</v>
      </c>
      <c r="V355" t="n">
        <v>-815704.522352</v>
      </c>
      <c r="W355" t="n">
        <v>49790.245909</v>
      </c>
      <c r="X355" t="n">
        <v>628102.100763</v>
      </c>
      <c r="Y355" t="n">
        <v>1484.415879</v>
      </c>
      <c r="Z355" t="n">
        <v>10771.970491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1" t="inlineStr">
        <is>
          <t>Unresolved</t>
        </is>
      </c>
    </row>
    <row r="357" ht="21" customHeight="1">
      <c r="A357" t="inlineStr">
        <is>
          <t>Geryon</t>
        </is>
      </c>
      <c r="D357" s="11" t="inlineStr">
        <is>
          <t>Crustacés</t>
        </is>
      </c>
      <c r="E357" t="n">
        <v>163.765772</v>
      </c>
      <c r="F357" t="n">
        <v>79.64922</v>
      </c>
      <c r="G357" t="n">
        <v>77.077782</v>
      </c>
      <c r="H357" t="n">
        <v>199.420396</v>
      </c>
      <c r="I357" t="n">
        <v>94.919134</v>
      </c>
      <c r="J357" t="n">
        <v>94.919134</v>
      </c>
      <c r="K357" t="n">
        <v>90.173177</v>
      </c>
      <c r="L357" t="n">
        <v>135.651174</v>
      </c>
      <c r="M357" t="n">
        <v>135.651174</v>
      </c>
      <c r="N357" t="n">
        <v>135.651174</v>
      </c>
      <c r="O357" t="n">
        <v>112.097094</v>
      </c>
      <c r="P357" t="n">
        <v>63.65447</v>
      </c>
      <c r="Q357" t="n">
        <v>135.651174</v>
      </c>
      <c r="R357" t="n">
        <v>135.651174</v>
      </c>
      <c r="S357" t="n">
        <v>112.097094</v>
      </c>
      <c r="T357" t="n">
        <v>112.118405</v>
      </c>
      <c r="U357" t="n">
        <v>63.65447</v>
      </c>
      <c r="V357" t="n">
        <v>-691.708697</v>
      </c>
      <c r="W357" t="n">
        <v>122.926325</v>
      </c>
      <c r="X357" t="n">
        <v>140.897505</v>
      </c>
      <c r="Y357" t="n">
        <v>54.73445</v>
      </c>
      <c r="Z357" t="n">
        <v>122.753568</v>
      </c>
    </row>
    <row r="358" ht="21" customHeight="1">
      <c r="A358" t="inlineStr">
        <is>
          <t>Lampris guttatus</t>
        </is>
      </c>
      <c r="D358" s="11" t="inlineStr">
        <is>
          <t>Unresolved</t>
        </is>
      </c>
    </row>
    <row r="359" ht="21" customHeight="1">
      <c r="A359" t="inlineStr">
        <is>
          <t>Carcharias taurus</t>
        </is>
      </c>
      <c r="D359" s="11" t="inlineStr">
        <is>
          <t>Unresolved</t>
        </is>
      </c>
    </row>
    <row r="360" ht="21" customHeight="1">
      <c r="A360" t="inlineStr">
        <is>
          <t>Chimaeriformes</t>
        </is>
      </c>
      <c r="D360" s="11" t="inlineStr">
        <is>
          <t>Unresolved</t>
        </is>
      </c>
    </row>
    <row r="361" ht="21" customHeight="1">
      <c r="A361" t="inlineStr">
        <is>
          <t>Scyliorhinidae</t>
        </is>
      </c>
      <c r="D361" s="11" t="inlineStr">
        <is>
          <t>Unresolved</t>
        </is>
      </c>
    </row>
    <row r="362" ht="21" customHeight="1">
      <c r="A362" t="inlineStr">
        <is>
          <t>Epigonus telescopus</t>
        </is>
      </c>
      <c r="D362" s="11" t="inlineStr">
        <is>
          <t>Bathy L pred</t>
        </is>
      </c>
      <c r="E362" t="n">
        <v>163.765772</v>
      </c>
      <c r="F362" t="n">
        <v>1106.358887</v>
      </c>
      <c r="G362" t="n">
        <v>1049.729226</v>
      </c>
      <c r="H362" t="n">
        <v>7084.224774</v>
      </c>
      <c r="I362" t="n">
        <v>3065.63011</v>
      </c>
      <c r="J362" t="n">
        <v>3130.321128</v>
      </c>
      <c r="K362" t="n">
        <v>2973.805071</v>
      </c>
      <c r="L362" t="n">
        <v>5058.409669</v>
      </c>
      <c r="M362" t="n">
        <v>5058.409669</v>
      </c>
      <c r="N362" t="n">
        <v>5058.409669</v>
      </c>
      <c r="O362" t="n">
        <v>2368.213267</v>
      </c>
      <c r="P362" t="n">
        <v>807.090989</v>
      </c>
      <c r="Q362" t="n">
        <v>5058.409669</v>
      </c>
      <c r="R362" t="n">
        <v>5058.887376</v>
      </c>
      <c r="S362" t="n">
        <v>2368.213267</v>
      </c>
      <c r="T362" t="n">
        <v>2368.90613</v>
      </c>
      <c r="U362" t="n">
        <v>807.090989</v>
      </c>
      <c r="V362" t="n">
        <v>-8012.255817</v>
      </c>
      <c r="W362" t="n">
        <v>2656.820722</v>
      </c>
      <c r="X362" t="n">
        <v>5385.081532</v>
      </c>
      <c r="Y362" t="n">
        <v>606.8075</v>
      </c>
      <c r="Z362" t="n">
        <v>2931.579205</v>
      </c>
    </row>
    <row r="363" ht="21" customHeight="1">
      <c r="A363" t="inlineStr">
        <is>
          <t>Bathytoshia centroura</t>
        </is>
      </c>
      <c r="D363" s="11" t="inlineStr">
        <is>
          <t>Sélaciens L côtiers</t>
        </is>
      </c>
      <c r="E363" t="n">
        <v>163.765772</v>
      </c>
      <c r="F363" t="n">
        <v>1149.132987</v>
      </c>
      <c r="G363" t="n">
        <v>1090.003899</v>
      </c>
      <c r="H363" t="n">
        <v>26127.395566</v>
      </c>
      <c r="I363" t="n">
        <v>60050.075009</v>
      </c>
      <c r="J363" t="n">
        <v>53916.35667</v>
      </c>
      <c r="K363" t="n">
        <v>48299.467469</v>
      </c>
      <c r="L363" t="n">
        <v>144843.028709</v>
      </c>
      <c r="M363" t="n">
        <v>144843.028709</v>
      </c>
      <c r="N363" t="n">
        <v>144843.028709</v>
      </c>
      <c r="O363" t="n">
        <v>27575.4076</v>
      </c>
      <c r="P363" t="n">
        <v>7327.206978</v>
      </c>
      <c r="Q363" t="n">
        <v>144843.028709</v>
      </c>
      <c r="R363" t="n">
        <v>-325556.764098</v>
      </c>
      <c r="S363" t="n">
        <v>27575.4076</v>
      </c>
      <c r="T363" t="n">
        <v>27614.770708</v>
      </c>
      <c r="U363" t="n">
        <v>7327.206978</v>
      </c>
      <c r="V363" t="n">
        <v>-737148.930634</v>
      </c>
      <c r="W363" t="n">
        <v>30898.696538</v>
      </c>
      <c r="X363" t="n">
        <v>163594.27594</v>
      </c>
      <c r="Y363" t="n">
        <v>628.222446</v>
      </c>
      <c r="Z363" t="n">
        <v>9215.010265999999</v>
      </c>
    </row>
    <row r="364" ht="21" customHeight="1">
      <c r="A364" t="inlineStr">
        <is>
          <t>Labridae</t>
        </is>
      </c>
      <c r="D364" s="11" t="inlineStr">
        <is>
          <t>Côtier M pred | Dem M inv</t>
        </is>
      </c>
      <c r="E364" t="n">
        <v>163.765772</v>
      </c>
      <c r="F364" t="n">
        <v>172.540605</v>
      </c>
      <c r="G364" t="n">
        <v>166.005275</v>
      </c>
      <c r="H364" t="n">
        <v>512.786529</v>
      </c>
      <c r="I364" t="n">
        <v>706.967223</v>
      </c>
      <c r="J364" t="n">
        <v>706.968114</v>
      </c>
      <c r="K364" t="n">
        <v>671.6197079999999</v>
      </c>
      <c r="L364" t="n">
        <v>891.486055</v>
      </c>
      <c r="M364" t="n">
        <v>891.486055</v>
      </c>
      <c r="N364" t="n">
        <v>891.486055</v>
      </c>
      <c r="O364" t="n">
        <v>736.136032</v>
      </c>
      <c r="P364" t="n">
        <v>400.645584</v>
      </c>
      <c r="Q364" t="n">
        <v>891.486055</v>
      </c>
      <c r="R364" t="n">
        <v>818.150314</v>
      </c>
      <c r="S364" t="n">
        <v>736.136032</v>
      </c>
      <c r="T364" t="n">
        <v>736.279482</v>
      </c>
      <c r="U364" t="n">
        <v>400.645584</v>
      </c>
      <c r="V364" t="n">
        <v>-4632.248122</v>
      </c>
      <c r="W364" t="n">
        <v>806.732754</v>
      </c>
      <c r="X364" t="n">
        <v>946.992756</v>
      </c>
      <c r="Y364" t="n">
        <v>110.96793</v>
      </c>
      <c r="Z364" t="n">
        <v>284.535992</v>
      </c>
    </row>
    <row r="365" ht="21" customHeight="1">
      <c r="A365" t="inlineStr">
        <is>
          <t>Malacostraca</t>
        </is>
      </c>
      <c r="D365" s="11" t="inlineStr">
        <is>
          <t>Crustacés</t>
        </is>
      </c>
      <c r="E365" t="n">
        <v>163.765772</v>
      </c>
      <c r="F365" t="n">
        <v>79.64922</v>
      </c>
      <c r="G365" t="n">
        <v>77.077782</v>
      </c>
      <c r="H365" t="n">
        <v>199.420396</v>
      </c>
      <c r="I365" t="n">
        <v>94.919134</v>
      </c>
      <c r="J365" t="n">
        <v>94.919134</v>
      </c>
      <c r="K365" t="n">
        <v>90.173177</v>
      </c>
      <c r="L365" t="n">
        <v>135.651174</v>
      </c>
      <c r="M365" t="n">
        <v>135.651174</v>
      </c>
      <c r="N365" t="n">
        <v>135.651174</v>
      </c>
      <c r="O365" t="n">
        <v>112.097094</v>
      </c>
      <c r="P365" t="n">
        <v>63.65447</v>
      </c>
      <c r="Q365" t="n">
        <v>135.651174</v>
      </c>
      <c r="R365" t="n">
        <v>135.651174</v>
      </c>
      <c r="S365" t="n">
        <v>112.097094</v>
      </c>
      <c r="T365" t="n">
        <v>112.118405</v>
      </c>
      <c r="U365" t="n">
        <v>63.65447</v>
      </c>
      <c r="V365" t="n">
        <v>-691.708697</v>
      </c>
      <c r="W365" t="n">
        <v>122.926325</v>
      </c>
      <c r="X365" t="n">
        <v>140.897505</v>
      </c>
      <c r="Y365" t="n">
        <v>54.73445</v>
      </c>
      <c r="Z365" t="n">
        <v>122.753568</v>
      </c>
    </row>
    <row r="366" ht="21" customHeight="1">
      <c r="A366" t="inlineStr">
        <is>
          <t>Gymnothorax maderensis</t>
        </is>
      </c>
      <c r="D366" s="11" t="inlineStr">
        <is>
          <t>Côtier M pred</t>
        </is>
      </c>
      <c r="E366" t="n">
        <v>163.765772</v>
      </c>
      <c r="F366" t="n">
        <v>369.644464</v>
      </c>
      <c r="G366" t="n">
        <v>353.618246</v>
      </c>
      <c r="H366" t="n">
        <v>5618.07676</v>
      </c>
      <c r="I366" t="n">
        <v>4122.703208</v>
      </c>
      <c r="J366" t="n">
        <v>4125.865215</v>
      </c>
      <c r="K366" t="n">
        <v>3919.571954</v>
      </c>
      <c r="L366" t="n">
        <v>5709.651166</v>
      </c>
      <c r="M366" t="n">
        <v>5709.651166</v>
      </c>
      <c r="N366" t="n">
        <v>5709.651166</v>
      </c>
      <c r="O366" t="n">
        <v>3836.132449</v>
      </c>
      <c r="P366" t="n">
        <v>1443.832495</v>
      </c>
      <c r="Q366" t="n">
        <v>5709.651166</v>
      </c>
      <c r="R366" t="n">
        <v>-254579.602961</v>
      </c>
      <c r="S366" t="n">
        <v>3836.132449</v>
      </c>
      <c r="T366" t="n">
        <v>3839.420568</v>
      </c>
      <c r="U366" t="n">
        <v>1443.832495</v>
      </c>
      <c r="V366" t="n">
        <v>-776414.352868</v>
      </c>
      <c r="W366" t="n">
        <v>4226.531839</v>
      </c>
      <c r="X366" t="n">
        <v>5979.062362</v>
      </c>
      <c r="Y366" t="n">
        <v>222.709772</v>
      </c>
      <c r="Z366" t="n">
        <v>2268.177034</v>
      </c>
    </row>
    <row r="367" ht="21" customHeight="1">
      <c r="A367" t="inlineStr">
        <is>
          <t>Centroselachus crepidater</t>
        </is>
      </c>
      <c r="D367" s="11" t="inlineStr">
        <is>
          <t>Unresolved</t>
        </is>
      </c>
    </row>
    <row r="368" ht="21" customHeight="1">
      <c r="A368" t="inlineStr">
        <is>
          <t>Carcharhinus obscurus</t>
        </is>
      </c>
      <c r="D368" s="11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1" t="inlineStr">
        <is>
          <t>Côtier L pred</t>
        </is>
      </c>
      <c r="E369" t="n">
        <v>163.765772</v>
      </c>
      <c r="F369" t="n">
        <v>834.792702</v>
      </c>
      <c r="G369" t="n">
        <v>793.737434</v>
      </c>
      <c r="H369" t="n">
        <v>7076.97786</v>
      </c>
      <c r="I369" t="n">
        <v>5090.744396</v>
      </c>
      <c r="J369" t="n">
        <v>9568.388961000001</v>
      </c>
      <c r="K369" t="n">
        <v>8272.995088</v>
      </c>
      <c r="L369" t="n">
        <v>19279.70472</v>
      </c>
      <c r="M369" t="n">
        <v>19279.70472</v>
      </c>
      <c r="N369" t="n">
        <v>19279.70472</v>
      </c>
      <c r="O369" t="n">
        <v>6360.723192</v>
      </c>
      <c r="P369" t="n">
        <v>2029.298348</v>
      </c>
      <c r="Q369" t="n">
        <v>19279.70472</v>
      </c>
      <c r="R369" t="n">
        <v>-84799.195448</v>
      </c>
      <c r="S369" t="n">
        <v>6360.723192</v>
      </c>
      <c r="T369" t="n">
        <v>6366.23078</v>
      </c>
      <c r="U369" t="n">
        <v>2029.298348</v>
      </c>
      <c r="V369" t="n">
        <v>-469234.864873</v>
      </c>
      <c r="W369" t="n">
        <v>6996.154043</v>
      </c>
      <c r="X369" t="n">
        <v>20790.115719</v>
      </c>
      <c r="Y369" t="n">
        <v>469.046047</v>
      </c>
      <c r="Z369" t="n">
        <v>2908.726875</v>
      </c>
    </row>
    <row r="370" ht="21" customHeight="1">
      <c r="A370" t="inlineStr">
        <is>
          <t>Cetorhinus maximus</t>
        </is>
      </c>
      <c r="D370" s="11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1" t="inlineStr">
        <is>
          <t>Dem L pred</t>
        </is>
      </c>
      <c r="E371" t="n">
        <v>163.765772</v>
      </c>
      <c r="F371" t="n">
        <v>702.92427</v>
      </c>
      <c r="G371" t="n">
        <v>669.216325</v>
      </c>
      <c r="H371" t="n">
        <v>8905.495621</v>
      </c>
      <c r="I371" t="n">
        <v>6777.626749</v>
      </c>
      <c r="J371" t="n">
        <v>6838.543559</v>
      </c>
      <c r="K371" t="n">
        <v>5761.94028</v>
      </c>
      <c r="L371" t="n">
        <v>11046.542562</v>
      </c>
      <c r="M371" t="n">
        <v>11046.542562</v>
      </c>
      <c r="N371" t="n">
        <v>11046.542562</v>
      </c>
      <c r="O371" t="n">
        <v>5782.706959</v>
      </c>
      <c r="P371" t="n">
        <v>2043.80318</v>
      </c>
      <c r="Q371" t="n">
        <v>11046.542562</v>
      </c>
      <c r="R371" t="n">
        <v>11049.934606</v>
      </c>
      <c r="S371" t="n">
        <v>5782.706959</v>
      </c>
      <c r="T371" t="n">
        <v>5785.88935</v>
      </c>
      <c r="U371" t="n">
        <v>2043.80318</v>
      </c>
      <c r="V371" t="n">
        <v>-21771.784771</v>
      </c>
      <c r="W371" t="n">
        <v>6494.006214</v>
      </c>
      <c r="X371" t="n">
        <v>12063.058581</v>
      </c>
      <c r="Y371" t="n">
        <v>400.815207</v>
      </c>
      <c r="Z371" t="n">
        <v>3457.571618</v>
      </c>
    </row>
    <row r="372" ht="21" customHeight="1">
      <c r="A372" t="inlineStr">
        <is>
          <t>Oxynotus centrina</t>
        </is>
      </c>
      <c r="D372" s="11" t="inlineStr">
        <is>
          <t>Unresolved</t>
        </is>
      </c>
    </row>
    <row r="373" ht="21" customHeight="1">
      <c r="A373" t="inlineStr">
        <is>
          <t>Thunnus</t>
        </is>
      </c>
      <c r="D373" s="11" t="inlineStr">
        <is>
          <t>Thons majeurs</t>
        </is>
      </c>
      <c r="E373" t="n">
        <v>163.765772</v>
      </c>
      <c r="F373" t="n">
        <v>2736.422785</v>
      </c>
      <c r="G373" t="n">
        <v>2578.791074</v>
      </c>
      <c r="H373" t="n">
        <v>17894.357856</v>
      </c>
      <c r="I373" t="n">
        <v>8524.661732</v>
      </c>
      <c r="J373" t="n">
        <v>8877.094804</v>
      </c>
      <c r="K373" t="n">
        <v>4438.547402</v>
      </c>
      <c r="L373" t="n">
        <v>13559.45898</v>
      </c>
      <c r="M373" t="n">
        <v>13559.45898</v>
      </c>
      <c r="N373" t="n">
        <v>13559.45898</v>
      </c>
      <c r="O373" t="n">
        <v>3620.876362</v>
      </c>
      <c r="P373" t="n">
        <v>1183.597755</v>
      </c>
      <c r="Q373" t="n">
        <v>13559.45898</v>
      </c>
      <c r="R373" t="n">
        <v>-35797.700389</v>
      </c>
      <c r="S373" t="n">
        <v>3620.876362</v>
      </c>
      <c r="T373" t="n">
        <v>3622.234339</v>
      </c>
      <c r="U373" t="n">
        <v>1183.597755</v>
      </c>
      <c r="V373" t="n">
        <v>-69439.82694100001</v>
      </c>
      <c r="W373" t="n">
        <v>4014.207129</v>
      </c>
      <c r="X373" t="n">
        <v>14860.336328</v>
      </c>
      <c r="Y373" t="n">
        <v>1388.786767</v>
      </c>
      <c r="Z373" t="n">
        <v>6982.262246</v>
      </c>
    </row>
    <row r="374" ht="21" customHeight="1">
      <c r="A374" t="inlineStr">
        <is>
          <t>Etmopterus</t>
        </is>
      </c>
      <c r="D374" s="11" t="inlineStr">
        <is>
          <t>Sélaciens M prof</t>
        </is>
      </c>
      <c r="E374" t="n">
        <v>163.765772</v>
      </c>
      <c r="F374" t="n">
        <v>2768.40081</v>
      </c>
      <c r="G374" t="n">
        <v>2608.699784</v>
      </c>
      <c r="H374" t="n">
        <v>15804.802398</v>
      </c>
      <c r="I374" t="n">
        <v>29649.259219</v>
      </c>
      <c r="J374" t="n">
        <v>30156.732119</v>
      </c>
      <c r="K374" t="n">
        <v>15078.36606</v>
      </c>
      <c r="L374" t="n">
        <v>43428.986164</v>
      </c>
      <c r="M374" t="n">
        <v>43428.986164</v>
      </c>
      <c r="N374" t="n">
        <v>43428.986164</v>
      </c>
      <c r="O374" t="n">
        <v>11692.022484</v>
      </c>
      <c r="P374" t="n">
        <v>4034.874429</v>
      </c>
      <c r="Q374" t="n">
        <v>43428.986164</v>
      </c>
      <c r="R374" t="n">
        <v>43435.067863</v>
      </c>
      <c r="S374" t="n">
        <v>11692.022484</v>
      </c>
      <c r="T374" t="n">
        <v>11696.249172</v>
      </c>
      <c r="U374" t="n">
        <v>4034.874429</v>
      </c>
      <c r="V374" t="n">
        <v>-41513.751621</v>
      </c>
      <c r="W374" t="n">
        <v>13278.704635</v>
      </c>
      <c r="X374" t="n">
        <v>47003.341511</v>
      </c>
      <c r="Y374" t="n">
        <v>1403.618052</v>
      </c>
      <c r="Z374" t="n">
        <v>6258.794187</v>
      </c>
    </row>
    <row r="375" ht="21" customHeight="1">
      <c r="A375" t="inlineStr">
        <is>
          <t>Carcharhinus galapagensis</t>
        </is>
      </c>
      <c r="D375" s="11" t="inlineStr">
        <is>
          <t>Unresolved</t>
        </is>
      </c>
    </row>
    <row r="376" ht="21" customHeight="1">
      <c r="A376" t="inlineStr">
        <is>
          <t>Echinorhinus brucus</t>
        </is>
      </c>
      <c r="D376" s="11" t="inlineStr">
        <is>
          <t>Unresolved</t>
        </is>
      </c>
    </row>
    <row r="377" ht="21" customHeight="1">
      <c r="A377" t="inlineStr">
        <is>
          <t>Bramidae</t>
        </is>
      </c>
      <c r="D377" s="11" t="inlineStr">
        <is>
          <t>Unresolved</t>
        </is>
      </c>
    </row>
    <row r="378" ht="21" customHeight="1">
      <c r="A378" t="inlineStr">
        <is>
          <t>Carcharhinus brachyurus</t>
        </is>
      </c>
      <c r="D378" s="11" t="inlineStr">
        <is>
          <t>Unresolved</t>
        </is>
      </c>
    </row>
    <row r="379" ht="21" customHeight="1">
      <c r="A379" t="inlineStr">
        <is>
          <t>Somniosus rostratus</t>
        </is>
      </c>
      <c r="D379" s="11" t="inlineStr">
        <is>
          <t>Unresolved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t="inlineStr">
        <is>
          <t>SPPR_1986</t>
        </is>
      </c>
      <c r="B9" t="inlineStr">
        <is>
          <t>ok</t>
        </is>
      </c>
      <c r="C9" t="n">
        <v>76693375.66500001</v>
      </c>
      <c r="D9" t="n">
        <v>80082346.516</v>
      </c>
      <c r="E9" t="n">
        <v>81215212.78399999</v>
      </c>
      <c r="F9" t="n">
        <v>87230586.04700001</v>
      </c>
      <c r="G9" t="n">
        <v>89557526.859</v>
      </c>
      <c r="H9" t="n">
        <v>89131133.35699999</v>
      </c>
      <c r="I9" t="n">
        <v>101363440.83</v>
      </c>
      <c r="J9" t="n">
        <v>114577077.353</v>
      </c>
      <c r="K9" t="n">
        <v>116228223.64</v>
      </c>
      <c r="L9" t="n">
        <v>132597110.236</v>
      </c>
      <c r="M9" t="n">
        <v>136957037.049</v>
      </c>
      <c r="N9" t="n">
        <v>148409273.616</v>
      </c>
      <c r="O9" t="n">
        <v>160763497.172</v>
      </c>
      <c r="P9" t="n">
        <v>171305653.772</v>
      </c>
      <c r="Q9" t="n">
        <v>193652257.984</v>
      </c>
      <c r="R9" t="n">
        <v>195506710.143</v>
      </c>
      <c r="S9" t="n">
        <v>199213200.39</v>
      </c>
      <c r="T9" t="n">
        <v>195909240.187</v>
      </c>
      <c r="U9" t="n">
        <v>202875088.21</v>
      </c>
      <c r="V9" t="n">
        <v>219182180.739</v>
      </c>
      <c r="W9" t="n">
        <v>240018249.756</v>
      </c>
      <c r="X9" t="n">
        <v>276273768.229</v>
      </c>
      <c r="Y9" t="n">
        <v>293045754.61</v>
      </c>
      <c r="Z9" t="n">
        <v>286832809.08</v>
      </c>
      <c r="AA9" t="n">
        <v>307659091.291</v>
      </c>
      <c r="AB9" t="n">
        <v>326570517.484</v>
      </c>
      <c r="AC9" t="n">
        <v>344962264.77</v>
      </c>
      <c r="AD9" t="n">
        <v>383296848.674</v>
      </c>
      <c r="AE9" t="n">
        <v>392402923.731</v>
      </c>
      <c r="AF9" t="n">
        <v>364262541.325</v>
      </c>
      <c r="AG9" t="n">
        <v>422718219.253</v>
      </c>
      <c r="AH9" t="n">
        <v>434825780.277</v>
      </c>
      <c r="AI9" t="n">
        <v>428938459.893</v>
      </c>
      <c r="AJ9" t="n">
        <v>423359012.282</v>
      </c>
      <c r="AK9" t="n">
        <v>398121397.346</v>
      </c>
      <c r="AL9" t="n">
        <v>417465543.313</v>
      </c>
      <c r="AM9" t="n">
        <v>448964268.276</v>
      </c>
      <c r="AN9" t="n">
        <v>493498624.228</v>
      </c>
      <c r="AO9" t="n">
        <v>468930361.107</v>
      </c>
      <c r="AP9" t="n">
        <v>483194604.842</v>
      </c>
      <c r="AQ9" t="n">
        <v>483203153.743</v>
      </c>
      <c r="AR9" t="n">
        <v>461577548.485</v>
      </c>
      <c r="AS9" t="n">
        <v>449770104.614</v>
      </c>
      <c r="AT9" t="n">
        <v>450463808.728</v>
      </c>
      <c r="AU9" t="n">
        <v>442036669.714</v>
      </c>
      <c r="AV9" t="n">
        <v>456944198.339</v>
      </c>
      <c r="AW9" t="n">
        <v>487818897.922</v>
      </c>
      <c r="AX9" t="n">
        <v>505566087.04</v>
      </c>
      <c r="AY9" t="n">
        <v>514590055.506</v>
      </c>
      <c r="AZ9" t="n">
        <v>532161737.337</v>
      </c>
      <c r="BA9" t="n">
        <v>573013932.249</v>
      </c>
      <c r="BB9" t="n">
        <v>560380669.995</v>
      </c>
      <c r="BC9" t="n">
        <v>561559223.475</v>
      </c>
      <c r="BD9" t="n">
        <v>543044297.962</v>
      </c>
      <c r="BE9" t="n">
        <v>542671110.322</v>
      </c>
      <c r="BF9" t="n">
        <v>531565198.568</v>
      </c>
      <c r="BG9" t="n">
        <v>534113697.93</v>
      </c>
      <c r="BH9" t="n">
        <v>546299920.7309999</v>
      </c>
      <c r="BI9" t="n">
        <v>565863479.5880001</v>
      </c>
      <c r="BJ9" t="n">
        <v>549745266.967</v>
      </c>
      <c r="BK9" t="n">
        <v>589526380.342</v>
      </c>
      <c r="BL9" t="n">
        <v>608757725.428</v>
      </c>
      <c r="BM9" t="n">
        <v>546290586.901</v>
      </c>
      <c r="BN9" t="n">
        <v>582552245.772</v>
      </c>
      <c r="BO9" t="n">
        <v>616130059.9119999</v>
      </c>
      <c r="BP9" t="n">
        <v>648635883.452</v>
      </c>
      <c r="BQ9" t="n">
        <v>650412250.29</v>
      </c>
      <c r="BR9" t="n">
        <v>684400178.959</v>
      </c>
      <c r="BS9" t="n">
        <v>697036889.956</v>
      </c>
      <c r="BT9" t="n">
        <v>722057842.612</v>
      </c>
    </row>
    <row r="10">
      <c r="A10" t="inlineStr">
        <is>
          <t>SPPR_1995_TE0.1</t>
        </is>
      </c>
      <c r="B10" t="inlineStr">
        <is>
          <t>ok</t>
        </is>
      </c>
      <c r="C10" t="n">
        <v>155587464.48</v>
      </c>
      <c r="D10" t="n">
        <v>162642385.306</v>
      </c>
      <c r="E10" t="n">
        <v>167350751.349</v>
      </c>
      <c r="F10" t="n">
        <v>178593131.616</v>
      </c>
      <c r="G10" t="n">
        <v>182557332.024</v>
      </c>
      <c r="H10" t="n">
        <v>180535197.673</v>
      </c>
      <c r="I10" t="n">
        <v>210089623.849</v>
      </c>
      <c r="J10" t="n">
        <v>277341273.947</v>
      </c>
      <c r="K10" t="n">
        <v>301477756.187</v>
      </c>
      <c r="L10" t="n">
        <v>402084924.725</v>
      </c>
      <c r="M10" t="n">
        <v>449986814.188</v>
      </c>
      <c r="N10" t="n">
        <v>469345052.945</v>
      </c>
      <c r="O10" t="n">
        <v>548021168.0369999</v>
      </c>
      <c r="P10" t="n">
        <v>609704364.132</v>
      </c>
      <c r="Q10" t="n">
        <v>721162952.697</v>
      </c>
      <c r="R10" t="n">
        <v>778891286.414</v>
      </c>
      <c r="S10" t="n">
        <v>691673667.892</v>
      </c>
      <c r="T10" t="n">
        <v>603802675.238</v>
      </c>
      <c r="U10" t="n">
        <v>684935850.784</v>
      </c>
      <c r="V10" t="n">
        <v>722374694.072</v>
      </c>
      <c r="W10" t="n">
        <v>771084634.321</v>
      </c>
      <c r="X10" t="n">
        <v>898054013.665</v>
      </c>
      <c r="Y10" t="n">
        <v>919895483.223</v>
      </c>
      <c r="Z10" t="n">
        <v>882569950.702</v>
      </c>
      <c r="AA10" t="n">
        <v>1058330053.955</v>
      </c>
      <c r="AB10" t="n">
        <v>1015694815.126</v>
      </c>
      <c r="AC10" t="n">
        <v>1061257499.734</v>
      </c>
      <c r="AD10" t="n">
        <v>1192231889.576</v>
      </c>
      <c r="AE10" t="n">
        <v>1240196487.532</v>
      </c>
      <c r="AF10" t="n">
        <v>1183479443.91</v>
      </c>
      <c r="AG10" t="n">
        <v>1349547022.733</v>
      </c>
      <c r="AH10" t="n">
        <v>1361559805.842</v>
      </c>
      <c r="AI10" t="n">
        <v>1393349472.256</v>
      </c>
      <c r="AJ10" t="n">
        <v>1368597819.939</v>
      </c>
      <c r="AK10" t="n">
        <v>1052656678.604</v>
      </c>
      <c r="AL10" t="n">
        <v>1085351591.029</v>
      </c>
      <c r="AM10" t="n">
        <v>1204474688.179</v>
      </c>
      <c r="AN10" t="n">
        <v>1304941186.127</v>
      </c>
      <c r="AO10" t="n">
        <v>1277137647.853</v>
      </c>
      <c r="AP10" t="n">
        <v>1346494508.101</v>
      </c>
      <c r="AQ10" t="n">
        <v>1396728305.322</v>
      </c>
      <c r="AR10" t="n">
        <v>1388604109.544</v>
      </c>
      <c r="AS10" t="n">
        <v>1296668202.679</v>
      </c>
      <c r="AT10" t="n">
        <v>1383546372.31</v>
      </c>
      <c r="AU10" t="n">
        <v>1304426684.345</v>
      </c>
      <c r="AV10" t="n">
        <v>1293815408.159</v>
      </c>
      <c r="AW10" t="n">
        <v>1385270932.741</v>
      </c>
      <c r="AX10" t="n">
        <v>1458146349.542</v>
      </c>
      <c r="AY10" t="n">
        <v>1506742166.785</v>
      </c>
      <c r="AZ10" t="n">
        <v>1650492759.253</v>
      </c>
      <c r="BA10" t="n">
        <v>1679556154.617</v>
      </c>
      <c r="BB10" t="n">
        <v>1688610705.047</v>
      </c>
      <c r="BC10" t="n">
        <v>1622547311.7</v>
      </c>
      <c r="BD10" t="n">
        <v>1596121020.029</v>
      </c>
      <c r="BE10" t="n">
        <v>1645209153.373</v>
      </c>
      <c r="BF10" t="n">
        <v>1635979499.486</v>
      </c>
      <c r="BG10" t="n">
        <v>1544046220.608</v>
      </c>
      <c r="BH10" t="n">
        <v>1613766191.491</v>
      </c>
      <c r="BI10" t="n">
        <v>1718574867.901</v>
      </c>
      <c r="BJ10" t="n">
        <v>1708071939.018</v>
      </c>
      <c r="BK10" t="n">
        <v>1880478191.749</v>
      </c>
      <c r="BL10" t="n">
        <v>1937941261.426</v>
      </c>
      <c r="BM10" t="n">
        <v>1830020914.917</v>
      </c>
      <c r="BN10" t="n">
        <v>1880258901.332</v>
      </c>
      <c r="BO10" t="n">
        <v>1920258385.251</v>
      </c>
      <c r="BP10" t="n">
        <v>2122758565.586</v>
      </c>
      <c r="BQ10" t="n">
        <v>2200063900.54</v>
      </c>
      <c r="BR10" t="n">
        <v>2153405257.682</v>
      </c>
      <c r="BS10" t="n">
        <v>2116491599.205</v>
      </c>
      <c r="BT10" t="n">
        <v>2212004276.611</v>
      </c>
    </row>
    <row r="11">
      <c r="A11" t="inlineStr">
        <is>
          <t>SPPR_1995_TEmean</t>
        </is>
      </c>
      <c r="B11" t="inlineStr">
        <is>
          <t>ok</t>
        </is>
      </c>
      <c r="C11" t="n">
        <v>148156016.435</v>
      </c>
      <c r="D11" t="n">
        <v>154877634.284</v>
      </c>
      <c r="E11" t="n">
        <v>159357049.052</v>
      </c>
      <c r="F11" t="n">
        <v>170067023.069</v>
      </c>
      <c r="G11" t="n">
        <v>173854857.962</v>
      </c>
      <c r="H11" t="n">
        <v>171928016.428</v>
      </c>
      <c r="I11" t="n">
        <v>200057293.518</v>
      </c>
      <c r="J11" t="n">
        <v>263751993.619</v>
      </c>
      <c r="K11" t="n">
        <v>286448856.907</v>
      </c>
      <c r="L11" t="n">
        <v>381672238.859</v>
      </c>
      <c r="M11" t="n">
        <v>426870964.988</v>
      </c>
      <c r="N11" t="n">
        <v>445295153.819</v>
      </c>
      <c r="O11" t="n">
        <v>519648271.046</v>
      </c>
      <c r="P11" t="n">
        <v>577991563.493</v>
      </c>
      <c r="Q11" t="n">
        <v>683391200.7640001</v>
      </c>
      <c r="R11" t="n">
        <v>737844599.538</v>
      </c>
      <c r="S11" t="n">
        <v>655863924.258</v>
      </c>
      <c r="T11" t="n">
        <v>573117683.3380001</v>
      </c>
      <c r="U11" t="n">
        <v>649736924.285</v>
      </c>
      <c r="V11" t="n">
        <v>685389947.886</v>
      </c>
      <c r="W11" t="n">
        <v>731784281.554</v>
      </c>
      <c r="X11" t="n">
        <v>852185989.326</v>
      </c>
      <c r="Y11" t="n">
        <v>873028669.666</v>
      </c>
      <c r="Z11" t="n">
        <v>837773934.344</v>
      </c>
      <c r="AA11" t="n">
        <v>1003869809.652</v>
      </c>
      <c r="AB11" t="n">
        <v>963991409.49</v>
      </c>
      <c r="AC11" t="n">
        <v>1007512522.608</v>
      </c>
      <c r="AD11" t="n">
        <v>1131923397.106</v>
      </c>
      <c r="AE11" t="n">
        <v>1177043104.849</v>
      </c>
      <c r="AF11" t="n">
        <v>1123297505.251</v>
      </c>
      <c r="AG11" t="n">
        <v>1280825615.906</v>
      </c>
      <c r="AH11" t="n">
        <v>1292372754.046</v>
      </c>
      <c r="AI11" t="n">
        <v>1322336801.813</v>
      </c>
      <c r="AJ11" t="n">
        <v>1298994702.537</v>
      </c>
      <c r="AK11" t="n">
        <v>1001052938.582</v>
      </c>
      <c r="AL11" t="n">
        <v>1032207886.409</v>
      </c>
      <c r="AM11" t="n">
        <v>1145423050.839</v>
      </c>
      <c r="AN11" t="n">
        <v>1240855935.136</v>
      </c>
      <c r="AO11" t="n">
        <v>1214069593.376</v>
      </c>
      <c r="AP11" t="n">
        <v>1279875467.219</v>
      </c>
      <c r="AQ11" t="n">
        <v>1327248907.028</v>
      </c>
      <c r="AR11" t="n">
        <v>1318931260.532</v>
      </c>
      <c r="AS11" t="n">
        <v>1231838499.549</v>
      </c>
      <c r="AT11" t="n">
        <v>1313978749.43</v>
      </c>
      <c r="AU11" t="n">
        <v>1239398728.73</v>
      </c>
      <c r="AV11" t="n">
        <v>1229634602.336</v>
      </c>
      <c r="AW11" t="n">
        <v>1316223908.103</v>
      </c>
      <c r="AX11" t="n">
        <v>1385637485.69</v>
      </c>
      <c r="AY11" t="n">
        <v>1431719805.738</v>
      </c>
      <c r="AZ11" t="n">
        <v>1567475101.328</v>
      </c>
      <c r="BA11" t="n">
        <v>1596131162.512</v>
      </c>
      <c r="BB11" t="n">
        <v>1604345089.47</v>
      </c>
      <c r="BC11" t="n">
        <v>1542161895.795</v>
      </c>
      <c r="BD11" t="n">
        <v>1516648363.201</v>
      </c>
      <c r="BE11" t="n">
        <v>1562956101.83</v>
      </c>
      <c r="BF11" t="n">
        <v>1554232771.835</v>
      </c>
      <c r="BG11" t="n">
        <v>1467630657.525</v>
      </c>
      <c r="BH11" t="n">
        <v>1533691307.052</v>
      </c>
      <c r="BI11" t="n">
        <v>1632638798.34</v>
      </c>
      <c r="BJ11" t="n">
        <v>1622091762.152</v>
      </c>
      <c r="BK11" t="n">
        <v>1785727049.554</v>
      </c>
      <c r="BL11" t="n">
        <v>1840517346.372</v>
      </c>
      <c r="BM11" t="n">
        <v>1737000800.114</v>
      </c>
      <c r="BN11" t="n">
        <v>1785240512.282</v>
      </c>
      <c r="BO11" t="n">
        <v>1823926846.149</v>
      </c>
      <c r="BP11" t="n">
        <v>2016064067.783</v>
      </c>
      <c r="BQ11" t="n">
        <v>2089110340.441</v>
      </c>
      <c r="BR11" t="n">
        <v>2045798137.675</v>
      </c>
      <c r="BS11" t="n">
        <v>2011230509.702</v>
      </c>
      <c r="BT11" t="n">
        <v>2102096002.385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1213417576.021</v>
      </c>
      <c r="D12" t="n">
        <v>1264783014.665</v>
      </c>
      <c r="E12" t="n">
        <v>1286155245.845</v>
      </c>
      <c r="F12" t="n">
        <v>1366978661.084</v>
      </c>
      <c r="G12" t="n">
        <v>1386194900.73</v>
      </c>
      <c r="H12" t="n">
        <v>1364804882.198</v>
      </c>
      <c r="I12" t="n">
        <v>1599018946.126</v>
      </c>
      <c r="J12" t="n">
        <v>2003052048.151</v>
      </c>
      <c r="K12" t="n">
        <v>2188065656.652</v>
      </c>
      <c r="L12" t="n">
        <v>2881864800.173</v>
      </c>
      <c r="M12" t="n">
        <v>3189546938.182</v>
      </c>
      <c r="N12" t="n">
        <v>3282682246.424</v>
      </c>
      <c r="O12" t="n">
        <v>3794389220.4</v>
      </c>
      <c r="P12" t="n">
        <v>4232361033.765</v>
      </c>
      <c r="Q12" t="n">
        <v>5000554021.481</v>
      </c>
      <c r="R12" t="n">
        <v>5378231956.943</v>
      </c>
      <c r="S12" t="n">
        <v>4842497333.681</v>
      </c>
      <c r="T12" t="n">
        <v>4249825125.702</v>
      </c>
      <c r="U12" t="n">
        <v>4797046569.346</v>
      </c>
      <c r="V12" t="n">
        <v>5098381152.678</v>
      </c>
      <c r="W12" t="n">
        <v>5542449732.938</v>
      </c>
      <c r="X12" t="n">
        <v>6415305228.476</v>
      </c>
      <c r="Y12" t="n">
        <v>6547370709.784</v>
      </c>
      <c r="Z12" t="n">
        <v>6256062350.969</v>
      </c>
      <c r="AA12" t="n">
        <v>7479853391.586</v>
      </c>
      <c r="AB12" t="n">
        <v>7384758852.17</v>
      </c>
      <c r="AC12" t="n">
        <v>7579076549.288</v>
      </c>
      <c r="AD12" t="n">
        <v>8495537555.489</v>
      </c>
      <c r="AE12" t="n">
        <v>8685759179.632</v>
      </c>
      <c r="AF12" t="n">
        <v>8347073307.887</v>
      </c>
      <c r="AG12" t="n">
        <v>9397717356.048</v>
      </c>
      <c r="AH12" t="n">
        <v>9387602990.854</v>
      </c>
      <c r="AI12" t="n">
        <v>9770960660.973</v>
      </c>
      <c r="AJ12" t="n">
        <v>9599490495.030001</v>
      </c>
      <c r="AK12" t="n">
        <v>7372404696.619</v>
      </c>
      <c r="AL12" t="n">
        <v>7658203501.232</v>
      </c>
      <c r="AM12" t="n">
        <v>8530681231.329</v>
      </c>
      <c r="AN12" t="n">
        <v>9181149604.516001</v>
      </c>
      <c r="AO12" t="n">
        <v>9066891617.573999</v>
      </c>
      <c r="AP12" t="n">
        <v>9553128038.018999</v>
      </c>
      <c r="AQ12" t="n">
        <v>9942122070.986</v>
      </c>
      <c r="AR12" t="n">
        <v>9704503354.438</v>
      </c>
      <c r="AS12" t="n">
        <v>9100440186.768999</v>
      </c>
      <c r="AT12" t="n">
        <v>9788246473.243</v>
      </c>
      <c r="AU12" t="n">
        <v>9307434888.101</v>
      </c>
      <c r="AV12" t="n">
        <v>9073015026.754999</v>
      </c>
      <c r="AW12" t="n">
        <v>9789799772.329</v>
      </c>
      <c r="AX12" t="n">
        <v>10297559789.534</v>
      </c>
      <c r="AY12" t="n">
        <v>10606796033.723</v>
      </c>
      <c r="AZ12" t="n">
        <v>11851462299.114</v>
      </c>
      <c r="BA12" t="n">
        <v>11829116157.945</v>
      </c>
      <c r="BB12" t="n">
        <v>11906643281.969</v>
      </c>
      <c r="BC12" t="n">
        <v>11591389449.086</v>
      </c>
      <c r="BD12" t="n">
        <v>11318399353.596</v>
      </c>
      <c r="BE12" t="n">
        <v>11783247454.818</v>
      </c>
      <c r="BF12" t="n">
        <v>11789557103.012</v>
      </c>
      <c r="BG12" t="n">
        <v>11027255234.033</v>
      </c>
      <c r="BH12" t="n">
        <v>11604658206.594</v>
      </c>
      <c r="BI12" t="n">
        <v>12364673821.02</v>
      </c>
      <c r="BJ12" t="n">
        <v>12295602062.027</v>
      </c>
      <c r="BK12" t="n">
        <v>13970290071.888</v>
      </c>
      <c r="BL12" t="n">
        <v>14418058941.925</v>
      </c>
      <c r="BM12" t="n">
        <v>13897728287.005</v>
      </c>
      <c r="BN12" t="n">
        <v>14299236111.025</v>
      </c>
      <c r="BO12" t="n">
        <v>14562158746.624</v>
      </c>
      <c r="BP12" t="n">
        <v>16059968083.258</v>
      </c>
      <c r="BQ12" t="n">
        <v>16629861203.421</v>
      </c>
      <c r="BR12" t="n">
        <v>16199841582.795</v>
      </c>
      <c r="BS12" t="n">
        <v>15635304330.101</v>
      </c>
      <c r="BT12" t="n">
        <v>16500567765.152</v>
      </c>
    </row>
    <row r="13">
      <c r="A13" t="inlineStr">
        <is>
          <t>Ulanowicz_TE</t>
        </is>
      </c>
      <c r="B13" t="inlineStr">
        <is>
          <t>ok</t>
        </is>
      </c>
      <c r="C13" t="n">
        <v>1205627959.997</v>
      </c>
      <c r="D13" t="n">
        <v>1245488823.736</v>
      </c>
      <c r="E13" t="n">
        <v>1291673331.613</v>
      </c>
      <c r="F13" t="n">
        <v>1356283247.434</v>
      </c>
      <c r="G13" t="n">
        <v>1377146463.869</v>
      </c>
      <c r="H13" t="n">
        <v>1370938949.855</v>
      </c>
      <c r="I13" t="n">
        <v>1632525525.9</v>
      </c>
      <c r="J13" t="n">
        <v>1772489039.051</v>
      </c>
      <c r="K13" t="n">
        <v>1902362040.93</v>
      </c>
      <c r="L13" t="n">
        <v>2300598070.539</v>
      </c>
      <c r="M13" t="n">
        <v>2530761025.15</v>
      </c>
      <c r="N13" t="n">
        <v>2504651453.238</v>
      </c>
      <c r="O13" t="n">
        <v>2772533085.441</v>
      </c>
      <c r="P13" t="n">
        <v>3298506529.337</v>
      </c>
      <c r="Q13" t="n">
        <v>3648206586.938</v>
      </c>
      <c r="R13" t="n">
        <v>3916434652.75</v>
      </c>
      <c r="S13" t="n">
        <v>3853815493.092</v>
      </c>
      <c r="T13" t="n">
        <v>3291908848.055</v>
      </c>
      <c r="U13" t="n">
        <v>3625069203.434</v>
      </c>
      <c r="V13" t="n">
        <v>3885318037.531</v>
      </c>
      <c r="W13" t="n">
        <v>4308781358.325</v>
      </c>
      <c r="X13" t="n">
        <v>4864258607.785</v>
      </c>
      <c r="Y13" t="n">
        <v>5038175000.809</v>
      </c>
      <c r="Z13" t="n">
        <v>5028932238.322</v>
      </c>
      <c r="AA13" t="n">
        <v>5864873817.553</v>
      </c>
      <c r="AB13" t="n">
        <v>6915211141.879</v>
      </c>
      <c r="AC13" t="n">
        <v>6933867776.924</v>
      </c>
      <c r="AD13" t="n">
        <v>7209764828.032</v>
      </c>
      <c r="AE13" t="n">
        <v>7543831236.599</v>
      </c>
      <c r="AF13" t="n">
        <v>7467904227.097</v>
      </c>
      <c r="AG13" t="n">
        <v>8127320400.378</v>
      </c>
      <c r="AH13" t="n">
        <v>7359269454.684</v>
      </c>
      <c r="AI13" t="n">
        <v>8691093147.42</v>
      </c>
      <c r="AJ13" t="n">
        <v>8576448157.376</v>
      </c>
      <c r="AK13" t="n">
        <v>6787517593.681</v>
      </c>
      <c r="AL13" t="n">
        <v>7349601999.226</v>
      </c>
      <c r="AM13" t="n">
        <v>7539011148.099</v>
      </c>
      <c r="AN13" t="n">
        <v>8237043481.201</v>
      </c>
      <c r="AO13" t="n">
        <v>8160803743.17</v>
      </c>
      <c r="AP13" t="n">
        <v>7884283461.618</v>
      </c>
      <c r="AQ13" t="n">
        <v>8287925117.027</v>
      </c>
      <c r="AR13" t="n">
        <v>8053770983.432</v>
      </c>
      <c r="AS13" t="n">
        <v>7915271616.582</v>
      </c>
      <c r="AT13" t="n">
        <v>8708336111.934</v>
      </c>
      <c r="AU13" t="n">
        <v>8716400003.892</v>
      </c>
      <c r="AV13" t="n">
        <v>8066270769.863</v>
      </c>
      <c r="AW13" t="n">
        <v>9165159080.615999</v>
      </c>
      <c r="AX13" t="n">
        <v>9991820673.259001</v>
      </c>
      <c r="AY13" t="n">
        <v>9926801359.348</v>
      </c>
      <c r="AZ13" t="n">
        <v>11208286125.374</v>
      </c>
      <c r="BA13" t="n">
        <v>10618239063.479</v>
      </c>
      <c r="BB13" t="n">
        <v>10643540168.697</v>
      </c>
      <c r="BC13" t="n">
        <v>11006007949.623</v>
      </c>
      <c r="BD13" t="n">
        <v>10464722125.038</v>
      </c>
      <c r="BE13" t="n">
        <v>10991196004.336</v>
      </c>
      <c r="BF13" t="n">
        <v>11723746619.335</v>
      </c>
      <c r="BG13" t="n">
        <v>10390151035.542</v>
      </c>
      <c r="BH13" t="n">
        <v>11031253285.783</v>
      </c>
      <c r="BI13" t="n">
        <v>11997444671.865</v>
      </c>
      <c r="BJ13" t="n">
        <v>12450846763.318</v>
      </c>
      <c r="BK13" t="n">
        <v>14474569785.302</v>
      </c>
      <c r="BL13" t="n">
        <v>14261487956.408</v>
      </c>
      <c r="BM13" t="n">
        <v>14233079291.179</v>
      </c>
      <c r="BN13" t="n">
        <v>14669499934.811</v>
      </c>
      <c r="BO13" t="n">
        <v>14533246654.887</v>
      </c>
      <c r="BP13" t="n">
        <v>15673854858.92</v>
      </c>
      <c r="BQ13" t="n">
        <v>15734016704.864</v>
      </c>
      <c r="BR13" t="n">
        <v>14978428714.105</v>
      </c>
      <c r="BS13" t="n">
        <v>14009131848.143</v>
      </c>
      <c r="BT13" t="n">
        <v>14812058259.684</v>
      </c>
    </row>
    <row r="14">
      <c r="A14" t="inlineStr">
        <is>
          <t>EwE_TE_noEE</t>
        </is>
      </c>
      <c r="B14" t="inlineStr">
        <is>
          <t>ok</t>
        </is>
      </c>
      <c r="C14" t="n">
        <v>1450484678.749</v>
      </c>
      <c r="D14" t="n">
        <v>1501003597.361</v>
      </c>
      <c r="E14" t="n">
        <v>1554137845.19</v>
      </c>
      <c r="F14" t="n">
        <v>1633364244.13</v>
      </c>
      <c r="G14" t="n">
        <v>1661702014.058</v>
      </c>
      <c r="H14" t="n">
        <v>1642189798.213</v>
      </c>
      <c r="I14" t="n">
        <v>1950968325.061</v>
      </c>
      <c r="J14" t="n">
        <v>2132345959.356</v>
      </c>
      <c r="K14" t="n">
        <v>2269588187.292</v>
      </c>
      <c r="L14" t="n">
        <v>2730653611.094</v>
      </c>
      <c r="M14" t="n">
        <v>2968256839.585</v>
      </c>
      <c r="N14" t="n">
        <v>2958257682.027</v>
      </c>
      <c r="O14" t="n">
        <v>3242741973.633</v>
      </c>
      <c r="P14" t="n">
        <v>3817106711.292</v>
      </c>
      <c r="Q14" t="n">
        <v>4220931530.814</v>
      </c>
      <c r="R14" t="n">
        <v>4525372032.941</v>
      </c>
      <c r="S14" t="n">
        <v>4491928839.185</v>
      </c>
      <c r="T14" t="n">
        <v>3918220032.401</v>
      </c>
      <c r="U14" t="n">
        <v>4300767601.944</v>
      </c>
      <c r="V14" t="n">
        <v>4600866556.653</v>
      </c>
      <c r="W14" t="n">
        <v>5055722943.377</v>
      </c>
      <c r="X14" t="n">
        <v>5695649193.221</v>
      </c>
      <c r="Y14" t="n">
        <v>5888543418.542</v>
      </c>
      <c r="Z14" t="n">
        <v>5877177002.485</v>
      </c>
      <c r="AA14" t="n">
        <v>6793870918.216</v>
      </c>
      <c r="AB14" t="n">
        <v>7916386209.623</v>
      </c>
      <c r="AC14" t="n">
        <v>8103581479.849</v>
      </c>
      <c r="AD14" t="n">
        <v>8508664979.593</v>
      </c>
      <c r="AE14" t="n">
        <v>8800098075.825001</v>
      </c>
      <c r="AF14" t="n">
        <v>8722983094.610001</v>
      </c>
      <c r="AG14" t="n">
        <v>9584846451.181999</v>
      </c>
      <c r="AH14" t="n">
        <v>8826678545.042999</v>
      </c>
      <c r="AI14" t="n">
        <v>10256744613.526</v>
      </c>
      <c r="AJ14" t="n">
        <v>10141226279.892</v>
      </c>
      <c r="AK14" t="n">
        <v>8293392899.9</v>
      </c>
      <c r="AL14" t="n">
        <v>8920321228.412001</v>
      </c>
      <c r="AM14" t="n">
        <v>9335295712.183001</v>
      </c>
      <c r="AN14" t="n">
        <v>10133960460.275</v>
      </c>
      <c r="AO14" t="n">
        <v>10002969929.07</v>
      </c>
      <c r="AP14" t="n">
        <v>9793678729.304001</v>
      </c>
      <c r="AQ14" t="n">
        <v>10145111527.439</v>
      </c>
      <c r="AR14" t="n">
        <v>9706774298.719</v>
      </c>
      <c r="AS14" t="n">
        <v>9478107934.458</v>
      </c>
      <c r="AT14" t="n">
        <v>10388324053.855</v>
      </c>
      <c r="AU14" t="n">
        <v>10414046217.26</v>
      </c>
      <c r="AV14" t="n">
        <v>9734416592.459999</v>
      </c>
      <c r="AW14" t="n">
        <v>10895838132.918</v>
      </c>
      <c r="AX14" t="n">
        <v>11872314778.562</v>
      </c>
      <c r="AY14" t="n">
        <v>11804324315.999</v>
      </c>
      <c r="AZ14" t="n">
        <v>13226803520.944</v>
      </c>
      <c r="BA14" t="n">
        <v>12753889775.496</v>
      </c>
      <c r="BB14" t="n">
        <v>12725803520.973</v>
      </c>
      <c r="BC14" t="n">
        <v>13165424175.907</v>
      </c>
      <c r="BD14" t="n">
        <v>12429030767.548</v>
      </c>
      <c r="BE14" t="n">
        <v>12984968417.88</v>
      </c>
      <c r="BF14" t="n">
        <v>13746653914.97</v>
      </c>
      <c r="BG14" t="n">
        <v>12279735041.56</v>
      </c>
      <c r="BH14" t="n">
        <v>13047421392.328</v>
      </c>
      <c r="BI14" t="n">
        <v>13965307335.957</v>
      </c>
      <c r="BJ14" t="n">
        <v>14320934259.483</v>
      </c>
      <c r="BK14" t="n">
        <v>16528256482.366</v>
      </c>
      <c r="BL14" t="n">
        <v>16597483531.366</v>
      </c>
      <c r="BM14" t="n">
        <v>16238521520.685</v>
      </c>
      <c r="BN14" t="n">
        <v>16956903374.988</v>
      </c>
      <c r="BO14" t="n">
        <v>16953450617.606</v>
      </c>
      <c r="BP14" t="n">
        <v>18297395981.847</v>
      </c>
      <c r="BQ14" t="n">
        <v>18407350287.852</v>
      </c>
      <c r="BR14" t="n">
        <v>17613020423.65</v>
      </c>
      <c r="BS14" t="n">
        <v>16605179305.126</v>
      </c>
      <c r="BT14" t="n">
        <v>17574468035.301</v>
      </c>
    </row>
    <row r="15">
      <c r="A15" t="inlineStr">
        <is>
          <t>EwE_TE_EE</t>
        </is>
      </c>
      <c r="B15" t="inlineStr">
        <is>
          <t>ok</t>
        </is>
      </c>
      <c r="C15" t="n">
        <v>1090825429.285</v>
      </c>
      <c r="D15" t="n">
        <v>1131610530.061</v>
      </c>
      <c r="E15" t="n">
        <v>1163221798.217</v>
      </c>
      <c r="F15" t="n">
        <v>1224895836.343</v>
      </c>
      <c r="G15" t="n">
        <v>1247469107.19</v>
      </c>
      <c r="H15" t="n">
        <v>1228795601.456</v>
      </c>
      <c r="I15" t="n">
        <v>1458787166.128</v>
      </c>
      <c r="J15" t="n">
        <v>1604747037.203</v>
      </c>
      <c r="K15" t="n">
        <v>1660810765.265</v>
      </c>
      <c r="L15" t="n">
        <v>1971334879.734</v>
      </c>
      <c r="M15" t="n">
        <v>2097109653.243</v>
      </c>
      <c r="N15" t="n">
        <v>2090162977.317</v>
      </c>
      <c r="O15" t="n">
        <v>2260089041.126</v>
      </c>
      <c r="P15" t="n">
        <v>2594785553.281</v>
      </c>
      <c r="Q15" t="n">
        <v>2871503593.737</v>
      </c>
      <c r="R15" t="n">
        <v>3044679785.956</v>
      </c>
      <c r="S15" t="n">
        <v>3078285189.104</v>
      </c>
      <c r="T15" t="n">
        <v>2807391628.725</v>
      </c>
      <c r="U15" t="n">
        <v>3039933232.108</v>
      </c>
      <c r="V15" t="n">
        <v>3265265464.281</v>
      </c>
      <c r="W15" t="n">
        <v>3695595314.121</v>
      </c>
      <c r="X15" t="n">
        <v>4174665367.487</v>
      </c>
      <c r="Y15" t="n">
        <v>4290036668.833</v>
      </c>
      <c r="Z15" t="n">
        <v>4266796900.812</v>
      </c>
      <c r="AA15" t="n">
        <v>4829619694.303</v>
      </c>
      <c r="AB15" t="n">
        <v>5497788678.276</v>
      </c>
      <c r="AC15" t="n">
        <v>5659418576.647</v>
      </c>
      <c r="AD15" t="n">
        <v>6073394032.573</v>
      </c>
      <c r="AE15" t="n">
        <v>6171740832.279</v>
      </c>
      <c r="AF15" t="n">
        <v>6101718687.947</v>
      </c>
      <c r="AG15" t="n">
        <v>6649404251.893</v>
      </c>
      <c r="AH15" t="n">
        <v>6312253195.161</v>
      </c>
      <c r="AI15" t="n">
        <v>7075053661.337</v>
      </c>
      <c r="AJ15" t="n">
        <v>6983349802.237</v>
      </c>
      <c r="AK15" t="n">
        <v>6004762860.247</v>
      </c>
      <c r="AL15" t="n">
        <v>6410704172.382</v>
      </c>
      <c r="AM15" t="n">
        <v>6878133493.157</v>
      </c>
      <c r="AN15" t="n">
        <v>7377628591.73</v>
      </c>
      <c r="AO15" t="n">
        <v>7245518709.208</v>
      </c>
      <c r="AP15" t="n">
        <v>7330896434.678</v>
      </c>
      <c r="AQ15" t="n">
        <v>7552585395.929</v>
      </c>
      <c r="AR15" t="n">
        <v>7067051223.566</v>
      </c>
      <c r="AS15" t="n">
        <v>6830698992.397</v>
      </c>
      <c r="AT15" t="n">
        <v>7386658925.131</v>
      </c>
      <c r="AU15" t="n">
        <v>7447132126.128</v>
      </c>
      <c r="AV15" t="n">
        <v>7089770761.649</v>
      </c>
      <c r="AW15" t="n">
        <v>7751787082.195</v>
      </c>
      <c r="AX15" t="n">
        <v>8420219262.966</v>
      </c>
      <c r="AY15" t="n">
        <v>8472293656.226</v>
      </c>
      <c r="AZ15" t="n">
        <v>9358906080.792</v>
      </c>
      <c r="BA15" t="n">
        <v>9301559337.517</v>
      </c>
      <c r="BB15" t="n">
        <v>9212559447.909</v>
      </c>
      <c r="BC15" t="n">
        <v>9484718446.815001</v>
      </c>
      <c r="BD15" t="n">
        <v>8950938098.379</v>
      </c>
      <c r="BE15" t="n">
        <v>9318202387.903999</v>
      </c>
      <c r="BF15" t="n">
        <v>9671839118.186001</v>
      </c>
      <c r="BG15" t="n">
        <v>8899896722.150999</v>
      </c>
      <c r="BH15" t="n">
        <v>9407165792.302</v>
      </c>
      <c r="BI15" t="n">
        <v>9866283400.117001</v>
      </c>
      <c r="BJ15" t="n">
        <v>9869787239.458</v>
      </c>
      <c r="BK15" t="n">
        <v>11393258129.244</v>
      </c>
      <c r="BL15" t="n">
        <v>11655095545.509</v>
      </c>
      <c r="BM15" t="n">
        <v>11160169582.274</v>
      </c>
      <c r="BN15" t="n">
        <v>11755309803.099</v>
      </c>
      <c r="BO15" t="n">
        <v>11971958603.244</v>
      </c>
      <c r="BP15" t="n">
        <v>13034618618.833</v>
      </c>
      <c r="BQ15" t="n">
        <v>13132590442.893</v>
      </c>
      <c r="BR15" t="n">
        <v>12820811773.661</v>
      </c>
      <c r="BS15" t="n">
        <v>12248905445.056</v>
      </c>
      <c r="BT15" t="n">
        <v>12989622081.513</v>
      </c>
    </row>
    <row r="16">
      <c r="A16" s="18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4208959979.771</v>
      </c>
      <c r="D16" t="n">
        <v>4333679165.508</v>
      </c>
      <c r="E16" t="n">
        <v>4541185900.913</v>
      </c>
      <c r="F16" t="n">
        <v>4747471563.934</v>
      </c>
      <c r="G16" t="n">
        <v>4825104792.247</v>
      </c>
      <c r="H16" t="n">
        <v>4814013057.929</v>
      </c>
      <c r="I16" t="n">
        <v>5736704707.552</v>
      </c>
      <c r="J16" t="n">
        <v>5823773548.447</v>
      </c>
      <c r="K16" t="n">
        <v>6205587983.17</v>
      </c>
      <c r="L16" t="n">
        <v>7183490459.088</v>
      </c>
      <c r="M16" t="n">
        <v>7840211806.393</v>
      </c>
      <c r="N16" t="n">
        <v>7658235705.346</v>
      </c>
      <c r="O16" t="n">
        <v>8168893375.094</v>
      </c>
      <c r="P16" t="n">
        <v>10220895346.764</v>
      </c>
      <c r="Q16" t="n">
        <v>10754305858.795</v>
      </c>
      <c r="R16" t="n">
        <v>11549315709.443</v>
      </c>
      <c r="S16" t="n">
        <v>12195952154.665</v>
      </c>
      <c r="T16" t="n">
        <v>10246716614.302</v>
      </c>
      <c r="U16" t="n">
        <v>11085952414.79</v>
      </c>
      <c r="V16" t="n">
        <v>11972410776.198</v>
      </c>
      <c r="W16" t="n">
        <v>12835754505.503</v>
      </c>
      <c r="X16" t="n">
        <v>14148281951.358</v>
      </c>
      <c r="Y16" t="n">
        <v>14892271223.865</v>
      </c>
      <c r="Z16" t="n">
        <v>15283002307.401</v>
      </c>
      <c r="AA16" t="n">
        <v>17612932011.59</v>
      </c>
      <c r="AB16" t="n">
        <v>23189038394.648</v>
      </c>
      <c r="AC16" t="n">
        <v>23443456267.698</v>
      </c>
      <c r="AD16" t="n">
        <v>23385883779.771</v>
      </c>
      <c r="AE16" t="n">
        <v>24571765530.437</v>
      </c>
      <c r="AF16" t="n">
        <v>24927867108.601</v>
      </c>
      <c r="AG16" t="n">
        <v>27055748836.921</v>
      </c>
      <c r="AH16" t="n">
        <v>22937524525.381</v>
      </c>
      <c r="AI16" t="n">
        <v>29564538420.403</v>
      </c>
      <c r="AJ16" t="n">
        <v>29559689309.913</v>
      </c>
      <c r="AK16" t="n">
        <v>23891774051.073</v>
      </c>
      <c r="AL16" t="n">
        <v>26261594393.155</v>
      </c>
      <c r="AM16" t="n">
        <v>25943271947.657</v>
      </c>
      <c r="AN16" t="n">
        <v>28570820845.125</v>
      </c>
      <c r="AO16" t="n">
        <v>28292891565.986</v>
      </c>
      <c r="AP16" t="n">
        <v>25449997668.804</v>
      </c>
      <c r="AQ16" t="n">
        <v>26658862733.904</v>
      </c>
      <c r="AR16" t="n">
        <v>26022273233.69</v>
      </c>
      <c r="AS16" t="n">
        <v>26349556634.365</v>
      </c>
      <c r="AT16" t="n">
        <v>29496675820.912</v>
      </c>
      <c r="AU16" t="n">
        <v>30236979800.575</v>
      </c>
      <c r="AV16" t="n">
        <v>27223262187.867</v>
      </c>
      <c r="AW16" t="n">
        <v>31660325730.995</v>
      </c>
      <c r="AX16" t="n">
        <v>35331193878.931</v>
      </c>
      <c r="AY16" t="n">
        <v>34160169240.926</v>
      </c>
      <c r="AZ16" t="n">
        <v>38665076768.385</v>
      </c>
      <c r="BA16" t="n">
        <v>35802539381.637</v>
      </c>
      <c r="BB16" t="n">
        <v>35857097366.869</v>
      </c>
      <c r="BC16" t="n">
        <v>38487341919.128</v>
      </c>
      <c r="BD16" t="n">
        <v>35903985797.718</v>
      </c>
      <c r="BE16" t="n">
        <v>37624747441.152</v>
      </c>
      <c r="BF16" t="n">
        <v>41831392330.335</v>
      </c>
      <c r="BG16" t="n">
        <v>35763143508.568</v>
      </c>
      <c r="BH16" t="n">
        <v>38174422281.035</v>
      </c>
      <c r="BI16" t="n">
        <v>41831009305.308</v>
      </c>
      <c r="BJ16" t="n">
        <v>44415630134.491</v>
      </c>
      <c r="BK16" t="n">
        <v>52135237856.6</v>
      </c>
      <c r="BL16" t="n">
        <v>50576546330.257</v>
      </c>
      <c r="BM16" t="n">
        <v>51108158796.226</v>
      </c>
      <c r="BN16" t="n">
        <v>52871937825.044</v>
      </c>
      <c r="BO16" t="n">
        <v>51755849044.559</v>
      </c>
      <c r="BP16" t="n">
        <v>55002428411.082</v>
      </c>
      <c r="BQ16" t="n">
        <v>54649679981.113</v>
      </c>
      <c r="BR16" t="n">
        <v>51070801090.492</v>
      </c>
      <c r="BS16" t="n">
        <v>46826252836.079</v>
      </c>
      <c r="BT16" t="n">
        <v>49722495727.508</v>
      </c>
    </row>
    <row r="17">
      <c r="A17" s="18" t="inlineStr">
        <is>
          <t>new_TE_noEEfix</t>
        </is>
      </c>
      <c r="B17" s="9" t="inlineStr">
        <is>
          <t>IMPLAUSIBLE - up to 29x the trophic-chain estimate; the solve is near-singular for this model</t>
        </is>
      </c>
      <c r="C17" t="n">
        <v>4208959979.771</v>
      </c>
      <c r="D17" t="n">
        <v>4333679165.508</v>
      </c>
      <c r="E17" t="n">
        <v>4541185900.913</v>
      </c>
      <c r="F17" t="n">
        <v>4747471563.934</v>
      </c>
      <c r="G17" t="n">
        <v>4825104792.247</v>
      </c>
      <c r="H17" t="n">
        <v>4814013057.929</v>
      </c>
      <c r="I17" t="n">
        <v>5736704707.552</v>
      </c>
      <c r="J17" t="n">
        <v>5823773548.447</v>
      </c>
      <c r="K17" t="n">
        <v>6205587983.17</v>
      </c>
      <c r="L17" t="n">
        <v>7183490459.088</v>
      </c>
      <c r="M17" t="n">
        <v>7840211806.393</v>
      </c>
      <c r="N17" t="n">
        <v>7658235705.346</v>
      </c>
      <c r="O17" t="n">
        <v>8168893375.094</v>
      </c>
      <c r="P17" t="n">
        <v>10220895346.764</v>
      </c>
      <c r="Q17" t="n">
        <v>10754305858.795</v>
      </c>
      <c r="R17" t="n">
        <v>11549315709.443</v>
      </c>
      <c r="S17" t="n">
        <v>12195952154.665</v>
      </c>
      <c r="T17" t="n">
        <v>10246716614.302</v>
      </c>
      <c r="U17" t="n">
        <v>11085952414.79</v>
      </c>
      <c r="V17" t="n">
        <v>11972410776.198</v>
      </c>
      <c r="W17" t="n">
        <v>12835754505.503</v>
      </c>
      <c r="X17" t="n">
        <v>14148281951.358</v>
      </c>
      <c r="Y17" t="n">
        <v>14892271223.865</v>
      </c>
      <c r="Z17" t="n">
        <v>15283002307.401</v>
      </c>
      <c r="AA17" t="n">
        <v>17612932011.59</v>
      </c>
      <c r="AB17" t="n">
        <v>23189038394.648</v>
      </c>
      <c r="AC17" t="n">
        <v>23443456267.698</v>
      </c>
      <c r="AD17" t="n">
        <v>23385883779.771</v>
      </c>
      <c r="AE17" t="n">
        <v>24571765530.437</v>
      </c>
      <c r="AF17" t="n">
        <v>24927867108.601</v>
      </c>
      <c r="AG17" t="n">
        <v>27055748836.921</v>
      </c>
      <c r="AH17" t="n">
        <v>22937524525.381</v>
      </c>
      <c r="AI17" t="n">
        <v>29564538420.403</v>
      </c>
      <c r="AJ17" t="n">
        <v>29559689309.913</v>
      </c>
      <c r="AK17" t="n">
        <v>23891774051.073</v>
      </c>
      <c r="AL17" t="n">
        <v>26261594393.155</v>
      </c>
      <c r="AM17" t="n">
        <v>25943271947.657</v>
      </c>
      <c r="AN17" t="n">
        <v>28570820845.125</v>
      </c>
      <c r="AO17" t="n">
        <v>28292891565.986</v>
      </c>
      <c r="AP17" t="n">
        <v>25449997668.804</v>
      </c>
      <c r="AQ17" t="n">
        <v>26658862733.904</v>
      </c>
      <c r="AR17" t="n">
        <v>26022273233.69</v>
      </c>
      <c r="AS17" t="n">
        <v>26349556634.365</v>
      </c>
      <c r="AT17" t="n">
        <v>29496675820.912</v>
      </c>
      <c r="AU17" t="n">
        <v>30236979800.575</v>
      </c>
      <c r="AV17" t="n">
        <v>27223262187.867</v>
      </c>
      <c r="AW17" t="n">
        <v>31660325730.995</v>
      </c>
      <c r="AX17" t="n">
        <v>35331193878.931</v>
      </c>
      <c r="AY17" t="n">
        <v>34160169240.926</v>
      </c>
      <c r="AZ17" t="n">
        <v>38665076768.385</v>
      </c>
      <c r="BA17" t="n">
        <v>35802539381.637</v>
      </c>
      <c r="BB17" t="n">
        <v>35857097366.869</v>
      </c>
      <c r="BC17" t="n">
        <v>38487341919.128</v>
      </c>
      <c r="BD17" t="n">
        <v>35903985797.718</v>
      </c>
      <c r="BE17" t="n">
        <v>37624747441.152</v>
      </c>
      <c r="BF17" t="n">
        <v>41831392330.335</v>
      </c>
      <c r="BG17" t="n">
        <v>35763143508.568</v>
      </c>
      <c r="BH17" t="n">
        <v>38174422281.035</v>
      </c>
      <c r="BI17" t="n">
        <v>41831009305.308</v>
      </c>
      <c r="BJ17" t="n">
        <v>44415630134.491</v>
      </c>
      <c r="BK17" t="n">
        <v>52135237856.6</v>
      </c>
      <c r="BL17" t="n">
        <v>50576546330.257</v>
      </c>
      <c r="BM17" t="n">
        <v>51108158796.226</v>
      </c>
      <c r="BN17" t="n">
        <v>52871937825.044</v>
      </c>
      <c r="BO17" t="n">
        <v>51755849044.559</v>
      </c>
      <c r="BP17" t="n">
        <v>55002428411.082</v>
      </c>
      <c r="BQ17" t="n">
        <v>54649679981.113</v>
      </c>
      <c r="BR17" t="n">
        <v>51070801090.492</v>
      </c>
      <c r="BS17" t="n">
        <v>46826252836.079</v>
      </c>
      <c r="BT17" t="n">
        <v>49722495727.508</v>
      </c>
    </row>
    <row r="18">
      <c r="A18" s="18" t="inlineStr">
        <is>
          <t>new_TE_EEfix</t>
        </is>
      </c>
      <c r="B18" s="9" t="inlineStr">
        <is>
          <t>IMPLAUSIBLE - up to 29x the trophic-chain estimate; the solve is near-singular for this model</t>
        </is>
      </c>
      <c r="C18" t="n">
        <v>4208959979.771</v>
      </c>
      <c r="D18" t="n">
        <v>4333679165.508</v>
      </c>
      <c r="E18" t="n">
        <v>4541185900.913</v>
      </c>
      <c r="F18" t="n">
        <v>4747471563.934</v>
      </c>
      <c r="G18" t="n">
        <v>4825104792.247</v>
      </c>
      <c r="H18" t="n">
        <v>4814013057.929</v>
      </c>
      <c r="I18" t="n">
        <v>5736704707.552</v>
      </c>
      <c r="J18" t="n">
        <v>5823773548.447</v>
      </c>
      <c r="K18" t="n">
        <v>6205587983.17</v>
      </c>
      <c r="L18" t="n">
        <v>7183490459.088</v>
      </c>
      <c r="M18" t="n">
        <v>7840211806.393</v>
      </c>
      <c r="N18" t="n">
        <v>7658235705.346</v>
      </c>
      <c r="O18" t="n">
        <v>8168893375.094</v>
      </c>
      <c r="P18" t="n">
        <v>10220895346.764</v>
      </c>
      <c r="Q18" t="n">
        <v>10754305858.795</v>
      </c>
      <c r="R18" t="n">
        <v>11549315709.443</v>
      </c>
      <c r="S18" t="n">
        <v>12195952154.665</v>
      </c>
      <c r="T18" t="n">
        <v>10246716614.302</v>
      </c>
      <c r="U18" t="n">
        <v>11085952414.79</v>
      </c>
      <c r="V18" t="n">
        <v>11972410776.198</v>
      </c>
      <c r="W18" t="n">
        <v>12835754505.503</v>
      </c>
      <c r="X18" t="n">
        <v>14148281951.358</v>
      </c>
      <c r="Y18" t="n">
        <v>14892271223.865</v>
      </c>
      <c r="Z18" t="n">
        <v>15283002307.401</v>
      </c>
      <c r="AA18" t="n">
        <v>17612932011.59</v>
      </c>
      <c r="AB18" t="n">
        <v>23189038394.648</v>
      </c>
      <c r="AC18" t="n">
        <v>23443456267.698</v>
      </c>
      <c r="AD18" t="n">
        <v>23385883779.771</v>
      </c>
      <c r="AE18" t="n">
        <v>24571765530.437</v>
      </c>
      <c r="AF18" t="n">
        <v>24927867108.601</v>
      </c>
      <c r="AG18" t="n">
        <v>27055748836.921</v>
      </c>
      <c r="AH18" t="n">
        <v>22937524525.381</v>
      </c>
      <c r="AI18" t="n">
        <v>29564538420.403</v>
      </c>
      <c r="AJ18" t="n">
        <v>29559689309.913</v>
      </c>
      <c r="AK18" t="n">
        <v>23891774051.073</v>
      </c>
      <c r="AL18" t="n">
        <v>26261594393.155</v>
      </c>
      <c r="AM18" t="n">
        <v>25943271947.657</v>
      </c>
      <c r="AN18" t="n">
        <v>28570820845.125</v>
      </c>
      <c r="AO18" t="n">
        <v>28292891565.986</v>
      </c>
      <c r="AP18" t="n">
        <v>25449997668.804</v>
      </c>
      <c r="AQ18" t="n">
        <v>26658862733.904</v>
      </c>
      <c r="AR18" t="n">
        <v>26022273233.69</v>
      </c>
      <c r="AS18" t="n">
        <v>26349556634.365</v>
      </c>
      <c r="AT18" t="n">
        <v>29496675820.912</v>
      </c>
      <c r="AU18" t="n">
        <v>30236979800.575</v>
      </c>
      <c r="AV18" t="n">
        <v>27223262187.867</v>
      </c>
      <c r="AW18" t="n">
        <v>31660325730.995</v>
      </c>
      <c r="AX18" t="n">
        <v>35331193878.931</v>
      </c>
      <c r="AY18" t="n">
        <v>34160169240.926</v>
      </c>
      <c r="AZ18" t="n">
        <v>38665076768.385</v>
      </c>
      <c r="BA18" t="n">
        <v>35802539381.637</v>
      </c>
      <c r="BB18" t="n">
        <v>35857097366.869</v>
      </c>
      <c r="BC18" t="n">
        <v>38487341919.128</v>
      </c>
      <c r="BD18" t="n">
        <v>35903985797.718</v>
      </c>
      <c r="BE18" t="n">
        <v>37624747441.152</v>
      </c>
      <c r="BF18" t="n">
        <v>41831392330.335</v>
      </c>
      <c r="BG18" t="n">
        <v>35763143508.568</v>
      </c>
      <c r="BH18" t="n">
        <v>38174422281.035</v>
      </c>
      <c r="BI18" t="n">
        <v>41831009305.308</v>
      </c>
      <c r="BJ18" t="n">
        <v>44415630134.491</v>
      </c>
      <c r="BK18" t="n">
        <v>52135237856.6</v>
      </c>
      <c r="BL18" t="n">
        <v>50576546330.257</v>
      </c>
      <c r="BM18" t="n">
        <v>51108158796.226</v>
      </c>
      <c r="BN18" t="n">
        <v>52871937825.044</v>
      </c>
      <c r="BO18" t="n">
        <v>51755849044.559</v>
      </c>
      <c r="BP18" t="n">
        <v>55002428411.082</v>
      </c>
      <c r="BQ18" t="n">
        <v>54649679981.113</v>
      </c>
      <c r="BR18" t="n">
        <v>51070801090.492</v>
      </c>
      <c r="BS18" t="n">
        <v>46826252836.079</v>
      </c>
      <c r="BT18" t="n">
        <v>49722495727.508</v>
      </c>
    </row>
    <row r="19">
      <c r="A19" t="inlineStr">
        <is>
          <t>new_GE</t>
        </is>
      </c>
      <c r="B19" t="inlineStr">
        <is>
          <t>ok</t>
        </is>
      </c>
      <c r="C19" t="n">
        <v>884022741.784</v>
      </c>
      <c r="D19" t="n">
        <v>917918439.011</v>
      </c>
      <c r="E19" t="n">
        <v>944520397.283</v>
      </c>
      <c r="F19" t="n">
        <v>995957485.87</v>
      </c>
      <c r="G19" t="n">
        <v>1014758797.803</v>
      </c>
      <c r="H19" t="n">
        <v>998781309.3329999</v>
      </c>
      <c r="I19" t="n">
        <v>1180052740.68</v>
      </c>
      <c r="J19" t="n">
        <v>1317207046.157</v>
      </c>
      <c r="K19" t="n">
        <v>1356718189.459</v>
      </c>
      <c r="L19" t="n">
        <v>1605200590.854</v>
      </c>
      <c r="M19" t="n">
        <v>1705905825.953</v>
      </c>
      <c r="N19" t="n">
        <v>1714762160.882</v>
      </c>
      <c r="O19" t="n">
        <v>1858178637.928</v>
      </c>
      <c r="P19" t="n">
        <v>2130246292.244</v>
      </c>
      <c r="Q19" t="n">
        <v>2360846886.82</v>
      </c>
      <c r="R19" t="n">
        <v>2501653290.365</v>
      </c>
      <c r="S19" t="n">
        <v>2530093559.569</v>
      </c>
      <c r="T19" t="n">
        <v>2310852882.225</v>
      </c>
      <c r="U19" t="n">
        <v>2502003512.421</v>
      </c>
      <c r="V19" t="n">
        <v>2683121576.728</v>
      </c>
      <c r="W19" t="n">
        <v>2981772008.233</v>
      </c>
      <c r="X19" t="n">
        <v>3369614831.747</v>
      </c>
      <c r="Y19" t="n">
        <v>3465442758.302</v>
      </c>
      <c r="Z19" t="n">
        <v>3444708722.007</v>
      </c>
      <c r="AA19" t="n">
        <v>3896234128.763</v>
      </c>
      <c r="AB19" t="n">
        <v>4425811445.501</v>
      </c>
      <c r="AC19" t="n">
        <v>4593383319.328</v>
      </c>
      <c r="AD19" t="n">
        <v>4940039674.96</v>
      </c>
      <c r="AE19" t="n">
        <v>5009358127.641</v>
      </c>
      <c r="AF19" t="n">
        <v>4951455988.973</v>
      </c>
      <c r="AG19" t="n">
        <v>5423238185.718</v>
      </c>
      <c r="AH19" t="n">
        <v>5183589841.732</v>
      </c>
      <c r="AI19" t="n">
        <v>5776397329.171</v>
      </c>
      <c r="AJ19" t="n">
        <v>5728279444.86</v>
      </c>
      <c r="AK19" t="n">
        <v>4947774395.099</v>
      </c>
      <c r="AL19" t="n">
        <v>5270918664.95</v>
      </c>
      <c r="AM19" t="n">
        <v>5675420503.589</v>
      </c>
      <c r="AN19" t="n">
        <v>6075591691.92</v>
      </c>
      <c r="AO19" t="n">
        <v>5968995686.806</v>
      </c>
      <c r="AP19" t="n">
        <v>5999074400.085</v>
      </c>
      <c r="AQ19" t="n">
        <v>6159123631.216</v>
      </c>
      <c r="AR19" t="n">
        <v>5784762452.57</v>
      </c>
      <c r="AS19" t="n">
        <v>5600694796.249</v>
      </c>
      <c r="AT19" t="n">
        <v>6067934895.048</v>
      </c>
      <c r="AU19" t="n">
        <v>6097874154.125</v>
      </c>
      <c r="AV19" t="n">
        <v>5806350148.142</v>
      </c>
      <c r="AW19" t="n">
        <v>6323999151.131</v>
      </c>
      <c r="AX19" t="n">
        <v>6859117016.79</v>
      </c>
      <c r="AY19" t="n">
        <v>6866407566.899</v>
      </c>
      <c r="AZ19" t="n">
        <v>7568869091.011</v>
      </c>
      <c r="BA19" t="n">
        <v>7584791513.189</v>
      </c>
      <c r="BB19" t="n">
        <v>7523872534.692</v>
      </c>
      <c r="BC19" t="n">
        <v>7760062473.69</v>
      </c>
      <c r="BD19" t="n">
        <v>7311526459.88</v>
      </c>
      <c r="BE19" t="n">
        <v>7584557433.95</v>
      </c>
      <c r="BF19" t="n">
        <v>7873897284.871</v>
      </c>
      <c r="BG19" t="n">
        <v>7241303331.059</v>
      </c>
      <c r="BH19" t="n">
        <v>7647443965.79</v>
      </c>
      <c r="BI19" t="n">
        <v>8004975292.245</v>
      </c>
      <c r="BJ19" t="n">
        <v>7987213525.668</v>
      </c>
      <c r="BK19" t="n">
        <v>9187957361.679001</v>
      </c>
      <c r="BL19" t="n">
        <v>9452360302.254999</v>
      </c>
      <c r="BM19" t="n">
        <v>9022114961.601999</v>
      </c>
      <c r="BN19" t="n">
        <v>9511195900.011</v>
      </c>
      <c r="BO19" t="n">
        <v>9711502898.608999</v>
      </c>
      <c r="BP19" t="n">
        <v>10576467618.26</v>
      </c>
      <c r="BQ19" t="n">
        <v>10671595248.012</v>
      </c>
      <c r="BR19" t="n">
        <v>10428977291.969</v>
      </c>
      <c r="BS19" t="n">
        <v>9974027572.360001</v>
      </c>
      <c r="BT19" t="n">
        <v>10589910586.002</v>
      </c>
    </row>
    <row r="20">
      <c r="A20" t="inlineStr">
        <is>
          <t>new_WithEgestion</t>
        </is>
      </c>
      <c r="B20" t="inlineStr">
        <is>
          <t>ok</t>
        </is>
      </c>
      <c r="C20" t="n">
        <v>285903539.755</v>
      </c>
      <c r="D20" t="n">
        <v>297328052.21</v>
      </c>
      <c r="E20" t="n">
        <v>305879719.712</v>
      </c>
      <c r="F20" t="n">
        <v>323134205.171</v>
      </c>
      <c r="G20" t="n">
        <v>329829738.029</v>
      </c>
      <c r="H20" t="n">
        <v>323901575.394</v>
      </c>
      <c r="I20" t="n">
        <v>381670002.512</v>
      </c>
      <c r="J20" t="n">
        <v>432677096.596</v>
      </c>
      <c r="K20" t="n">
        <v>443376876.65</v>
      </c>
      <c r="L20" t="n">
        <v>526262380.559</v>
      </c>
      <c r="M20" t="n">
        <v>557422985.9170001</v>
      </c>
      <c r="N20" t="n">
        <v>564495376.169</v>
      </c>
      <c r="O20" t="n">
        <v>614422119.706</v>
      </c>
      <c r="P20" t="n">
        <v>695377065.063</v>
      </c>
      <c r="Q20" t="n">
        <v>774563557.108</v>
      </c>
      <c r="R20" t="n">
        <v>818453812.339</v>
      </c>
      <c r="S20" t="n">
        <v>823932430.4</v>
      </c>
      <c r="T20" t="n">
        <v>761835559.126</v>
      </c>
      <c r="U20" t="n">
        <v>824808368.777</v>
      </c>
      <c r="V20" t="n">
        <v>881898260.748</v>
      </c>
      <c r="W20" t="n">
        <v>976287264.775</v>
      </c>
      <c r="X20" t="n">
        <v>1106041101.516</v>
      </c>
      <c r="Y20" t="n">
        <v>1136990172.024</v>
      </c>
      <c r="Z20" t="n">
        <v>1128854857.615</v>
      </c>
      <c r="AA20" t="n">
        <v>1271120916.26</v>
      </c>
      <c r="AB20" t="n">
        <v>1413251920.446</v>
      </c>
      <c r="AC20" t="n">
        <v>1479781715.172</v>
      </c>
      <c r="AD20" t="n">
        <v>1607324026.491</v>
      </c>
      <c r="AE20" t="n">
        <v>1625166676.573</v>
      </c>
      <c r="AF20" t="n">
        <v>1598644128.16</v>
      </c>
      <c r="AG20" t="n">
        <v>1761989000.09</v>
      </c>
      <c r="AH20" t="n">
        <v>1717385850.82</v>
      </c>
      <c r="AI20" t="n">
        <v>1867877996.667</v>
      </c>
      <c r="AJ20" t="n">
        <v>1851037983.659</v>
      </c>
      <c r="AK20" t="n">
        <v>1624499354.903</v>
      </c>
      <c r="AL20" t="n">
        <v>1721426340.764</v>
      </c>
      <c r="AM20" t="n">
        <v>1874796201.985</v>
      </c>
      <c r="AN20" t="n">
        <v>2002634947.641</v>
      </c>
      <c r="AO20" t="n">
        <v>1959493612.212</v>
      </c>
      <c r="AP20" t="n">
        <v>1991921155.171</v>
      </c>
      <c r="AQ20" t="n">
        <v>2032532390.551</v>
      </c>
      <c r="AR20" t="n">
        <v>1902348863.403</v>
      </c>
      <c r="AS20" t="n">
        <v>1833566251.635</v>
      </c>
      <c r="AT20" t="n">
        <v>1975260754.189</v>
      </c>
      <c r="AU20" t="n">
        <v>1978235112.805</v>
      </c>
      <c r="AV20" t="n">
        <v>1902469865.505</v>
      </c>
      <c r="AW20" t="n">
        <v>2052096659.638</v>
      </c>
      <c r="AX20" t="n">
        <v>2215973256.466</v>
      </c>
      <c r="AY20" t="n">
        <v>2224716747.002</v>
      </c>
      <c r="AZ20" t="n">
        <v>2435842398.452</v>
      </c>
      <c r="BA20" t="n">
        <v>2478199803.117</v>
      </c>
      <c r="BB20" t="n">
        <v>2455569275.148</v>
      </c>
      <c r="BC20" t="n">
        <v>2518378873.256</v>
      </c>
      <c r="BD20" t="n">
        <v>2373677990.313</v>
      </c>
      <c r="BE20" t="n">
        <v>2452123218.266</v>
      </c>
      <c r="BF20" t="n">
        <v>2519331834.914</v>
      </c>
      <c r="BG20" t="n">
        <v>2344683071.969</v>
      </c>
      <c r="BH20" t="n">
        <v>2470122459.967</v>
      </c>
      <c r="BI20" t="n">
        <v>2566514519.529</v>
      </c>
      <c r="BJ20" t="n">
        <v>2537113261.627</v>
      </c>
      <c r="BK20" t="n">
        <v>2890256396.494</v>
      </c>
      <c r="BL20" t="n">
        <v>3006734035.617</v>
      </c>
      <c r="BM20" t="n">
        <v>2830577121.582</v>
      </c>
      <c r="BN20" t="n">
        <v>3002953646.946</v>
      </c>
      <c r="BO20" t="n">
        <v>3088924276.566</v>
      </c>
      <c r="BP20" t="n">
        <v>3370662160.046</v>
      </c>
      <c r="BQ20" t="n">
        <v>3406418908.716</v>
      </c>
      <c r="BR20" t="n">
        <v>3353804225.344</v>
      </c>
      <c r="BS20" t="n">
        <v>3235540798.38</v>
      </c>
      <c r="BT20" t="n">
        <v>3431641777.526</v>
      </c>
    </row>
    <row r="21">
      <c r="A21" s="18" t="inlineStr">
        <is>
          <t>sym_TE_asPP</t>
        </is>
      </c>
      <c r="B21" s="9" t="inlineStr">
        <is>
          <t>IMPLAUSIBLE - up to 29x the trophic-chain estimate; the solve is near-singular for this model</t>
        </is>
      </c>
      <c r="C21" t="n">
        <v>4208959979.771</v>
      </c>
      <c r="D21" t="n">
        <v>4333679165.508</v>
      </c>
      <c r="E21" t="n">
        <v>4541185900.913</v>
      </c>
      <c r="F21" t="n">
        <v>4747471563.934</v>
      </c>
      <c r="G21" t="n">
        <v>4825104792.247</v>
      </c>
      <c r="H21" t="n">
        <v>4814013057.929</v>
      </c>
      <c r="I21" t="n">
        <v>5736704707.552</v>
      </c>
      <c r="J21" t="n">
        <v>5823773548.447</v>
      </c>
      <c r="K21" t="n">
        <v>6205587983.17</v>
      </c>
      <c r="L21" t="n">
        <v>7183490459.088</v>
      </c>
      <c r="M21" t="n">
        <v>7840211806.393</v>
      </c>
      <c r="N21" t="n">
        <v>7658235705.346</v>
      </c>
      <c r="O21" t="n">
        <v>8168893375.094</v>
      </c>
      <c r="P21" t="n">
        <v>10220895346.764</v>
      </c>
      <c r="Q21" t="n">
        <v>10754305858.795</v>
      </c>
      <c r="R21" t="n">
        <v>11549315709.443</v>
      </c>
      <c r="S21" t="n">
        <v>12195952154.665</v>
      </c>
      <c r="T21" t="n">
        <v>10246716614.302</v>
      </c>
      <c r="U21" t="n">
        <v>11085952414.79</v>
      </c>
      <c r="V21" t="n">
        <v>11972410776.198</v>
      </c>
      <c r="W21" t="n">
        <v>12835754505.503</v>
      </c>
      <c r="X21" t="n">
        <v>14148281951.358</v>
      </c>
      <c r="Y21" t="n">
        <v>14892271223.865</v>
      </c>
      <c r="Z21" t="n">
        <v>15283002307.401</v>
      </c>
      <c r="AA21" t="n">
        <v>17612932011.59</v>
      </c>
      <c r="AB21" t="n">
        <v>23189038394.648</v>
      </c>
      <c r="AC21" t="n">
        <v>23443456267.698</v>
      </c>
      <c r="AD21" t="n">
        <v>23385883779.771</v>
      </c>
      <c r="AE21" t="n">
        <v>24571765530.437</v>
      </c>
      <c r="AF21" t="n">
        <v>24927867108.601</v>
      </c>
      <c r="AG21" t="n">
        <v>27055748836.921</v>
      </c>
      <c r="AH21" t="n">
        <v>22937524525.381</v>
      </c>
      <c r="AI21" t="n">
        <v>29564538420.403</v>
      </c>
      <c r="AJ21" t="n">
        <v>29559689309.913</v>
      </c>
      <c r="AK21" t="n">
        <v>23891774051.073</v>
      </c>
      <c r="AL21" t="n">
        <v>26261594393.155</v>
      </c>
      <c r="AM21" t="n">
        <v>25943271947.657</v>
      </c>
      <c r="AN21" t="n">
        <v>28570820845.125</v>
      </c>
      <c r="AO21" t="n">
        <v>28292891565.986</v>
      </c>
      <c r="AP21" t="n">
        <v>25449997668.804</v>
      </c>
      <c r="AQ21" t="n">
        <v>26658862733.904</v>
      </c>
      <c r="AR21" t="n">
        <v>26022273233.69</v>
      </c>
      <c r="AS21" t="n">
        <v>26349556634.365</v>
      </c>
      <c r="AT21" t="n">
        <v>29496675820.912</v>
      </c>
      <c r="AU21" t="n">
        <v>30236979800.575</v>
      </c>
      <c r="AV21" t="n">
        <v>27223262187.867</v>
      </c>
      <c r="AW21" t="n">
        <v>31660325730.995</v>
      </c>
      <c r="AX21" t="n">
        <v>35331193878.931</v>
      </c>
      <c r="AY21" t="n">
        <v>34160169240.926</v>
      </c>
      <c r="AZ21" t="n">
        <v>38665076768.385</v>
      </c>
      <c r="BA21" t="n">
        <v>35802539381.637</v>
      </c>
      <c r="BB21" t="n">
        <v>35857097366.869</v>
      </c>
      <c r="BC21" t="n">
        <v>38487341919.128</v>
      </c>
      <c r="BD21" t="n">
        <v>35903985797.718</v>
      </c>
      <c r="BE21" t="n">
        <v>37624747441.152</v>
      </c>
      <c r="BF21" t="n">
        <v>41831392330.335</v>
      </c>
      <c r="BG21" t="n">
        <v>35763143508.568</v>
      </c>
      <c r="BH21" t="n">
        <v>38174422281.035</v>
      </c>
      <c r="BI21" t="n">
        <v>41831009305.308</v>
      </c>
      <c r="BJ21" t="n">
        <v>44415630134.491</v>
      </c>
      <c r="BK21" t="n">
        <v>52135237856.6</v>
      </c>
      <c r="BL21" t="n">
        <v>50576546330.257</v>
      </c>
      <c r="BM21" t="n">
        <v>51108158796.226</v>
      </c>
      <c r="BN21" t="n">
        <v>52871937825.044</v>
      </c>
      <c r="BO21" t="n">
        <v>51755849044.559</v>
      </c>
      <c r="BP21" t="n">
        <v>55002428411.082</v>
      </c>
      <c r="BQ21" t="n">
        <v>54649679981.113</v>
      </c>
      <c r="BR21" t="n">
        <v>51070801090.492</v>
      </c>
      <c r="BS21" t="n">
        <v>46826252836.079</v>
      </c>
      <c r="BT21" t="n">
        <v>49722495727.508</v>
      </c>
    </row>
    <row r="22">
      <c r="A22" s="18" t="inlineStr">
        <is>
          <t>sym_TE_asDC</t>
        </is>
      </c>
      <c r="B22" s="9" t="inlineStr">
        <is>
          <t>DIVERGED - negative SPPR in a source-model group</t>
        </is>
      </c>
      <c r="C22" t="n">
        <v>-12553328851.507</v>
      </c>
      <c r="D22" t="n">
        <v>-12954091518.83</v>
      </c>
      <c r="E22" t="n">
        <v>-13447726794.932</v>
      </c>
      <c r="F22" t="n">
        <v>-14071720578.113</v>
      </c>
      <c r="G22" t="n">
        <v>-14271217505.459</v>
      </c>
      <c r="H22" t="n">
        <v>-14206646426.028</v>
      </c>
      <c r="I22" t="n">
        <v>-16697638342.392</v>
      </c>
      <c r="J22" t="n">
        <v>-18150616040.211</v>
      </c>
      <c r="K22" t="n">
        <v>-18251783662.193</v>
      </c>
      <c r="L22" t="n">
        <v>-20576426091.203</v>
      </c>
      <c r="M22" t="n">
        <v>-22090329817.507</v>
      </c>
      <c r="N22" t="n">
        <v>-21854966040.878</v>
      </c>
      <c r="O22" t="n">
        <v>-23087239807.087</v>
      </c>
      <c r="P22" t="n">
        <v>-28057807132.136</v>
      </c>
      <c r="Q22" t="n">
        <v>-30120099040.704</v>
      </c>
      <c r="R22" t="n">
        <v>-32281229703.149</v>
      </c>
      <c r="S22" t="n">
        <v>-33885489885.258</v>
      </c>
      <c r="T22" t="n">
        <v>-29719982047.033</v>
      </c>
      <c r="U22" t="n">
        <v>-31789302619.397</v>
      </c>
      <c r="V22" t="n">
        <v>-34032895162.067</v>
      </c>
      <c r="W22" t="n">
        <v>-37224030517.032</v>
      </c>
      <c r="X22" t="n">
        <v>-42485666360.197</v>
      </c>
      <c r="Y22" t="n">
        <v>-43214597725.079</v>
      </c>
      <c r="Z22" t="n">
        <v>-43756887850.403</v>
      </c>
      <c r="AA22" t="n">
        <v>-49308991706.92</v>
      </c>
      <c r="AB22" t="n">
        <v>-61876928977.447</v>
      </c>
      <c r="AC22" t="n">
        <v>-64392092514.678</v>
      </c>
      <c r="AD22" t="n">
        <v>-66083306199.066</v>
      </c>
      <c r="AE22" t="n">
        <v>-68397330696.124</v>
      </c>
      <c r="AF22" t="n">
        <v>-68853661102.5</v>
      </c>
      <c r="AG22" t="n">
        <v>-74007187882.811</v>
      </c>
      <c r="AH22" t="n">
        <v>-66168404087.676</v>
      </c>
      <c r="AI22" t="n">
        <v>-81425146941.07201</v>
      </c>
      <c r="AJ22" t="n">
        <v>-81658497720.86501</v>
      </c>
      <c r="AK22" t="n">
        <v>-68889358197.87801</v>
      </c>
      <c r="AL22" t="n">
        <v>-75181797953.082</v>
      </c>
      <c r="AM22" t="n">
        <v>-76171892272.58501</v>
      </c>
      <c r="AN22" t="n">
        <v>-83680567069.291</v>
      </c>
      <c r="AO22" t="n">
        <v>-85775977799.97</v>
      </c>
      <c r="AP22" t="n">
        <v>-76519616542.37199</v>
      </c>
      <c r="AQ22" t="n">
        <v>-77330207197.69701</v>
      </c>
      <c r="AR22" t="n">
        <v>-76920999504.601</v>
      </c>
      <c r="AS22" t="n">
        <v>-79022910666.237</v>
      </c>
      <c r="AT22" t="n">
        <v>-84292871511.147</v>
      </c>
      <c r="AU22" t="n">
        <v>-87409037748.603</v>
      </c>
      <c r="AV22" t="n">
        <v>-80345692976.347</v>
      </c>
      <c r="AW22" t="n">
        <v>-91295177233.55901</v>
      </c>
      <c r="AX22" t="n">
        <v>-101996617352.027</v>
      </c>
      <c r="AY22" t="n">
        <v>-99240361578.55099</v>
      </c>
      <c r="AZ22" t="n">
        <v>-110566503098.404</v>
      </c>
      <c r="BA22" t="n">
        <v>-105778348876.313</v>
      </c>
      <c r="BB22" t="n">
        <v>-105435812357.399</v>
      </c>
      <c r="BC22" t="n">
        <v>-112992254874.789</v>
      </c>
      <c r="BD22" t="n">
        <v>-107140298244.401</v>
      </c>
      <c r="BE22" t="n">
        <v>-110766581300.998</v>
      </c>
      <c r="BF22" t="n">
        <v>-119748202093.14</v>
      </c>
      <c r="BG22" t="n">
        <v>-106291600467.17</v>
      </c>
      <c r="BH22" t="n">
        <v>-112953826855.937</v>
      </c>
      <c r="BI22" t="n">
        <v>-121402342679.866</v>
      </c>
      <c r="BJ22" t="n">
        <v>-125580003893.334</v>
      </c>
      <c r="BK22" t="n">
        <v>-146165865299.185</v>
      </c>
      <c r="BL22" t="n">
        <v>-146155267917.016</v>
      </c>
      <c r="BM22" t="n">
        <v>-145963406377.565</v>
      </c>
      <c r="BN22" t="n">
        <v>-151534212490.635</v>
      </c>
      <c r="BO22" t="n">
        <v>-153189201089.695</v>
      </c>
      <c r="BP22" t="n">
        <v>-165405565327.688</v>
      </c>
      <c r="BQ22" t="n">
        <v>-168482216590.537</v>
      </c>
      <c r="BR22" t="n">
        <v>-168626173681.641</v>
      </c>
      <c r="BS22" t="n">
        <v>-159407175617.173</v>
      </c>
      <c r="BT22" t="n">
        <v>-166872437639.285</v>
      </c>
    </row>
    <row r="23">
      <c r="A23" t="inlineStr">
        <is>
          <t>sym_GE_asPP</t>
        </is>
      </c>
      <c r="B23" t="inlineStr">
        <is>
          <t>ok</t>
        </is>
      </c>
      <c r="C23" t="n">
        <v>884022741.784</v>
      </c>
      <c r="D23" t="n">
        <v>917918439.011</v>
      </c>
      <c r="E23" t="n">
        <v>944520397.283</v>
      </c>
      <c r="F23" t="n">
        <v>995957485.87</v>
      </c>
      <c r="G23" t="n">
        <v>1014758797.803</v>
      </c>
      <c r="H23" t="n">
        <v>998781309.3329999</v>
      </c>
      <c r="I23" t="n">
        <v>1180052740.68</v>
      </c>
      <c r="J23" t="n">
        <v>1317207046.157</v>
      </c>
      <c r="K23" t="n">
        <v>1356718189.459</v>
      </c>
      <c r="L23" t="n">
        <v>1605200590.854</v>
      </c>
      <c r="M23" t="n">
        <v>1705905825.953</v>
      </c>
      <c r="N23" t="n">
        <v>1714762160.882</v>
      </c>
      <c r="O23" t="n">
        <v>1858178637.928</v>
      </c>
      <c r="P23" t="n">
        <v>2130246292.244</v>
      </c>
      <c r="Q23" t="n">
        <v>2360846886.82</v>
      </c>
      <c r="R23" t="n">
        <v>2501653290.365</v>
      </c>
      <c r="S23" t="n">
        <v>2530093559.569</v>
      </c>
      <c r="T23" t="n">
        <v>2310852882.225</v>
      </c>
      <c r="U23" t="n">
        <v>2502003512.421</v>
      </c>
      <c r="V23" t="n">
        <v>2683121576.728</v>
      </c>
      <c r="W23" t="n">
        <v>2981772008.233</v>
      </c>
      <c r="X23" t="n">
        <v>3369614831.747</v>
      </c>
      <c r="Y23" t="n">
        <v>3465442758.302</v>
      </c>
      <c r="Z23" t="n">
        <v>3444708722.007</v>
      </c>
      <c r="AA23" t="n">
        <v>3896234128.763</v>
      </c>
      <c r="AB23" t="n">
        <v>4425811445.501</v>
      </c>
      <c r="AC23" t="n">
        <v>4593383319.328</v>
      </c>
      <c r="AD23" t="n">
        <v>4940039674.96</v>
      </c>
      <c r="AE23" t="n">
        <v>5009358127.641</v>
      </c>
      <c r="AF23" t="n">
        <v>4951455988.973</v>
      </c>
      <c r="AG23" t="n">
        <v>5423238185.718</v>
      </c>
      <c r="AH23" t="n">
        <v>5183589841.732</v>
      </c>
      <c r="AI23" t="n">
        <v>5776397329.171</v>
      </c>
      <c r="AJ23" t="n">
        <v>5728279444.86</v>
      </c>
      <c r="AK23" t="n">
        <v>4947774395.099</v>
      </c>
      <c r="AL23" t="n">
        <v>5270918664.95</v>
      </c>
      <c r="AM23" t="n">
        <v>5675420503.589</v>
      </c>
      <c r="AN23" t="n">
        <v>6075591691.92</v>
      </c>
      <c r="AO23" t="n">
        <v>5968995686.806</v>
      </c>
      <c r="AP23" t="n">
        <v>5999074400.085</v>
      </c>
      <c r="AQ23" t="n">
        <v>6159123631.216</v>
      </c>
      <c r="AR23" t="n">
        <v>5784762452.57</v>
      </c>
      <c r="AS23" t="n">
        <v>5600694796.249</v>
      </c>
      <c r="AT23" t="n">
        <v>6067934895.048</v>
      </c>
      <c r="AU23" t="n">
        <v>6097874154.125</v>
      </c>
      <c r="AV23" t="n">
        <v>5806350148.142</v>
      </c>
      <c r="AW23" t="n">
        <v>6323999151.131</v>
      </c>
      <c r="AX23" t="n">
        <v>6859117016.79</v>
      </c>
      <c r="AY23" t="n">
        <v>6866407566.899</v>
      </c>
      <c r="AZ23" t="n">
        <v>7568869091.011</v>
      </c>
      <c r="BA23" t="n">
        <v>7584791513.189</v>
      </c>
      <c r="BB23" t="n">
        <v>7523872534.692</v>
      </c>
      <c r="BC23" t="n">
        <v>7760062473.69</v>
      </c>
      <c r="BD23" t="n">
        <v>7311526459.88</v>
      </c>
      <c r="BE23" t="n">
        <v>7584557433.95</v>
      </c>
      <c r="BF23" t="n">
        <v>7873897284.871</v>
      </c>
      <c r="BG23" t="n">
        <v>7241303331.059</v>
      </c>
      <c r="BH23" t="n">
        <v>7647443965.79</v>
      </c>
      <c r="BI23" t="n">
        <v>8004975292.245</v>
      </c>
      <c r="BJ23" t="n">
        <v>7987213525.668</v>
      </c>
      <c r="BK23" t="n">
        <v>9187957361.679001</v>
      </c>
      <c r="BL23" t="n">
        <v>9452360302.254999</v>
      </c>
      <c r="BM23" t="n">
        <v>9022114961.601999</v>
      </c>
      <c r="BN23" t="n">
        <v>9511195900.011</v>
      </c>
      <c r="BO23" t="n">
        <v>9711502898.608999</v>
      </c>
      <c r="BP23" t="n">
        <v>10576467618.26</v>
      </c>
      <c r="BQ23" t="n">
        <v>10671595248.012</v>
      </c>
      <c r="BR23" t="n">
        <v>10428977291.969</v>
      </c>
      <c r="BS23" t="n">
        <v>9974027572.360001</v>
      </c>
      <c r="BT23" t="n">
        <v>10589910586.002</v>
      </c>
    </row>
    <row r="24">
      <c r="A24" t="inlineStr">
        <is>
          <t>sym_GE_asDC</t>
        </is>
      </c>
      <c r="B24" t="inlineStr">
        <is>
          <t>ok</t>
        </is>
      </c>
      <c r="C24" t="n">
        <v>884637992.859</v>
      </c>
      <c r="D24" t="n">
        <v>918557183.683</v>
      </c>
      <c r="E24" t="n">
        <v>945175832.798</v>
      </c>
      <c r="F24" t="n">
        <v>996646569.909</v>
      </c>
      <c r="G24" t="n">
        <v>1015464685.716</v>
      </c>
      <c r="H24" t="n">
        <v>999472858.479</v>
      </c>
      <c r="I24" t="n">
        <v>1180880865.621</v>
      </c>
      <c r="J24" t="n">
        <v>1318091934.467</v>
      </c>
      <c r="K24" t="n">
        <v>1357631894.225</v>
      </c>
      <c r="L24" t="n">
        <v>1606277538.824</v>
      </c>
      <c r="M24" t="n">
        <v>1707028557.722</v>
      </c>
      <c r="N24" t="n">
        <v>1715865459.958</v>
      </c>
      <c r="O24" t="n">
        <v>1859349488.642</v>
      </c>
      <c r="P24" t="n">
        <v>2131564273.232</v>
      </c>
      <c r="Q24" t="n">
        <v>2362295605.616</v>
      </c>
      <c r="R24" t="n">
        <v>2503184626.581</v>
      </c>
      <c r="S24" t="n">
        <v>2531676281.101</v>
      </c>
      <c r="T24" t="n">
        <v>2312352109.503</v>
      </c>
      <c r="U24" t="n">
        <v>2503607725.221</v>
      </c>
      <c r="V24" t="n">
        <v>2684850366.439</v>
      </c>
      <c r="W24" t="n">
        <v>2983812988.44</v>
      </c>
      <c r="X24" t="n">
        <v>3371925882.93</v>
      </c>
      <c r="Y24" t="n">
        <v>3467802864.84</v>
      </c>
      <c r="Z24" t="n">
        <v>3447067371.513</v>
      </c>
      <c r="AA24" t="n">
        <v>3898844081.651</v>
      </c>
      <c r="AB24" t="n">
        <v>4428735270.045</v>
      </c>
      <c r="AC24" t="n">
        <v>4596396679.404</v>
      </c>
      <c r="AD24" t="n">
        <v>4943325553.864</v>
      </c>
      <c r="AE24" t="n">
        <v>5012659649.659</v>
      </c>
      <c r="AF24" t="n">
        <v>4954714124.905</v>
      </c>
      <c r="AG24" t="n">
        <v>5426743848.091</v>
      </c>
      <c r="AH24" t="n">
        <v>5187002184.93</v>
      </c>
      <c r="AI24" t="n">
        <v>5780113277.553</v>
      </c>
      <c r="AJ24" t="n">
        <v>5731914550.228</v>
      </c>
      <c r="AK24" t="n">
        <v>4951092158.9</v>
      </c>
      <c r="AL24" t="n">
        <v>5274449789.903</v>
      </c>
      <c r="AM24" t="n">
        <v>5679272963.261</v>
      </c>
      <c r="AN24" t="n">
        <v>6079689812.986</v>
      </c>
      <c r="AO24" t="n">
        <v>5973021845.825</v>
      </c>
      <c r="AP24" t="n">
        <v>6003297102.603</v>
      </c>
      <c r="AQ24" t="n">
        <v>6163434382.833</v>
      </c>
      <c r="AR24" t="n">
        <v>5788680452.62</v>
      </c>
      <c r="AS24" t="n">
        <v>5604440758.489</v>
      </c>
      <c r="AT24" t="n">
        <v>6071926585.647</v>
      </c>
      <c r="AU24" t="n">
        <v>6101959082.58</v>
      </c>
      <c r="AV24" t="n">
        <v>5810298210.823</v>
      </c>
      <c r="AW24" t="n">
        <v>6328241763.076</v>
      </c>
      <c r="AX24" t="n">
        <v>6863721887.081</v>
      </c>
      <c r="AY24" t="n">
        <v>6871078613.962</v>
      </c>
      <c r="AZ24" t="n">
        <v>7573985944.542</v>
      </c>
      <c r="BA24" t="n">
        <v>7590004585.103</v>
      </c>
      <c r="BB24" t="n">
        <v>7528989161.331</v>
      </c>
      <c r="BC24" t="n">
        <v>7765307091.318</v>
      </c>
      <c r="BD24" t="n">
        <v>7316457109.346</v>
      </c>
      <c r="BE24" t="n">
        <v>7589688837.522</v>
      </c>
      <c r="BF24" t="n">
        <v>7879107648.892</v>
      </c>
      <c r="BG24" t="n">
        <v>7246214176.923</v>
      </c>
      <c r="BH24" t="n">
        <v>7652618738.88</v>
      </c>
      <c r="BI24" t="n">
        <v>8010292225.96</v>
      </c>
      <c r="BJ24" t="n">
        <v>7992430476.729</v>
      </c>
      <c r="BK24" t="n">
        <v>9193946706.351</v>
      </c>
      <c r="BL24" t="n">
        <v>9458625422.139999</v>
      </c>
      <c r="BM24" t="n">
        <v>9027954939.424999</v>
      </c>
      <c r="BN24" t="n">
        <v>9517459794.402</v>
      </c>
      <c r="BO24" t="n">
        <v>9717979853.041</v>
      </c>
      <c r="BP24" t="n">
        <v>10583552332.029</v>
      </c>
      <c r="BQ24" t="n">
        <v>10678729892.967</v>
      </c>
      <c r="BR24" t="n">
        <v>10436057261.557</v>
      </c>
      <c r="BS24" t="n">
        <v>9980892688.191999</v>
      </c>
      <c r="BT24" t="n">
        <v>10597181865.377</v>
      </c>
    </row>
    <row r="25">
      <c r="A25" t="inlineStr">
        <is>
          <t>sym_WithEgestion_asPP</t>
        </is>
      </c>
      <c r="B25" t="inlineStr">
        <is>
          <t>ok</t>
        </is>
      </c>
      <c r="C25" t="n">
        <v>285903539.755</v>
      </c>
      <c r="D25" t="n">
        <v>297328052.21</v>
      </c>
      <c r="E25" t="n">
        <v>305879719.712</v>
      </c>
      <c r="F25" t="n">
        <v>323134205.171</v>
      </c>
      <c r="G25" t="n">
        <v>329829738.029</v>
      </c>
      <c r="H25" t="n">
        <v>323901575.394</v>
      </c>
      <c r="I25" t="n">
        <v>381670002.512</v>
      </c>
      <c r="J25" t="n">
        <v>432677096.596</v>
      </c>
      <c r="K25" t="n">
        <v>443376876.65</v>
      </c>
      <c r="L25" t="n">
        <v>526262380.559</v>
      </c>
      <c r="M25" t="n">
        <v>557422985.9170001</v>
      </c>
      <c r="N25" t="n">
        <v>564495376.169</v>
      </c>
      <c r="O25" t="n">
        <v>614422119.706</v>
      </c>
      <c r="P25" t="n">
        <v>695377065.063</v>
      </c>
      <c r="Q25" t="n">
        <v>774563557.108</v>
      </c>
      <c r="R25" t="n">
        <v>818453812.339</v>
      </c>
      <c r="S25" t="n">
        <v>823932430.4</v>
      </c>
      <c r="T25" t="n">
        <v>761835559.126</v>
      </c>
      <c r="U25" t="n">
        <v>824808368.777</v>
      </c>
      <c r="V25" t="n">
        <v>881898260.748</v>
      </c>
      <c r="W25" t="n">
        <v>976287264.775</v>
      </c>
      <c r="X25" t="n">
        <v>1106041101.516</v>
      </c>
      <c r="Y25" t="n">
        <v>1136990172.024</v>
      </c>
      <c r="Z25" t="n">
        <v>1128854857.615</v>
      </c>
      <c r="AA25" t="n">
        <v>1271120916.26</v>
      </c>
      <c r="AB25" t="n">
        <v>1413251920.446</v>
      </c>
      <c r="AC25" t="n">
        <v>1479781715.172</v>
      </c>
      <c r="AD25" t="n">
        <v>1607324026.491</v>
      </c>
      <c r="AE25" t="n">
        <v>1625166676.573</v>
      </c>
      <c r="AF25" t="n">
        <v>1598644128.16</v>
      </c>
      <c r="AG25" t="n">
        <v>1761989000.09</v>
      </c>
      <c r="AH25" t="n">
        <v>1717385850.82</v>
      </c>
      <c r="AI25" t="n">
        <v>1867877996.667</v>
      </c>
      <c r="AJ25" t="n">
        <v>1851037983.659</v>
      </c>
      <c r="AK25" t="n">
        <v>1624499354.903</v>
      </c>
      <c r="AL25" t="n">
        <v>1721426340.764</v>
      </c>
      <c r="AM25" t="n">
        <v>1874796201.985</v>
      </c>
      <c r="AN25" t="n">
        <v>2002634947.641</v>
      </c>
      <c r="AO25" t="n">
        <v>1959493612.212</v>
      </c>
      <c r="AP25" t="n">
        <v>1991921155.171</v>
      </c>
      <c r="AQ25" t="n">
        <v>2032532390.551</v>
      </c>
      <c r="AR25" t="n">
        <v>1902348863.403</v>
      </c>
      <c r="AS25" t="n">
        <v>1833566251.635</v>
      </c>
      <c r="AT25" t="n">
        <v>1975260754.189</v>
      </c>
      <c r="AU25" t="n">
        <v>1978235112.805</v>
      </c>
      <c r="AV25" t="n">
        <v>1902469865.505</v>
      </c>
      <c r="AW25" t="n">
        <v>2052096659.638</v>
      </c>
      <c r="AX25" t="n">
        <v>2215973256.466</v>
      </c>
      <c r="AY25" t="n">
        <v>2224716747.002</v>
      </c>
      <c r="AZ25" t="n">
        <v>2435842398.452</v>
      </c>
      <c r="BA25" t="n">
        <v>2478199803.117</v>
      </c>
      <c r="BB25" t="n">
        <v>2455569275.148</v>
      </c>
      <c r="BC25" t="n">
        <v>2518378873.256</v>
      </c>
      <c r="BD25" t="n">
        <v>2373677990.313</v>
      </c>
      <c r="BE25" t="n">
        <v>2452123218.266</v>
      </c>
      <c r="BF25" t="n">
        <v>2519331834.914</v>
      </c>
      <c r="BG25" t="n">
        <v>2344683071.969</v>
      </c>
      <c r="BH25" t="n">
        <v>2470122459.967</v>
      </c>
      <c r="BI25" t="n">
        <v>2566514519.529</v>
      </c>
      <c r="BJ25" t="n">
        <v>2537113261.627</v>
      </c>
      <c r="BK25" t="n">
        <v>2890256396.494</v>
      </c>
      <c r="BL25" t="n">
        <v>3006734035.617</v>
      </c>
      <c r="BM25" t="n">
        <v>2830577121.582</v>
      </c>
      <c r="BN25" t="n">
        <v>3002953646.946</v>
      </c>
      <c r="BO25" t="n">
        <v>3088924276.566</v>
      </c>
      <c r="BP25" t="n">
        <v>3370662160.046</v>
      </c>
      <c r="BQ25" t="n">
        <v>3406418908.716</v>
      </c>
      <c r="BR25" t="n">
        <v>3353804225.344</v>
      </c>
      <c r="BS25" t="n">
        <v>3235540798.38</v>
      </c>
      <c r="BT25" t="n">
        <v>3431641777.526</v>
      </c>
    </row>
    <row r="26">
      <c r="A26" s="18" t="inlineStr">
        <is>
          <t>sym_WithEgestion_asDC</t>
        </is>
      </c>
      <c r="B26" s="9" t="inlineStr">
        <is>
          <t>DIVERGED - negative SPPR in a source-model group</t>
        </is>
      </c>
      <c r="C26" t="n">
        <v>-40977084360.751</v>
      </c>
      <c r="D26" t="n">
        <v>-42618064873.09</v>
      </c>
      <c r="E26" t="n">
        <v>-43724126125.893</v>
      </c>
      <c r="F26" t="n">
        <v>-46086669856.384</v>
      </c>
      <c r="G26" t="n">
        <v>-47062243477.699</v>
      </c>
      <c r="H26" t="n">
        <v>-46156900777.859</v>
      </c>
      <c r="I26" t="n">
        <v>-53819721280.813</v>
      </c>
      <c r="J26" t="n">
        <v>-60634826123.752</v>
      </c>
      <c r="K26" t="n">
        <v>-60614697649.05</v>
      </c>
      <c r="L26" t="n">
        <v>-68963104098.776</v>
      </c>
      <c r="M26" t="n">
        <v>-70977522205.722</v>
      </c>
      <c r="N26" t="n">
        <v>-72314391675.80099</v>
      </c>
      <c r="O26" t="n">
        <v>-75837817802.61501</v>
      </c>
      <c r="P26" t="n">
        <v>-84381706519.14</v>
      </c>
      <c r="Q26" t="n">
        <v>-93552911014.86099</v>
      </c>
      <c r="R26" t="n">
        <v>-98748429014.849</v>
      </c>
      <c r="S26" t="n">
        <v>-102764566237.203</v>
      </c>
      <c r="T26" t="n">
        <v>-99765709904.02499</v>
      </c>
      <c r="U26" t="n">
        <v>-105961773776.392</v>
      </c>
      <c r="V26" t="n">
        <v>-112893989284.231</v>
      </c>
      <c r="W26" t="n">
        <v>-127021044291.344</v>
      </c>
      <c r="X26" t="n">
        <v>-146793621116.09</v>
      </c>
      <c r="Y26" t="n">
        <v>-146804998703.381</v>
      </c>
      <c r="Z26" t="n">
        <v>-145302370034.467</v>
      </c>
      <c r="AA26" t="n">
        <v>-158386667381.173</v>
      </c>
      <c r="AB26" t="n">
        <v>-172968970478.448</v>
      </c>
      <c r="AC26" t="n">
        <v>-189704752244.862</v>
      </c>
      <c r="AD26" t="n">
        <v>-209842737672.717</v>
      </c>
      <c r="AE26" t="n">
        <v>-207763872945.917</v>
      </c>
      <c r="AF26" t="n">
        <v>-205130844387.345</v>
      </c>
      <c r="AG26" t="n">
        <v>-222945297204.141</v>
      </c>
      <c r="AH26" t="n">
        <v>-223717575717.718</v>
      </c>
      <c r="AI26" t="n">
        <v>-240662174170.671</v>
      </c>
      <c r="AJ26" t="n">
        <v>-240181261243.397</v>
      </c>
      <c r="AK26" t="n">
        <v>-225917630302.561</v>
      </c>
      <c r="AL26" t="n">
        <v>-240038711184.475</v>
      </c>
      <c r="AM26" t="n">
        <v>-264609406423.82</v>
      </c>
      <c r="AN26" t="n">
        <v>-279756701287.061</v>
      </c>
      <c r="AO26" t="n">
        <v>-281928810389.804</v>
      </c>
      <c r="AP26" t="n">
        <v>-283541569057.914</v>
      </c>
      <c r="AQ26" t="n">
        <v>-279053699677.121</v>
      </c>
      <c r="AR26" t="n">
        <v>-263409580272.541</v>
      </c>
      <c r="AS26" t="n">
        <v>-259170081922.106</v>
      </c>
      <c r="AT26" t="n">
        <v>-269542453663.154</v>
      </c>
      <c r="AU26" t="n">
        <v>-277111007037.612</v>
      </c>
      <c r="AV26" t="n">
        <v>-268362644533.987</v>
      </c>
      <c r="AW26" t="n">
        <v>-282704737048.812</v>
      </c>
      <c r="AX26" t="n">
        <v>-305606866127.181</v>
      </c>
      <c r="AY26" t="n">
        <v>-307253236291.957</v>
      </c>
      <c r="AZ26" t="n">
        <v>-331435620845.325</v>
      </c>
      <c r="BA26" t="n">
        <v>-348373292002.186</v>
      </c>
      <c r="BB26" t="n">
        <v>-342655152683.594</v>
      </c>
      <c r="BC26" t="n">
        <v>-355146312153.396</v>
      </c>
      <c r="BD26" t="n">
        <v>-335681925014.094</v>
      </c>
      <c r="BE26" t="n">
        <v>-343465470213.44</v>
      </c>
      <c r="BF26" t="n">
        <v>-347300441986.512</v>
      </c>
      <c r="BG26" t="n">
        <v>-331044539462.007</v>
      </c>
      <c r="BH26" t="n">
        <v>-347764739076.546</v>
      </c>
      <c r="BI26" t="n">
        <v>-352228365768.749</v>
      </c>
      <c r="BJ26" t="n">
        <v>-339635306073.595</v>
      </c>
      <c r="BK26" t="n">
        <v>-387642968249.635</v>
      </c>
      <c r="BL26" t="n">
        <v>-413371309386.028</v>
      </c>
      <c r="BM26" t="n">
        <v>-384332690111.425</v>
      </c>
      <c r="BN26" t="n">
        <v>-408146988309.243</v>
      </c>
      <c r="BO26" t="n">
        <v>-434385377273.781</v>
      </c>
      <c r="BP26" t="n">
        <v>-482865032261.584</v>
      </c>
      <c r="BQ26" t="n">
        <v>-499767072560.08</v>
      </c>
      <c r="BR26" t="n">
        <v>-519028035347.469</v>
      </c>
      <c r="BS26" t="n">
        <v>-509700822878.337</v>
      </c>
      <c r="BT26" t="n">
        <v>-535959545437.675</v>
      </c>
    </row>
    <row r="27">
      <c r="A27" t="inlineStr">
        <is>
          <t>MC_new_GE</t>
        </is>
      </c>
      <c r="B27" t="inlineStr">
        <is>
          <t>ok</t>
        </is>
      </c>
      <c r="C27" t="n">
        <v>983864689.84</v>
      </c>
      <c r="D27" t="n">
        <v>1021462575.209</v>
      </c>
      <c r="E27" t="n">
        <v>1051363783.703</v>
      </c>
      <c r="F27" t="n">
        <v>1108480476.444</v>
      </c>
      <c r="G27" t="n">
        <v>1129317866.695</v>
      </c>
      <c r="H27" t="n">
        <v>1111905218.521</v>
      </c>
      <c r="I27" t="n">
        <v>1313849589.814</v>
      </c>
      <c r="J27" t="n">
        <v>1465144456.573</v>
      </c>
      <c r="K27" t="n">
        <v>1509175038.67</v>
      </c>
      <c r="L27" t="n">
        <v>1784434325.688</v>
      </c>
      <c r="M27" t="n">
        <v>1897175599.858</v>
      </c>
      <c r="N27" t="n">
        <v>1906152448.847</v>
      </c>
      <c r="O27" t="n">
        <v>2065188878.92</v>
      </c>
      <c r="P27" t="n">
        <v>2370854472.771</v>
      </c>
      <c r="Q27" t="n">
        <v>2625457470.45</v>
      </c>
      <c r="R27" t="n">
        <v>2782470014.783</v>
      </c>
      <c r="S27" t="n">
        <v>2816129828.946</v>
      </c>
      <c r="T27" t="n">
        <v>2568810765.387</v>
      </c>
      <c r="U27" t="n">
        <v>2781069343.861</v>
      </c>
      <c r="V27" t="n">
        <v>2982923330.313</v>
      </c>
      <c r="W27" t="n">
        <v>3314109957.132</v>
      </c>
      <c r="X27" t="n">
        <v>3744169319.437</v>
      </c>
      <c r="Y27" t="n">
        <v>3851568772.34</v>
      </c>
      <c r="Z27" t="n">
        <v>3830047172.501</v>
      </c>
      <c r="AA27" t="n">
        <v>4333245271.491</v>
      </c>
      <c r="AB27" t="n">
        <v>4934696327.432</v>
      </c>
      <c r="AC27" t="n">
        <v>5117349234.591</v>
      </c>
      <c r="AD27" t="n">
        <v>5497198206.179</v>
      </c>
      <c r="AE27" t="n">
        <v>5577313710.632</v>
      </c>
      <c r="AF27" t="n">
        <v>5515165322.804</v>
      </c>
      <c r="AG27" t="n">
        <v>6037085442.099</v>
      </c>
      <c r="AH27" t="n">
        <v>5759741377.833</v>
      </c>
      <c r="AI27" t="n">
        <v>6432839497.18</v>
      </c>
      <c r="AJ27" t="n">
        <v>6380519257.606</v>
      </c>
      <c r="AK27" t="n">
        <v>5504314787.701</v>
      </c>
      <c r="AL27" t="n">
        <v>5867188321.006</v>
      </c>
      <c r="AM27" t="n">
        <v>6308575443.65</v>
      </c>
      <c r="AN27" t="n">
        <v>6754999386.758</v>
      </c>
      <c r="AO27" t="n">
        <v>6638016912.187</v>
      </c>
      <c r="AP27" t="n">
        <v>6661128270.222</v>
      </c>
      <c r="AQ27" t="n">
        <v>6842883344.359</v>
      </c>
      <c r="AR27" t="n">
        <v>6431225759.029</v>
      </c>
      <c r="AS27" t="n">
        <v>6230946671.024</v>
      </c>
      <c r="AT27" t="n">
        <v>6755627864.465</v>
      </c>
      <c r="AU27" t="n">
        <v>6790873382.337</v>
      </c>
      <c r="AV27" t="n">
        <v>6459222338.393</v>
      </c>
      <c r="AW27" t="n">
        <v>7041907092.588</v>
      </c>
      <c r="AX27" t="n">
        <v>7640643053.164</v>
      </c>
      <c r="AY27" t="n">
        <v>7644292507.552</v>
      </c>
      <c r="AZ27" t="n">
        <v>8430294568.283</v>
      </c>
      <c r="BA27" t="n">
        <v>8438866606.348</v>
      </c>
      <c r="BB27" t="n">
        <v>8372948450.458</v>
      </c>
      <c r="BC27" t="n">
        <v>8641575511.752001</v>
      </c>
      <c r="BD27" t="n">
        <v>8141402818.576</v>
      </c>
      <c r="BE27" t="n">
        <v>8447671399.449</v>
      </c>
      <c r="BF27" t="n">
        <v>8779930171.381001</v>
      </c>
      <c r="BG27" t="n">
        <v>8064972302.066</v>
      </c>
      <c r="BH27" t="n">
        <v>8518320408.104</v>
      </c>
      <c r="BI27" t="n">
        <v>8924071524.916</v>
      </c>
      <c r="BJ27" t="n">
        <v>8912912402.309999</v>
      </c>
      <c r="BK27" t="n">
        <v>10258727017.71</v>
      </c>
      <c r="BL27" t="n">
        <v>10541463644.686</v>
      </c>
      <c r="BM27" t="n">
        <v>10074160944.695</v>
      </c>
      <c r="BN27" t="n">
        <v>10613463029.578</v>
      </c>
      <c r="BO27" t="n">
        <v>10829219455.888</v>
      </c>
      <c r="BP27" t="n">
        <v>11791122358.786</v>
      </c>
      <c r="BQ27" t="n">
        <v>11893579162.252</v>
      </c>
      <c r="BR27" t="n">
        <v>11615033443.327</v>
      </c>
      <c r="BS27" t="n">
        <v>11100142145.108</v>
      </c>
      <c r="BT27" t="n">
        <v>11786617558.85</v>
      </c>
    </row>
    <row r="28">
      <c r="A28" s="18" t="inlineStr">
        <is>
          <t>MC_new_TE_EEfix</t>
        </is>
      </c>
      <c r="B28" s="9" t="inlineStr">
        <is>
          <t>IMPLAUSIBLE - up to 34x the trophic-chain estimate; the solve is near-singular for this model</t>
        </is>
      </c>
      <c r="C28" t="n">
        <v>4868273307.793</v>
      </c>
      <c r="D28" t="n">
        <v>5009619393.677</v>
      </c>
      <c r="E28" t="n">
        <v>5256484935.777</v>
      </c>
      <c r="F28" t="n">
        <v>5492312678.762</v>
      </c>
      <c r="G28" t="n">
        <v>5580602827.227</v>
      </c>
      <c r="H28" t="n">
        <v>5574087986.91</v>
      </c>
      <c r="I28" t="n">
        <v>6643292310.919</v>
      </c>
      <c r="J28" t="n">
        <v>6696025194.322</v>
      </c>
      <c r="K28" t="n">
        <v>7145481818.904</v>
      </c>
      <c r="L28" t="n">
        <v>8242726352.27</v>
      </c>
      <c r="M28" t="n">
        <v>9010939800.913</v>
      </c>
      <c r="N28" t="n">
        <v>8785511094.039</v>
      </c>
      <c r="O28" t="n">
        <v>9353354017.339001</v>
      </c>
      <c r="P28" t="n">
        <v>11789148193.589</v>
      </c>
      <c r="Q28" t="n">
        <v>12344861161.215</v>
      </c>
      <c r="R28" t="n">
        <v>13264932933.243</v>
      </c>
      <c r="S28" t="n">
        <v>14079591421.82</v>
      </c>
      <c r="T28" t="n">
        <v>11759113901.032</v>
      </c>
      <c r="U28" t="n">
        <v>12712214832.254</v>
      </c>
      <c r="V28" t="n">
        <v>13740444184.085</v>
      </c>
      <c r="W28" t="n">
        <v>14667357100.563</v>
      </c>
      <c r="X28" t="n">
        <v>16127189794.645</v>
      </c>
      <c r="Y28" t="n">
        <v>17014291230.154</v>
      </c>
      <c r="Z28" t="n">
        <v>17512934932.42</v>
      </c>
      <c r="AA28" t="n">
        <v>20200746985.789</v>
      </c>
      <c r="AB28" t="n">
        <v>26941548091.251</v>
      </c>
      <c r="AC28" t="n">
        <v>27194739582.109</v>
      </c>
      <c r="AD28" t="n">
        <v>26970350060.903</v>
      </c>
      <c r="AE28" t="n">
        <v>28405060549.4</v>
      </c>
      <c r="AF28" t="n">
        <v>28881291969.117</v>
      </c>
      <c r="AG28" t="n">
        <v>31320039462.878</v>
      </c>
      <c r="AH28" t="n">
        <v>26301685816.889</v>
      </c>
      <c r="AI28" t="n">
        <v>34297908779.715</v>
      </c>
      <c r="AJ28" t="n">
        <v>34334134158.806</v>
      </c>
      <c r="AK28" t="n">
        <v>27646682549.78</v>
      </c>
      <c r="AL28" t="n">
        <v>30457576223.197</v>
      </c>
      <c r="AM28" t="n">
        <v>29891347837.421</v>
      </c>
      <c r="AN28" t="n">
        <v>32981116645.2</v>
      </c>
      <c r="AO28" t="n">
        <v>32678864946.927</v>
      </c>
      <c r="AP28" t="n">
        <v>29082019595.027</v>
      </c>
      <c r="AQ28" t="n">
        <v>30519827498.771</v>
      </c>
      <c r="AR28" t="n">
        <v>29893430047.353</v>
      </c>
      <c r="AS28" t="n">
        <v>30397500082.52</v>
      </c>
      <c r="AT28" t="n">
        <v>34122318877.662</v>
      </c>
      <c r="AU28" t="n">
        <v>35035737929.761</v>
      </c>
      <c r="AV28" t="n">
        <v>31402204249.658</v>
      </c>
      <c r="AW28" t="n">
        <v>36693870854.852</v>
      </c>
      <c r="AX28" t="n">
        <v>41043640585.118</v>
      </c>
      <c r="AY28" t="n">
        <v>39561330759.245</v>
      </c>
      <c r="AZ28" t="n">
        <v>44852248674.592</v>
      </c>
      <c r="BA28" t="n">
        <v>41308486978.482</v>
      </c>
      <c r="BB28" t="n">
        <v>41406888866.1</v>
      </c>
      <c r="BC28" t="n">
        <v>44608091027.995</v>
      </c>
      <c r="BD28" t="n">
        <v>41573131149.386</v>
      </c>
      <c r="BE28" t="n">
        <v>43585765366.239</v>
      </c>
      <c r="BF28" t="n">
        <v>48720889469.722</v>
      </c>
      <c r="BG28" t="n">
        <v>41437598005.845</v>
      </c>
      <c r="BH28" t="n">
        <v>44260246564.899</v>
      </c>
      <c r="BI28" t="n">
        <v>48656937726.001</v>
      </c>
      <c r="BJ28" t="n">
        <v>51870486433.77</v>
      </c>
      <c r="BK28" t="n">
        <v>60988752821.876</v>
      </c>
      <c r="BL28" t="n">
        <v>58934472667</v>
      </c>
      <c r="BM28" t="n">
        <v>59788926353.682</v>
      </c>
      <c r="BN28" t="n">
        <v>61767350758.347</v>
      </c>
      <c r="BO28" t="n">
        <v>60310285384.253</v>
      </c>
      <c r="BP28" t="n">
        <v>63988291370.492</v>
      </c>
      <c r="BQ28" t="n">
        <v>63509968787.252</v>
      </c>
      <c r="BR28" t="n">
        <v>59172760202.099</v>
      </c>
      <c r="BS28" t="n">
        <v>54071906727.588</v>
      </c>
      <c r="BT28" t="n">
        <v>57438710351.72</v>
      </c>
    </row>
    <row r="29">
      <c r="A29" t="inlineStr">
        <is>
          <t>SPPR_1995_TEmean_catch</t>
        </is>
      </c>
      <c r="B29" t="inlineStr">
        <is>
          <t>ok</t>
        </is>
      </c>
      <c r="C29" t="n">
        <v>89236802.09999999</v>
      </c>
      <c r="D29" t="n">
        <v>93306474.45200001</v>
      </c>
      <c r="E29" t="n">
        <v>95973113.684</v>
      </c>
      <c r="F29" t="n">
        <v>102455954.992</v>
      </c>
      <c r="G29" t="n">
        <v>104816075.562</v>
      </c>
      <c r="H29" t="n">
        <v>103648661.308</v>
      </c>
      <c r="I29" t="n">
        <v>120503059.017</v>
      </c>
      <c r="J29" t="n">
        <v>156717736.989</v>
      </c>
      <c r="K29" t="n">
        <v>168663240.586</v>
      </c>
      <c r="L29" t="n">
        <v>222413528.002</v>
      </c>
      <c r="M29" t="n">
        <v>247099325.683</v>
      </c>
      <c r="N29" t="n">
        <v>258166399.945</v>
      </c>
      <c r="O29" t="n">
        <v>299492122.485</v>
      </c>
      <c r="P29" t="n">
        <v>332210251.992</v>
      </c>
      <c r="Q29" t="n">
        <v>391208889.455</v>
      </c>
      <c r="R29" t="n">
        <v>420810595.165</v>
      </c>
      <c r="S29" t="n">
        <v>377968936.175</v>
      </c>
      <c r="T29" t="n">
        <v>333789742.382</v>
      </c>
      <c r="U29" t="n">
        <v>376000170.637</v>
      </c>
      <c r="V29" t="n">
        <v>397473069.43</v>
      </c>
      <c r="W29" t="n">
        <v>425458398.371</v>
      </c>
      <c r="X29" t="n">
        <v>494890184.319</v>
      </c>
      <c r="Y29" t="n">
        <v>507756327.362</v>
      </c>
      <c r="Z29" t="n">
        <v>488290472.981</v>
      </c>
      <c r="AA29" t="n">
        <v>580490134.501</v>
      </c>
      <c r="AB29" t="n">
        <v>560977100.299</v>
      </c>
      <c r="AC29" t="n">
        <v>587973531.046</v>
      </c>
      <c r="AD29" t="n">
        <v>660907760.118</v>
      </c>
      <c r="AE29" t="n">
        <v>684810568.78</v>
      </c>
      <c r="AF29" t="n">
        <v>653919019.709</v>
      </c>
      <c r="AG29" t="n">
        <v>745158813.655</v>
      </c>
      <c r="AH29" t="n">
        <v>752808027.572</v>
      </c>
      <c r="AI29" t="n">
        <v>768896197.459</v>
      </c>
      <c r="AJ29" t="n">
        <v>756170848.183</v>
      </c>
      <c r="AK29" t="n">
        <v>594514689.2589999</v>
      </c>
      <c r="AL29" t="n">
        <v>613444997.689</v>
      </c>
      <c r="AM29" t="n">
        <v>680201962.141</v>
      </c>
      <c r="AN29" t="n">
        <v>736312105.916</v>
      </c>
      <c r="AO29" t="n">
        <v>718271185.402</v>
      </c>
      <c r="AP29" t="n">
        <v>756377084.978</v>
      </c>
      <c r="AQ29" t="n">
        <v>782037312.71</v>
      </c>
      <c r="AR29" t="n">
        <v>773502088.5549999</v>
      </c>
      <c r="AS29" t="n">
        <v>723902102.373</v>
      </c>
      <c r="AT29" t="n">
        <v>769664168.74</v>
      </c>
      <c r="AU29" t="n">
        <v>729366586.045</v>
      </c>
      <c r="AV29" t="n">
        <v>725627411.709</v>
      </c>
      <c r="AW29" t="n">
        <v>774829672.692</v>
      </c>
      <c r="AX29" t="n">
        <v>816597884.222</v>
      </c>
      <c r="AY29" t="n">
        <v>843136780.83</v>
      </c>
      <c r="AZ29" t="n">
        <v>918002957.8609999</v>
      </c>
      <c r="BA29" t="n">
        <v>941134530.631</v>
      </c>
      <c r="BB29" t="n">
        <v>943565517.911</v>
      </c>
      <c r="BC29" t="n">
        <v>910542702.691</v>
      </c>
      <c r="BD29" t="n">
        <v>893076424.631</v>
      </c>
      <c r="BE29" t="n">
        <v>918266365.9630001</v>
      </c>
      <c r="BF29" t="n">
        <v>913337990.386</v>
      </c>
      <c r="BG29" t="n">
        <v>866953513.318</v>
      </c>
      <c r="BH29" t="n">
        <v>904688608.436</v>
      </c>
      <c r="BI29" t="n">
        <v>959131700.604</v>
      </c>
      <c r="BJ29" t="n">
        <v>949534293.932</v>
      </c>
      <c r="BK29" t="n">
        <v>1044642604.24</v>
      </c>
      <c r="BL29" t="n">
        <v>1077997455.869</v>
      </c>
      <c r="BM29" t="n">
        <v>1011162973.771</v>
      </c>
      <c r="BN29" t="n">
        <v>1042686917.577</v>
      </c>
      <c r="BO29" t="n">
        <v>1069564011.995</v>
      </c>
      <c r="BP29" t="n">
        <v>1180763852.841</v>
      </c>
      <c r="BQ29" t="n">
        <v>1221210554.112</v>
      </c>
      <c r="BR29" t="n">
        <v>1201976755.774</v>
      </c>
      <c r="BS29" t="n">
        <v>1184796838.81</v>
      </c>
      <c r="BT29" t="n">
        <v>1238869931.962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498856721.569</v>
      </c>
      <c r="D30" t="n">
        <v>520368792.59</v>
      </c>
      <c r="E30" t="n">
        <v>529877907.83</v>
      </c>
      <c r="F30" t="n">
        <v>563775714.807</v>
      </c>
      <c r="G30" t="n">
        <v>572765837.476</v>
      </c>
      <c r="H30" t="n">
        <v>563939951.733</v>
      </c>
      <c r="I30" t="n">
        <v>659682562.536</v>
      </c>
      <c r="J30" t="n">
        <v>826620726.6</v>
      </c>
      <c r="K30" t="n">
        <v>896315921.166</v>
      </c>
      <c r="L30" t="n">
        <v>1177419746.724</v>
      </c>
      <c r="M30" t="n">
        <v>1297985819.406</v>
      </c>
      <c r="N30" t="n">
        <v>1340338674.436</v>
      </c>
      <c r="O30" t="n">
        <v>1545069208.294</v>
      </c>
      <c r="P30" t="n">
        <v>1717551074.823</v>
      </c>
      <c r="Q30" t="n">
        <v>2024752525.288</v>
      </c>
      <c r="R30" t="n">
        <v>2172742522.268</v>
      </c>
      <c r="S30" t="n">
        <v>1966299056.533</v>
      </c>
      <c r="T30" t="n">
        <v>1739171992.028</v>
      </c>
      <c r="U30" t="n">
        <v>1955356033.919</v>
      </c>
      <c r="V30" t="n">
        <v>2079792558.568</v>
      </c>
      <c r="W30" t="n">
        <v>2258056315.279</v>
      </c>
      <c r="X30" t="n">
        <v>2613880486.552</v>
      </c>
      <c r="Y30" t="n">
        <v>2672145731.007</v>
      </c>
      <c r="Z30" t="n">
        <v>2556730444.475</v>
      </c>
      <c r="AA30" t="n">
        <v>3042024581.534</v>
      </c>
      <c r="AB30" t="n">
        <v>2996201267.125</v>
      </c>
      <c r="AC30" t="n">
        <v>3091137166.54</v>
      </c>
      <c r="AD30" t="n">
        <v>3473198530.096</v>
      </c>
      <c r="AE30" t="n">
        <v>3545462121.372</v>
      </c>
      <c r="AF30" t="n">
        <v>3403626812.029</v>
      </c>
      <c r="AG30" t="n">
        <v>3842866431.419</v>
      </c>
      <c r="AH30" t="n">
        <v>3851779052.742</v>
      </c>
      <c r="AI30" t="n">
        <v>3988070045.712</v>
      </c>
      <c r="AJ30" t="n">
        <v>3921290151.969</v>
      </c>
      <c r="AK30" t="n">
        <v>3059046266.544</v>
      </c>
      <c r="AL30" t="n">
        <v>3173740543.253</v>
      </c>
      <c r="AM30" t="n">
        <v>3535662435.991</v>
      </c>
      <c r="AN30" t="n">
        <v>3808936286.812</v>
      </c>
      <c r="AO30" t="n">
        <v>3745994529.632</v>
      </c>
      <c r="AP30" t="n">
        <v>3950953831.955</v>
      </c>
      <c r="AQ30" t="n">
        <v>4097604980.601</v>
      </c>
      <c r="AR30" t="n">
        <v>3995381560.894</v>
      </c>
      <c r="AS30" t="n">
        <v>3746585155.609</v>
      </c>
      <c r="AT30" t="n">
        <v>4013112625.263</v>
      </c>
      <c r="AU30" t="n">
        <v>3821269612.994</v>
      </c>
      <c r="AV30" t="n">
        <v>3746014679.284</v>
      </c>
      <c r="AW30" t="n">
        <v>4028229529.24</v>
      </c>
      <c r="AX30" t="n">
        <v>4238090126.152</v>
      </c>
      <c r="AY30" t="n">
        <v>4366729773.907</v>
      </c>
      <c r="AZ30" t="n">
        <v>4843263652.445</v>
      </c>
      <c r="BA30" t="n">
        <v>4877050309.019</v>
      </c>
      <c r="BB30" t="n">
        <v>4897852055.564</v>
      </c>
      <c r="BC30" t="n">
        <v>4767701963.145</v>
      </c>
      <c r="BD30" t="n">
        <v>4651879058.835</v>
      </c>
      <c r="BE30" t="n">
        <v>4826526782.973</v>
      </c>
      <c r="BF30" t="n">
        <v>4820062806.47</v>
      </c>
      <c r="BG30" t="n">
        <v>4535544331.629</v>
      </c>
      <c r="BH30" t="n">
        <v>4762860266.132</v>
      </c>
      <c r="BI30" t="n">
        <v>5055376236.259</v>
      </c>
      <c r="BJ30" t="n">
        <v>5010680915.377</v>
      </c>
      <c r="BK30" t="n">
        <v>5660775877.423</v>
      </c>
      <c r="BL30" t="n">
        <v>5853388408.498</v>
      </c>
      <c r="BM30" t="n">
        <v>5594278595.667</v>
      </c>
      <c r="BN30" t="n">
        <v>5771548461.087</v>
      </c>
      <c r="BO30" t="n">
        <v>5898720102.6</v>
      </c>
      <c r="BP30" t="n">
        <v>6501275748.297</v>
      </c>
      <c r="BQ30" t="n">
        <v>6728818686.078</v>
      </c>
      <c r="BR30" t="n">
        <v>6583382453.083</v>
      </c>
      <c r="BS30" t="n">
        <v>6385852856.237</v>
      </c>
      <c r="BT30" t="n">
        <v>6730946992.023</v>
      </c>
    </row>
    <row r="32">
      <c r="A32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3">
      <c r="A33" s="18" t="inlineStr">
        <is>
          <t>7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97.05</v>
      </c>
      <c r="D35" t="n">
        <v>97.09999999999999</v>
      </c>
      <c r="E35" t="n">
        <v>97.06</v>
      </c>
      <c r="F35" t="n">
        <v>97.18000000000001</v>
      </c>
      <c r="G35" t="n">
        <v>97.72</v>
      </c>
      <c r="H35" t="n">
        <v>97.64</v>
      </c>
      <c r="I35" t="n">
        <v>98.16</v>
      </c>
      <c r="J35" t="n">
        <v>98.16</v>
      </c>
      <c r="K35" t="n">
        <v>98.54000000000001</v>
      </c>
      <c r="L35" t="n">
        <v>98.63</v>
      </c>
      <c r="M35" t="n">
        <v>98.37</v>
      </c>
      <c r="N35" t="n">
        <v>98.31999999999999</v>
      </c>
      <c r="O35" t="n">
        <v>98.34</v>
      </c>
      <c r="P35" t="n">
        <v>98.14</v>
      </c>
      <c r="Q35" t="n">
        <v>98.23</v>
      </c>
      <c r="R35" t="n">
        <v>97.83</v>
      </c>
      <c r="S35" t="n">
        <v>97.68000000000001</v>
      </c>
      <c r="T35" t="n">
        <v>98.33</v>
      </c>
      <c r="U35" t="n">
        <v>98.34</v>
      </c>
      <c r="V35" t="n">
        <v>98.37</v>
      </c>
      <c r="W35" t="n">
        <v>98.86</v>
      </c>
      <c r="X35" t="n">
        <v>98.97</v>
      </c>
      <c r="Y35" t="n">
        <v>99.02</v>
      </c>
      <c r="Z35" t="n">
        <v>99.02</v>
      </c>
      <c r="AA35" t="n">
        <v>99.08</v>
      </c>
      <c r="AB35" t="n">
        <v>99.19</v>
      </c>
      <c r="AC35" t="n">
        <v>99.33</v>
      </c>
      <c r="AD35" t="n">
        <v>99.2</v>
      </c>
      <c r="AE35" t="n">
        <v>99.11</v>
      </c>
      <c r="AF35" t="n">
        <v>99.15000000000001</v>
      </c>
      <c r="AG35" t="n">
        <v>99.28</v>
      </c>
      <c r="AH35" t="n">
        <v>99.27</v>
      </c>
      <c r="AI35" t="n">
        <v>99.23999999999999</v>
      </c>
      <c r="AJ35" t="n">
        <v>99.09</v>
      </c>
      <c r="AK35" t="n">
        <v>98.98</v>
      </c>
      <c r="AL35" t="n">
        <v>98.91</v>
      </c>
      <c r="AM35" t="n">
        <v>98.89</v>
      </c>
      <c r="AN35" t="n">
        <v>98.78</v>
      </c>
      <c r="AO35" t="n">
        <v>98.45999999999999</v>
      </c>
      <c r="AP35" t="n">
        <v>98.45</v>
      </c>
      <c r="AQ35" t="n">
        <v>98.22</v>
      </c>
      <c r="AR35" t="n">
        <v>98.05</v>
      </c>
      <c r="AS35" t="n">
        <v>98.01000000000001</v>
      </c>
      <c r="AT35" t="n">
        <v>98.01000000000001</v>
      </c>
      <c r="AU35" t="n">
        <v>98.02</v>
      </c>
      <c r="AV35" t="n">
        <v>98.26000000000001</v>
      </c>
      <c r="AW35" t="n">
        <v>98.33</v>
      </c>
      <c r="AX35" t="n">
        <v>98.42</v>
      </c>
      <c r="AY35" t="n">
        <v>98.42</v>
      </c>
      <c r="AZ35" t="n">
        <v>98.38</v>
      </c>
      <c r="BA35" t="n">
        <v>98.37</v>
      </c>
      <c r="BB35" t="n">
        <v>98.40000000000001</v>
      </c>
      <c r="BC35" t="n">
        <v>98.31999999999999</v>
      </c>
      <c r="BD35" t="n">
        <v>98.22</v>
      </c>
      <c r="BE35" t="n">
        <v>98.13</v>
      </c>
      <c r="BF35" t="n">
        <v>98.34</v>
      </c>
      <c r="BG35" t="n">
        <v>98.8</v>
      </c>
      <c r="BH35" t="n">
        <v>98.81999999999999</v>
      </c>
      <c r="BI35" t="n">
        <v>98.61</v>
      </c>
      <c r="BJ35" t="n">
        <v>98.87</v>
      </c>
      <c r="BK35" t="n">
        <v>98.86</v>
      </c>
      <c r="BL35" t="n">
        <v>98.65000000000001</v>
      </c>
      <c r="BM35" t="n">
        <v>98.53</v>
      </c>
      <c r="BN35" t="n">
        <v>98.66</v>
      </c>
      <c r="BO35" t="n">
        <v>98.70999999999999</v>
      </c>
      <c r="BP35" t="n">
        <v>98.68000000000001</v>
      </c>
      <c r="BQ35" t="n">
        <v>98.59</v>
      </c>
      <c r="BR35" t="n">
        <v>98.59</v>
      </c>
      <c r="BS35" t="n">
        <v>98.70999999999999</v>
      </c>
      <c r="BT35" t="n">
        <v>98.66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Côtier L pred | Côtier M pred | Côtier M inv | Côtier S pred | Côtier S inv | Dem L pred | Dem L inv | Dem M pred | Dem M inv | Dem S pred | Dem S inv</t>
        </is>
      </c>
      <c r="E5" t="n">
        <v>163.765772</v>
      </c>
      <c r="F5" t="n">
        <v>357.274322</v>
      </c>
      <c r="G5" t="n">
        <v>340.933365</v>
      </c>
      <c r="H5" t="n">
        <v>2733.003035</v>
      </c>
      <c r="I5" t="n">
        <v>1872.062243</v>
      </c>
      <c r="J5" t="n">
        <v>2944.643751</v>
      </c>
      <c r="K5" t="n">
        <v>2569.805973</v>
      </c>
      <c r="L5" t="n">
        <v>5569.671963</v>
      </c>
      <c r="M5" t="n">
        <v>5569.671963</v>
      </c>
      <c r="N5" t="n">
        <v>5569.671963</v>
      </c>
      <c r="O5" t="n">
        <v>2133.083551</v>
      </c>
      <c r="P5" t="n">
        <v>753.297937</v>
      </c>
      <c r="Q5" t="n">
        <v>5569.671963</v>
      </c>
      <c r="R5" t="n">
        <v>-19290.870973</v>
      </c>
      <c r="S5" t="n">
        <v>2133.083551</v>
      </c>
      <c r="T5" t="n">
        <v>2133.473798</v>
      </c>
      <c r="U5" t="n">
        <v>753.297937</v>
      </c>
      <c r="V5" t="n">
        <v>-114985.184917</v>
      </c>
      <c r="W5" t="n">
        <v>2350.857951</v>
      </c>
      <c r="X5" t="n">
        <v>6003.243494</v>
      </c>
      <c r="Y5" t="n">
        <v>209.626712</v>
      </c>
      <c r="Z5" t="n">
        <v>1161.363497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1" t="inlineStr">
        <is>
          <t>Ethmalose</t>
        </is>
      </c>
      <c r="E6" t="n">
        <v>163.765772</v>
      </c>
      <c r="F6" t="n">
        <v>32.757151</v>
      </c>
      <c r="G6" t="n">
        <v>31.91145</v>
      </c>
      <c r="H6" t="n">
        <v>65.818434</v>
      </c>
      <c r="I6" t="n">
        <v>85.31189000000001</v>
      </c>
      <c r="J6" t="n">
        <v>85.31189000000001</v>
      </c>
      <c r="K6" t="n">
        <v>81.046295</v>
      </c>
      <c r="L6" t="n">
        <v>91.491097</v>
      </c>
      <c r="M6" t="n">
        <v>91.491097</v>
      </c>
      <c r="N6" t="n">
        <v>91.491097</v>
      </c>
      <c r="O6" t="n">
        <v>73.367465</v>
      </c>
      <c r="P6" t="n">
        <v>43.161455</v>
      </c>
      <c r="Q6" t="n">
        <v>91.491097</v>
      </c>
      <c r="R6" t="n">
        <v>91.491097</v>
      </c>
      <c r="S6" t="n">
        <v>73.367465</v>
      </c>
      <c r="T6" t="n">
        <v>73.377987</v>
      </c>
      <c r="U6" t="n">
        <v>43.161455</v>
      </c>
      <c r="V6" t="n">
        <v>-338.705282</v>
      </c>
      <c r="W6" t="n">
        <v>77.44595099999999</v>
      </c>
      <c r="X6" t="n">
        <v>95.672556</v>
      </c>
      <c r="Y6" t="n">
        <v>24.291412</v>
      </c>
      <c r="Z6" t="n">
        <v>44.953839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1" t="inlineStr">
        <is>
          <t>Côtier pel S inv</t>
        </is>
      </c>
      <c r="E7" t="n">
        <v>163.765772</v>
      </c>
      <c r="F7" t="n">
        <v>63.371783</v>
      </c>
      <c r="G7" t="n">
        <v>61.431046</v>
      </c>
      <c r="H7" t="n">
        <v>318.709045</v>
      </c>
      <c r="I7" t="n">
        <v>117.871263</v>
      </c>
      <c r="J7" t="n">
        <v>118.151768</v>
      </c>
      <c r="K7" t="n">
        <v>106.830225</v>
      </c>
      <c r="L7" t="n">
        <v>182.678518</v>
      </c>
      <c r="M7" t="n">
        <v>182.678518</v>
      </c>
      <c r="N7" t="n">
        <v>182.678518</v>
      </c>
      <c r="O7" t="n">
        <v>118.787049</v>
      </c>
      <c r="P7" t="n">
        <v>55.817264</v>
      </c>
      <c r="Q7" t="n">
        <v>182.678518</v>
      </c>
      <c r="R7" t="n">
        <v>182.678518</v>
      </c>
      <c r="S7" t="n">
        <v>118.787049</v>
      </c>
      <c r="T7" t="n">
        <v>118.805162</v>
      </c>
      <c r="U7" t="n">
        <v>55.817264</v>
      </c>
      <c r="V7" t="n">
        <v>-489.077337</v>
      </c>
      <c r="W7" t="n">
        <v>128.847646</v>
      </c>
      <c r="X7" t="n">
        <v>189.690715</v>
      </c>
      <c r="Y7" t="n">
        <v>44.410268</v>
      </c>
      <c r="Z7" t="n">
        <v>180.282129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1" t="inlineStr">
        <is>
          <t>Côtier pel S inv</t>
        </is>
      </c>
      <c r="E8" t="n">
        <v>163.765772</v>
      </c>
      <c r="F8" t="n">
        <v>63.371783</v>
      </c>
      <c r="G8" t="n">
        <v>61.431046</v>
      </c>
      <c r="H8" t="n">
        <v>318.709045</v>
      </c>
      <c r="I8" t="n">
        <v>117.871263</v>
      </c>
      <c r="J8" t="n">
        <v>118.151768</v>
      </c>
      <c r="K8" t="n">
        <v>106.830225</v>
      </c>
      <c r="L8" t="n">
        <v>182.678518</v>
      </c>
      <c r="M8" t="n">
        <v>182.678518</v>
      </c>
      <c r="N8" t="n">
        <v>182.678518</v>
      </c>
      <c r="O8" t="n">
        <v>118.787049</v>
      </c>
      <c r="P8" t="n">
        <v>55.817264</v>
      </c>
      <c r="Q8" t="n">
        <v>182.678518</v>
      </c>
      <c r="R8" t="n">
        <v>182.678518</v>
      </c>
      <c r="S8" t="n">
        <v>118.787049</v>
      </c>
      <c r="T8" t="n">
        <v>118.805162</v>
      </c>
      <c r="U8" t="n">
        <v>55.817264</v>
      </c>
      <c r="V8" t="n">
        <v>-489.077337</v>
      </c>
      <c r="W8" t="n">
        <v>128.847646</v>
      </c>
      <c r="X8" t="n">
        <v>189.690715</v>
      </c>
      <c r="Y8" t="n">
        <v>44.410268</v>
      </c>
      <c r="Z8" t="n">
        <v>180.282129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1" t="inlineStr">
        <is>
          <t>Bars</t>
        </is>
      </c>
      <c r="E9" t="n">
        <v>163.765772</v>
      </c>
      <c r="F9" t="n">
        <v>765.126208</v>
      </c>
      <c r="G9" t="n">
        <v>727.972559</v>
      </c>
      <c r="H9" t="n">
        <v>3298.25622</v>
      </c>
      <c r="I9" t="n">
        <v>1392.35844</v>
      </c>
      <c r="J9" t="n">
        <v>1698.410099</v>
      </c>
      <c r="K9" t="n">
        <v>1593.284857</v>
      </c>
      <c r="L9" t="n">
        <v>2935.662355</v>
      </c>
      <c r="M9" t="n">
        <v>2935.662355</v>
      </c>
      <c r="N9" t="n">
        <v>2935.662355</v>
      </c>
      <c r="O9" t="n">
        <v>1750.549134</v>
      </c>
      <c r="P9" t="n">
        <v>663.603284</v>
      </c>
      <c r="Q9" t="n">
        <v>2935.662355</v>
      </c>
      <c r="R9" t="n">
        <v>-12163.717722</v>
      </c>
      <c r="S9" t="n">
        <v>1750.549134</v>
      </c>
      <c r="T9" t="n">
        <v>1750.869265</v>
      </c>
      <c r="U9" t="n">
        <v>663.603284</v>
      </c>
      <c r="V9" t="n">
        <v>-129126.842756</v>
      </c>
      <c r="W9" t="n">
        <v>1958.674131</v>
      </c>
      <c r="X9" t="n">
        <v>3084.90119</v>
      </c>
      <c r="Y9" t="n">
        <v>433.124819</v>
      </c>
      <c r="Z9" t="n">
        <v>1494.308191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1" t="inlineStr">
        <is>
          <t>Côtier pel S inv</t>
        </is>
      </c>
      <c r="E10" t="n">
        <v>163.765772</v>
      </c>
      <c r="F10" t="n">
        <v>63.371783</v>
      </c>
      <c r="G10" t="n">
        <v>61.431046</v>
      </c>
      <c r="H10" t="n">
        <v>318.709045</v>
      </c>
      <c r="I10" t="n">
        <v>117.871263</v>
      </c>
      <c r="J10" t="n">
        <v>118.151768</v>
      </c>
      <c r="K10" t="n">
        <v>106.830225</v>
      </c>
      <c r="L10" t="n">
        <v>182.678518</v>
      </c>
      <c r="M10" t="n">
        <v>182.678518</v>
      </c>
      <c r="N10" t="n">
        <v>182.678518</v>
      </c>
      <c r="O10" t="n">
        <v>118.787049</v>
      </c>
      <c r="P10" t="n">
        <v>55.817264</v>
      </c>
      <c r="Q10" t="n">
        <v>182.678518</v>
      </c>
      <c r="R10" t="n">
        <v>182.678518</v>
      </c>
      <c r="S10" t="n">
        <v>118.787049</v>
      </c>
      <c r="T10" t="n">
        <v>118.805162</v>
      </c>
      <c r="U10" t="n">
        <v>55.817264</v>
      </c>
      <c r="V10" t="n">
        <v>-489.077337</v>
      </c>
      <c r="W10" t="n">
        <v>128.847646</v>
      </c>
      <c r="X10" t="n">
        <v>189.690715</v>
      </c>
      <c r="Y10" t="n">
        <v>44.410268</v>
      </c>
      <c r="Z10" t="n">
        <v>180.282129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1" t="inlineStr">
        <is>
          <t>Céphalopodes</t>
        </is>
      </c>
      <c r="E11" t="n">
        <v>163.765772</v>
      </c>
      <c r="F11" t="n">
        <v>822.926928</v>
      </c>
      <c r="G11" t="n">
        <v>782.5392000000001</v>
      </c>
      <c r="H11" t="n">
        <v>2911.869334</v>
      </c>
      <c r="I11" t="n">
        <v>776.132507</v>
      </c>
      <c r="J11" t="n">
        <v>776.132507</v>
      </c>
      <c r="K11" t="n">
        <v>737.325882</v>
      </c>
      <c r="L11" t="n">
        <v>1169.060818</v>
      </c>
      <c r="M11" t="n">
        <v>1169.060818</v>
      </c>
      <c r="N11" t="n">
        <v>1169.060818</v>
      </c>
      <c r="O11" t="n">
        <v>633.531335</v>
      </c>
      <c r="P11" t="n">
        <v>262.847199</v>
      </c>
      <c r="Q11" t="n">
        <v>1169.060818</v>
      </c>
      <c r="R11" t="n">
        <v>1169.060818</v>
      </c>
      <c r="S11" t="n">
        <v>633.531335</v>
      </c>
      <c r="T11" t="n">
        <v>633.6433950000001</v>
      </c>
      <c r="U11" t="n">
        <v>262.847199</v>
      </c>
      <c r="V11" t="n">
        <v>-2693.78971</v>
      </c>
      <c r="W11" t="n">
        <v>696.0734629999999</v>
      </c>
      <c r="X11" t="n">
        <v>1245.599369</v>
      </c>
      <c r="Y11" t="n">
        <v>462.946606</v>
      </c>
      <c r="Z11" t="n">
        <v>1388.472944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1" t="inlineStr">
        <is>
          <t>Côtier S inv</t>
        </is>
      </c>
      <c r="E12" t="n">
        <v>163.765772</v>
      </c>
      <c r="F12" t="n">
        <v>79.510256</v>
      </c>
      <c r="G12" t="n">
        <v>76.944312</v>
      </c>
      <c r="H12" t="n">
        <v>373.150929</v>
      </c>
      <c r="I12" t="n">
        <v>228.204413</v>
      </c>
      <c r="J12" t="n">
        <v>228.808027</v>
      </c>
      <c r="K12" t="n">
        <v>222.997608</v>
      </c>
      <c r="L12" t="n">
        <v>302.43669</v>
      </c>
      <c r="M12" t="n">
        <v>302.43669</v>
      </c>
      <c r="N12" t="n">
        <v>302.43669</v>
      </c>
      <c r="O12" t="n">
        <v>244.203076</v>
      </c>
      <c r="P12" t="n">
        <v>127.641231</v>
      </c>
      <c r="Q12" t="n">
        <v>302.43669</v>
      </c>
      <c r="R12" t="n">
        <v>302.43669</v>
      </c>
      <c r="S12" t="n">
        <v>244.203076</v>
      </c>
      <c r="T12" t="n">
        <v>244.24861</v>
      </c>
      <c r="U12" t="n">
        <v>127.641231</v>
      </c>
      <c r="V12" t="n">
        <v>-1347.82362</v>
      </c>
      <c r="W12" t="n">
        <v>265.990648</v>
      </c>
      <c r="X12" t="n">
        <v>316.455773</v>
      </c>
      <c r="Y12" t="n">
        <v>54.647132</v>
      </c>
      <c r="Z12" t="n">
        <v>203.025564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1" t="inlineStr">
        <is>
          <t>Pel S inv</t>
        </is>
      </c>
      <c r="E13" t="n">
        <v>163.765772</v>
      </c>
      <c r="F13" t="n">
        <v>157.970864</v>
      </c>
      <c r="G13" t="n">
        <v>152.088101</v>
      </c>
      <c r="H13" t="n">
        <v>577.271661</v>
      </c>
      <c r="I13" t="n">
        <v>239.810236</v>
      </c>
      <c r="J13" t="n">
        <v>250.631671</v>
      </c>
      <c r="K13" t="n">
        <v>247.596998</v>
      </c>
      <c r="L13" t="n">
        <v>317.630823</v>
      </c>
      <c r="M13" t="n">
        <v>317.630823</v>
      </c>
      <c r="N13" t="n">
        <v>317.630823</v>
      </c>
      <c r="O13" t="n">
        <v>109.892311</v>
      </c>
      <c r="P13" t="n">
        <v>46.754759</v>
      </c>
      <c r="Q13" t="n">
        <v>317.630823</v>
      </c>
      <c r="R13" t="n">
        <v>317.630823</v>
      </c>
      <c r="S13" t="n">
        <v>109.892311</v>
      </c>
      <c r="T13" t="n">
        <v>109.904353</v>
      </c>
      <c r="U13" t="n">
        <v>46.754759</v>
      </c>
      <c r="V13" t="n">
        <v>-281.146464</v>
      </c>
      <c r="W13" t="n">
        <v>116.066501</v>
      </c>
      <c r="X13" t="n">
        <v>339.622839</v>
      </c>
      <c r="Y13" t="n">
        <v>102.369618</v>
      </c>
      <c r="Z13" t="n">
        <v>312.790013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1" t="inlineStr">
        <is>
          <t>Côtier pel S inv</t>
        </is>
      </c>
      <c r="E14" t="n">
        <v>163.765772</v>
      </c>
      <c r="F14" t="n">
        <v>63.371783</v>
      </c>
      <c r="G14" t="n">
        <v>61.431046</v>
      </c>
      <c r="H14" t="n">
        <v>318.709045</v>
      </c>
      <c r="I14" t="n">
        <v>117.871263</v>
      </c>
      <c r="J14" t="n">
        <v>118.151768</v>
      </c>
      <c r="K14" t="n">
        <v>106.830225</v>
      </c>
      <c r="L14" t="n">
        <v>182.678518</v>
      </c>
      <c r="M14" t="n">
        <v>182.678518</v>
      </c>
      <c r="N14" t="n">
        <v>182.678518</v>
      </c>
      <c r="O14" t="n">
        <v>118.787049</v>
      </c>
      <c r="P14" t="n">
        <v>55.817264</v>
      </c>
      <c r="Q14" t="n">
        <v>182.678518</v>
      </c>
      <c r="R14" t="n">
        <v>182.678518</v>
      </c>
      <c r="S14" t="n">
        <v>118.787049</v>
      </c>
      <c r="T14" t="n">
        <v>118.805162</v>
      </c>
      <c r="U14" t="n">
        <v>55.817264</v>
      </c>
      <c r="V14" t="n">
        <v>-489.077337</v>
      </c>
      <c r="W14" t="n">
        <v>128.847646</v>
      </c>
      <c r="X14" t="n">
        <v>189.690715</v>
      </c>
      <c r="Y14" t="n">
        <v>44.410268</v>
      </c>
      <c r="Z14" t="n">
        <v>180.282129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1" t="inlineStr">
        <is>
          <t>Thons majeurs</t>
        </is>
      </c>
      <c r="E15" t="n">
        <v>163.765772</v>
      </c>
      <c r="F15" t="n">
        <v>2736.422785</v>
      </c>
      <c r="G15" t="n">
        <v>2578.791074</v>
      </c>
      <c r="H15" t="n">
        <v>17894.302324</v>
      </c>
      <c r="I15" t="n">
        <v>8524.622238</v>
      </c>
      <c r="J15" t="n">
        <v>8877.051893</v>
      </c>
      <c r="K15" t="n">
        <v>4438.525947</v>
      </c>
      <c r="L15" t="n">
        <v>13559.408277</v>
      </c>
      <c r="M15" t="n">
        <v>13559.408277</v>
      </c>
      <c r="N15" t="n">
        <v>13559.408277</v>
      </c>
      <c r="O15" t="n">
        <v>3620.855517</v>
      </c>
      <c r="P15" t="n">
        <v>1183.588403</v>
      </c>
      <c r="Q15" t="n">
        <v>13559.408277</v>
      </c>
      <c r="R15" t="n">
        <v>-35792.676603</v>
      </c>
      <c r="S15" t="n">
        <v>3620.855517</v>
      </c>
      <c r="T15" t="n">
        <v>3621.492366</v>
      </c>
      <c r="U15" t="n">
        <v>1183.588403</v>
      </c>
      <c r="V15" t="n">
        <v>-69430.651774</v>
      </c>
      <c r="W15" t="n">
        <v>4014.185729</v>
      </c>
      <c r="X15" t="n">
        <v>14860.282888</v>
      </c>
      <c r="Y15" t="n">
        <v>1388.786767</v>
      </c>
      <c r="Z15" t="n">
        <v>6982.232434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1" t="inlineStr">
        <is>
          <t>Thons majeurs</t>
        </is>
      </c>
      <c r="E16" t="n">
        <v>163.765772</v>
      </c>
      <c r="F16" t="n">
        <v>2736.422785</v>
      </c>
      <c r="G16" t="n">
        <v>2578.791074</v>
      </c>
      <c r="H16" t="n">
        <v>17894.302324</v>
      </c>
      <c r="I16" t="n">
        <v>8524.622238</v>
      </c>
      <c r="J16" t="n">
        <v>8877.051893</v>
      </c>
      <c r="K16" t="n">
        <v>4438.525947</v>
      </c>
      <c r="L16" t="n">
        <v>13559.408277</v>
      </c>
      <c r="M16" t="n">
        <v>13559.408277</v>
      </c>
      <c r="N16" t="n">
        <v>13559.408277</v>
      </c>
      <c r="O16" t="n">
        <v>3620.855517</v>
      </c>
      <c r="P16" t="n">
        <v>1183.588403</v>
      </c>
      <c r="Q16" t="n">
        <v>13559.408277</v>
      </c>
      <c r="R16" t="n">
        <v>-35792.676603</v>
      </c>
      <c r="S16" t="n">
        <v>3620.855517</v>
      </c>
      <c r="T16" t="n">
        <v>3621.492366</v>
      </c>
      <c r="U16" t="n">
        <v>1183.588403</v>
      </c>
      <c r="V16" t="n">
        <v>-69430.651774</v>
      </c>
      <c r="W16" t="n">
        <v>4014.185729</v>
      </c>
      <c r="X16" t="n">
        <v>14860.282888</v>
      </c>
      <c r="Y16" t="n">
        <v>1388.786767</v>
      </c>
      <c r="Z16" t="n">
        <v>6982.232434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1" t="inlineStr">
        <is>
          <t>Petit capitaine</t>
        </is>
      </c>
      <c r="E17" t="n">
        <v>163.765772</v>
      </c>
      <c r="F17" t="n">
        <v>579.424754</v>
      </c>
      <c r="G17" t="n">
        <v>552.438682</v>
      </c>
      <c r="H17" t="n">
        <v>1714.024055</v>
      </c>
      <c r="I17" t="n">
        <v>745.981182</v>
      </c>
      <c r="J17" t="n">
        <v>746.185466</v>
      </c>
      <c r="K17" t="n">
        <v>690.811541</v>
      </c>
      <c r="L17" t="n">
        <v>1044.06999</v>
      </c>
      <c r="M17" t="n">
        <v>1044.06999</v>
      </c>
      <c r="N17" t="n">
        <v>1044.06999</v>
      </c>
      <c r="O17" t="n">
        <v>796.601513</v>
      </c>
      <c r="P17" t="n">
        <v>366.831123</v>
      </c>
      <c r="Q17" t="n">
        <v>1044.06999</v>
      </c>
      <c r="R17" t="n">
        <v>1044.06999</v>
      </c>
      <c r="S17" t="n">
        <v>796.601513</v>
      </c>
      <c r="T17" t="n">
        <v>796.751987</v>
      </c>
      <c r="U17" t="n">
        <v>366.831123</v>
      </c>
      <c r="V17" t="n">
        <v>-3960.09907</v>
      </c>
      <c r="W17" t="n">
        <v>880.999144</v>
      </c>
      <c r="X17" t="n">
        <v>1074.896674</v>
      </c>
      <c r="Y17" t="n">
        <v>335.910399</v>
      </c>
      <c r="Z17" t="n">
        <v>876.602259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1" t="inlineStr">
        <is>
          <t>Bars</t>
        </is>
      </c>
      <c r="E18" t="n">
        <v>163.765772</v>
      </c>
      <c r="F18" t="n">
        <v>765.126208</v>
      </c>
      <c r="G18" t="n">
        <v>727.972559</v>
      </c>
      <c r="H18" t="n">
        <v>3298.25622</v>
      </c>
      <c r="I18" t="n">
        <v>1392.35844</v>
      </c>
      <c r="J18" t="n">
        <v>1698.410099</v>
      </c>
      <c r="K18" t="n">
        <v>1593.284857</v>
      </c>
      <c r="L18" t="n">
        <v>2935.662355</v>
      </c>
      <c r="M18" t="n">
        <v>2935.662355</v>
      </c>
      <c r="N18" t="n">
        <v>2935.662355</v>
      </c>
      <c r="O18" t="n">
        <v>1750.549134</v>
      </c>
      <c r="P18" t="n">
        <v>663.603284</v>
      </c>
      <c r="Q18" t="n">
        <v>2935.662355</v>
      </c>
      <c r="R18" t="n">
        <v>-12163.717722</v>
      </c>
      <c r="S18" t="n">
        <v>1750.549134</v>
      </c>
      <c r="T18" t="n">
        <v>1750.869265</v>
      </c>
      <c r="U18" t="n">
        <v>663.603284</v>
      </c>
      <c r="V18" t="n">
        <v>-129126.842756</v>
      </c>
      <c r="W18" t="n">
        <v>1958.674131</v>
      </c>
      <c r="X18" t="n">
        <v>3084.90119</v>
      </c>
      <c r="Y18" t="n">
        <v>433.124819</v>
      </c>
      <c r="Z18" t="n">
        <v>1494.308191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1" t="inlineStr">
        <is>
          <t>Côtier pel L pred</t>
        </is>
      </c>
      <c r="E19" t="n">
        <v>163.765772</v>
      </c>
      <c r="F19" t="n">
        <v>1052.557933</v>
      </c>
      <c r="G19" t="n">
        <v>999.055395</v>
      </c>
      <c r="H19" t="n">
        <v>11777.345384</v>
      </c>
      <c r="I19" t="n">
        <v>6532.702988</v>
      </c>
      <c r="J19" t="n">
        <v>7781.543468</v>
      </c>
      <c r="K19" t="n">
        <v>7457.867522</v>
      </c>
      <c r="L19" t="n">
        <v>14096.783373</v>
      </c>
      <c r="M19" t="n">
        <v>14096.783373</v>
      </c>
      <c r="N19" t="n">
        <v>14096.783373</v>
      </c>
      <c r="O19" t="n">
        <v>6109.503634</v>
      </c>
      <c r="P19" t="n">
        <v>1921.91996</v>
      </c>
      <c r="Q19" t="n">
        <v>14096.783373</v>
      </c>
      <c r="R19" t="n">
        <v>-57701.40232</v>
      </c>
      <c r="S19" t="n">
        <v>6109.503634</v>
      </c>
      <c r="T19" t="n">
        <v>6110.593726</v>
      </c>
      <c r="U19" t="n">
        <v>1921.91996</v>
      </c>
      <c r="V19" t="n">
        <v>-289768.063862</v>
      </c>
      <c r="W19" t="n">
        <v>6783.082741</v>
      </c>
      <c r="X19" t="n">
        <v>15274.190211</v>
      </c>
      <c r="Y19" t="n">
        <v>579.770625</v>
      </c>
      <c r="Z19" t="n">
        <v>4535.503078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1" t="inlineStr">
        <is>
          <t>Côtier pel S inv | Ethmalose</t>
        </is>
      </c>
      <c r="E20" t="n">
        <v>163.765772</v>
      </c>
      <c r="F20" t="n">
        <v>51.162121</v>
      </c>
      <c r="G20" t="n">
        <v>49.658104</v>
      </c>
      <c r="H20" t="n">
        <v>217.851754</v>
      </c>
      <c r="I20" t="n">
        <v>104.886003</v>
      </c>
      <c r="J20" t="n">
        <v>105.054638</v>
      </c>
      <c r="K20" t="n">
        <v>96.547133</v>
      </c>
      <c r="L20" t="n">
        <v>146.311346</v>
      </c>
      <c r="M20" t="n">
        <v>146.311346</v>
      </c>
      <c r="N20" t="n">
        <v>146.311346</v>
      </c>
      <c r="O20" t="n">
        <v>100.672908</v>
      </c>
      <c r="P20" t="n">
        <v>50.769901</v>
      </c>
      <c r="Q20" t="n">
        <v>146.311346</v>
      </c>
      <c r="R20" t="n">
        <v>146.311346</v>
      </c>
      <c r="S20" t="n">
        <v>100.672908</v>
      </c>
      <c r="T20" t="n">
        <v>100.687994</v>
      </c>
      <c r="U20" t="n">
        <v>50.769901</v>
      </c>
      <c r="V20" t="n">
        <v>-429.106276</v>
      </c>
      <c r="W20" t="n">
        <v>108.347732</v>
      </c>
      <c r="X20" t="n">
        <v>152.194594</v>
      </c>
      <c r="Y20" t="n">
        <v>36.386509</v>
      </c>
      <c r="Z20" t="n">
        <v>126.31079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1" t="inlineStr">
        <is>
          <t>Côtier M pred | Côtier pel L pred | Pel L pred | Pel S inv</t>
        </is>
      </c>
      <c r="E21" t="n">
        <v>163.765772</v>
      </c>
      <c r="F21" t="n">
        <v>685.117958</v>
      </c>
      <c r="G21" t="n">
        <v>651.172999</v>
      </c>
      <c r="H21" t="n">
        <v>7106.457588</v>
      </c>
      <c r="I21" t="n">
        <v>3911.594729</v>
      </c>
      <c r="J21" t="n">
        <v>4640.011669</v>
      </c>
      <c r="K21" t="n">
        <v>4449.786454</v>
      </c>
      <c r="L21" t="n">
        <v>8349.33361</v>
      </c>
      <c r="M21" t="n">
        <v>8349.33361</v>
      </c>
      <c r="N21" t="n">
        <v>8349.33361</v>
      </c>
      <c r="O21" t="n">
        <v>3610.759598</v>
      </c>
      <c r="P21" t="n">
        <v>1141.981962</v>
      </c>
      <c r="Q21" t="n">
        <v>8349.33361</v>
      </c>
      <c r="R21" t="n">
        <v>-33968.365536</v>
      </c>
      <c r="S21" t="n">
        <v>3610.759598</v>
      </c>
      <c r="T21" t="n">
        <v>3611.400403</v>
      </c>
      <c r="U21" t="n">
        <v>1141.981962</v>
      </c>
      <c r="V21" t="n">
        <v>-169342.049578</v>
      </c>
      <c r="W21" t="n">
        <v>4006.662726</v>
      </c>
      <c r="X21" t="n">
        <v>9044.346895000001</v>
      </c>
      <c r="Y21" t="n">
        <v>383.674072</v>
      </c>
      <c r="Z21" t="n">
        <v>2776.494943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1" t="inlineStr">
        <is>
          <t>Côtier L pred</t>
        </is>
      </c>
      <c r="E22" t="n">
        <v>163.765772</v>
      </c>
      <c r="F22" t="n">
        <v>834.792702</v>
      </c>
      <c r="G22" t="n">
        <v>793.737434</v>
      </c>
      <c r="H22" t="n">
        <v>7076.924212</v>
      </c>
      <c r="I22" t="n">
        <v>5090.678261</v>
      </c>
      <c r="J22" t="n">
        <v>9568.277077999999</v>
      </c>
      <c r="K22" t="n">
        <v>8272.898352</v>
      </c>
      <c r="L22" t="n">
        <v>19279.552919</v>
      </c>
      <c r="M22" t="n">
        <v>19279.552919</v>
      </c>
      <c r="N22" t="n">
        <v>19279.552919</v>
      </c>
      <c r="O22" t="n">
        <v>6360.643117</v>
      </c>
      <c r="P22" t="n">
        <v>2029.258233</v>
      </c>
      <c r="Q22" t="n">
        <v>19279.552919</v>
      </c>
      <c r="R22" t="n">
        <v>-84755.37547899999</v>
      </c>
      <c r="S22" t="n">
        <v>6360.643117</v>
      </c>
      <c r="T22" t="n">
        <v>6361.79434</v>
      </c>
      <c r="U22" t="n">
        <v>2029.258233</v>
      </c>
      <c r="V22" t="n">
        <v>-469150.656344</v>
      </c>
      <c r="W22" t="n">
        <v>6996.073117</v>
      </c>
      <c r="X22" t="n">
        <v>20789.961322</v>
      </c>
      <c r="Y22" t="n">
        <v>469.046047</v>
      </c>
      <c r="Z22" t="n">
        <v>2908.693588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1" t="inlineStr">
        <is>
          <t>Bars | Côtier L pred | Côtier S pred | Dem L pred | Dem L inv</t>
        </is>
      </c>
      <c r="E23" t="n">
        <v>163.765772</v>
      </c>
      <c r="F23" t="n">
        <v>763.75621</v>
      </c>
      <c r="G23" t="n">
        <v>726.641514</v>
      </c>
      <c r="H23" t="n">
        <v>4550.815056</v>
      </c>
      <c r="I23" t="n">
        <v>2535.747402</v>
      </c>
      <c r="J23" t="n">
        <v>3827.640315</v>
      </c>
      <c r="K23" t="n">
        <v>3386.142235</v>
      </c>
      <c r="L23" t="n">
        <v>7226.233082</v>
      </c>
      <c r="M23" t="n">
        <v>7226.233082</v>
      </c>
      <c r="N23" t="n">
        <v>7226.233082</v>
      </c>
      <c r="O23" t="n">
        <v>3020.209217</v>
      </c>
      <c r="P23" t="n">
        <v>1045.799834</v>
      </c>
      <c r="Q23" t="n">
        <v>7226.233082</v>
      </c>
      <c r="R23" t="n">
        <v>-27923.665887</v>
      </c>
      <c r="S23" t="n">
        <v>3020.209217</v>
      </c>
      <c r="T23" t="n">
        <v>3020.759046</v>
      </c>
      <c r="U23" t="n">
        <v>1045.799834</v>
      </c>
      <c r="V23" t="n">
        <v>-199519.135209</v>
      </c>
      <c r="W23" t="n">
        <v>3350.123514</v>
      </c>
      <c r="X23" t="n">
        <v>7745.073709</v>
      </c>
      <c r="Y23" t="n">
        <v>432.176497</v>
      </c>
      <c r="Z23" t="n">
        <v>1955.09648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1" t="inlineStr">
        <is>
          <t>Côtier pel L pred</t>
        </is>
      </c>
      <c r="E24" t="n">
        <v>163.765772</v>
      </c>
      <c r="F24" t="n">
        <v>1052.557933</v>
      </c>
      <c r="G24" t="n">
        <v>999.055395</v>
      </c>
      <c r="H24" t="n">
        <v>11777.345384</v>
      </c>
      <c r="I24" t="n">
        <v>6532.702988</v>
      </c>
      <c r="J24" t="n">
        <v>7781.543468</v>
      </c>
      <c r="K24" t="n">
        <v>7457.867522</v>
      </c>
      <c r="L24" t="n">
        <v>14096.783373</v>
      </c>
      <c r="M24" t="n">
        <v>14096.783373</v>
      </c>
      <c r="N24" t="n">
        <v>14096.783373</v>
      </c>
      <c r="O24" t="n">
        <v>6109.503634</v>
      </c>
      <c r="P24" t="n">
        <v>1921.91996</v>
      </c>
      <c r="Q24" t="n">
        <v>14096.783373</v>
      </c>
      <c r="R24" t="n">
        <v>-57701.40232</v>
      </c>
      <c r="S24" t="n">
        <v>6109.503634</v>
      </c>
      <c r="T24" t="n">
        <v>6110.593726</v>
      </c>
      <c r="U24" t="n">
        <v>1921.91996</v>
      </c>
      <c r="V24" t="n">
        <v>-289768.063862</v>
      </c>
      <c r="W24" t="n">
        <v>6783.082741</v>
      </c>
      <c r="X24" t="n">
        <v>15274.190211</v>
      </c>
      <c r="Y24" t="n">
        <v>579.770625</v>
      </c>
      <c r="Z24" t="n">
        <v>4535.503078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1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1" t="inlineStr">
        <is>
          <t>Céphalopodes</t>
        </is>
      </c>
      <c r="E26" t="n">
        <v>163.765772</v>
      </c>
      <c r="F26" t="n">
        <v>822.926928</v>
      </c>
      <c r="G26" t="n">
        <v>782.5392000000001</v>
      </c>
      <c r="H26" t="n">
        <v>2911.869334</v>
      </c>
      <c r="I26" t="n">
        <v>776.132507</v>
      </c>
      <c r="J26" t="n">
        <v>776.132507</v>
      </c>
      <c r="K26" t="n">
        <v>737.325882</v>
      </c>
      <c r="L26" t="n">
        <v>1169.060818</v>
      </c>
      <c r="M26" t="n">
        <v>1169.060818</v>
      </c>
      <c r="N26" t="n">
        <v>1169.060818</v>
      </c>
      <c r="O26" t="n">
        <v>633.531335</v>
      </c>
      <c r="P26" t="n">
        <v>262.847199</v>
      </c>
      <c r="Q26" t="n">
        <v>1169.060818</v>
      </c>
      <c r="R26" t="n">
        <v>1169.060818</v>
      </c>
      <c r="S26" t="n">
        <v>633.531335</v>
      </c>
      <c r="T26" t="n">
        <v>633.6433950000001</v>
      </c>
      <c r="U26" t="n">
        <v>262.847199</v>
      </c>
      <c r="V26" t="n">
        <v>-2693.78971</v>
      </c>
      <c r="W26" t="n">
        <v>696.0734629999999</v>
      </c>
      <c r="X26" t="n">
        <v>1245.599369</v>
      </c>
      <c r="Y26" t="n">
        <v>462.946606</v>
      </c>
      <c r="Z26" t="n">
        <v>1388.472944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1" t="inlineStr">
        <is>
          <t>Côtier pel S inv | Ethmalose</t>
        </is>
      </c>
      <c r="E27" t="n">
        <v>163.765772</v>
      </c>
      <c r="F27" t="n">
        <v>51.162121</v>
      </c>
      <c r="G27" t="n">
        <v>49.658104</v>
      </c>
      <c r="H27" t="n">
        <v>217.851754</v>
      </c>
      <c r="I27" t="n">
        <v>104.886003</v>
      </c>
      <c r="J27" t="n">
        <v>105.054638</v>
      </c>
      <c r="K27" t="n">
        <v>96.547133</v>
      </c>
      <c r="L27" t="n">
        <v>146.311346</v>
      </c>
      <c r="M27" t="n">
        <v>146.311346</v>
      </c>
      <c r="N27" t="n">
        <v>146.311346</v>
      </c>
      <c r="O27" t="n">
        <v>100.672908</v>
      </c>
      <c r="P27" t="n">
        <v>50.769901</v>
      </c>
      <c r="Q27" t="n">
        <v>146.311346</v>
      </c>
      <c r="R27" t="n">
        <v>146.311346</v>
      </c>
      <c r="S27" t="n">
        <v>100.672908</v>
      </c>
      <c r="T27" t="n">
        <v>100.687994</v>
      </c>
      <c r="U27" t="n">
        <v>50.769901</v>
      </c>
      <c r="V27" t="n">
        <v>-429.106276</v>
      </c>
      <c r="W27" t="n">
        <v>108.347732</v>
      </c>
      <c r="X27" t="n">
        <v>152.194594</v>
      </c>
      <c r="Y27" t="n">
        <v>36.386509</v>
      </c>
      <c r="Z27" t="n">
        <v>126.31079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1" t="inlineStr">
        <is>
          <t>Thons majeurs | Thons mineurs | Pel S inv</t>
        </is>
      </c>
      <c r="E28" t="n">
        <v>163.765772</v>
      </c>
      <c r="F28" t="n">
        <v>1573.799506</v>
      </c>
      <c r="G28" t="n">
        <v>1485.38159</v>
      </c>
      <c r="H28" t="n">
        <v>10141.866523</v>
      </c>
      <c r="I28" t="n">
        <v>4590.514444</v>
      </c>
      <c r="J28" t="n">
        <v>4766.381547</v>
      </c>
      <c r="K28" t="n">
        <v>2464.46776</v>
      </c>
      <c r="L28" t="n">
        <v>7208.83273</v>
      </c>
      <c r="M28" t="n">
        <v>7208.83273</v>
      </c>
      <c r="N28" t="n">
        <v>7208.83273</v>
      </c>
      <c r="O28" t="n">
        <v>1977.244858</v>
      </c>
      <c r="P28" t="n">
        <v>659.012747</v>
      </c>
      <c r="Q28" t="n">
        <v>7208.83273</v>
      </c>
      <c r="R28" t="n">
        <v>-16133.242135</v>
      </c>
      <c r="S28" t="n">
        <v>1977.244858</v>
      </c>
      <c r="T28" t="n">
        <v>1977.589358</v>
      </c>
      <c r="U28" t="n">
        <v>659.012747</v>
      </c>
      <c r="V28" t="n">
        <v>-33760.732888</v>
      </c>
      <c r="W28" t="n">
        <v>2187.843846</v>
      </c>
      <c r="X28" t="n">
        <v>7875.25476</v>
      </c>
      <c r="Y28" t="n">
        <v>813.5835</v>
      </c>
      <c r="Z28" t="n">
        <v>4029.868749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1" t="inlineStr">
        <is>
          <t>Sélaciens L prof | Sélaciens L côtiers | Sélaciens M prof | Sélaciens M côtiers</t>
        </is>
      </c>
      <c r="E29" t="n">
        <v>163.765772</v>
      </c>
      <c r="F29" t="n">
        <v>2769.459489</v>
      </c>
      <c r="G29" t="n">
        <v>2609.234813</v>
      </c>
      <c r="H29" t="n">
        <v>29837.724478</v>
      </c>
      <c r="I29" t="n">
        <v>101657.16278</v>
      </c>
      <c r="J29" t="n">
        <v>104397.527616</v>
      </c>
      <c r="K29" t="n">
        <v>54134.26078</v>
      </c>
      <c r="L29" t="n">
        <v>481963.79536</v>
      </c>
      <c r="M29" t="n">
        <v>481963.79536</v>
      </c>
      <c r="N29" t="n">
        <v>481963.79536</v>
      </c>
      <c r="O29" t="n">
        <v>42014.910642</v>
      </c>
      <c r="P29" t="n">
        <v>10783.909634</v>
      </c>
      <c r="Q29" t="n">
        <v>481963.79536</v>
      </c>
      <c r="R29" t="n">
        <v>-1054493.279314</v>
      </c>
      <c r="S29" t="n">
        <v>42014.910642</v>
      </c>
      <c r="T29" t="n">
        <v>42022.332329</v>
      </c>
      <c r="U29" t="n">
        <v>10783.909634</v>
      </c>
      <c r="V29" t="n">
        <v>-804804.473633</v>
      </c>
      <c r="W29" t="n">
        <v>47810.498044</v>
      </c>
      <c r="X29" t="n">
        <v>582148.077235</v>
      </c>
      <c r="Y29" t="n">
        <v>1401.4805</v>
      </c>
      <c r="Z29" t="n">
        <v>10590.149462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1" t="inlineStr">
        <is>
          <t>Gros capitaine</t>
        </is>
      </c>
      <c r="E30" t="n">
        <v>163.765772</v>
      </c>
      <c r="F30" t="n">
        <v>1068.453682</v>
      </c>
      <c r="G30" t="n">
        <v>1014.029198</v>
      </c>
      <c r="H30" t="n">
        <v>8964.713937</v>
      </c>
      <c r="I30" t="n">
        <v>3381.078686</v>
      </c>
      <c r="J30" t="n">
        <v>3383.2539</v>
      </c>
      <c r="K30" t="n">
        <v>3347.063909</v>
      </c>
      <c r="L30" t="n">
        <v>4619.694564</v>
      </c>
      <c r="M30" t="n">
        <v>4619.694564</v>
      </c>
      <c r="N30" t="n">
        <v>4619.694564</v>
      </c>
      <c r="O30" t="n">
        <v>3278.310189</v>
      </c>
      <c r="P30" t="n">
        <v>1130.301931</v>
      </c>
      <c r="Q30" t="n">
        <v>4619.694564</v>
      </c>
      <c r="R30" t="n">
        <v>-489362.955902</v>
      </c>
      <c r="S30" t="n">
        <v>3278.310189</v>
      </c>
      <c r="T30" t="n">
        <v>3278.905942</v>
      </c>
      <c r="U30" t="n">
        <v>1130.301931</v>
      </c>
      <c r="V30" t="n">
        <v>-1276833.767351</v>
      </c>
      <c r="W30" t="n">
        <v>3567.667947</v>
      </c>
      <c r="X30" t="n">
        <v>4954.168965</v>
      </c>
      <c r="Y30" t="n">
        <v>587.770864</v>
      </c>
      <c r="Z30" t="n">
        <v>3503.550699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1" t="inlineStr">
        <is>
          <t>Thons majeurs</t>
        </is>
      </c>
      <c r="E31" t="n">
        <v>163.765772</v>
      </c>
      <c r="F31" t="n">
        <v>2736.422785</v>
      </c>
      <c r="G31" t="n">
        <v>2578.791074</v>
      </c>
      <c r="H31" t="n">
        <v>17894.302324</v>
      </c>
      <c r="I31" t="n">
        <v>8524.622238</v>
      </c>
      <c r="J31" t="n">
        <v>8877.051893</v>
      </c>
      <c r="K31" t="n">
        <v>4438.525947</v>
      </c>
      <c r="L31" t="n">
        <v>13559.408277</v>
      </c>
      <c r="M31" t="n">
        <v>13559.408277</v>
      </c>
      <c r="N31" t="n">
        <v>13559.408277</v>
      </c>
      <c r="O31" t="n">
        <v>3620.855517</v>
      </c>
      <c r="P31" t="n">
        <v>1183.588403</v>
      </c>
      <c r="Q31" t="n">
        <v>13559.408277</v>
      </c>
      <c r="R31" t="n">
        <v>-35792.676603</v>
      </c>
      <c r="S31" t="n">
        <v>3620.855517</v>
      </c>
      <c r="T31" t="n">
        <v>3621.492366</v>
      </c>
      <c r="U31" t="n">
        <v>1183.588403</v>
      </c>
      <c r="V31" t="n">
        <v>-69430.651774</v>
      </c>
      <c r="W31" t="n">
        <v>4014.185729</v>
      </c>
      <c r="X31" t="n">
        <v>14860.282888</v>
      </c>
      <c r="Y31" t="n">
        <v>1388.786767</v>
      </c>
      <c r="Z31" t="n">
        <v>6982.232434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1" t="inlineStr">
        <is>
          <t>Dem M inv | Mulets</t>
        </is>
      </c>
      <c r="E32" t="n">
        <v>163.765772</v>
      </c>
      <c r="F32" t="n">
        <v>161.365334</v>
      </c>
      <c r="G32" t="n">
        <v>155.277245</v>
      </c>
      <c r="H32" t="n">
        <v>481.497528</v>
      </c>
      <c r="I32" t="n">
        <v>660.489131</v>
      </c>
      <c r="J32" t="n">
        <v>660.489131</v>
      </c>
      <c r="K32" t="n">
        <v>627.4646739999999</v>
      </c>
      <c r="L32" t="n">
        <v>831.334602</v>
      </c>
      <c r="M32" t="n">
        <v>831.334602</v>
      </c>
      <c r="N32" t="n">
        <v>831.334602</v>
      </c>
      <c r="O32" t="n">
        <v>685.685987</v>
      </c>
      <c r="P32" t="n">
        <v>373.360833</v>
      </c>
      <c r="Q32" t="n">
        <v>831.334602</v>
      </c>
      <c r="R32" t="n">
        <v>831.334602</v>
      </c>
      <c r="S32" t="n">
        <v>685.685987</v>
      </c>
      <c r="T32" t="n">
        <v>685.818519</v>
      </c>
      <c r="U32" t="n">
        <v>373.360833</v>
      </c>
      <c r="V32" t="n">
        <v>-4104.606578</v>
      </c>
      <c r="W32" t="n">
        <v>751.201064</v>
      </c>
      <c r="X32" t="n">
        <v>882.8690350000001</v>
      </c>
      <c r="Y32" t="n">
        <v>103.979302</v>
      </c>
      <c r="Z32" t="n">
        <v>267.853862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1" t="inlineStr">
        <is>
          <t>Gros capitaine | Petit capitaine | Capitaine royal</t>
        </is>
      </c>
      <c r="E33" t="n">
        <v>163.765772</v>
      </c>
      <c r="F33" t="n">
        <v>716.992994</v>
      </c>
      <c r="G33" t="n">
        <v>682.30875</v>
      </c>
      <c r="H33" t="n">
        <v>3636.577284</v>
      </c>
      <c r="I33" t="n">
        <v>1465.339913</v>
      </c>
      <c r="J33" t="n">
        <v>1466.144198</v>
      </c>
      <c r="K33" t="n">
        <v>1415.979963</v>
      </c>
      <c r="L33" t="n">
        <v>2017.380482</v>
      </c>
      <c r="M33" t="n">
        <v>2017.380482</v>
      </c>
      <c r="N33" t="n">
        <v>2017.380482</v>
      </c>
      <c r="O33" t="n">
        <v>1473.702804</v>
      </c>
      <c r="P33" t="n">
        <v>577.8330570000001</v>
      </c>
      <c r="Q33" t="n">
        <v>2017.380482</v>
      </c>
      <c r="R33" t="n">
        <v>-158976.518225</v>
      </c>
      <c r="S33" t="n">
        <v>1473.702804</v>
      </c>
      <c r="T33" t="n">
        <v>1473.974021</v>
      </c>
      <c r="U33" t="n">
        <v>577.8330570000001</v>
      </c>
      <c r="V33" t="n">
        <v>-461257.207322</v>
      </c>
      <c r="W33" t="n">
        <v>1613.698732</v>
      </c>
      <c r="X33" t="n">
        <v>2131.587582</v>
      </c>
      <c r="Y33" t="n">
        <v>406.889628</v>
      </c>
      <c r="Z33" t="n">
        <v>1576.518544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1" t="inlineStr">
        <is>
          <t>Dem M inv</t>
        </is>
      </c>
      <c r="E34" t="n">
        <v>163.765772</v>
      </c>
      <c r="F34" t="n">
        <v>172.485056</v>
      </c>
      <c r="G34" t="n">
        <v>165.952401</v>
      </c>
      <c r="H34" t="n">
        <v>511.347723</v>
      </c>
      <c r="I34" t="n">
        <v>706.004578</v>
      </c>
      <c r="J34" t="n">
        <v>706.004578</v>
      </c>
      <c r="K34" t="n">
        <v>670.704349</v>
      </c>
      <c r="L34" t="n">
        <v>890.128168</v>
      </c>
      <c r="M34" t="n">
        <v>890.128168</v>
      </c>
      <c r="N34" t="n">
        <v>890.128168</v>
      </c>
      <c r="O34" t="n">
        <v>735.262371</v>
      </c>
      <c r="P34" t="n">
        <v>400.351586</v>
      </c>
      <c r="Q34" t="n">
        <v>890.128168</v>
      </c>
      <c r="R34" t="n">
        <v>890.128168</v>
      </c>
      <c r="S34" t="n">
        <v>735.262371</v>
      </c>
      <c r="T34" t="n">
        <v>735.404934</v>
      </c>
      <c r="U34" t="n">
        <v>400.351586</v>
      </c>
      <c r="V34" t="n">
        <v>-4414.739474</v>
      </c>
      <c r="W34" t="n">
        <v>805.768964</v>
      </c>
      <c r="X34" t="n">
        <v>945.574586</v>
      </c>
      <c r="Y34" t="n">
        <v>110.936439</v>
      </c>
      <c r="Z34" t="n">
        <v>283.97695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1" t="inlineStr">
        <is>
          <t>Crustacés</t>
        </is>
      </c>
      <c r="E35" t="n">
        <v>163.765772</v>
      </c>
      <c r="F35" t="n">
        <v>79.64922</v>
      </c>
      <c r="G35" t="n">
        <v>77.077782</v>
      </c>
      <c r="H35" t="n">
        <v>199.420396</v>
      </c>
      <c r="I35" t="n">
        <v>94.919134</v>
      </c>
      <c r="J35" t="n">
        <v>94.919134</v>
      </c>
      <c r="K35" t="n">
        <v>90.173177</v>
      </c>
      <c r="L35" t="n">
        <v>135.651174</v>
      </c>
      <c r="M35" t="n">
        <v>135.651174</v>
      </c>
      <c r="N35" t="n">
        <v>135.651174</v>
      </c>
      <c r="O35" t="n">
        <v>112.097094</v>
      </c>
      <c r="P35" t="n">
        <v>63.65447</v>
      </c>
      <c r="Q35" t="n">
        <v>135.651174</v>
      </c>
      <c r="R35" t="n">
        <v>135.651174</v>
      </c>
      <c r="S35" t="n">
        <v>112.097094</v>
      </c>
      <c r="T35" t="n">
        <v>112.118405</v>
      </c>
      <c r="U35" t="n">
        <v>63.65447</v>
      </c>
      <c r="V35" t="n">
        <v>-691.708697</v>
      </c>
      <c r="W35" t="n">
        <v>122.926325</v>
      </c>
      <c r="X35" t="n">
        <v>140.897505</v>
      </c>
      <c r="Y35" t="n">
        <v>54.73445</v>
      </c>
      <c r="Z35" t="n">
        <v>122.753568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1" t="inlineStr">
        <is>
          <t>Côtier M inv | Côtier S inv | Dem M inv</t>
        </is>
      </c>
      <c r="E36" t="n">
        <v>163.765772</v>
      </c>
      <c r="F36" t="n">
        <v>133.781825</v>
      </c>
      <c r="G36" t="n">
        <v>128.901832</v>
      </c>
      <c r="H36" t="n">
        <v>476.905929</v>
      </c>
      <c r="I36" t="n">
        <v>376.105662</v>
      </c>
      <c r="J36" t="n">
        <v>376.353091</v>
      </c>
      <c r="K36" t="n">
        <v>365.2376</v>
      </c>
      <c r="L36" t="n">
        <v>482.424975</v>
      </c>
      <c r="M36" t="n">
        <v>482.424975</v>
      </c>
      <c r="N36" t="n">
        <v>482.424975</v>
      </c>
      <c r="O36" t="n">
        <v>402.211394</v>
      </c>
      <c r="P36" t="n">
        <v>215.971161</v>
      </c>
      <c r="Q36" t="n">
        <v>482.424975</v>
      </c>
      <c r="R36" t="n">
        <v>482.424975</v>
      </c>
      <c r="S36" t="n">
        <v>402.211394</v>
      </c>
      <c r="T36" t="n">
        <v>402.288782</v>
      </c>
      <c r="U36" t="n">
        <v>215.971161</v>
      </c>
      <c r="V36" t="n">
        <v>-2361.024857</v>
      </c>
      <c r="W36" t="n">
        <v>439.702143</v>
      </c>
      <c r="X36" t="n">
        <v>508.775893</v>
      </c>
      <c r="Y36" t="n">
        <v>87.514658</v>
      </c>
      <c r="Z36" t="n">
        <v>261.664731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1" t="inlineStr">
        <is>
          <t>Côtier M inv</t>
        </is>
      </c>
      <c r="E37" t="n">
        <v>163.765772</v>
      </c>
      <c r="F37" t="n">
        <v>170.837609</v>
      </c>
      <c r="G37" t="n">
        <v>164.379174</v>
      </c>
      <c r="H37" t="n">
        <v>573.174129</v>
      </c>
      <c r="I37" t="n">
        <v>332.812451</v>
      </c>
      <c r="J37" t="n">
        <v>332.812451</v>
      </c>
      <c r="K37" t="n">
        <v>331.190423</v>
      </c>
      <c r="L37" t="n">
        <v>425.732264</v>
      </c>
      <c r="M37" t="n">
        <v>425.732264</v>
      </c>
      <c r="N37" t="n">
        <v>425.732264</v>
      </c>
      <c r="O37" t="n">
        <v>368.426453</v>
      </c>
      <c r="P37" t="n">
        <v>198.243136</v>
      </c>
      <c r="Q37" t="n">
        <v>425.732264</v>
      </c>
      <c r="R37" t="n">
        <v>425.732264</v>
      </c>
      <c r="S37" t="n">
        <v>368.426453</v>
      </c>
      <c r="T37" t="n">
        <v>368.498294</v>
      </c>
      <c r="U37" t="n">
        <v>198.243136</v>
      </c>
      <c r="V37" t="n">
        <v>-2197.047861</v>
      </c>
      <c r="W37" t="n">
        <v>402.613215</v>
      </c>
      <c r="X37" t="n">
        <v>447.451967</v>
      </c>
      <c r="Y37" t="n">
        <v>109.967259</v>
      </c>
      <c r="Z37" t="n">
        <v>314.242463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1" t="inlineStr">
        <is>
          <t>Côtier pel S inv</t>
        </is>
      </c>
      <c r="E38" t="n">
        <v>163.765772</v>
      </c>
      <c r="F38" t="n">
        <v>63.371783</v>
      </c>
      <c r="G38" t="n">
        <v>61.431046</v>
      </c>
      <c r="H38" t="n">
        <v>318.709045</v>
      </c>
      <c r="I38" t="n">
        <v>117.871263</v>
      </c>
      <c r="J38" t="n">
        <v>118.151768</v>
      </c>
      <c r="K38" t="n">
        <v>106.830225</v>
      </c>
      <c r="L38" t="n">
        <v>182.678518</v>
      </c>
      <c r="M38" t="n">
        <v>182.678518</v>
      </c>
      <c r="N38" t="n">
        <v>182.678518</v>
      </c>
      <c r="O38" t="n">
        <v>118.787049</v>
      </c>
      <c r="P38" t="n">
        <v>55.817264</v>
      </c>
      <c r="Q38" t="n">
        <v>182.678518</v>
      </c>
      <c r="R38" t="n">
        <v>182.678518</v>
      </c>
      <c r="S38" t="n">
        <v>118.787049</v>
      </c>
      <c r="T38" t="n">
        <v>118.805162</v>
      </c>
      <c r="U38" t="n">
        <v>55.817264</v>
      </c>
      <c r="V38" t="n">
        <v>-489.077337</v>
      </c>
      <c r="W38" t="n">
        <v>128.847646</v>
      </c>
      <c r="X38" t="n">
        <v>189.690715</v>
      </c>
      <c r="Y38" t="n">
        <v>44.410268</v>
      </c>
      <c r="Z38" t="n">
        <v>180.282129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1" t="inlineStr">
        <is>
          <t>Côtier L pred</t>
        </is>
      </c>
      <c r="E39" t="n">
        <v>163.765772</v>
      </c>
      <c r="F39" t="n">
        <v>834.792702</v>
      </c>
      <c r="G39" t="n">
        <v>793.737434</v>
      </c>
      <c r="H39" t="n">
        <v>7076.924212</v>
      </c>
      <c r="I39" t="n">
        <v>5090.678261</v>
      </c>
      <c r="J39" t="n">
        <v>9568.277077999999</v>
      </c>
      <c r="K39" t="n">
        <v>8272.898352</v>
      </c>
      <c r="L39" t="n">
        <v>19279.552919</v>
      </c>
      <c r="M39" t="n">
        <v>19279.552919</v>
      </c>
      <c r="N39" t="n">
        <v>19279.552919</v>
      </c>
      <c r="O39" t="n">
        <v>6360.643117</v>
      </c>
      <c r="P39" t="n">
        <v>2029.258233</v>
      </c>
      <c r="Q39" t="n">
        <v>19279.552919</v>
      </c>
      <c r="R39" t="n">
        <v>-84755.37547899999</v>
      </c>
      <c r="S39" t="n">
        <v>6360.643117</v>
      </c>
      <c r="T39" t="n">
        <v>6361.79434</v>
      </c>
      <c r="U39" t="n">
        <v>2029.258233</v>
      </c>
      <c r="V39" t="n">
        <v>-469150.656344</v>
      </c>
      <c r="W39" t="n">
        <v>6996.073117</v>
      </c>
      <c r="X39" t="n">
        <v>20789.961322</v>
      </c>
      <c r="Y39" t="n">
        <v>469.046047</v>
      </c>
      <c r="Z39" t="n">
        <v>2908.693588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1" t="inlineStr">
        <is>
          <t>Côtier M inv</t>
        </is>
      </c>
      <c r="E40" t="n">
        <v>163.765772</v>
      </c>
      <c r="F40" t="n">
        <v>170.837609</v>
      </c>
      <c r="G40" t="n">
        <v>164.379174</v>
      </c>
      <c r="H40" t="n">
        <v>573.174129</v>
      </c>
      <c r="I40" t="n">
        <v>332.812451</v>
      </c>
      <c r="J40" t="n">
        <v>332.812451</v>
      </c>
      <c r="K40" t="n">
        <v>331.190423</v>
      </c>
      <c r="L40" t="n">
        <v>425.732264</v>
      </c>
      <c r="M40" t="n">
        <v>425.732264</v>
      </c>
      <c r="N40" t="n">
        <v>425.732264</v>
      </c>
      <c r="O40" t="n">
        <v>368.426453</v>
      </c>
      <c r="P40" t="n">
        <v>198.243136</v>
      </c>
      <c r="Q40" t="n">
        <v>425.732264</v>
      </c>
      <c r="R40" t="n">
        <v>425.732264</v>
      </c>
      <c r="S40" t="n">
        <v>368.426453</v>
      </c>
      <c r="T40" t="n">
        <v>368.498294</v>
      </c>
      <c r="U40" t="n">
        <v>198.243136</v>
      </c>
      <c r="V40" t="n">
        <v>-2197.047861</v>
      </c>
      <c r="W40" t="n">
        <v>402.613215</v>
      </c>
      <c r="X40" t="n">
        <v>447.451967</v>
      </c>
      <c r="Y40" t="n">
        <v>109.967259</v>
      </c>
      <c r="Z40" t="n">
        <v>314.242463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1" t="inlineStr">
        <is>
          <t>Côtier pel L pred</t>
        </is>
      </c>
      <c r="E41" t="n">
        <v>163.765772</v>
      </c>
      <c r="F41" t="n">
        <v>1052.557933</v>
      </c>
      <c r="G41" t="n">
        <v>999.055395</v>
      </c>
      <c r="H41" t="n">
        <v>11777.345384</v>
      </c>
      <c r="I41" t="n">
        <v>6532.702988</v>
      </c>
      <c r="J41" t="n">
        <v>7781.543468</v>
      </c>
      <c r="K41" t="n">
        <v>7457.867522</v>
      </c>
      <c r="L41" t="n">
        <v>14096.783373</v>
      </c>
      <c r="M41" t="n">
        <v>14096.783373</v>
      </c>
      <c r="N41" t="n">
        <v>14096.783373</v>
      </c>
      <c r="O41" t="n">
        <v>6109.503634</v>
      </c>
      <c r="P41" t="n">
        <v>1921.91996</v>
      </c>
      <c r="Q41" t="n">
        <v>14096.783373</v>
      </c>
      <c r="R41" t="n">
        <v>-57701.40232</v>
      </c>
      <c r="S41" t="n">
        <v>6109.503634</v>
      </c>
      <c r="T41" t="n">
        <v>6110.593726</v>
      </c>
      <c r="U41" t="n">
        <v>1921.91996</v>
      </c>
      <c r="V41" t="n">
        <v>-289768.063862</v>
      </c>
      <c r="W41" t="n">
        <v>6783.082741</v>
      </c>
      <c r="X41" t="n">
        <v>15274.190211</v>
      </c>
      <c r="Y41" t="n">
        <v>579.770625</v>
      </c>
      <c r="Z41" t="n">
        <v>4535.503078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1" t="inlineStr">
        <is>
          <t>Côtier L pred | Côtier M pred | Disques | Côtier M inv | Côtier S pred | Côtier S inv | Dem L pred | Dem L inv | Dem M pred | Dem M inv | Dem S pred | Dem S inv</t>
        </is>
      </c>
      <c r="E42" t="n">
        <v>163.765772</v>
      </c>
      <c r="F42" t="n">
        <v>354.067847</v>
      </c>
      <c r="G42" t="n">
        <v>337.902487</v>
      </c>
      <c r="H42" t="n">
        <v>2691.964857</v>
      </c>
      <c r="I42" t="n">
        <v>1848.358716</v>
      </c>
      <c r="J42" t="n">
        <v>2898.04396</v>
      </c>
      <c r="K42" t="n">
        <v>2529.274886</v>
      </c>
      <c r="L42" t="n">
        <v>5472.108329</v>
      </c>
      <c r="M42" t="n">
        <v>5472.108329</v>
      </c>
      <c r="N42" t="n">
        <v>5472.108329</v>
      </c>
      <c r="O42" t="n">
        <v>2102.955216</v>
      </c>
      <c r="P42" t="n">
        <v>744.799569</v>
      </c>
      <c r="Q42" t="n">
        <v>5472.108329</v>
      </c>
      <c r="R42" t="n">
        <v>-18857.739709</v>
      </c>
      <c r="S42" t="n">
        <v>2102.955216</v>
      </c>
      <c r="T42" t="n">
        <v>2103.339951</v>
      </c>
      <c r="U42" t="n">
        <v>744.799569</v>
      </c>
      <c r="V42" t="n">
        <v>-112610.089255</v>
      </c>
      <c r="W42" t="n">
        <v>2317.598579</v>
      </c>
      <c r="X42" t="n">
        <v>5897.110709</v>
      </c>
      <c r="Y42" t="n">
        <v>207.950597</v>
      </c>
      <c r="Z42" t="n">
        <v>1145.859348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1" t="inlineStr">
        <is>
          <t>Côtier pel L pred</t>
        </is>
      </c>
      <c r="E43" t="n">
        <v>163.765772</v>
      </c>
      <c r="F43" t="n">
        <v>1052.557933</v>
      </c>
      <c r="G43" t="n">
        <v>999.055395</v>
      </c>
      <c r="H43" t="n">
        <v>11777.345384</v>
      </c>
      <c r="I43" t="n">
        <v>6532.702988</v>
      </c>
      <c r="J43" t="n">
        <v>7781.543468</v>
      </c>
      <c r="K43" t="n">
        <v>7457.867522</v>
      </c>
      <c r="L43" t="n">
        <v>14096.783373</v>
      </c>
      <c r="M43" t="n">
        <v>14096.783373</v>
      </c>
      <c r="N43" t="n">
        <v>14096.783373</v>
      </c>
      <c r="O43" t="n">
        <v>6109.503634</v>
      </c>
      <c r="P43" t="n">
        <v>1921.91996</v>
      </c>
      <c r="Q43" t="n">
        <v>14096.783373</v>
      </c>
      <c r="R43" t="n">
        <v>-57701.40232</v>
      </c>
      <c r="S43" t="n">
        <v>6109.503634</v>
      </c>
      <c r="T43" t="n">
        <v>6110.593726</v>
      </c>
      <c r="U43" t="n">
        <v>1921.91996</v>
      </c>
      <c r="V43" t="n">
        <v>-289768.063862</v>
      </c>
      <c r="W43" t="n">
        <v>6783.082741</v>
      </c>
      <c r="X43" t="n">
        <v>15274.190211</v>
      </c>
      <c r="Y43" t="n">
        <v>579.770625</v>
      </c>
      <c r="Z43" t="n">
        <v>4535.503078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1" t="inlineStr">
        <is>
          <t>Thons majeurs | Thons mineurs | Pel S inv | Côtier L pred | Bathy L pred</t>
        </is>
      </c>
      <c r="E44" t="n">
        <v>163.765772</v>
      </c>
      <c r="F44" t="n">
        <v>1433.367235</v>
      </c>
      <c r="G44" t="n">
        <v>1353.951124</v>
      </c>
      <c r="H44" t="n">
        <v>9558.48804</v>
      </c>
      <c r="I44" t="n">
        <v>4683.992584</v>
      </c>
      <c r="J44" t="n">
        <v>5674.900266</v>
      </c>
      <c r="K44" t="n">
        <v>3565.540875</v>
      </c>
      <c r="L44" t="n">
        <v>9494.28334</v>
      </c>
      <c r="M44" t="n">
        <v>9494.28334</v>
      </c>
      <c r="N44" t="n">
        <v>9494.28334</v>
      </c>
      <c r="O44" t="n">
        <v>2808.187825</v>
      </c>
      <c r="P44" t="n">
        <v>918.786618</v>
      </c>
      <c r="Q44" t="n">
        <v>9494.28334</v>
      </c>
      <c r="R44" t="n">
        <v>-29118.413981</v>
      </c>
      <c r="S44" t="n">
        <v>2808.187825</v>
      </c>
      <c r="T44" t="n">
        <v>2808.685246</v>
      </c>
      <c r="U44" t="n">
        <v>918.786618</v>
      </c>
      <c r="V44" t="n">
        <v>-116240.859565</v>
      </c>
      <c r="W44" t="n">
        <v>3099.354444</v>
      </c>
      <c r="X44" t="n">
        <v>10320.343182</v>
      </c>
      <c r="Y44" t="n">
        <v>748.121096</v>
      </c>
      <c r="Z44" t="n">
        <v>3816.482438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1" t="inlineStr">
        <is>
          <t>Côtier pel S inv</t>
        </is>
      </c>
      <c r="E45" t="n">
        <v>163.765772</v>
      </c>
      <c r="F45" t="n">
        <v>63.371783</v>
      </c>
      <c r="G45" t="n">
        <v>61.431046</v>
      </c>
      <c r="H45" t="n">
        <v>318.709045</v>
      </c>
      <c r="I45" t="n">
        <v>117.871263</v>
      </c>
      <c r="J45" t="n">
        <v>118.151768</v>
      </c>
      <c r="K45" t="n">
        <v>106.830225</v>
      </c>
      <c r="L45" t="n">
        <v>182.678518</v>
      </c>
      <c r="M45" t="n">
        <v>182.678518</v>
      </c>
      <c r="N45" t="n">
        <v>182.678518</v>
      </c>
      <c r="O45" t="n">
        <v>118.787049</v>
      </c>
      <c r="P45" t="n">
        <v>55.817264</v>
      </c>
      <c r="Q45" t="n">
        <v>182.678518</v>
      </c>
      <c r="R45" t="n">
        <v>182.678518</v>
      </c>
      <c r="S45" t="n">
        <v>118.787049</v>
      </c>
      <c r="T45" t="n">
        <v>118.805162</v>
      </c>
      <c r="U45" t="n">
        <v>55.817264</v>
      </c>
      <c r="V45" t="n">
        <v>-489.077337</v>
      </c>
      <c r="W45" t="n">
        <v>128.847646</v>
      </c>
      <c r="X45" t="n">
        <v>189.690715</v>
      </c>
      <c r="Y45" t="n">
        <v>44.410268</v>
      </c>
      <c r="Z45" t="n">
        <v>180.282129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1" t="inlineStr">
        <is>
          <t>Thons mineurs</t>
        </is>
      </c>
      <c r="E46" t="n">
        <v>163.765772</v>
      </c>
      <c r="F46" t="n">
        <v>1395.634937</v>
      </c>
      <c r="G46" t="n">
        <v>1321.894731</v>
      </c>
      <c r="H46" t="n">
        <v>9241.370943</v>
      </c>
      <c r="I46" t="n">
        <v>2965.064174</v>
      </c>
      <c r="J46" t="n">
        <v>2997.796257</v>
      </c>
      <c r="K46" t="n">
        <v>1727.300825</v>
      </c>
      <c r="L46" t="n">
        <v>4278.6736</v>
      </c>
      <c r="M46" t="n">
        <v>4278.6736</v>
      </c>
      <c r="N46" t="n">
        <v>4278.6736</v>
      </c>
      <c r="O46" t="n">
        <v>1413.59346</v>
      </c>
      <c r="P46" t="n">
        <v>516.918231</v>
      </c>
      <c r="Q46" t="n">
        <v>4278.6736</v>
      </c>
      <c r="R46" t="n">
        <v>4278.6736</v>
      </c>
      <c r="S46" t="n">
        <v>1413.59346</v>
      </c>
      <c r="T46" t="n">
        <v>1413.838425</v>
      </c>
      <c r="U46" t="n">
        <v>516.918231</v>
      </c>
      <c r="V46" t="n">
        <v>-5160.738295</v>
      </c>
      <c r="W46" t="n">
        <v>1554.137513</v>
      </c>
      <c r="X46" t="n">
        <v>4550.070821</v>
      </c>
      <c r="Y46" t="n">
        <v>750.381718</v>
      </c>
      <c r="Z46" t="n">
        <v>3860.200613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1" t="inlineStr">
        <is>
          <t>Côtier M inv</t>
        </is>
      </c>
      <c r="E47" t="n">
        <v>163.765772</v>
      </c>
      <c r="F47" t="n">
        <v>170.837609</v>
      </c>
      <c r="G47" t="n">
        <v>164.379174</v>
      </c>
      <c r="H47" t="n">
        <v>573.174129</v>
      </c>
      <c r="I47" t="n">
        <v>332.812451</v>
      </c>
      <c r="J47" t="n">
        <v>332.812451</v>
      </c>
      <c r="K47" t="n">
        <v>331.190423</v>
      </c>
      <c r="L47" t="n">
        <v>425.732264</v>
      </c>
      <c r="M47" t="n">
        <v>425.732264</v>
      </c>
      <c r="N47" t="n">
        <v>425.732264</v>
      </c>
      <c r="O47" t="n">
        <v>368.426453</v>
      </c>
      <c r="P47" t="n">
        <v>198.243136</v>
      </c>
      <c r="Q47" t="n">
        <v>425.732264</v>
      </c>
      <c r="R47" t="n">
        <v>425.732264</v>
      </c>
      <c r="S47" t="n">
        <v>368.426453</v>
      </c>
      <c r="T47" t="n">
        <v>368.498294</v>
      </c>
      <c r="U47" t="n">
        <v>198.243136</v>
      </c>
      <c r="V47" t="n">
        <v>-2197.047861</v>
      </c>
      <c r="W47" t="n">
        <v>402.613215</v>
      </c>
      <c r="X47" t="n">
        <v>447.451967</v>
      </c>
      <c r="Y47" t="n">
        <v>109.967259</v>
      </c>
      <c r="Z47" t="n">
        <v>314.242463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1" t="inlineStr">
        <is>
          <t>Côtier L pred | Dem M pred</t>
        </is>
      </c>
      <c r="E48" t="n">
        <v>163.765772</v>
      </c>
      <c r="F48" t="n">
        <v>836.222704</v>
      </c>
      <c r="G48" t="n">
        <v>795.086734</v>
      </c>
      <c r="H48" t="n">
        <v>7008.184464</v>
      </c>
      <c r="I48" t="n">
        <v>4970.989872</v>
      </c>
      <c r="J48" t="n">
        <v>9238.130099</v>
      </c>
      <c r="K48" t="n">
        <v>7997.684104</v>
      </c>
      <c r="L48" t="n">
        <v>18538.508267</v>
      </c>
      <c r="M48" t="n">
        <v>18538.508267</v>
      </c>
      <c r="N48" t="n">
        <v>18538.508267</v>
      </c>
      <c r="O48" t="n">
        <v>6171.633676</v>
      </c>
      <c r="P48" t="n">
        <v>1979.294838</v>
      </c>
      <c r="Q48" t="n">
        <v>18538.508267</v>
      </c>
      <c r="R48" t="n">
        <v>-80603.208608</v>
      </c>
      <c r="S48" t="n">
        <v>6171.633676</v>
      </c>
      <c r="T48" t="n">
        <v>6172.7514</v>
      </c>
      <c r="U48" t="n">
        <v>1979.294838</v>
      </c>
      <c r="V48" t="n">
        <v>-447574.183596</v>
      </c>
      <c r="W48" t="n">
        <v>6788.13945</v>
      </c>
      <c r="X48" t="n">
        <v>19988.593386</v>
      </c>
      <c r="Y48" t="n">
        <v>469.779539</v>
      </c>
      <c r="Z48" t="n">
        <v>2885.333989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1" t="inlineStr">
        <is>
          <t>Crustacés</t>
        </is>
      </c>
      <c r="E49" t="n">
        <v>163.765772</v>
      </c>
      <c r="F49" t="n">
        <v>79.64922</v>
      </c>
      <c r="G49" t="n">
        <v>77.077782</v>
      </c>
      <c r="H49" t="n">
        <v>199.420396</v>
      </c>
      <c r="I49" t="n">
        <v>94.919134</v>
      </c>
      <c r="J49" t="n">
        <v>94.919134</v>
      </c>
      <c r="K49" t="n">
        <v>90.173177</v>
      </c>
      <c r="L49" t="n">
        <v>135.651174</v>
      </c>
      <c r="M49" t="n">
        <v>135.651174</v>
      </c>
      <c r="N49" t="n">
        <v>135.651174</v>
      </c>
      <c r="O49" t="n">
        <v>112.097094</v>
      </c>
      <c r="P49" t="n">
        <v>63.65447</v>
      </c>
      <c r="Q49" t="n">
        <v>135.651174</v>
      </c>
      <c r="R49" t="n">
        <v>135.651174</v>
      </c>
      <c r="S49" t="n">
        <v>112.097094</v>
      </c>
      <c r="T49" t="n">
        <v>112.118405</v>
      </c>
      <c r="U49" t="n">
        <v>63.65447</v>
      </c>
      <c r="V49" t="n">
        <v>-691.708697</v>
      </c>
      <c r="W49" t="n">
        <v>122.926325</v>
      </c>
      <c r="X49" t="n">
        <v>140.897505</v>
      </c>
      <c r="Y49" t="n">
        <v>54.73445</v>
      </c>
      <c r="Z49" t="n">
        <v>122.753568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1" t="inlineStr">
        <is>
          <t>Crustacés</t>
        </is>
      </c>
      <c r="E50" t="n">
        <v>163.765772</v>
      </c>
      <c r="F50" t="n">
        <v>79.64922</v>
      </c>
      <c r="G50" t="n">
        <v>77.077782</v>
      </c>
      <c r="H50" t="n">
        <v>199.420396</v>
      </c>
      <c r="I50" t="n">
        <v>94.919134</v>
      </c>
      <c r="J50" t="n">
        <v>94.919134</v>
      </c>
      <c r="K50" t="n">
        <v>90.173177</v>
      </c>
      <c r="L50" t="n">
        <v>135.651174</v>
      </c>
      <c r="M50" t="n">
        <v>135.651174</v>
      </c>
      <c r="N50" t="n">
        <v>135.651174</v>
      </c>
      <c r="O50" t="n">
        <v>112.097094</v>
      </c>
      <c r="P50" t="n">
        <v>63.65447</v>
      </c>
      <c r="Q50" t="n">
        <v>135.651174</v>
      </c>
      <c r="R50" t="n">
        <v>135.651174</v>
      </c>
      <c r="S50" t="n">
        <v>112.097094</v>
      </c>
      <c r="T50" t="n">
        <v>112.118405</v>
      </c>
      <c r="U50" t="n">
        <v>63.65447</v>
      </c>
      <c r="V50" t="n">
        <v>-691.708697</v>
      </c>
      <c r="W50" t="n">
        <v>122.926325</v>
      </c>
      <c r="X50" t="n">
        <v>140.897505</v>
      </c>
      <c r="Y50" t="n">
        <v>54.73445</v>
      </c>
      <c r="Z50" t="n">
        <v>122.753568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1" t="inlineStr">
        <is>
          <t>Côtier L pred | Côtier M inv | Côtier S inv | Dem L inv | Dem L pred | Dem M inv | Dem M pred | Mulets</t>
        </is>
      </c>
      <c r="E51" t="n">
        <v>163.765772</v>
      </c>
      <c r="F51" t="n">
        <v>343.374372</v>
      </c>
      <c r="G51" t="n">
        <v>327.685675</v>
      </c>
      <c r="H51" t="n">
        <v>2587.468155</v>
      </c>
      <c r="I51" t="n">
        <v>1882.884043</v>
      </c>
      <c r="J51" t="n">
        <v>2999.932544</v>
      </c>
      <c r="K51" t="n">
        <v>2616.188202</v>
      </c>
      <c r="L51" t="n">
        <v>5704.194176</v>
      </c>
      <c r="M51" t="n">
        <v>5704.194176</v>
      </c>
      <c r="N51" t="n">
        <v>5704.194176</v>
      </c>
      <c r="O51" t="n">
        <v>2165.383698</v>
      </c>
      <c r="P51" t="n">
        <v>762.721498</v>
      </c>
      <c r="Q51" t="n">
        <v>5704.194176</v>
      </c>
      <c r="R51" t="n">
        <v>-20176.435476</v>
      </c>
      <c r="S51" t="n">
        <v>2165.383698</v>
      </c>
      <c r="T51" t="n">
        <v>2165.780062</v>
      </c>
      <c r="U51" t="n">
        <v>762.721498</v>
      </c>
      <c r="V51" t="n">
        <v>-119497.415658</v>
      </c>
      <c r="W51" t="n">
        <v>2386.359474</v>
      </c>
      <c r="X51" t="n">
        <v>6150.02914</v>
      </c>
      <c r="Y51" t="n">
        <v>201.625568</v>
      </c>
      <c r="Z51" t="n">
        <v>1099.746551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1" t="inlineStr">
        <is>
          <t>Pel S inv</t>
        </is>
      </c>
      <c r="E52" t="n">
        <v>163.765772</v>
      </c>
      <c r="F52" t="n">
        <v>157.970864</v>
      </c>
      <c r="G52" t="n">
        <v>152.088101</v>
      </c>
      <c r="H52" t="n">
        <v>577.271661</v>
      </c>
      <c r="I52" t="n">
        <v>239.810236</v>
      </c>
      <c r="J52" t="n">
        <v>250.631671</v>
      </c>
      <c r="K52" t="n">
        <v>247.596998</v>
      </c>
      <c r="L52" t="n">
        <v>317.630823</v>
      </c>
      <c r="M52" t="n">
        <v>317.630823</v>
      </c>
      <c r="N52" t="n">
        <v>317.630823</v>
      </c>
      <c r="O52" t="n">
        <v>109.892311</v>
      </c>
      <c r="P52" t="n">
        <v>46.754759</v>
      </c>
      <c r="Q52" t="n">
        <v>317.630823</v>
      </c>
      <c r="R52" t="n">
        <v>317.630823</v>
      </c>
      <c r="S52" t="n">
        <v>109.892311</v>
      </c>
      <c r="T52" t="n">
        <v>109.904353</v>
      </c>
      <c r="U52" t="n">
        <v>46.754759</v>
      </c>
      <c r="V52" t="n">
        <v>-281.146464</v>
      </c>
      <c r="W52" t="n">
        <v>116.066501</v>
      </c>
      <c r="X52" t="n">
        <v>339.622839</v>
      </c>
      <c r="Y52" t="n">
        <v>102.369618</v>
      </c>
      <c r="Z52" t="n">
        <v>312.790013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1" t="inlineStr">
        <is>
          <t>Crustacés</t>
        </is>
      </c>
      <c r="E53" t="n">
        <v>163.765772</v>
      </c>
      <c r="F53" t="n">
        <v>79.64922</v>
      </c>
      <c r="G53" t="n">
        <v>77.077782</v>
      </c>
      <c r="H53" t="n">
        <v>199.420396</v>
      </c>
      <c r="I53" t="n">
        <v>94.919134</v>
      </c>
      <c r="J53" t="n">
        <v>94.919134</v>
      </c>
      <c r="K53" t="n">
        <v>90.173177</v>
      </c>
      <c r="L53" t="n">
        <v>135.651174</v>
      </c>
      <c r="M53" t="n">
        <v>135.651174</v>
      </c>
      <c r="N53" t="n">
        <v>135.651174</v>
      </c>
      <c r="O53" t="n">
        <v>112.097094</v>
      </c>
      <c r="P53" t="n">
        <v>63.65447</v>
      </c>
      <c r="Q53" t="n">
        <v>135.651174</v>
      </c>
      <c r="R53" t="n">
        <v>135.651174</v>
      </c>
      <c r="S53" t="n">
        <v>112.097094</v>
      </c>
      <c r="T53" t="n">
        <v>112.118405</v>
      </c>
      <c r="U53" t="n">
        <v>63.65447</v>
      </c>
      <c r="V53" t="n">
        <v>-691.708697</v>
      </c>
      <c r="W53" t="n">
        <v>122.926325</v>
      </c>
      <c r="X53" t="n">
        <v>140.897505</v>
      </c>
      <c r="Y53" t="n">
        <v>54.73445</v>
      </c>
      <c r="Z53" t="n">
        <v>122.753568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1" t="inlineStr">
        <is>
          <t>Côtier M inv</t>
        </is>
      </c>
      <c r="E54" t="n">
        <v>163.765772</v>
      </c>
      <c r="F54" t="n">
        <v>170.837609</v>
      </c>
      <c r="G54" t="n">
        <v>164.379174</v>
      </c>
      <c r="H54" t="n">
        <v>573.174129</v>
      </c>
      <c r="I54" t="n">
        <v>332.812451</v>
      </c>
      <c r="J54" t="n">
        <v>332.812451</v>
      </c>
      <c r="K54" t="n">
        <v>331.190423</v>
      </c>
      <c r="L54" t="n">
        <v>425.732264</v>
      </c>
      <c r="M54" t="n">
        <v>425.732264</v>
      </c>
      <c r="N54" t="n">
        <v>425.732264</v>
      </c>
      <c r="O54" t="n">
        <v>368.426453</v>
      </c>
      <c r="P54" t="n">
        <v>198.243136</v>
      </c>
      <c r="Q54" t="n">
        <v>425.732264</v>
      </c>
      <c r="R54" t="n">
        <v>425.732264</v>
      </c>
      <c r="S54" t="n">
        <v>368.426453</v>
      </c>
      <c r="T54" t="n">
        <v>368.498294</v>
      </c>
      <c r="U54" t="n">
        <v>198.243136</v>
      </c>
      <c r="V54" t="n">
        <v>-2197.047861</v>
      </c>
      <c r="W54" t="n">
        <v>402.613215</v>
      </c>
      <c r="X54" t="n">
        <v>447.451967</v>
      </c>
      <c r="Y54" t="n">
        <v>109.967259</v>
      </c>
      <c r="Z54" t="n">
        <v>314.242463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1" t="inlineStr">
        <is>
          <t>Côtier pel L pred</t>
        </is>
      </c>
      <c r="E55" t="n">
        <v>163.765772</v>
      </c>
      <c r="F55" t="n">
        <v>1052.557933</v>
      </c>
      <c r="G55" t="n">
        <v>999.055395</v>
      </c>
      <c r="H55" t="n">
        <v>11777.345384</v>
      </c>
      <c r="I55" t="n">
        <v>6532.702988</v>
      </c>
      <c r="J55" t="n">
        <v>7781.543468</v>
      </c>
      <c r="K55" t="n">
        <v>7457.867522</v>
      </c>
      <c r="L55" t="n">
        <v>14096.783373</v>
      </c>
      <c r="M55" t="n">
        <v>14096.783373</v>
      </c>
      <c r="N55" t="n">
        <v>14096.783373</v>
      </c>
      <c r="O55" t="n">
        <v>6109.503634</v>
      </c>
      <c r="P55" t="n">
        <v>1921.91996</v>
      </c>
      <c r="Q55" t="n">
        <v>14096.783373</v>
      </c>
      <c r="R55" t="n">
        <v>-57701.40232</v>
      </c>
      <c r="S55" t="n">
        <v>6109.503634</v>
      </c>
      <c r="T55" t="n">
        <v>6110.593726</v>
      </c>
      <c r="U55" t="n">
        <v>1921.91996</v>
      </c>
      <c r="V55" t="n">
        <v>-289768.063862</v>
      </c>
      <c r="W55" t="n">
        <v>6783.082741</v>
      </c>
      <c r="X55" t="n">
        <v>15274.190211</v>
      </c>
      <c r="Y55" t="n">
        <v>579.770625</v>
      </c>
      <c r="Z55" t="n">
        <v>4535.503078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1" t="inlineStr">
        <is>
          <t>Thons mineurs</t>
        </is>
      </c>
      <c r="E56" t="n">
        <v>163.765772</v>
      </c>
      <c r="F56" t="n">
        <v>1395.634937</v>
      </c>
      <c r="G56" t="n">
        <v>1321.894731</v>
      </c>
      <c r="H56" t="n">
        <v>9241.370943</v>
      </c>
      <c r="I56" t="n">
        <v>2965.064174</v>
      </c>
      <c r="J56" t="n">
        <v>2997.796257</v>
      </c>
      <c r="K56" t="n">
        <v>1727.300825</v>
      </c>
      <c r="L56" t="n">
        <v>4278.6736</v>
      </c>
      <c r="M56" t="n">
        <v>4278.6736</v>
      </c>
      <c r="N56" t="n">
        <v>4278.6736</v>
      </c>
      <c r="O56" t="n">
        <v>1413.59346</v>
      </c>
      <c r="P56" t="n">
        <v>516.918231</v>
      </c>
      <c r="Q56" t="n">
        <v>4278.6736</v>
      </c>
      <c r="R56" t="n">
        <v>4278.6736</v>
      </c>
      <c r="S56" t="n">
        <v>1413.59346</v>
      </c>
      <c r="T56" t="n">
        <v>1413.838425</v>
      </c>
      <c r="U56" t="n">
        <v>516.918231</v>
      </c>
      <c r="V56" t="n">
        <v>-5160.738295</v>
      </c>
      <c r="W56" t="n">
        <v>1554.137513</v>
      </c>
      <c r="X56" t="n">
        <v>4550.070821</v>
      </c>
      <c r="Y56" t="n">
        <v>750.381718</v>
      </c>
      <c r="Z56" t="n">
        <v>3860.200613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1" t="inlineStr">
        <is>
          <t>Sélaciens L côtiers | Sélaciens M côtiers</t>
        </is>
      </c>
      <c r="E57" t="n">
        <v>163.765772</v>
      </c>
      <c r="F57" t="n">
        <v>1153.061509</v>
      </c>
      <c r="G57" t="n">
        <v>1093.701635</v>
      </c>
      <c r="H57" t="n">
        <v>25163.912514</v>
      </c>
      <c r="I57" t="n">
        <v>57149.644207</v>
      </c>
      <c r="J57" t="n">
        <v>51505.190715</v>
      </c>
      <c r="K57" t="n">
        <v>45688.206488</v>
      </c>
      <c r="L57" t="n">
        <v>137124.985345</v>
      </c>
      <c r="M57" t="n">
        <v>137124.985345</v>
      </c>
      <c r="N57" t="n">
        <v>137124.985345</v>
      </c>
      <c r="O57" t="n">
        <v>26241.113861</v>
      </c>
      <c r="P57" t="n">
        <v>7002.653238</v>
      </c>
      <c r="Q57" t="n">
        <v>137124.985345</v>
      </c>
      <c r="R57" t="n">
        <v>-311707.361626</v>
      </c>
      <c r="S57" t="n">
        <v>26241.113861</v>
      </c>
      <c r="T57" t="n">
        <v>26245.79024</v>
      </c>
      <c r="U57" t="n">
        <v>7002.653238</v>
      </c>
      <c r="V57" t="n">
        <v>-704503.821496</v>
      </c>
      <c r="W57" t="n">
        <v>29401.858972</v>
      </c>
      <c r="X57" t="n">
        <v>154800.528801</v>
      </c>
      <c r="Y57" t="n">
        <v>630.181807</v>
      </c>
      <c r="Z57" t="n">
        <v>8899.77252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1" t="inlineStr">
        <is>
          <t>Côtier S pred</t>
        </is>
      </c>
      <c r="E58" t="n">
        <v>163.765772</v>
      </c>
      <c r="F58" t="n">
        <v>545.757696</v>
      </c>
      <c r="G58" t="n">
        <v>520.573184</v>
      </c>
      <c r="H58" t="n">
        <v>4917.189243</v>
      </c>
      <c r="I58" t="n">
        <v>1275.434725</v>
      </c>
      <c r="J58" t="n">
        <v>1276.068754</v>
      </c>
      <c r="K58" t="n">
        <v>1149.758437</v>
      </c>
      <c r="L58" t="n">
        <v>1835.839539</v>
      </c>
      <c r="M58" t="n">
        <v>1835.839539</v>
      </c>
      <c r="N58" t="n">
        <v>1835.839539</v>
      </c>
      <c r="O58" t="n">
        <v>1067.659965</v>
      </c>
      <c r="P58" t="n">
        <v>415.493332</v>
      </c>
      <c r="Q58" t="n">
        <v>1835.839539</v>
      </c>
      <c r="R58" t="n">
        <v>1835.839539</v>
      </c>
      <c r="S58" t="n">
        <v>1067.659965</v>
      </c>
      <c r="T58" t="n">
        <v>1067.850048</v>
      </c>
      <c r="U58" t="n">
        <v>415.493332</v>
      </c>
      <c r="V58" t="n">
        <v>-4247.291631</v>
      </c>
      <c r="W58" t="n">
        <v>1177.726821</v>
      </c>
      <c r="X58" t="n">
        <v>1944.112618</v>
      </c>
      <c r="Y58" t="n">
        <v>318.019746</v>
      </c>
      <c r="Z58" t="n">
        <v>2089.118752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1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1" t="inlineStr">
        <is>
          <t>Bars</t>
        </is>
      </c>
      <c r="E60" t="n">
        <v>163.765772</v>
      </c>
      <c r="F60" t="n">
        <v>765.126208</v>
      </c>
      <c r="G60" t="n">
        <v>727.972559</v>
      </c>
      <c r="H60" t="n">
        <v>3298.25622</v>
      </c>
      <c r="I60" t="n">
        <v>1392.35844</v>
      </c>
      <c r="J60" t="n">
        <v>1698.410099</v>
      </c>
      <c r="K60" t="n">
        <v>1593.284857</v>
      </c>
      <c r="L60" t="n">
        <v>2935.662355</v>
      </c>
      <c r="M60" t="n">
        <v>2935.662355</v>
      </c>
      <c r="N60" t="n">
        <v>2935.662355</v>
      </c>
      <c r="O60" t="n">
        <v>1750.549134</v>
      </c>
      <c r="P60" t="n">
        <v>663.603284</v>
      </c>
      <c r="Q60" t="n">
        <v>2935.662355</v>
      </c>
      <c r="R60" t="n">
        <v>-12163.717722</v>
      </c>
      <c r="S60" t="n">
        <v>1750.549134</v>
      </c>
      <c r="T60" t="n">
        <v>1750.869265</v>
      </c>
      <c r="U60" t="n">
        <v>663.603284</v>
      </c>
      <c r="V60" t="n">
        <v>-129126.842756</v>
      </c>
      <c r="W60" t="n">
        <v>1958.674131</v>
      </c>
      <c r="X60" t="n">
        <v>3084.90119</v>
      </c>
      <c r="Y60" t="n">
        <v>433.124819</v>
      </c>
      <c r="Z60" t="n">
        <v>1494.308191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1" t="inlineStr">
        <is>
          <t>Crustacés</t>
        </is>
      </c>
      <c r="E61" t="n">
        <v>163.765772</v>
      </c>
      <c r="F61" t="n">
        <v>79.64922</v>
      </c>
      <c r="G61" t="n">
        <v>77.077782</v>
      </c>
      <c r="H61" t="n">
        <v>199.420396</v>
      </c>
      <c r="I61" t="n">
        <v>94.919134</v>
      </c>
      <c r="J61" t="n">
        <v>94.919134</v>
      </c>
      <c r="K61" t="n">
        <v>90.173177</v>
      </c>
      <c r="L61" t="n">
        <v>135.651174</v>
      </c>
      <c r="M61" t="n">
        <v>135.651174</v>
      </c>
      <c r="N61" t="n">
        <v>135.651174</v>
      </c>
      <c r="O61" t="n">
        <v>112.097094</v>
      </c>
      <c r="P61" t="n">
        <v>63.65447</v>
      </c>
      <c r="Q61" t="n">
        <v>135.651174</v>
      </c>
      <c r="R61" t="n">
        <v>135.651174</v>
      </c>
      <c r="S61" t="n">
        <v>112.097094</v>
      </c>
      <c r="T61" t="n">
        <v>112.118405</v>
      </c>
      <c r="U61" t="n">
        <v>63.65447</v>
      </c>
      <c r="V61" t="n">
        <v>-691.708697</v>
      </c>
      <c r="W61" t="n">
        <v>122.926325</v>
      </c>
      <c r="X61" t="n">
        <v>140.897505</v>
      </c>
      <c r="Y61" t="n">
        <v>54.73445</v>
      </c>
      <c r="Z61" t="n">
        <v>122.753568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1" t="inlineStr">
        <is>
          <t>Côtier pel L pred</t>
        </is>
      </c>
      <c r="E62" t="n">
        <v>163.765772</v>
      </c>
      <c r="F62" t="n">
        <v>1052.557933</v>
      </c>
      <c r="G62" t="n">
        <v>999.055395</v>
      </c>
      <c r="H62" t="n">
        <v>11777.345384</v>
      </c>
      <c r="I62" t="n">
        <v>6532.702988</v>
      </c>
      <c r="J62" t="n">
        <v>7781.543468</v>
      </c>
      <c r="K62" t="n">
        <v>7457.867522</v>
      </c>
      <c r="L62" t="n">
        <v>14096.783373</v>
      </c>
      <c r="M62" t="n">
        <v>14096.783373</v>
      </c>
      <c r="N62" t="n">
        <v>14096.783373</v>
      </c>
      <c r="O62" t="n">
        <v>6109.503634</v>
      </c>
      <c r="P62" t="n">
        <v>1921.91996</v>
      </c>
      <c r="Q62" t="n">
        <v>14096.783373</v>
      </c>
      <c r="R62" t="n">
        <v>-57701.40232</v>
      </c>
      <c r="S62" t="n">
        <v>6109.503634</v>
      </c>
      <c r="T62" t="n">
        <v>6110.593726</v>
      </c>
      <c r="U62" t="n">
        <v>1921.91996</v>
      </c>
      <c r="V62" t="n">
        <v>-289768.063862</v>
      </c>
      <c r="W62" t="n">
        <v>6783.082741</v>
      </c>
      <c r="X62" t="n">
        <v>15274.190211</v>
      </c>
      <c r="Y62" t="n">
        <v>579.770625</v>
      </c>
      <c r="Z62" t="n">
        <v>4535.503078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1" t="inlineStr">
        <is>
          <t>Côtier pel L pred | Côtier pel S inv | Pel L pred | Pel S inv</t>
        </is>
      </c>
      <c r="E63" t="n">
        <v>163.765772</v>
      </c>
      <c r="F63" t="n">
        <v>266.575744</v>
      </c>
      <c r="G63" t="n">
        <v>254.175111</v>
      </c>
      <c r="H63" t="n">
        <v>2537.104931</v>
      </c>
      <c r="I63" t="n">
        <v>1357.733689</v>
      </c>
      <c r="J63" t="n">
        <v>1595.99479</v>
      </c>
      <c r="K63" t="n">
        <v>1526.204147</v>
      </c>
      <c r="L63" t="n">
        <v>2851.74623</v>
      </c>
      <c r="M63" t="n">
        <v>2851.74623</v>
      </c>
      <c r="N63" t="n">
        <v>2851.74623</v>
      </c>
      <c r="O63" t="n">
        <v>1260.030956</v>
      </c>
      <c r="P63" t="n">
        <v>410.793339</v>
      </c>
      <c r="Q63" t="n">
        <v>2851.74623</v>
      </c>
      <c r="R63" t="n">
        <v>-10975.26597</v>
      </c>
      <c r="S63" t="n">
        <v>1260.030956</v>
      </c>
      <c r="T63" t="n">
        <v>1260.252576</v>
      </c>
      <c r="U63" t="n">
        <v>410.793339</v>
      </c>
      <c r="V63" t="n">
        <v>-55664.543124</v>
      </c>
      <c r="W63" t="n">
        <v>1396.192782</v>
      </c>
      <c r="X63" t="n">
        <v>3083.617486</v>
      </c>
      <c r="Y63" t="n">
        <v>155.290958</v>
      </c>
      <c r="Z63" t="n">
        <v>1028.784631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1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1" t="inlineStr">
        <is>
          <t>Capitaine royal</t>
        </is>
      </c>
      <c r="E65" t="n">
        <v>163.765772</v>
      </c>
      <c r="F65" t="n">
        <v>672.707643</v>
      </c>
      <c r="G65" t="n">
        <v>640.6596919999999</v>
      </c>
      <c r="H65" t="n">
        <v>2114.174125</v>
      </c>
      <c r="I65" t="n">
        <v>1064.700925</v>
      </c>
      <c r="J65" t="n">
        <v>1065.663504</v>
      </c>
      <c r="K65" t="n">
        <v>1012.380329</v>
      </c>
      <c r="L65" t="n">
        <v>1453.018194</v>
      </c>
      <c r="M65" t="n">
        <v>1453.018194</v>
      </c>
      <c r="N65" t="n">
        <v>1453.018194</v>
      </c>
      <c r="O65" t="n">
        <v>1093.549373</v>
      </c>
      <c r="P65" t="n">
        <v>480.83353</v>
      </c>
      <c r="Q65" t="n">
        <v>1453.018194</v>
      </c>
      <c r="R65" t="n">
        <v>-277661.656506</v>
      </c>
      <c r="S65" t="n">
        <v>1093.549373</v>
      </c>
      <c r="T65" t="n">
        <v>1093.746868</v>
      </c>
      <c r="U65" t="n">
        <v>480.83353</v>
      </c>
      <c r="V65" t="n">
        <v>-1079438.767153</v>
      </c>
      <c r="W65" t="n">
        <v>1199.766318</v>
      </c>
      <c r="X65" t="n">
        <v>1524.660266</v>
      </c>
      <c r="Y65" t="n">
        <v>385.032378</v>
      </c>
      <c r="Z65" t="n">
        <v>1049.849704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1" t="inlineStr">
        <is>
          <t>Côtier pel L pred</t>
        </is>
      </c>
      <c r="E66" t="n">
        <v>163.765772</v>
      </c>
      <c r="F66" t="n">
        <v>1052.557933</v>
      </c>
      <c r="G66" t="n">
        <v>999.055395</v>
      </c>
      <c r="H66" t="n">
        <v>11777.345384</v>
      </c>
      <c r="I66" t="n">
        <v>6532.702988</v>
      </c>
      <c r="J66" t="n">
        <v>7781.543468</v>
      </c>
      <c r="K66" t="n">
        <v>7457.867522</v>
      </c>
      <c r="L66" t="n">
        <v>14096.783373</v>
      </c>
      <c r="M66" t="n">
        <v>14096.783373</v>
      </c>
      <c r="N66" t="n">
        <v>14096.783373</v>
      </c>
      <c r="O66" t="n">
        <v>6109.503634</v>
      </c>
      <c r="P66" t="n">
        <v>1921.91996</v>
      </c>
      <c r="Q66" t="n">
        <v>14096.783373</v>
      </c>
      <c r="R66" t="n">
        <v>-57701.40232</v>
      </c>
      <c r="S66" t="n">
        <v>6109.503634</v>
      </c>
      <c r="T66" t="n">
        <v>6110.593726</v>
      </c>
      <c r="U66" t="n">
        <v>1921.91996</v>
      </c>
      <c r="V66" t="n">
        <v>-289768.063862</v>
      </c>
      <c r="W66" t="n">
        <v>6783.082741</v>
      </c>
      <c r="X66" t="n">
        <v>15274.190211</v>
      </c>
      <c r="Y66" t="n">
        <v>579.770625</v>
      </c>
      <c r="Z66" t="n">
        <v>4535.503078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1" t="inlineStr">
        <is>
          <t>Mâchoiron</t>
        </is>
      </c>
      <c r="E67" t="n">
        <v>163.765772</v>
      </c>
      <c r="F67" t="n">
        <v>446.273553</v>
      </c>
      <c r="G67" t="n">
        <v>426.322511</v>
      </c>
      <c r="H67" t="n">
        <v>2287.410539</v>
      </c>
      <c r="I67" t="n">
        <v>1227.270659</v>
      </c>
      <c r="J67" t="n">
        <v>1227.843126</v>
      </c>
      <c r="K67" t="n">
        <v>1177.618694</v>
      </c>
      <c r="L67" t="n">
        <v>1664.229551</v>
      </c>
      <c r="M67" t="n">
        <v>1664.229551</v>
      </c>
      <c r="N67" t="n">
        <v>1664.229551</v>
      </c>
      <c r="O67" t="n">
        <v>1262.737573</v>
      </c>
      <c r="P67" t="n">
        <v>551.924159</v>
      </c>
      <c r="Q67" t="n">
        <v>1664.229551</v>
      </c>
      <c r="R67" t="n">
        <v>12631.634406</v>
      </c>
      <c r="S67" t="n">
        <v>1262.737573</v>
      </c>
      <c r="T67" t="n">
        <v>1262.9732</v>
      </c>
      <c r="U67" t="n">
        <v>551.924159</v>
      </c>
      <c r="V67" t="n">
        <v>-515875.082428</v>
      </c>
      <c r="W67" t="n">
        <v>1387.583041</v>
      </c>
      <c r="X67" t="n">
        <v>1742.087802</v>
      </c>
      <c r="Y67" t="n">
        <v>264.572656</v>
      </c>
      <c r="Z67" t="n">
        <v>1050.612043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1" t="inlineStr">
        <is>
          <t>Pel S inv</t>
        </is>
      </c>
      <c r="E68" t="n">
        <v>163.765772</v>
      </c>
      <c r="F68" t="n">
        <v>157.970864</v>
      </c>
      <c r="G68" t="n">
        <v>152.088101</v>
      </c>
      <c r="H68" t="n">
        <v>577.271661</v>
      </c>
      <c r="I68" t="n">
        <v>239.810236</v>
      </c>
      <c r="J68" t="n">
        <v>250.631671</v>
      </c>
      <c r="K68" t="n">
        <v>247.596998</v>
      </c>
      <c r="L68" t="n">
        <v>317.630823</v>
      </c>
      <c r="M68" t="n">
        <v>317.630823</v>
      </c>
      <c r="N68" t="n">
        <v>317.630823</v>
      </c>
      <c r="O68" t="n">
        <v>109.892311</v>
      </c>
      <c r="P68" t="n">
        <v>46.754759</v>
      </c>
      <c r="Q68" t="n">
        <v>317.630823</v>
      </c>
      <c r="R68" t="n">
        <v>317.630823</v>
      </c>
      <c r="S68" t="n">
        <v>109.892311</v>
      </c>
      <c r="T68" t="n">
        <v>109.904353</v>
      </c>
      <c r="U68" t="n">
        <v>46.754759</v>
      </c>
      <c r="V68" t="n">
        <v>-281.146464</v>
      </c>
      <c r="W68" t="n">
        <v>116.066501</v>
      </c>
      <c r="X68" t="n">
        <v>339.622839</v>
      </c>
      <c r="Y68" t="n">
        <v>102.369618</v>
      </c>
      <c r="Z68" t="n">
        <v>312.790013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1" t="inlineStr">
        <is>
          <t>Dem M inv</t>
        </is>
      </c>
      <c r="E69" t="n">
        <v>163.765772</v>
      </c>
      <c r="F69" t="n">
        <v>172.485056</v>
      </c>
      <c r="G69" t="n">
        <v>165.952401</v>
      </c>
      <c r="H69" t="n">
        <v>511.347723</v>
      </c>
      <c r="I69" t="n">
        <v>706.004578</v>
      </c>
      <c r="J69" t="n">
        <v>706.004578</v>
      </c>
      <c r="K69" t="n">
        <v>670.704349</v>
      </c>
      <c r="L69" t="n">
        <v>890.128168</v>
      </c>
      <c r="M69" t="n">
        <v>890.128168</v>
      </c>
      <c r="N69" t="n">
        <v>890.128168</v>
      </c>
      <c r="O69" t="n">
        <v>735.262371</v>
      </c>
      <c r="P69" t="n">
        <v>400.351586</v>
      </c>
      <c r="Q69" t="n">
        <v>890.128168</v>
      </c>
      <c r="R69" t="n">
        <v>890.128168</v>
      </c>
      <c r="S69" t="n">
        <v>735.262371</v>
      </c>
      <c r="T69" t="n">
        <v>735.404934</v>
      </c>
      <c r="U69" t="n">
        <v>400.351586</v>
      </c>
      <c r="V69" t="n">
        <v>-4414.739474</v>
      </c>
      <c r="W69" t="n">
        <v>805.768964</v>
      </c>
      <c r="X69" t="n">
        <v>945.574586</v>
      </c>
      <c r="Y69" t="n">
        <v>110.936439</v>
      </c>
      <c r="Z69" t="n">
        <v>283.97695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1" t="inlineStr">
        <is>
          <t>Dem L pred</t>
        </is>
      </c>
      <c r="E70" t="n">
        <v>163.765772</v>
      </c>
      <c r="F70" t="n">
        <v>702.92427</v>
      </c>
      <c r="G70" t="n">
        <v>669.216325</v>
      </c>
      <c r="H70" t="n">
        <v>8905.433089</v>
      </c>
      <c r="I70" t="n">
        <v>6777.560073</v>
      </c>
      <c r="J70" t="n">
        <v>6838.476733</v>
      </c>
      <c r="K70" t="n">
        <v>5761.883976</v>
      </c>
      <c r="L70" t="n">
        <v>11046.457304</v>
      </c>
      <c r="M70" t="n">
        <v>11046.457304</v>
      </c>
      <c r="N70" t="n">
        <v>11046.457304</v>
      </c>
      <c r="O70" t="n">
        <v>5782.642595</v>
      </c>
      <c r="P70" t="n">
        <v>2043.771325</v>
      </c>
      <c r="Q70" t="n">
        <v>11046.457304</v>
      </c>
      <c r="R70" t="n">
        <v>11046.457304</v>
      </c>
      <c r="S70" t="n">
        <v>5782.642595</v>
      </c>
      <c r="T70" t="n">
        <v>5783.714073</v>
      </c>
      <c r="U70" t="n">
        <v>2043.771325</v>
      </c>
      <c r="V70" t="n">
        <v>-21764.358979</v>
      </c>
      <c r="W70" t="n">
        <v>6493.9392</v>
      </c>
      <c r="X70" t="n">
        <v>12062.969112</v>
      </c>
      <c r="Y70" t="n">
        <v>400.815207</v>
      </c>
      <c r="Z70" t="n">
        <v>3457.535342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1" t="inlineStr">
        <is>
          <t>Côtier M inv</t>
        </is>
      </c>
      <c r="E71" t="n">
        <v>163.765772</v>
      </c>
      <c r="F71" t="n">
        <v>170.837609</v>
      </c>
      <c r="G71" t="n">
        <v>164.379174</v>
      </c>
      <c r="H71" t="n">
        <v>573.174129</v>
      </c>
      <c r="I71" t="n">
        <v>332.812451</v>
      </c>
      <c r="J71" t="n">
        <v>332.812451</v>
      </c>
      <c r="K71" t="n">
        <v>331.190423</v>
      </c>
      <c r="L71" t="n">
        <v>425.732264</v>
      </c>
      <c r="M71" t="n">
        <v>425.732264</v>
      </c>
      <c r="N71" t="n">
        <v>425.732264</v>
      </c>
      <c r="O71" t="n">
        <v>368.426453</v>
      </c>
      <c r="P71" t="n">
        <v>198.243136</v>
      </c>
      <c r="Q71" t="n">
        <v>425.732264</v>
      </c>
      <c r="R71" t="n">
        <v>425.732264</v>
      </c>
      <c r="S71" t="n">
        <v>368.426453</v>
      </c>
      <c r="T71" t="n">
        <v>368.498294</v>
      </c>
      <c r="U71" t="n">
        <v>198.243136</v>
      </c>
      <c r="V71" t="n">
        <v>-2197.047861</v>
      </c>
      <c r="W71" t="n">
        <v>402.613215</v>
      </c>
      <c r="X71" t="n">
        <v>447.451967</v>
      </c>
      <c r="Y71" t="n">
        <v>109.967259</v>
      </c>
      <c r="Z71" t="n">
        <v>314.242463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1" t="inlineStr">
        <is>
          <t>Thons mineurs</t>
        </is>
      </c>
      <c r="E72" t="n">
        <v>163.765772</v>
      </c>
      <c r="F72" t="n">
        <v>1395.634937</v>
      </c>
      <c r="G72" t="n">
        <v>1321.894731</v>
      </c>
      <c r="H72" t="n">
        <v>9241.370943</v>
      </c>
      <c r="I72" t="n">
        <v>2965.064174</v>
      </c>
      <c r="J72" t="n">
        <v>2997.796257</v>
      </c>
      <c r="K72" t="n">
        <v>1727.300825</v>
      </c>
      <c r="L72" t="n">
        <v>4278.6736</v>
      </c>
      <c r="M72" t="n">
        <v>4278.6736</v>
      </c>
      <c r="N72" t="n">
        <v>4278.6736</v>
      </c>
      <c r="O72" t="n">
        <v>1413.59346</v>
      </c>
      <c r="P72" t="n">
        <v>516.918231</v>
      </c>
      <c r="Q72" t="n">
        <v>4278.6736</v>
      </c>
      <c r="R72" t="n">
        <v>4278.6736</v>
      </c>
      <c r="S72" t="n">
        <v>1413.59346</v>
      </c>
      <c r="T72" t="n">
        <v>1413.838425</v>
      </c>
      <c r="U72" t="n">
        <v>516.918231</v>
      </c>
      <c r="V72" t="n">
        <v>-5160.738295</v>
      </c>
      <c r="W72" t="n">
        <v>1554.137513</v>
      </c>
      <c r="X72" t="n">
        <v>4550.070821</v>
      </c>
      <c r="Y72" t="n">
        <v>750.381718</v>
      </c>
      <c r="Z72" t="n">
        <v>3860.200613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1" t="inlineStr">
        <is>
          <t>Côtier pel L pred</t>
        </is>
      </c>
      <c r="E73" t="n">
        <v>163.765772</v>
      </c>
      <c r="F73" t="n">
        <v>1052.557933</v>
      </c>
      <c r="G73" t="n">
        <v>999.055395</v>
      </c>
      <c r="H73" t="n">
        <v>11777.345384</v>
      </c>
      <c r="I73" t="n">
        <v>6532.702988</v>
      </c>
      <c r="J73" t="n">
        <v>7781.543468</v>
      </c>
      <c r="K73" t="n">
        <v>7457.867522</v>
      </c>
      <c r="L73" t="n">
        <v>14096.783373</v>
      </c>
      <c r="M73" t="n">
        <v>14096.783373</v>
      </c>
      <c r="N73" t="n">
        <v>14096.783373</v>
      </c>
      <c r="O73" t="n">
        <v>6109.503634</v>
      </c>
      <c r="P73" t="n">
        <v>1921.91996</v>
      </c>
      <c r="Q73" t="n">
        <v>14096.783373</v>
      </c>
      <c r="R73" t="n">
        <v>-57701.40232</v>
      </c>
      <c r="S73" t="n">
        <v>6109.503634</v>
      </c>
      <c r="T73" t="n">
        <v>6110.593726</v>
      </c>
      <c r="U73" t="n">
        <v>1921.91996</v>
      </c>
      <c r="V73" t="n">
        <v>-289768.063862</v>
      </c>
      <c r="W73" t="n">
        <v>6783.082741</v>
      </c>
      <c r="X73" t="n">
        <v>15274.190211</v>
      </c>
      <c r="Y73" t="n">
        <v>579.770625</v>
      </c>
      <c r="Z73" t="n">
        <v>4535.503078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1" t="inlineStr">
        <is>
          <t>Bars</t>
        </is>
      </c>
      <c r="E74" t="n">
        <v>163.765772</v>
      </c>
      <c r="F74" t="n">
        <v>765.126208</v>
      </c>
      <c r="G74" t="n">
        <v>727.972559</v>
      </c>
      <c r="H74" t="n">
        <v>3298.25622</v>
      </c>
      <c r="I74" t="n">
        <v>1392.35844</v>
      </c>
      <c r="J74" t="n">
        <v>1698.410099</v>
      </c>
      <c r="K74" t="n">
        <v>1593.284857</v>
      </c>
      <c r="L74" t="n">
        <v>2935.662355</v>
      </c>
      <c r="M74" t="n">
        <v>2935.662355</v>
      </c>
      <c r="N74" t="n">
        <v>2935.662355</v>
      </c>
      <c r="O74" t="n">
        <v>1750.549134</v>
      </c>
      <c r="P74" t="n">
        <v>663.603284</v>
      </c>
      <c r="Q74" t="n">
        <v>2935.662355</v>
      </c>
      <c r="R74" t="n">
        <v>-12163.717722</v>
      </c>
      <c r="S74" t="n">
        <v>1750.549134</v>
      </c>
      <c r="T74" t="n">
        <v>1750.869265</v>
      </c>
      <c r="U74" t="n">
        <v>663.603284</v>
      </c>
      <c r="V74" t="n">
        <v>-129126.842756</v>
      </c>
      <c r="W74" t="n">
        <v>1958.674131</v>
      </c>
      <c r="X74" t="n">
        <v>3084.90119</v>
      </c>
      <c r="Y74" t="n">
        <v>433.124819</v>
      </c>
      <c r="Z74" t="n">
        <v>1494.308191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1" t="inlineStr">
        <is>
          <t>Céphalopodes</t>
        </is>
      </c>
      <c r="E75" t="n">
        <v>163.765772</v>
      </c>
      <c r="F75" t="n">
        <v>822.926928</v>
      </c>
      <c r="G75" t="n">
        <v>782.5392000000001</v>
      </c>
      <c r="H75" t="n">
        <v>2911.869334</v>
      </c>
      <c r="I75" t="n">
        <v>776.132507</v>
      </c>
      <c r="J75" t="n">
        <v>776.132507</v>
      </c>
      <c r="K75" t="n">
        <v>737.325882</v>
      </c>
      <c r="L75" t="n">
        <v>1169.060818</v>
      </c>
      <c r="M75" t="n">
        <v>1169.060818</v>
      </c>
      <c r="N75" t="n">
        <v>1169.060818</v>
      </c>
      <c r="O75" t="n">
        <v>633.531335</v>
      </c>
      <c r="P75" t="n">
        <v>262.847199</v>
      </c>
      <c r="Q75" t="n">
        <v>1169.060818</v>
      </c>
      <c r="R75" t="n">
        <v>1169.060818</v>
      </c>
      <c r="S75" t="n">
        <v>633.531335</v>
      </c>
      <c r="T75" t="n">
        <v>633.6433950000001</v>
      </c>
      <c r="U75" t="n">
        <v>262.847199</v>
      </c>
      <c r="V75" t="n">
        <v>-2693.78971</v>
      </c>
      <c r="W75" t="n">
        <v>696.0734629999999</v>
      </c>
      <c r="X75" t="n">
        <v>1245.599369</v>
      </c>
      <c r="Y75" t="n">
        <v>462.946606</v>
      </c>
      <c r="Z75" t="n">
        <v>1388.472944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1" t="inlineStr">
        <is>
          <t>Côtier L pred</t>
        </is>
      </c>
      <c r="E76" t="n">
        <v>163.765772</v>
      </c>
      <c r="F76" t="n">
        <v>834.792702</v>
      </c>
      <c r="G76" t="n">
        <v>793.737434</v>
      </c>
      <c r="H76" t="n">
        <v>7076.924212</v>
      </c>
      <c r="I76" t="n">
        <v>5090.678261</v>
      </c>
      <c r="J76" t="n">
        <v>9568.277077999999</v>
      </c>
      <c r="K76" t="n">
        <v>8272.898352</v>
      </c>
      <c r="L76" t="n">
        <v>19279.552919</v>
      </c>
      <c r="M76" t="n">
        <v>19279.552919</v>
      </c>
      <c r="N76" t="n">
        <v>19279.552919</v>
      </c>
      <c r="O76" t="n">
        <v>6360.643117</v>
      </c>
      <c r="P76" t="n">
        <v>2029.258233</v>
      </c>
      <c r="Q76" t="n">
        <v>19279.552919</v>
      </c>
      <c r="R76" t="n">
        <v>-84755.37547899999</v>
      </c>
      <c r="S76" t="n">
        <v>6360.643117</v>
      </c>
      <c r="T76" t="n">
        <v>6361.79434</v>
      </c>
      <c r="U76" t="n">
        <v>2029.258233</v>
      </c>
      <c r="V76" t="n">
        <v>-469150.656344</v>
      </c>
      <c r="W76" t="n">
        <v>6996.073117</v>
      </c>
      <c r="X76" t="n">
        <v>20789.961322</v>
      </c>
      <c r="Y76" t="n">
        <v>469.046047</v>
      </c>
      <c r="Z76" t="n">
        <v>2908.693588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1" t="inlineStr">
        <is>
          <t>Disques</t>
        </is>
      </c>
      <c r="E77" t="n">
        <v>163.765772</v>
      </c>
      <c r="F77" t="n">
        <v>207.066169</v>
      </c>
      <c r="G77" t="n">
        <v>198.951082</v>
      </c>
      <c r="H77" t="n">
        <v>810.55871</v>
      </c>
      <c r="I77" t="n">
        <v>761.664235</v>
      </c>
      <c r="J77" t="n">
        <v>761.664235</v>
      </c>
      <c r="K77" t="n">
        <v>671.116476</v>
      </c>
      <c r="L77" t="n">
        <v>999.277695</v>
      </c>
      <c r="M77" t="n">
        <v>999.277695</v>
      </c>
      <c r="N77" t="n">
        <v>999.277695</v>
      </c>
      <c r="O77" t="n">
        <v>721.713757</v>
      </c>
      <c r="P77" t="n">
        <v>355.189635</v>
      </c>
      <c r="Q77" t="n">
        <v>999.277695</v>
      </c>
      <c r="R77" t="n">
        <v>999.277695</v>
      </c>
      <c r="S77" t="n">
        <v>721.713757</v>
      </c>
      <c r="T77" t="n">
        <v>721.845766</v>
      </c>
      <c r="U77" t="n">
        <v>355.189635</v>
      </c>
      <c r="V77" t="n">
        <v>-3723.200094</v>
      </c>
      <c r="W77" t="n">
        <v>792.813899</v>
      </c>
      <c r="X77" t="n">
        <v>1031.425091</v>
      </c>
      <c r="Y77" t="n">
        <v>131.10866</v>
      </c>
      <c r="Z77" t="n">
        <v>435.067525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1" t="inlineStr">
        <is>
          <t>Pel S inv</t>
        </is>
      </c>
      <c r="E78" t="n">
        <v>163.765772</v>
      </c>
      <c r="F78" t="n">
        <v>157.970864</v>
      </c>
      <c r="G78" t="n">
        <v>152.088101</v>
      </c>
      <c r="H78" t="n">
        <v>577.271661</v>
      </c>
      <c r="I78" t="n">
        <v>239.810236</v>
      </c>
      <c r="J78" t="n">
        <v>250.631671</v>
      </c>
      <c r="K78" t="n">
        <v>247.596998</v>
      </c>
      <c r="L78" t="n">
        <v>317.630823</v>
      </c>
      <c r="M78" t="n">
        <v>317.630823</v>
      </c>
      <c r="N78" t="n">
        <v>317.630823</v>
      </c>
      <c r="O78" t="n">
        <v>109.892311</v>
      </c>
      <c r="P78" t="n">
        <v>46.754759</v>
      </c>
      <c r="Q78" t="n">
        <v>317.630823</v>
      </c>
      <c r="R78" t="n">
        <v>317.630823</v>
      </c>
      <c r="S78" t="n">
        <v>109.892311</v>
      </c>
      <c r="T78" t="n">
        <v>109.904353</v>
      </c>
      <c r="U78" t="n">
        <v>46.754759</v>
      </c>
      <c r="V78" t="n">
        <v>-281.146464</v>
      </c>
      <c r="W78" t="n">
        <v>116.066501</v>
      </c>
      <c r="X78" t="n">
        <v>339.622839</v>
      </c>
      <c r="Y78" t="n">
        <v>102.369618</v>
      </c>
      <c r="Z78" t="n">
        <v>312.790013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1" t="inlineStr">
        <is>
          <t>Côtier L pred | Dem L pred</t>
        </is>
      </c>
      <c r="E79" t="n">
        <v>163.765772</v>
      </c>
      <c r="F79" t="n">
        <v>813.250765</v>
      </c>
      <c r="G79" t="n">
        <v>773.395751</v>
      </c>
      <c r="H79" t="n">
        <v>7375.628168</v>
      </c>
      <c r="I79" t="n">
        <v>5366.246117</v>
      </c>
      <c r="J79" t="n">
        <v>9122.338766000001</v>
      </c>
      <c r="K79" t="n">
        <v>7862.700766</v>
      </c>
      <c r="L79" t="n">
        <v>17934.600066</v>
      </c>
      <c r="M79" t="n">
        <v>17934.600066</v>
      </c>
      <c r="N79" t="n">
        <v>17934.600066</v>
      </c>
      <c r="O79" t="n">
        <v>6266.221348</v>
      </c>
      <c r="P79" t="n">
        <v>2031.629082</v>
      </c>
      <c r="Q79" t="n">
        <v>17934.600066</v>
      </c>
      <c r="R79" t="n">
        <v>-69105.253773</v>
      </c>
      <c r="S79" t="n">
        <v>6266.221348</v>
      </c>
      <c r="T79" t="n">
        <v>6267.359544</v>
      </c>
      <c r="U79" t="n">
        <v>2031.629082</v>
      </c>
      <c r="V79" t="n">
        <v>-396065.937605</v>
      </c>
      <c r="W79" t="n">
        <v>6914.044864</v>
      </c>
      <c r="X79" t="n">
        <v>19364.325859</v>
      </c>
      <c r="Y79" t="n">
        <v>457.899904</v>
      </c>
      <c r="Z79" t="n">
        <v>2998.352001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1" t="inlineStr">
        <is>
          <t>Pel S inv</t>
        </is>
      </c>
      <c r="E80" t="n">
        <v>163.765772</v>
      </c>
      <c r="F80" t="n">
        <v>157.970864</v>
      </c>
      <c r="G80" t="n">
        <v>152.088101</v>
      </c>
      <c r="H80" t="n">
        <v>577.271661</v>
      </c>
      <c r="I80" t="n">
        <v>239.810236</v>
      </c>
      <c r="J80" t="n">
        <v>250.631671</v>
      </c>
      <c r="K80" t="n">
        <v>247.596998</v>
      </c>
      <c r="L80" t="n">
        <v>317.630823</v>
      </c>
      <c r="M80" t="n">
        <v>317.630823</v>
      </c>
      <c r="N80" t="n">
        <v>317.630823</v>
      </c>
      <c r="O80" t="n">
        <v>109.892311</v>
      </c>
      <c r="P80" t="n">
        <v>46.754759</v>
      </c>
      <c r="Q80" t="n">
        <v>317.630823</v>
      </c>
      <c r="R80" t="n">
        <v>317.630823</v>
      </c>
      <c r="S80" t="n">
        <v>109.892311</v>
      </c>
      <c r="T80" t="n">
        <v>109.904353</v>
      </c>
      <c r="U80" t="n">
        <v>46.754759</v>
      </c>
      <c r="V80" t="n">
        <v>-281.146464</v>
      </c>
      <c r="W80" t="n">
        <v>116.066501</v>
      </c>
      <c r="X80" t="n">
        <v>339.622839</v>
      </c>
      <c r="Y80" t="n">
        <v>102.369618</v>
      </c>
      <c r="Z80" t="n">
        <v>312.790013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1" t="inlineStr">
        <is>
          <t>Côtier L pred</t>
        </is>
      </c>
      <c r="E81" t="n">
        <v>163.765772</v>
      </c>
      <c r="F81" t="n">
        <v>834.792702</v>
      </c>
      <c r="G81" t="n">
        <v>793.737434</v>
      </c>
      <c r="H81" t="n">
        <v>7076.924212</v>
      </c>
      <c r="I81" t="n">
        <v>5090.678261</v>
      </c>
      <c r="J81" t="n">
        <v>9568.277077999999</v>
      </c>
      <c r="K81" t="n">
        <v>8272.898352</v>
      </c>
      <c r="L81" t="n">
        <v>19279.552919</v>
      </c>
      <c r="M81" t="n">
        <v>19279.552919</v>
      </c>
      <c r="N81" t="n">
        <v>19279.552919</v>
      </c>
      <c r="O81" t="n">
        <v>6360.643117</v>
      </c>
      <c r="P81" t="n">
        <v>2029.258233</v>
      </c>
      <c r="Q81" t="n">
        <v>19279.552919</v>
      </c>
      <c r="R81" t="n">
        <v>-84755.37547899999</v>
      </c>
      <c r="S81" t="n">
        <v>6360.643117</v>
      </c>
      <c r="T81" t="n">
        <v>6361.79434</v>
      </c>
      <c r="U81" t="n">
        <v>2029.258233</v>
      </c>
      <c r="V81" t="n">
        <v>-469150.656344</v>
      </c>
      <c r="W81" t="n">
        <v>6996.073117</v>
      </c>
      <c r="X81" t="n">
        <v>20789.961322</v>
      </c>
      <c r="Y81" t="n">
        <v>469.046047</v>
      </c>
      <c r="Z81" t="n">
        <v>2908.693588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1" t="inlineStr">
        <is>
          <t>Côtier pel L pred</t>
        </is>
      </c>
      <c r="E82" t="n">
        <v>163.765772</v>
      </c>
      <c r="F82" t="n">
        <v>1052.557933</v>
      </c>
      <c r="G82" t="n">
        <v>999.055395</v>
      </c>
      <c r="H82" t="n">
        <v>11777.345384</v>
      </c>
      <c r="I82" t="n">
        <v>6532.702988</v>
      </c>
      <c r="J82" t="n">
        <v>7781.543468</v>
      </c>
      <c r="K82" t="n">
        <v>7457.867522</v>
      </c>
      <c r="L82" t="n">
        <v>14096.783373</v>
      </c>
      <c r="M82" t="n">
        <v>14096.783373</v>
      </c>
      <c r="N82" t="n">
        <v>14096.783373</v>
      </c>
      <c r="O82" t="n">
        <v>6109.503634</v>
      </c>
      <c r="P82" t="n">
        <v>1921.91996</v>
      </c>
      <c r="Q82" t="n">
        <v>14096.783373</v>
      </c>
      <c r="R82" t="n">
        <v>-57701.40232</v>
      </c>
      <c r="S82" t="n">
        <v>6109.503634</v>
      </c>
      <c r="T82" t="n">
        <v>6110.593726</v>
      </c>
      <c r="U82" t="n">
        <v>1921.91996</v>
      </c>
      <c r="V82" t="n">
        <v>-289768.063862</v>
      </c>
      <c r="W82" t="n">
        <v>6783.082741</v>
      </c>
      <c r="X82" t="n">
        <v>15274.190211</v>
      </c>
      <c r="Y82" t="n">
        <v>579.770625</v>
      </c>
      <c r="Z82" t="n">
        <v>4535.503078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1" t="inlineStr">
        <is>
          <t>Sélaciens L prof | Sélaciens M prof</t>
        </is>
      </c>
      <c r="E83" t="n">
        <v>163.765772</v>
      </c>
      <c r="F83" t="n">
        <v>2943.265798</v>
      </c>
      <c r="G83" t="n">
        <v>2772.19544</v>
      </c>
      <c r="H83" t="n">
        <v>30340.285119</v>
      </c>
      <c r="I83" t="n">
        <v>106442.919509</v>
      </c>
      <c r="J83" t="n">
        <v>110084.878099</v>
      </c>
      <c r="K83" t="n">
        <v>55042.439049</v>
      </c>
      <c r="L83" t="n">
        <v>519043.253135</v>
      </c>
      <c r="M83" t="n">
        <v>519043.253135</v>
      </c>
      <c r="N83" t="n">
        <v>519043.253135</v>
      </c>
      <c r="O83" t="n">
        <v>43711.018547</v>
      </c>
      <c r="P83" t="n">
        <v>11190.496517</v>
      </c>
      <c r="Q83" t="n">
        <v>519043.253135</v>
      </c>
      <c r="R83" t="n">
        <v>-1134362.766943</v>
      </c>
      <c r="S83" t="n">
        <v>43711.018547</v>
      </c>
      <c r="T83" t="n">
        <v>43718.735429</v>
      </c>
      <c r="U83" t="n">
        <v>11190.496517</v>
      </c>
      <c r="V83" t="n">
        <v>-815589.494598</v>
      </c>
      <c r="W83" t="n">
        <v>49789.922446</v>
      </c>
      <c r="X83" t="n">
        <v>628099.446156</v>
      </c>
      <c r="Y83" t="n">
        <v>1484.415879</v>
      </c>
      <c r="Z83" t="n">
        <v>10771.910501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1" t="inlineStr">
        <is>
          <t>Thons mineurs</t>
        </is>
      </c>
      <c r="E84" t="n">
        <v>163.765772</v>
      </c>
      <c r="F84" t="n">
        <v>1395.634937</v>
      </c>
      <c r="G84" t="n">
        <v>1321.894731</v>
      </c>
      <c r="H84" t="n">
        <v>9241.370943</v>
      </c>
      <c r="I84" t="n">
        <v>2965.064174</v>
      </c>
      <c r="J84" t="n">
        <v>2997.796257</v>
      </c>
      <c r="K84" t="n">
        <v>1727.300825</v>
      </c>
      <c r="L84" t="n">
        <v>4278.6736</v>
      </c>
      <c r="M84" t="n">
        <v>4278.6736</v>
      </c>
      <c r="N84" t="n">
        <v>4278.6736</v>
      </c>
      <c r="O84" t="n">
        <v>1413.59346</v>
      </c>
      <c r="P84" t="n">
        <v>516.918231</v>
      </c>
      <c r="Q84" t="n">
        <v>4278.6736</v>
      </c>
      <c r="R84" t="n">
        <v>4278.6736</v>
      </c>
      <c r="S84" t="n">
        <v>1413.59346</v>
      </c>
      <c r="T84" t="n">
        <v>1413.838425</v>
      </c>
      <c r="U84" t="n">
        <v>516.918231</v>
      </c>
      <c r="V84" t="n">
        <v>-5160.738295</v>
      </c>
      <c r="W84" t="n">
        <v>1554.137513</v>
      </c>
      <c r="X84" t="n">
        <v>4550.070821</v>
      </c>
      <c r="Y84" t="n">
        <v>750.381718</v>
      </c>
      <c r="Z84" t="n">
        <v>3860.200613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1" t="inlineStr">
        <is>
          <t>Dem M inv</t>
        </is>
      </c>
      <c r="E85" t="n">
        <v>163.765772</v>
      </c>
      <c r="F85" t="n">
        <v>172.485056</v>
      </c>
      <c r="G85" t="n">
        <v>165.952401</v>
      </c>
      <c r="H85" t="n">
        <v>511.347723</v>
      </c>
      <c r="I85" t="n">
        <v>706.004578</v>
      </c>
      <c r="J85" t="n">
        <v>706.004578</v>
      </c>
      <c r="K85" t="n">
        <v>670.704349</v>
      </c>
      <c r="L85" t="n">
        <v>890.128168</v>
      </c>
      <c r="M85" t="n">
        <v>890.128168</v>
      </c>
      <c r="N85" t="n">
        <v>890.128168</v>
      </c>
      <c r="O85" t="n">
        <v>735.262371</v>
      </c>
      <c r="P85" t="n">
        <v>400.351586</v>
      </c>
      <c r="Q85" t="n">
        <v>890.128168</v>
      </c>
      <c r="R85" t="n">
        <v>890.128168</v>
      </c>
      <c r="S85" t="n">
        <v>735.262371</v>
      </c>
      <c r="T85" t="n">
        <v>735.404934</v>
      </c>
      <c r="U85" t="n">
        <v>400.351586</v>
      </c>
      <c r="V85" t="n">
        <v>-4414.739474</v>
      </c>
      <c r="W85" t="n">
        <v>805.768964</v>
      </c>
      <c r="X85" t="n">
        <v>945.574586</v>
      </c>
      <c r="Y85" t="n">
        <v>110.936439</v>
      </c>
      <c r="Z85" t="n">
        <v>283.97695</v>
      </c>
    </row>
    <row r="86" ht="21" customHeight="1">
      <c r="A86" t="inlineStr">
        <is>
          <t>Nematopalaemon hastatus</t>
        </is>
      </c>
      <c r="D86" s="11" t="inlineStr">
        <is>
          <t>Crustacés</t>
        </is>
      </c>
      <c r="E86" t="n">
        <v>163.765772</v>
      </c>
      <c r="F86" t="n">
        <v>79.64922</v>
      </c>
      <c r="G86" t="n">
        <v>77.077782</v>
      </c>
      <c r="H86" t="n">
        <v>199.420396</v>
      </c>
      <c r="I86" t="n">
        <v>94.919134</v>
      </c>
      <c r="J86" t="n">
        <v>94.919134</v>
      </c>
      <c r="K86" t="n">
        <v>90.173177</v>
      </c>
      <c r="L86" t="n">
        <v>135.651174</v>
      </c>
      <c r="M86" t="n">
        <v>135.651174</v>
      </c>
      <c r="N86" t="n">
        <v>135.651174</v>
      </c>
      <c r="O86" t="n">
        <v>112.097094</v>
      </c>
      <c r="P86" t="n">
        <v>63.65447</v>
      </c>
      <c r="Q86" t="n">
        <v>135.651174</v>
      </c>
      <c r="R86" t="n">
        <v>135.651174</v>
      </c>
      <c r="S86" t="n">
        <v>112.097094</v>
      </c>
      <c r="T86" t="n">
        <v>112.118405</v>
      </c>
      <c r="U86" t="n">
        <v>63.65447</v>
      </c>
      <c r="V86" t="n">
        <v>-691.708697</v>
      </c>
      <c r="W86" t="n">
        <v>122.926325</v>
      </c>
      <c r="X86" t="n">
        <v>140.897505</v>
      </c>
      <c r="Y86" t="n">
        <v>54.73445</v>
      </c>
      <c r="Z86" t="n">
        <v>122.753568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1" t="inlineStr">
        <is>
          <t>Côtier pel L pred</t>
        </is>
      </c>
      <c r="E87" t="n">
        <v>163.765772</v>
      </c>
      <c r="F87" t="n">
        <v>1052.557933</v>
      </c>
      <c r="G87" t="n">
        <v>999.055395</v>
      </c>
      <c r="H87" t="n">
        <v>11777.345384</v>
      </c>
      <c r="I87" t="n">
        <v>6532.702988</v>
      </c>
      <c r="J87" t="n">
        <v>7781.543468</v>
      </c>
      <c r="K87" t="n">
        <v>7457.867522</v>
      </c>
      <c r="L87" t="n">
        <v>14096.783373</v>
      </c>
      <c r="M87" t="n">
        <v>14096.783373</v>
      </c>
      <c r="N87" t="n">
        <v>14096.783373</v>
      </c>
      <c r="O87" t="n">
        <v>6109.503634</v>
      </c>
      <c r="P87" t="n">
        <v>1921.91996</v>
      </c>
      <c r="Q87" t="n">
        <v>14096.783373</v>
      </c>
      <c r="R87" t="n">
        <v>-57701.40232</v>
      </c>
      <c r="S87" t="n">
        <v>6109.503634</v>
      </c>
      <c r="T87" t="n">
        <v>6110.593726</v>
      </c>
      <c r="U87" t="n">
        <v>1921.91996</v>
      </c>
      <c r="V87" t="n">
        <v>-289768.063862</v>
      </c>
      <c r="W87" t="n">
        <v>6783.082741</v>
      </c>
      <c r="X87" t="n">
        <v>15274.190211</v>
      </c>
      <c r="Y87" t="n">
        <v>579.770625</v>
      </c>
      <c r="Z87" t="n">
        <v>4535.503078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1" t="inlineStr">
        <is>
          <t>Côtier pel L pred</t>
        </is>
      </c>
      <c r="E88" t="n">
        <v>163.765772</v>
      </c>
      <c r="F88" t="n">
        <v>1052.557933</v>
      </c>
      <c r="G88" t="n">
        <v>999.055395</v>
      </c>
      <c r="H88" t="n">
        <v>11777.345384</v>
      </c>
      <c r="I88" t="n">
        <v>6532.702988</v>
      </c>
      <c r="J88" t="n">
        <v>7781.543468</v>
      </c>
      <c r="K88" t="n">
        <v>7457.867522</v>
      </c>
      <c r="L88" t="n">
        <v>14096.783373</v>
      </c>
      <c r="M88" t="n">
        <v>14096.783373</v>
      </c>
      <c r="N88" t="n">
        <v>14096.783373</v>
      </c>
      <c r="O88" t="n">
        <v>6109.503634</v>
      </c>
      <c r="P88" t="n">
        <v>1921.91996</v>
      </c>
      <c r="Q88" t="n">
        <v>14096.783373</v>
      </c>
      <c r="R88" t="n">
        <v>-57701.40232</v>
      </c>
      <c r="S88" t="n">
        <v>6109.503634</v>
      </c>
      <c r="T88" t="n">
        <v>6110.593726</v>
      </c>
      <c r="U88" t="n">
        <v>1921.91996</v>
      </c>
      <c r="V88" t="n">
        <v>-289768.063862</v>
      </c>
      <c r="W88" t="n">
        <v>6783.082741</v>
      </c>
      <c r="X88" t="n">
        <v>15274.190211</v>
      </c>
      <c r="Y88" t="n">
        <v>579.770625</v>
      </c>
      <c r="Z88" t="n">
        <v>4535.503078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1" t="inlineStr">
        <is>
          <t>Dem M inv</t>
        </is>
      </c>
      <c r="E89" t="n">
        <v>163.765772</v>
      </c>
      <c r="F89" t="n">
        <v>172.485056</v>
      </c>
      <c r="G89" t="n">
        <v>165.952401</v>
      </c>
      <c r="H89" t="n">
        <v>511.347723</v>
      </c>
      <c r="I89" t="n">
        <v>706.004578</v>
      </c>
      <c r="J89" t="n">
        <v>706.004578</v>
      </c>
      <c r="K89" t="n">
        <v>670.704349</v>
      </c>
      <c r="L89" t="n">
        <v>890.128168</v>
      </c>
      <c r="M89" t="n">
        <v>890.128168</v>
      </c>
      <c r="N89" t="n">
        <v>890.128168</v>
      </c>
      <c r="O89" t="n">
        <v>735.262371</v>
      </c>
      <c r="P89" t="n">
        <v>400.351586</v>
      </c>
      <c r="Q89" t="n">
        <v>890.128168</v>
      </c>
      <c r="R89" t="n">
        <v>890.128168</v>
      </c>
      <c r="S89" t="n">
        <v>735.262371</v>
      </c>
      <c r="T89" t="n">
        <v>735.404934</v>
      </c>
      <c r="U89" t="n">
        <v>400.351586</v>
      </c>
      <c r="V89" t="n">
        <v>-4414.739474</v>
      </c>
      <c r="W89" t="n">
        <v>805.768964</v>
      </c>
      <c r="X89" t="n">
        <v>945.574586</v>
      </c>
      <c r="Y89" t="n">
        <v>110.936439</v>
      </c>
      <c r="Z89" t="n">
        <v>283.97695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1" t="inlineStr">
        <is>
          <t>Dem M inv</t>
        </is>
      </c>
      <c r="E90" t="n">
        <v>163.765772</v>
      </c>
      <c r="F90" t="n">
        <v>172.485056</v>
      </c>
      <c r="G90" t="n">
        <v>165.952401</v>
      </c>
      <c r="H90" t="n">
        <v>511.347723</v>
      </c>
      <c r="I90" t="n">
        <v>706.004578</v>
      </c>
      <c r="J90" t="n">
        <v>706.004578</v>
      </c>
      <c r="K90" t="n">
        <v>670.704349</v>
      </c>
      <c r="L90" t="n">
        <v>890.128168</v>
      </c>
      <c r="M90" t="n">
        <v>890.128168</v>
      </c>
      <c r="N90" t="n">
        <v>890.128168</v>
      </c>
      <c r="O90" t="n">
        <v>735.262371</v>
      </c>
      <c r="P90" t="n">
        <v>400.351586</v>
      </c>
      <c r="Q90" t="n">
        <v>890.128168</v>
      </c>
      <c r="R90" t="n">
        <v>890.128168</v>
      </c>
      <c r="S90" t="n">
        <v>735.262371</v>
      </c>
      <c r="T90" t="n">
        <v>735.404934</v>
      </c>
      <c r="U90" t="n">
        <v>400.351586</v>
      </c>
      <c r="V90" t="n">
        <v>-4414.739474</v>
      </c>
      <c r="W90" t="n">
        <v>805.768964</v>
      </c>
      <c r="X90" t="n">
        <v>945.574586</v>
      </c>
      <c r="Y90" t="n">
        <v>110.936439</v>
      </c>
      <c r="Z90" t="n">
        <v>283.97695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1" t="inlineStr">
        <is>
          <t>Sélaciens L prof</t>
        </is>
      </c>
      <c r="E91" t="n">
        <v>163.765772</v>
      </c>
      <c r="F91" t="n">
        <v>2984.356694</v>
      </c>
      <c r="G91" t="n">
        <v>2810.614697</v>
      </c>
      <c r="H91" t="n">
        <v>33755.937801</v>
      </c>
      <c r="I91" t="n">
        <v>124488.415541</v>
      </c>
      <c r="J91" t="n">
        <v>128866.935983</v>
      </c>
      <c r="K91" t="n">
        <v>64433.467991</v>
      </c>
      <c r="L91" t="n">
        <v>630806.17817</v>
      </c>
      <c r="M91" t="n">
        <v>630806.17817</v>
      </c>
      <c r="N91" t="n">
        <v>630806.17817</v>
      </c>
      <c r="O91" t="n">
        <v>51235.06282</v>
      </c>
      <c r="P91" t="n">
        <v>12871.977711</v>
      </c>
      <c r="Q91" t="n">
        <v>630806.17817</v>
      </c>
      <c r="R91" t="n">
        <v>-1411127.786749</v>
      </c>
      <c r="S91" t="n">
        <v>51235.06282</v>
      </c>
      <c r="T91" t="n">
        <v>51244.1029</v>
      </c>
      <c r="U91" t="n">
        <v>12871.977711</v>
      </c>
      <c r="V91" t="n">
        <v>-997488.464399</v>
      </c>
      <c r="W91" t="n">
        <v>58369.578627</v>
      </c>
      <c r="X91" t="n">
        <v>764649.1712</v>
      </c>
      <c r="Y91" t="n">
        <v>1503.40227</v>
      </c>
      <c r="Z91" t="n">
        <v>11832.438102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1" t="inlineStr">
        <is>
          <t>Thons majeurs</t>
        </is>
      </c>
      <c r="E92" t="n">
        <v>163.765772</v>
      </c>
      <c r="F92" t="n">
        <v>2736.422785</v>
      </c>
      <c r="G92" t="n">
        <v>2578.791074</v>
      </c>
      <c r="H92" t="n">
        <v>17894.302324</v>
      </c>
      <c r="I92" t="n">
        <v>8524.622238</v>
      </c>
      <c r="J92" t="n">
        <v>8877.051893</v>
      </c>
      <c r="K92" t="n">
        <v>4438.525947</v>
      </c>
      <c r="L92" t="n">
        <v>13559.408277</v>
      </c>
      <c r="M92" t="n">
        <v>13559.408277</v>
      </c>
      <c r="N92" t="n">
        <v>13559.408277</v>
      </c>
      <c r="O92" t="n">
        <v>3620.855517</v>
      </c>
      <c r="P92" t="n">
        <v>1183.588403</v>
      </c>
      <c r="Q92" t="n">
        <v>13559.408277</v>
      </c>
      <c r="R92" t="n">
        <v>-35792.676603</v>
      </c>
      <c r="S92" t="n">
        <v>3620.855517</v>
      </c>
      <c r="T92" t="n">
        <v>3621.492366</v>
      </c>
      <c r="U92" t="n">
        <v>1183.588403</v>
      </c>
      <c r="V92" t="n">
        <v>-69430.651774</v>
      </c>
      <c r="W92" t="n">
        <v>4014.185729</v>
      </c>
      <c r="X92" t="n">
        <v>14860.282888</v>
      </c>
      <c r="Y92" t="n">
        <v>1388.786767</v>
      </c>
      <c r="Z92" t="n">
        <v>6982.232434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1" t="inlineStr">
        <is>
          <t>Thons majeurs</t>
        </is>
      </c>
      <c r="E93" t="n">
        <v>163.765772</v>
      </c>
      <c r="F93" t="n">
        <v>2736.422785</v>
      </c>
      <c r="G93" t="n">
        <v>2578.791074</v>
      </c>
      <c r="H93" t="n">
        <v>17894.302324</v>
      </c>
      <c r="I93" t="n">
        <v>8524.622238</v>
      </c>
      <c r="J93" t="n">
        <v>8877.051893</v>
      </c>
      <c r="K93" t="n">
        <v>4438.525947</v>
      </c>
      <c r="L93" t="n">
        <v>13559.408277</v>
      </c>
      <c r="M93" t="n">
        <v>13559.408277</v>
      </c>
      <c r="N93" t="n">
        <v>13559.408277</v>
      </c>
      <c r="O93" t="n">
        <v>3620.855517</v>
      </c>
      <c r="P93" t="n">
        <v>1183.588403</v>
      </c>
      <c r="Q93" t="n">
        <v>13559.408277</v>
      </c>
      <c r="R93" t="n">
        <v>-35792.676603</v>
      </c>
      <c r="S93" t="n">
        <v>3620.855517</v>
      </c>
      <c r="T93" t="n">
        <v>3621.492366</v>
      </c>
      <c r="U93" t="n">
        <v>1183.588403</v>
      </c>
      <c r="V93" t="n">
        <v>-69430.651774</v>
      </c>
      <c r="W93" t="n">
        <v>4014.185729</v>
      </c>
      <c r="X93" t="n">
        <v>14860.282888</v>
      </c>
      <c r="Y93" t="n">
        <v>1388.786767</v>
      </c>
      <c r="Z93" t="n">
        <v>6982.232434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1" t="inlineStr">
        <is>
          <t>Céphalopodes</t>
        </is>
      </c>
      <c r="E94" t="n">
        <v>163.765772</v>
      </c>
      <c r="F94" t="n">
        <v>822.926928</v>
      </c>
      <c r="G94" t="n">
        <v>782.5392000000001</v>
      </c>
      <c r="H94" t="n">
        <v>2911.869334</v>
      </c>
      <c r="I94" t="n">
        <v>776.132507</v>
      </c>
      <c r="J94" t="n">
        <v>776.132507</v>
      </c>
      <c r="K94" t="n">
        <v>737.325882</v>
      </c>
      <c r="L94" t="n">
        <v>1169.060818</v>
      </c>
      <c r="M94" t="n">
        <v>1169.060818</v>
      </c>
      <c r="N94" t="n">
        <v>1169.060818</v>
      </c>
      <c r="O94" t="n">
        <v>633.531335</v>
      </c>
      <c r="P94" t="n">
        <v>262.847199</v>
      </c>
      <c r="Q94" t="n">
        <v>1169.060818</v>
      </c>
      <c r="R94" t="n">
        <v>1169.060818</v>
      </c>
      <c r="S94" t="n">
        <v>633.531335</v>
      </c>
      <c r="T94" t="n">
        <v>633.6433950000001</v>
      </c>
      <c r="U94" t="n">
        <v>262.847199</v>
      </c>
      <c r="V94" t="n">
        <v>-2693.78971</v>
      </c>
      <c r="W94" t="n">
        <v>696.0734629999999</v>
      </c>
      <c r="X94" t="n">
        <v>1245.599369</v>
      </c>
      <c r="Y94" t="n">
        <v>462.946606</v>
      </c>
      <c r="Z94" t="n">
        <v>1388.472944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1" t="inlineStr">
        <is>
          <t>Céphalopodes</t>
        </is>
      </c>
      <c r="E95" t="n">
        <v>163.765772</v>
      </c>
      <c r="F95" t="n">
        <v>822.926928</v>
      </c>
      <c r="G95" t="n">
        <v>782.5392000000001</v>
      </c>
      <c r="H95" t="n">
        <v>2911.869334</v>
      </c>
      <c r="I95" t="n">
        <v>776.132507</v>
      </c>
      <c r="J95" t="n">
        <v>776.132507</v>
      </c>
      <c r="K95" t="n">
        <v>737.325882</v>
      </c>
      <c r="L95" t="n">
        <v>1169.060818</v>
      </c>
      <c r="M95" t="n">
        <v>1169.060818</v>
      </c>
      <c r="N95" t="n">
        <v>1169.060818</v>
      </c>
      <c r="O95" t="n">
        <v>633.531335</v>
      </c>
      <c r="P95" t="n">
        <v>262.847199</v>
      </c>
      <c r="Q95" t="n">
        <v>1169.060818</v>
      </c>
      <c r="R95" t="n">
        <v>1169.060818</v>
      </c>
      <c r="S95" t="n">
        <v>633.531335</v>
      </c>
      <c r="T95" t="n">
        <v>633.6433950000001</v>
      </c>
      <c r="U95" t="n">
        <v>262.847199</v>
      </c>
      <c r="V95" t="n">
        <v>-2693.78971</v>
      </c>
      <c r="W95" t="n">
        <v>696.0734629999999</v>
      </c>
      <c r="X95" t="n">
        <v>1245.599369</v>
      </c>
      <c r="Y95" t="n">
        <v>462.946606</v>
      </c>
      <c r="Z95" t="n">
        <v>1388.472944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1" t="inlineStr">
        <is>
          <t>Thons mineurs</t>
        </is>
      </c>
      <c r="E96" t="n">
        <v>163.765772</v>
      </c>
      <c r="F96" t="n">
        <v>1395.634937</v>
      </c>
      <c r="G96" t="n">
        <v>1321.894731</v>
      </c>
      <c r="H96" t="n">
        <v>9241.370943</v>
      </c>
      <c r="I96" t="n">
        <v>2965.064174</v>
      </c>
      <c r="J96" t="n">
        <v>2997.796257</v>
      </c>
      <c r="K96" t="n">
        <v>1727.300825</v>
      </c>
      <c r="L96" t="n">
        <v>4278.6736</v>
      </c>
      <c r="M96" t="n">
        <v>4278.6736</v>
      </c>
      <c r="N96" t="n">
        <v>4278.6736</v>
      </c>
      <c r="O96" t="n">
        <v>1413.59346</v>
      </c>
      <c r="P96" t="n">
        <v>516.918231</v>
      </c>
      <c r="Q96" t="n">
        <v>4278.6736</v>
      </c>
      <c r="R96" t="n">
        <v>4278.6736</v>
      </c>
      <c r="S96" t="n">
        <v>1413.59346</v>
      </c>
      <c r="T96" t="n">
        <v>1413.838425</v>
      </c>
      <c r="U96" t="n">
        <v>516.918231</v>
      </c>
      <c r="V96" t="n">
        <v>-5160.738295</v>
      </c>
      <c r="W96" t="n">
        <v>1554.137513</v>
      </c>
      <c r="X96" t="n">
        <v>4550.070821</v>
      </c>
      <c r="Y96" t="n">
        <v>750.381718</v>
      </c>
      <c r="Z96" t="n">
        <v>3860.200613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1" t="inlineStr">
        <is>
          <t>Sélaciens L prof | Sélaciens M prof</t>
        </is>
      </c>
      <c r="E97" t="n">
        <v>163.765772</v>
      </c>
      <c r="F97" t="n">
        <v>2943.265798</v>
      </c>
      <c r="G97" t="n">
        <v>2772.19544</v>
      </c>
      <c r="H97" t="n">
        <v>30340.285119</v>
      </c>
      <c r="I97" t="n">
        <v>106442.919509</v>
      </c>
      <c r="J97" t="n">
        <v>110084.878099</v>
      </c>
      <c r="K97" t="n">
        <v>55042.439049</v>
      </c>
      <c r="L97" t="n">
        <v>519043.253135</v>
      </c>
      <c r="M97" t="n">
        <v>519043.253135</v>
      </c>
      <c r="N97" t="n">
        <v>519043.253135</v>
      </c>
      <c r="O97" t="n">
        <v>43711.018547</v>
      </c>
      <c r="P97" t="n">
        <v>11190.496517</v>
      </c>
      <c r="Q97" t="n">
        <v>519043.253135</v>
      </c>
      <c r="R97" t="n">
        <v>-1134362.766943</v>
      </c>
      <c r="S97" t="n">
        <v>43711.018547</v>
      </c>
      <c r="T97" t="n">
        <v>43718.735429</v>
      </c>
      <c r="U97" t="n">
        <v>11190.496517</v>
      </c>
      <c r="V97" t="n">
        <v>-815589.494598</v>
      </c>
      <c r="W97" t="n">
        <v>49789.922446</v>
      </c>
      <c r="X97" t="n">
        <v>628099.446156</v>
      </c>
      <c r="Y97" t="n">
        <v>1484.415879</v>
      </c>
      <c r="Z97" t="n">
        <v>10771.910501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1" t="inlineStr">
        <is>
          <t>Côtier S inv</t>
        </is>
      </c>
      <c r="E98" t="n">
        <v>163.765772</v>
      </c>
      <c r="F98" t="n">
        <v>79.510256</v>
      </c>
      <c r="G98" t="n">
        <v>76.944312</v>
      </c>
      <c r="H98" t="n">
        <v>373.150929</v>
      </c>
      <c r="I98" t="n">
        <v>228.204413</v>
      </c>
      <c r="J98" t="n">
        <v>228.808027</v>
      </c>
      <c r="K98" t="n">
        <v>222.997608</v>
      </c>
      <c r="L98" t="n">
        <v>302.43669</v>
      </c>
      <c r="M98" t="n">
        <v>302.43669</v>
      </c>
      <c r="N98" t="n">
        <v>302.43669</v>
      </c>
      <c r="O98" t="n">
        <v>244.203076</v>
      </c>
      <c r="P98" t="n">
        <v>127.641231</v>
      </c>
      <c r="Q98" t="n">
        <v>302.43669</v>
      </c>
      <c r="R98" t="n">
        <v>302.43669</v>
      </c>
      <c r="S98" t="n">
        <v>244.203076</v>
      </c>
      <c r="T98" t="n">
        <v>244.24861</v>
      </c>
      <c r="U98" t="n">
        <v>127.641231</v>
      </c>
      <c r="V98" t="n">
        <v>-1347.82362</v>
      </c>
      <c r="W98" t="n">
        <v>265.990648</v>
      </c>
      <c r="X98" t="n">
        <v>316.455773</v>
      </c>
      <c r="Y98" t="n">
        <v>54.647132</v>
      </c>
      <c r="Z98" t="n">
        <v>203.025564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1" t="inlineStr">
        <is>
          <t>Côtier S pred</t>
        </is>
      </c>
      <c r="E99" t="n">
        <v>163.765772</v>
      </c>
      <c r="F99" t="n">
        <v>545.757696</v>
      </c>
      <c r="G99" t="n">
        <v>520.573184</v>
      </c>
      <c r="H99" t="n">
        <v>4917.189243</v>
      </c>
      <c r="I99" t="n">
        <v>1275.434725</v>
      </c>
      <c r="J99" t="n">
        <v>1276.068754</v>
      </c>
      <c r="K99" t="n">
        <v>1149.758437</v>
      </c>
      <c r="L99" t="n">
        <v>1835.839539</v>
      </c>
      <c r="M99" t="n">
        <v>1835.839539</v>
      </c>
      <c r="N99" t="n">
        <v>1835.839539</v>
      </c>
      <c r="O99" t="n">
        <v>1067.659965</v>
      </c>
      <c r="P99" t="n">
        <v>415.493332</v>
      </c>
      <c r="Q99" t="n">
        <v>1835.839539</v>
      </c>
      <c r="R99" t="n">
        <v>1835.839539</v>
      </c>
      <c r="S99" t="n">
        <v>1067.659965</v>
      </c>
      <c r="T99" t="n">
        <v>1067.850048</v>
      </c>
      <c r="U99" t="n">
        <v>415.493332</v>
      </c>
      <c r="V99" t="n">
        <v>-4247.291631</v>
      </c>
      <c r="W99" t="n">
        <v>1177.726821</v>
      </c>
      <c r="X99" t="n">
        <v>1944.112618</v>
      </c>
      <c r="Y99" t="n">
        <v>318.019746</v>
      </c>
      <c r="Z99" t="n">
        <v>2089.118752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1" t="inlineStr">
        <is>
          <t>Crustacés</t>
        </is>
      </c>
      <c r="E100" t="n">
        <v>163.765772</v>
      </c>
      <c r="F100" t="n">
        <v>79.64922</v>
      </c>
      <c r="G100" t="n">
        <v>77.077782</v>
      </c>
      <c r="H100" t="n">
        <v>199.420396</v>
      </c>
      <c r="I100" t="n">
        <v>94.919134</v>
      </c>
      <c r="J100" t="n">
        <v>94.919134</v>
      </c>
      <c r="K100" t="n">
        <v>90.173177</v>
      </c>
      <c r="L100" t="n">
        <v>135.651174</v>
      </c>
      <c r="M100" t="n">
        <v>135.651174</v>
      </c>
      <c r="N100" t="n">
        <v>135.651174</v>
      </c>
      <c r="O100" t="n">
        <v>112.097094</v>
      </c>
      <c r="P100" t="n">
        <v>63.65447</v>
      </c>
      <c r="Q100" t="n">
        <v>135.651174</v>
      </c>
      <c r="R100" t="n">
        <v>135.651174</v>
      </c>
      <c r="S100" t="n">
        <v>112.097094</v>
      </c>
      <c r="T100" t="n">
        <v>112.118405</v>
      </c>
      <c r="U100" t="n">
        <v>63.65447</v>
      </c>
      <c r="V100" t="n">
        <v>-691.708697</v>
      </c>
      <c r="W100" t="n">
        <v>122.926325</v>
      </c>
      <c r="X100" t="n">
        <v>140.897505</v>
      </c>
      <c r="Y100" t="n">
        <v>54.73445</v>
      </c>
      <c r="Z100" t="n">
        <v>122.753568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1" t="inlineStr">
        <is>
          <t>Céphalopodes</t>
        </is>
      </c>
      <c r="E101" t="n">
        <v>163.765772</v>
      </c>
      <c r="F101" t="n">
        <v>822.926928</v>
      </c>
      <c r="G101" t="n">
        <v>782.5392000000001</v>
      </c>
      <c r="H101" t="n">
        <v>2911.869334</v>
      </c>
      <c r="I101" t="n">
        <v>776.132507</v>
      </c>
      <c r="J101" t="n">
        <v>776.132507</v>
      </c>
      <c r="K101" t="n">
        <v>737.325882</v>
      </c>
      <c r="L101" t="n">
        <v>1169.060818</v>
      </c>
      <c r="M101" t="n">
        <v>1169.060818</v>
      </c>
      <c r="N101" t="n">
        <v>1169.060818</v>
      </c>
      <c r="O101" t="n">
        <v>633.531335</v>
      </c>
      <c r="P101" t="n">
        <v>262.847199</v>
      </c>
      <c r="Q101" t="n">
        <v>1169.060818</v>
      </c>
      <c r="R101" t="n">
        <v>1169.060818</v>
      </c>
      <c r="S101" t="n">
        <v>633.531335</v>
      </c>
      <c r="T101" t="n">
        <v>633.6433950000001</v>
      </c>
      <c r="U101" t="n">
        <v>262.847199</v>
      </c>
      <c r="V101" t="n">
        <v>-2693.78971</v>
      </c>
      <c r="W101" t="n">
        <v>696.0734629999999</v>
      </c>
      <c r="X101" t="n">
        <v>1245.599369</v>
      </c>
      <c r="Y101" t="n">
        <v>462.946606</v>
      </c>
      <c r="Z101" t="n">
        <v>1388.472944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1" t="inlineStr">
        <is>
          <t>Côtier L pred</t>
        </is>
      </c>
      <c r="E102" t="n">
        <v>163.765772</v>
      </c>
      <c r="F102" t="n">
        <v>834.792702</v>
      </c>
      <c r="G102" t="n">
        <v>793.737434</v>
      </c>
      <c r="H102" t="n">
        <v>7076.924212</v>
      </c>
      <c r="I102" t="n">
        <v>5090.678261</v>
      </c>
      <c r="J102" t="n">
        <v>9568.277077999999</v>
      </c>
      <c r="K102" t="n">
        <v>8272.898352</v>
      </c>
      <c r="L102" t="n">
        <v>19279.552919</v>
      </c>
      <c r="M102" t="n">
        <v>19279.552919</v>
      </c>
      <c r="N102" t="n">
        <v>19279.552919</v>
      </c>
      <c r="O102" t="n">
        <v>6360.643117</v>
      </c>
      <c r="P102" t="n">
        <v>2029.258233</v>
      </c>
      <c r="Q102" t="n">
        <v>19279.552919</v>
      </c>
      <c r="R102" t="n">
        <v>-84755.37547899999</v>
      </c>
      <c r="S102" t="n">
        <v>6360.643117</v>
      </c>
      <c r="T102" t="n">
        <v>6361.79434</v>
      </c>
      <c r="U102" t="n">
        <v>2029.258233</v>
      </c>
      <c r="V102" t="n">
        <v>-469150.656344</v>
      </c>
      <c r="W102" t="n">
        <v>6996.073117</v>
      </c>
      <c r="X102" t="n">
        <v>20789.961322</v>
      </c>
      <c r="Y102" t="n">
        <v>469.046047</v>
      </c>
      <c r="Z102" t="n">
        <v>2908.693588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1" t="inlineStr">
        <is>
          <t>Côtier L pred | Côtier M inv | Côtier S pred | Côtier S inv | Dem L pred | Dem S pred | Dem S inv</t>
        </is>
      </c>
      <c r="E103" t="n">
        <v>163.765772</v>
      </c>
      <c r="F103" t="n">
        <v>384.827341</v>
      </c>
      <c r="G103" t="n">
        <v>367.019353</v>
      </c>
      <c r="H103" t="n">
        <v>3105.153026</v>
      </c>
      <c r="I103" t="n">
        <v>2082.095968</v>
      </c>
      <c r="J103" t="n">
        <v>3369.599343</v>
      </c>
      <c r="K103" t="n">
        <v>2927.897492</v>
      </c>
      <c r="L103" t="n">
        <v>6473.071141</v>
      </c>
      <c r="M103" t="n">
        <v>6473.071141</v>
      </c>
      <c r="N103" t="n">
        <v>6473.071141</v>
      </c>
      <c r="O103" t="n">
        <v>2392.882225</v>
      </c>
      <c r="P103" t="n">
        <v>817.439724</v>
      </c>
      <c r="Q103" t="n">
        <v>6473.071141</v>
      </c>
      <c r="R103" t="n">
        <v>-23356.86491</v>
      </c>
      <c r="S103" t="n">
        <v>2392.882225</v>
      </c>
      <c r="T103" t="n">
        <v>2393.318385</v>
      </c>
      <c r="U103" t="n">
        <v>817.439724</v>
      </c>
      <c r="V103" t="n">
        <v>-137038.07912</v>
      </c>
      <c r="W103" t="n">
        <v>2638.059608</v>
      </c>
      <c r="X103" t="n">
        <v>6980.163386</v>
      </c>
      <c r="Y103" t="n">
        <v>224.308794</v>
      </c>
      <c r="Z103" t="n">
        <v>1306.730911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1" t="inlineStr">
        <is>
          <t>Côtier pel L pred</t>
        </is>
      </c>
      <c r="E104" t="n">
        <v>163.765772</v>
      </c>
      <c r="F104" t="n">
        <v>1052.557933</v>
      </c>
      <c r="G104" t="n">
        <v>999.055395</v>
      </c>
      <c r="H104" t="n">
        <v>11777.345384</v>
      </c>
      <c r="I104" t="n">
        <v>6532.702988</v>
      </c>
      <c r="J104" t="n">
        <v>7781.543468</v>
      </c>
      <c r="K104" t="n">
        <v>7457.867522</v>
      </c>
      <c r="L104" t="n">
        <v>14096.783373</v>
      </c>
      <c r="M104" t="n">
        <v>14096.783373</v>
      </c>
      <c r="N104" t="n">
        <v>14096.783373</v>
      </c>
      <c r="O104" t="n">
        <v>6109.503634</v>
      </c>
      <c r="P104" t="n">
        <v>1921.91996</v>
      </c>
      <c r="Q104" t="n">
        <v>14096.783373</v>
      </c>
      <c r="R104" t="n">
        <v>-57701.40232</v>
      </c>
      <c r="S104" t="n">
        <v>6109.503634</v>
      </c>
      <c r="T104" t="n">
        <v>6110.593726</v>
      </c>
      <c r="U104" t="n">
        <v>1921.91996</v>
      </c>
      <c r="V104" t="n">
        <v>-289768.063862</v>
      </c>
      <c r="W104" t="n">
        <v>6783.082741</v>
      </c>
      <c r="X104" t="n">
        <v>15274.190211</v>
      </c>
      <c r="Y104" t="n">
        <v>579.770625</v>
      </c>
      <c r="Z104" t="n">
        <v>4535.503078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1" t="inlineStr">
        <is>
          <t>Sélaciens L prof | Sélaciens L côtiers | Sélaciens M prof | Sélaciens M côtiers</t>
        </is>
      </c>
      <c r="E105" t="n">
        <v>163.765772</v>
      </c>
      <c r="F105" t="n">
        <v>2769.459489</v>
      </c>
      <c r="G105" t="n">
        <v>2609.234813</v>
      </c>
      <c r="H105" t="n">
        <v>29837.724478</v>
      </c>
      <c r="I105" t="n">
        <v>101657.16278</v>
      </c>
      <c r="J105" t="n">
        <v>104397.527616</v>
      </c>
      <c r="K105" t="n">
        <v>54134.26078</v>
      </c>
      <c r="L105" t="n">
        <v>481963.79536</v>
      </c>
      <c r="M105" t="n">
        <v>481963.79536</v>
      </c>
      <c r="N105" t="n">
        <v>481963.79536</v>
      </c>
      <c r="O105" t="n">
        <v>42014.910642</v>
      </c>
      <c r="P105" t="n">
        <v>10783.909634</v>
      </c>
      <c r="Q105" t="n">
        <v>481963.79536</v>
      </c>
      <c r="R105" t="n">
        <v>-1054493.279314</v>
      </c>
      <c r="S105" t="n">
        <v>42014.910642</v>
      </c>
      <c r="T105" t="n">
        <v>42022.332329</v>
      </c>
      <c r="U105" t="n">
        <v>10783.909634</v>
      </c>
      <c r="V105" t="n">
        <v>-804804.473633</v>
      </c>
      <c r="W105" t="n">
        <v>47810.498044</v>
      </c>
      <c r="X105" t="n">
        <v>582148.077235</v>
      </c>
      <c r="Y105" t="n">
        <v>1401.4805</v>
      </c>
      <c r="Z105" t="n">
        <v>10590.149462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1" t="inlineStr">
        <is>
          <t>Thons mineurs</t>
        </is>
      </c>
      <c r="E106" t="n">
        <v>163.765772</v>
      </c>
      <c r="F106" t="n">
        <v>1395.634937</v>
      </c>
      <c r="G106" t="n">
        <v>1321.894731</v>
      </c>
      <c r="H106" t="n">
        <v>9241.370943</v>
      </c>
      <c r="I106" t="n">
        <v>2965.064174</v>
      </c>
      <c r="J106" t="n">
        <v>2997.796257</v>
      </c>
      <c r="K106" t="n">
        <v>1727.300825</v>
      </c>
      <c r="L106" t="n">
        <v>4278.6736</v>
      </c>
      <c r="M106" t="n">
        <v>4278.6736</v>
      </c>
      <c r="N106" t="n">
        <v>4278.6736</v>
      </c>
      <c r="O106" t="n">
        <v>1413.59346</v>
      </c>
      <c r="P106" t="n">
        <v>516.918231</v>
      </c>
      <c r="Q106" t="n">
        <v>4278.6736</v>
      </c>
      <c r="R106" t="n">
        <v>4278.6736</v>
      </c>
      <c r="S106" t="n">
        <v>1413.59346</v>
      </c>
      <c r="T106" t="n">
        <v>1413.838425</v>
      </c>
      <c r="U106" t="n">
        <v>516.918231</v>
      </c>
      <c r="V106" t="n">
        <v>-5160.738295</v>
      </c>
      <c r="W106" t="n">
        <v>1554.137513</v>
      </c>
      <c r="X106" t="n">
        <v>4550.070821</v>
      </c>
      <c r="Y106" t="n">
        <v>750.381718</v>
      </c>
      <c r="Z106" t="n">
        <v>3860.200613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1" t="inlineStr">
        <is>
          <t>Pel S inv</t>
        </is>
      </c>
      <c r="E107" t="n">
        <v>163.765772</v>
      </c>
      <c r="F107" t="n">
        <v>157.970864</v>
      </c>
      <c r="G107" t="n">
        <v>152.088101</v>
      </c>
      <c r="H107" t="n">
        <v>577.271661</v>
      </c>
      <c r="I107" t="n">
        <v>239.810236</v>
      </c>
      <c r="J107" t="n">
        <v>250.631671</v>
      </c>
      <c r="K107" t="n">
        <v>247.596998</v>
      </c>
      <c r="L107" t="n">
        <v>317.630823</v>
      </c>
      <c r="M107" t="n">
        <v>317.630823</v>
      </c>
      <c r="N107" t="n">
        <v>317.630823</v>
      </c>
      <c r="O107" t="n">
        <v>109.892311</v>
      </c>
      <c r="P107" t="n">
        <v>46.754759</v>
      </c>
      <c r="Q107" t="n">
        <v>317.630823</v>
      </c>
      <c r="R107" t="n">
        <v>317.630823</v>
      </c>
      <c r="S107" t="n">
        <v>109.892311</v>
      </c>
      <c r="T107" t="n">
        <v>109.904353</v>
      </c>
      <c r="U107" t="n">
        <v>46.754759</v>
      </c>
      <c r="V107" t="n">
        <v>-281.146464</v>
      </c>
      <c r="W107" t="n">
        <v>116.066501</v>
      </c>
      <c r="X107" t="n">
        <v>339.622839</v>
      </c>
      <c r="Y107" t="n">
        <v>102.369618</v>
      </c>
      <c r="Z107" t="n">
        <v>312.790013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1" t="inlineStr">
        <is>
          <t>Benthos</t>
        </is>
      </c>
      <c r="E108" t="n">
        <v>163.765772</v>
      </c>
      <c r="F108" t="n">
        <v>14.225293</v>
      </c>
      <c r="G108" t="n">
        <v>13.944959</v>
      </c>
      <c r="H108" t="n">
        <v>22.648952</v>
      </c>
      <c r="I108" t="n">
        <v>39.053581</v>
      </c>
      <c r="J108" t="n">
        <v>39.053581</v>
      </c>
      <c r="K108" t="n">
        <v>28.888889</v>
      </c>
      <c r="L108" t="n">
        <v>46.572283</v>
      </c>
      <c r="M108" t="n">
        <v>46.572283</v>
      </c>
      <c r="N108" t="n">
        <v>46.572283</v>
      </c>
      <c r="O108" t="n">
        <v>43.496371</v>
      </c>
      <c r="P108" t="n">
        <v>33.04828</v>
      </c>
      <c r="Q108" t="n">
        <v>46.572283</v>
      </c>
      <c r="R108" t="n">
        <v>46.572283</v>
      </c>
      <c r="S108" t="n">
        <v>43.496371</v>
      </c>
      <c r="T108" t="n">
        <v>43.50535</v>
      </c>
      <c r="U108" t="n">
        <v>33.04828</v>
      </c>
      <c r="V108" t="n">
        <v>-381.521079</v>
      </c>
      <c r="W108" t="n">
        <v>46.817883</v>
      </c>
      <c r="X108" t="n">
        <v>48.197268</v>
      </c>
      <c r="Y108" t="n">
        <v>11.33053</v>
      </c>
      <c r="Z108" t="n">
        <v>16.922572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1" t="inlineStr">
        <is>
          <t>Côtier L pred</t>
        </is>
      </c>
      <c r="E109" t="n">
        <v>163.765772</v>
      </c>
      <c r="F109" t="n">
        <v>834.792702</v>
      </c>
      <c r="G109" t="n">
        <v>793.737434</v>
      </c>
      <c r="H109" t="n">
        <v>7076.924212</v>
      </c>
      <c r="I109" t="n">
        <v>5090.678261</v>
      </c>
      <c r="J109" t="n">
        <v>9568.277077999999</v>
      </c>
      <c r="K109" t="n">
        <v>8272.898352</v>
      </c>
      <c r="L109" t="n">
        <v>19279.552919</v>
      </c>
      <c r="M109" t="n">
        <v>19279.552919</v>
      </c>
      <c r="N109" t="n">
        <v>19279.552919</v>
      </c>
      <c r="O109" t="n">
        <v>6360.643117</v>
      </c>
      <c r="P109" t="n">
        <v>2029.258233</v>
      </c>
      <c r="Q109" t="n">
        <v>19279.552919</v>
      </c>
      <c r="R109" t="n">
        <v>-84755.37547899999</v>
      </c>
      <c r="S109" t="n">
        <v>6360.643117</v>
      </c>
      <c r="T109" t="n">
        <v>6361.79434</v>
      </c>
      <c r="U109" t="n">
        <v>2029.258233</v>
      </c>
      <c r="V109" t="n">
        <v>-469150.656344</v>
      </c>
      <c r="W109" t="n">
        <v>6996.073117</v>
      </c>
      <c r="X109" t="n">
        <v>20789.961322</v>
      </c>
      <c r="Y109" t="n">
        <v>469.046047</v>
      </c>
      <c r="Z109" t="n">
        <v>2908.693588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Mulets</t>
        </is>
      </c>
      <c r="E110" t="n">
        <v>163.765772</v>
      </c>
      <c r="F110" t="n">
        <v>20.76151</v>
      </c>
      <c r="G110" t="n">
        <v>20.294765</v>
      </c>
      <c r="H110" t="n">
        <v>104.055417</v>
      </c>
      <c r="I110" t="n">
        <v>84.96705300000001</v>
      </c>
      <c r="J110" t="n">
        <v>84.96705300000001</v>
      </c>
      <c r="K110" t="n">
        <v>80.7187</v>
      </c>
      <c r="L110" t="n">
        <v>87.916766</v>
      </c>
      <c r="M110" t="n">
        <v>87.916766</v>
      </c>
      <c r="N110" t="n">
        <v>87.916766</v>
      </c>
      <c r="O110" t="n">
        <v>58.81521</v>
      </c>
      <c r="P110" t="n">
        <v>32.075058</v>
      </c>
      <c r="Q110" t="n">
        <v>87.916766</v>
      </c>
      <c r="R110" t="n">
        <v>87.916766</v>
      </c>
      <c r="S110" t="n">
        <v>58.81521</v>
      </c>
      <c r="T110" t="n">
        <v>58.820906</v>
      </c>
      <c r="U110" t="n">
        <v>32.075058</v>
      </c>
      <c r="V110" t="n">
        <v>-183.117525</v>
      </c>
      <c r="W110" t="n">
        <v>61.214848</v>
      </c>
      <c r="X110" t="n">
        <v>89.985946</v>
      </c>
      <c r="Y110" t="n">
        <v>16.009476</v>
      </c>
      <c r="Z110" t="n">
        <v>63.984768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1" t="inlineStr">
        <is>
          <t>Céphalopodes</t>
        </is>
      </c>
      <c r="E111" t="n">
        <v>163.765772</v>
      </c>
      <c r="F111" t="n">
        <v>822.926928</v>
      </c>
      <c r="G111" t="n">
        <v>782.5392000000001</v>
      </c>
      <c r="H111" t="n">
        <v>2911.869334</v>
      </c>
      <c r="I111" t="n">
        <v>776.132507</v>
      </c>
      <c r="J111" t="n">
        <v>776.132507</v>
      </c>
      <c r="K111" t="n">
        <v>737.325882</v>
      </c>
      <c r="L111" t="n">
        <v>1169.060818</v>
      </c>
      <c r="M111" t="n">
        <v>1169.060818</v>
      </c>
      <c r="N111" t="n">
        <v>1169.060818</v>
      </c>
      <c r="O111" t="n">
        <v>633.531335</v>
      </c>
      <c r="P111" t="n">
        <v>262.847199</v>
      </c>
      <c r="Q111" t="n">
        <v>1169.060818</v>
      </c>
      <c r="R111" t="n">
        <v>1169.060818</v>
      </c>
      <c r="S111" t="n">
        <v>633.531335</v>
      </c>
      <c r="T111" t="n">
        <v>633.6433950000001</v>
      </c>
      <c r="U111" t="n">
        <v>262.847199</v>
      </c>
      <c r="V111" t="n">
        <v>-2693.78971</v>
      </c>
      <c r="W111" t="n">
        <v>696.0734629999999</v>
      </c>
      <c r="X111" t="n">
        <v>1245.599369</v>
      </c>
      <c r="Y111" t="n">
        <v>462.946606</v>
      </c>
      <c r="Z111" t="n">
        <v>1388.472944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1" t="inlineStr">
        <is>
          <t>Benthos</t>
        </is>
      </c>
      <c r="E112" t="n">
        <v>163.765772</v>
      </c>
      <c r="F112" t="n">
        <v>14.225293</v>
      </c>
      <c r="G112" t="n">
        <v>13.944959</v>
      </c>
      <c r="H112" t="n">
        <v>22.648952</v>
      </c>
      <c r="I112" t="n">
        <v>39.053581</v>
      </c>
      <c r="J112" t="n">
        <v>39.053581</v>
      </c>
      <c r="K112" t="n">
        <v>28.888889</v>
      </c>
      <c r="L112" t="n">
        <v>46.572283</v>
      </c>
      <c r="M112" t="n">
        <v>46.572283</v>
      </c>
      <c r="N112" t="n">
        <v>46.572283</v>
      </c>
      <c r="O112" t="n">
        <v>43.496371</v>
      </c>
      <c r="P112" t="n">
        <v>33.04828</v>
      </c>
      <c r="Q112" t="n">
        <v>46.572283</v>
      </c>
      <c r="R112" t="n">
        <v>46.572283</v>
      </c>
      <c r="S112" t="n">
        <v>43.496371</v>
      </c>
      <c r="T112" t="n">
        <v>43.50535</v>
      </c>
      <c r="U112" t="n">
        <v>33.04828</v>
      </c>
      <c r="V112" t="n">
        <v>-381.521079</v>
      </c>
      <c r="W112" t="n">
        <v>46.817883</v>
      </c>
      <c r="X112" t="n">
        <v>48.197268</v>
      </c>
      <c r="Y112" t="n">
        <v>11.33053</v>
      </c>
      <c r="Z112" t="n">
        <v>16.922572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1" t="inlineStr">
        <is>
          <t>Benthos</t>
        </is>
      </c>
      <c r="E113" t="n">
        <v>163.765772</v>
      </c>
      <c r="F113" t="n">
        <v>14.225293</v>
      </c>
      <c r="G113" t="n">
        <v>13.944959</v>
      </c>
      <c r="H113" t="n">
        <v>22.648952</v>
      </c>
      <c r="I113" t="n">
        <v>39.053581</v>
      </c>
      <c r="J113" t="n">
        <v>39.053581</v>
      </c>
      <c r="K113" t="n">
        <v>28.888889</v>
      </c>
      <c r="L113" t="n">
        <v>46.572283</v>
      </c>
      <c r="M113" t="n">
        <v>46.572283</v>
      </c>
      <c r="N113" t="n">
        <v>46.572283</v>
      </c>
      <c r="O113" t="n">
        <v>43.496371</v>
      </c>
      <c r="P113" t="n">
        <v>33.04828</v>
      </c>
      <c r="Q113" t="n">
        <v>46.572283</v>
      </c>
      <c r="R113" t="n">
        <v>46.572283</v>
      </c>
      <c r="S113" t="n">
        <v>43.496371</v>
      </c>
      <c r="T113" t="n">
        <v>43.50535</v>
      </c>
      <c r="U113" t="n">
        <v>33.04828</v>
      </c>
      <c r="V113" t="n">
        <v>-381.521079</v>
      </c>
      <c r="W113" t="n">
        <v>46.817883</v>
      </c>
      <c r="X113" t="n">
        <v>48.197268</v>
      </c>
      <c r="Y113" t="n">
        <v>11.33053</v>
      </c>
      <c r="Z113" t="n">
        <v>16.922572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1" t="inlineStr">
        <is>
          <t>Thons majeurs</t>
        </is>
      </c>
      <c r="E114" t="n">
        <v>163.765772</v>
      </c>
      <c r="F114" t="n">
        <v>2736.422785</v>
      </c>
      <c r="G114" t="n">
        <v>2578.791074</v>
      </c>
      <c r="H114" t="n">
        <v>17894.302324</v>
      </c>
      <c r="I114" t="n">
        <v>8524.622238</v>
      </c>
      <c r="J114" t="n">
        <v>8877.051893</v>
      </c>
      <c r="K114" t="n">
        <v>4438.525947</v>
      </c>
      <c r="L114" t="n">
        <v>13559.408277</v>
      </c>
      <c r="M114" t="n">
        <v>13559.408277</v>
      </c>
      <c r="N114" t="n">
        <v>13559.408277</v>
      </c>
      <c r="O114" t="n">
        <v>3620.855517</v>
      </c>
      <c r="P114" t="n">
        <v>1183.588403</v>
      </c>
      <c r="Q114" t="n">
        <v>13559.408277</v>
      </c>
      <c r="R114" t="n">
        <v>-35792.676603</v>
      </c>
      <c r="S114" t="n">
        <v>3620.855517</v>
      </c>
      <c r="T114" t="n">
        <v>3621.492366</v>
      </c>
      <c r="U114" t="n">
        <v>1183.588403</v>
      </c>
      <c r="V114" t="n">
        <v>-69430.651774</v>
      </c>
      <c r="W114" t="n">
        <v>4014.185729</v>
      </c>
      <c r="X114" t="n">
        <v>14860.282888</v>
      </c>
      <c r="Y114" t="n">
        <v>1388.786767</v>
      </c>
      <c r="Z114" t="n">
        <v>6982.232434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1" t="inlineStr">
        <is>
          <t>Céphalopodes</t>
        </is>
      </c>
      <c r="E115" t="n">
        <v>163.765772</v>
      </c>
      <c r="F115" t="n">
        <v>822.926928</v>
      </c>
      <c r="G115" t="n">
        <v>782.5392000000001</v>
      </c>
      <c r="H115" t="n">
        <v>2911.869334</v>
      </c>
      <c r="I115" t="n">
        <v>776.132507</v>
      </c>
      <c r="J115" t="n">
        <v>776.132507</v>
      </c>
      <c r="K115" t="n">
        <v>737.325882</v>
      </c>
      <c r="L115" t="n">
        <v>1169.060818</v>
      </c>
      <c r="M115" t="n">
        <v>1169.060818</v>
      </c>
      <c r="N115" t="n">
        <v>1169.060818</v>
      </c>
      <c r="O115" t="n">
        <v>633.531335</v>
      </c>
      <c r="P115" t="n">
        <v>262.847199</v>
      </c>
      <c r="Q115" t="n">
        <v>1169.060818</v>
      </c>
      <c r="R115" t="n">
        <v>1169.060818</v>
      </c>
      <c r="S115" t="n">
        <v>633.531335</v>
      </c>
      <c r="T115" t="n">
        <v>633.6433950000001</v>
      </c>
      <c r="U115" t="n">
        <v>262.847199</v>
      </c>
      <c r="V115" t="n">
        <v>-2693.78971</v>
      </c>
      <c r="W115" t="n">
        <v>696.0734629999999</v>
      </c>
      <c r="X115" t="n">
        <v>1245.599369</v>
      </c>
      <c r="Y115" t="n">
        <v>462.946606</v>
      </c>
      <c r="Z115" t="n">
        <v>1388.472944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1" t="inlineStr">
        <is>
          <t>Thons mineurs</t>
        </is>
      </c>
      <c r="E116" t="n">
        <v>163.765772</v>
      </c>
      <c r="F116" t="n">
        <v>1395.634937</v>
      </c>
      <c r="G116" t="n">
        <v>1321.894731</v>
      </c>
      <c r="H116" t="n">
        <v>9241.370943</v>
      </c>
      <c r="I116" t="n">
        <v>2965.064174</v>
      </c>
      <c r="J116" t="n">
        <v>2997.796257</v>
      </c>
      <c r="K116" t="n">
        <v>1727.300825</v>
      </c>
      <c r="L116" t="n">
        <v>4278.6736</v>
      </c>
      <c r="M116" t="n">
        <v>4278.6736</v>
      </c>
      <c r="N116" t="n">
        <v>4278.6736</v>
      </c>
      <c r="O116" t="n">
        <v>1413.59346</v>
      </c>
      <c r="P116" t="n">
        <v>516.918231</v>
      </c>
      <c r="Q116" t="n">
        <v>4278.6736</v>
      </c>
      <c r="R116" t="n">
        <v>4278.6736</v>
      </c>
      <c r="S116" t="n">
        <v>1413.59346</v>
      </c>
      <c r="T116" t="n">
        <v>1413.838425</v>
      </c>
      <c r="U116" t="n">
        <v>516.918231</v>
      </c>
      <c r="V116" t="n">
        <v>-5160.738295</v>
      </c>
      <c r="W116" t="n">
        <v>1554.137513</v>
      </c>
      <c r="X116" t="n">
        <v>4550.070821</v>
      </c>
      <c r="Y116" t="n">
        <v>750.381718</v>
      </c>
      <c r="Z116" t="n">
        <v>3860.200613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1" t="inlineStr">
        <is>
          <t>Dem M inv</t>
        </is>
      </c>
      <c r="E117" t="n">
        <v>163.765772</v>
      </c>
      <c r="F117" t="n">
        <v>172.485056</v>
      </c>
      <c r="G117" t="n">
        <v>165.952401</v>
      </c>
      <c r="H117" t="n">
        <v>511.347723</v>
      </c>
      <c r="I117" t="n">
        <v>706.004578</v>
      </c>
      <c r="J117" t="n">
        <v>706.004578</v>
      </c>
      <c r="K117" t="n">
        <v>670.704349</v>
      </c>
      <c r="L117" t="n">
        <v>890.128168</v>
      </c>
      <c r="M117" t="n">
        <v>890.128168</v>
      </c>
      <c r="N117" t="n">
        <v>890.128168</v>
      </c>
      <c r="O117" t="n">
        <v>735.262371</v>
      </c>
      <c r="P117" t="n">
        <v>400.351586</v>
      </c>
      <c r="Q117" t="n">
        <v>890.128168</v>
      </c>
      <c r="R117" t="n">
        <v>890.128168</v>
      </c>
      <c r="S117" t="n">
        <v>735.262371</v>
      </c>
      <c r="T117" t="n">
        <v>735.404934</v>
      </c>
      <c r="U117" t="n">
        <v>400.351586</v>
      </c>
      <c r="V117" t="n">
        <v>-4414.739474</v>
      </c>
      <c r="W117" t="n">
        <v>805.768964</v>
      </c>
      <c r="X117" t="n">
        <v>945.574586</v>
      </c>
      <c r="Y117" t="n">
        <v>110.936439</v>
      </c>
      <c r="Z117" t="n">
        <v>283.97695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1" t="inlineStr">
        <is>
          <t>Côtier M inv</t>
        </is>
      </c>
      <c r="E118" t="n">
        <v>163.765772</v>
      </c>
      <c r="F118" t="n">
        <v>170.837609</v>
      </c>
      <c r="G118" t="n">
        <v>164.379174</v>
      </c>
      <c r="H118" t="n">
        <v>573.174129</v>
      </c>
      <c r="I118" t="n">
        <v>332.812451</v>
      </c>
      <c r="J118" t="n">
        <v>332.812451</v>
      </c>
      <c r="K118" t="n">
        <v>331.190423</v>
      </c>
      <c r="L118" t="n">
        <v>425.732264</v>
      </c>
      <c r="M118" t="n">
        <v>425.732264</v>
      </c>
      <c r="N118" t="n">
        <v>425.732264</v>
      </c>
      <c r="O118" t="n">
        <v>368.426453</v>
      </c>
      <c r="P118" t="n">
        <v>198.243136</v>
      </c>
      <c r="Q118" t="n">
        <v>425.732264</v>
      </c>
      <c r="R118" t="n">
        <v>425.732264</v>
      </c>
      <c r="S118" t="n">
        <v>368.426453</v>
      </c>
      <c r="T118" t="n">
        <v>368.498294</v>
      </c>
      <c r="U118" t="n">
        <v>198.243136</v>
      </c>
      <c r="V118" t="n">
        <v>-2197.047861</v>
      </c>
      <c r="W118" t="n">
        <v>402.613215</v>
      </c>
      <c r="X118" t="n">
        <v>447.451967</v>
      </c>
      <c r="Y118" t="n">
        <v>109.967259</v>
      </c>
      <c r="Z118" t="n">
        <v>314.242463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1" t="inlineStr">
        <is>
          <t>Céphalopodes | Benthos</t>
        </is>
      </c>
      <c r="E119" t="n">
        <v>163.765772</v>
      </c>
      <c r="F119" t="n">
        <v>767.372437</v>
      </c>
      <c r="G119" t="n">
        <v>729.739922</v>
      </c>
      <c r="H119" t="n">
        <v>2713.391723</v>
      </c>
      <c r="I119" t="n">
        <v>725.498203</v>
      </c>
      <c r="J119" t="n">
        <v>725.498203</v>
      </c>
      <c r="K119" t="n">
        <v>688.659161</v>
      </c>
      <c r="L119" t="n">
        <v>1091.950451</v>
      </c>
      <c r="M119" t="n">
        <v>1091.950451</v>
      </c>
      <c r="N119" t="n">
        <v>1091.950451</v>
      </c>
      <c r="O119" t="n">
        <v>592.998349</v>
      </c>
      <c r="P119" t="n">
        <v>247.060954</v>
      </c>
      <c r="Q119" t="n">
        <v>1091.950451</v>
      </c>
      <c r="R119" t="n">
        <v>1091.950451</v>
      </c>
      <c r="S119" t="n">
        <v>592.998349</v>
      </c>
      <c r="T119" t="n">
        <v>593.103327</v>
      </c>
      <c r="U119" t="n">
        <v>247.060954</v>
      </c>
      <c r="V119" t="n">
        <v>-2534.946322</v>
      </c>
      <c r="W119" t="n">
        <v>651.472262</v>
      </c>
      <c r="X119" t="n">
        <v>1163.342747</v>
      </c>
      <c r="Y119" t="n">
        <v>431.92243</v>
      </c>
      <c r="Z119" t="n">
        <v>1294.253049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1" t="inlineStr">
        <is>
          <t>Pel S inv</t>
        </is>
      </c>
      <c r="E120" t="n">
        <v>163.765772</v>
      </c>
      <c r="F120" t="n">
        <v>157.970864</v>
      </c>
      <c r="G120" t="n">
        <v>152.088101</v>
      </c>
      <c r="H120" t="n">
        <v>577.271661</v>
      </c>
      <c r="I120" t="n">
        <v>239.810236</v>
      </c>
      <c r="J120" t="n">
        <v>250.631671</v>
      </c>
      <c r="K120" t="n">
        <v>247.596998</v>
      </c>
      <c r="L120" t="n">
        <v>317.630823</v>
      </c>
      <c r="M120" t="n">
        <v>317.630823</v>
      </c>
      <c r="N120" t="n">
        <v>317.630823</v>
      </c>
      <c r="O120" t="n">
        <v>109.892311</v>
      </c>
      <c r="P120" t="n">
        <v>46.754759</v>
      </c>
      <c r="Q120" t="n">
        <v>317.630823</v>
      </c>
      <c r="R120" t="n">
        <v>317.630823</v>
      </c>
      <c r="S120" t="n">
        <v>109.892311</v>
      </c>
      <c r="T120" t="n">
        <v>109.904353</v>
      </c>
      <c r="U120" t="n">
        <v>46.754759</v>
      </c>
      <c r="V120" t="n">
        <v>-281.146464</v>
      </c>
      <c r="W120" t="n">
        <v>116.066501</v>
      </c>
      <c r="X120" t="n">
        <v>339.622839</v>
      </c>
      <c r="Y120" t="n">
        <v>102.369618</v>
      </c>
      <c r="Z120" t="n">
        <v>312.790013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1" t="inlineStr">
        <is>
          <t>Crustacés</t>
        </is>
      </c>
      <c r="E121" t="n">
        <v>163.765772</v>
      </c>
      <c r="F121" t="n">
        <v>79.64922</v>
      </c>
      <c r="G121" t="n">
        <v>77.077782</v>
      </c>
      <c r="H121" t="n">
        <v>199.420396</v>
      </c>
      <c r="I121" t="n">
        <v>94.919134</v>
      </c>
      <c r="J121" t="n">
        <v>94.919134</v>
      </c>
      <c r="K121" t="n">
        <v>90.173177</v>
      </c>
      <c r="L121" t="n">
        <v>135.651174</v>
      </c>
      <c r="M121" t="n">
        <v>135.651174</v>
      </c>
      <c r="N121" t="n">
        <v>135.651174</v>
      </c>
      <c r="O121" t="n">
        <v>112.097094</v>
      </c>
      <c r="P121" t="n">
        <v>63.65447</v>
      </c>
      <c r="Q121" t="n">
        <v>135.651174</v>
      </c>
      <c r="R121" t="n">
        <v>135.651174</v>
      </c>
      <c r="S121" t="n">
        <v>112.097094</v>
      </c>
      <c r="T121" t="n">
        <v>112.118405</v>
      </c>
      <c r="U121" t="n">
        <v>63.65447</v>
      </c>
      <c r="V121" t="n">
        <v>-691.708697</v>
      </c>
      <c r="W121" t="n">
        <v>122.926325</v>
      </c>
      <c r="X121" t="n">
        <v>140.897505</v>
      </c>
      <c r="Y121" t="n">
        <v>54.73445</v>
      </c>
      <c r="Z121" t="n">
        <v>122.753568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1" t="inlineStr">
        <is>
          <t>Sélaciens L prof | Sélaciens M prof</t>
        </is>
      </c>
      <c r="E122" t="n">
        <v>163.765772</v>
      </c>
      <c r="F122" t="n">
        <v>2943.265798</v>
      </c>
      <c r="G122" t="n">
        <v>2772.19544</v>
      </c>
      <c r="H122" t="n">
        <v>30340.285119</v>
      </c>
      <c r="I122" t="n">
        <v>106442.919509</v>
      </c>
      <c r="J122" t="n">
        <v>110084.878099</v>
      </c>
      <c r="K122" t="n">
        <v>55042.439049</v>
      </c>
      <c r="L122" t="n">
        <v>519043.253135</v>
      </c>
      <c r="M122" t="n">
        <v>519043.253135</v>
      </c>
      <c r="N122" t="n">
        <v>519043.253135</v>
      </c>
      <c r="O122" t="n">
        <v>43711.018547</v>
      </c>
      <c r="P122" t="n">
        <v>11190.496517</v>
      </c>
      <c r="Q122" t="n">
        <v>519043.253135</v>
      </c>
      <c r="R122" t="n">
        <v>-1134362.766943</v>
      </c>
      <c r="S122" t="n">
        <v>43711.018547</v>
      </c>
      <c r="T122" t="n">
        <v>43718.735429</v>
      </c>
      <c r="U122" t="n">
        <v>11190.496517</v>
      </c>
      <c r="V122" t="n">
        <v>-815589.494598</v>
      </c>
      <c r="W122" t="n">
        <v>49789.922446</v>
      </c>
      <c r="X122" t="n">
        <v>628099.446156</v>
      </c>
      <c r="Y122" t="n">
        <v>1484.415879</v>
      </c>
      <c r="Z122" t="n">
        <v>10771.910501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1" t="inlineStr">
        <is>
          <t>Thons majeurs</t>
        </is>
      </c>
      <c r="E123" t="n">
        <v>163.765772</v>
      </c>
      <c r="F123" t="n">
        <v>2736.422785</v>
      </c>
      <c r="G123" t="n">
        <v>2578.791074</v>
      </c>
      <c r="H123" t="n">
        <v>17894.302324</v>
      </c>
      <c r="I123" t="n">
        <v>8524.622238</v>
      </c>
      <c r="J123" t="n">
        <v>8877.051893</v>
      </c>
      <c r="K123" t="n">
        <v>4438.525947</v>
      </c>
      <c r="L123" t="n">
        <v>13559.408277</v>
      </c>
      <c r="M123" t="n">
        <v>13559.408277</v>
      </c>
      <c r="N123" t="n">
        <v>13559.408277</v>
      </c>
      <c r="O123" t="n">
        <v>3620.855517</v>
      </c>
      <c r="P123" t="n">
        <v>1183.588403</v>
      </c>
      <c r="Q123" t="n">
        <v>13559.408277</v>
      </c>
      <c r="R123" t="n">
        <v>-35792.676603</v>
      </c>
      <c r="S123" t="n">
        <v>3620.855517</v>
      </c>
      <c r="T123" t="n">
        <v>3621.492366</v>
      </c>
      <c r="U123" t="n">
        <v>1183.588403</v>
      </c>
      <c r="V123" t="n">
        <v>-69430.651774</v>
      </c>
      <c r="W123" t="n">
        <v>4014.185729</v>
      </c>
      <c r="X123" t="n">
        <v>14860.282888</v>
      </c>
      <c r="Y123" t="n">
        <v>1388.786767</v>
      </c>
      <c r="Z123" t="n">
        <v>6982.232434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1" t="inlineStr">
        <is>
          <t>Dem L pred</t>
        </is>
      </c>
      <c r="E124" t="n">
        <v>163.765772</v>
      </c>
      <c r="F124" t="n">
        <v>702.92427</v>
      </c>
      <c r="G124" t="n">
        <v>669.216325</v>
      </c>
      <c r="H124" t="n">
        <v>8905.433089</v>
      </c>
      <c r="I124" t="n">
        <v>6777.560073</v>
      </c>
      <c r="J124" t="n">
        <v>6838.476733</v>
      </c>
      <c r="K124" t="n">
        <v>5761.883976</v>
      </c>
      <c r="L124" t="n">
        <v>11046.457304</v>
      </c>
      <c r="M124" t="n">
        <v>11046.457304</v>
      </c>
      <c r="N124" t="n">
        <v>11046.457304</v>
      </c>
      <c r="O124" t="n">
        <v>5782.642595</v>
      </c>
      <c r="P124" t="n">
        <v>2043.771325</v>
      </c>
      <c r="Q124" t="n">
        <v>11046.457304</v>
      </c>
      <c r="R124" t="n">
        <v>11046.457304</v>
      </c>
      <c r="S124" t="n">
        <v>5782.642595</v>
      </c>
      <c r="T124" t="n">
        <v>5783.714073</v>
      </c>
      <c r="U124" t="n">
        <v>2043.771325</v>
      </c>
      <c r="V124" t="n">
        <v>-21764.358979</v>
      </c>
      <c r="W124" t="n">
        <v>6493.9392</v>
      </c>
      <c r="X124" t="n">
        <v>12062.969112</v>
      </c>
      <c r="Y124" t="n">
        <v>400.815207</v>
      </c>
      <c r="Z124" t="n">
        <v>3457.535342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1" t="inlineStr">
        <is>
          <t>Sélaciens M prof</t>
        </is>
      </c>
      <c r="E125" t="n">
        <v>163.765772</v>
      </c>
      <c r="F125" t="n">
        <v>2768.40081</v>
      </c>
      <c r="G125" t="n">
        <v>2608.699784</v>
      </c>
      <c r="H125" t="n">
        <v>15804.752263</v>
      </c>
      <c r="I125" t="n">
        <v>29649.133706</v>
      </c>
      <c r="J125" t="n">
        <v>30156.605275</v>
      </c>
      <c r="K125" t="n">
        <v>15078.302637</v>
      </c>
      <c r="L125" t="n">
        <v>43428.833302</v>
      </c>
      <c r="M125" t="n">
        <v>43428.833302</v>
      </c>
      <c r="N125" t="n">
        <v>43428.833302</v>
      </c>
      <c r="O125" t="n">
        <v>11691.957211</v>
      </c>
      <c r="P125" t="n">
        <v>4034.843579</v>
      </c>
      <c r="Q125" t="n">
        <v>43428.833302</v>
      </c>
      <c r="R125" t="n">
        <v>43428.833302</v>
      </c>
      <c r="S125" t="n">
        <v>11691.957211</v>
      </c>
      <c r="T125" t="n">
        <v>11694.043139</v>
      </c>
      <c r="U125" t="n">
        <v>4034.843579</v>
      </c>
      <c r="V125" t="n">
        <v>-41506.560008</v>
      </c>
      <c r="W125" t="n">
        <v>13278.635761</v>
      </c>
      <c r="X125" t="n">
        <v>47003.18159</v>
      </c>
      <c r="Y125" t="n">
        <v>1403.618052</v>
      </c>
      <c r="Z125" t="n">
        <v>6258.766097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1" t="inlineStr">
        <is>
          <t>Dem L inv</t>
        </is>
      </c>
      <c r="E126" t="n">
        <v>163.765772</v>
      </c>
      <c r="F126" t="n">
        <v>128.142544</v>
      </c>
      <c r="G126" t="n">
        <v>123.564267</v>
      </c>
      <c r="H126" t="n">
        <v>594.540571</v>
      </c>
      <c r="I126" t="n">
        <v>364.900286</v>
      </c>
      <c r="J126" t="n">
        <v>364.900286</v>
      </c>
      <c r="K126" t="n">
        <v>346.655272</v>
      </c>
      <c r="L126" t="n">
        <v>481.097618</v>
      </c>
      <c r="M126" t="n">
        <v>481.097618</v>
      </c>
      <c r="N126" t="n">
        <v>481.097618</v>
      </c>
      <c r="O126" t="n">
        <v>394.134001</v>
      </c>
      <c r="P126" t="n">
        <v>202.522778</v>
      </c>
      <c r="Q126" t="n">
        <v>481.097618</v>
      </c>
      <c r="R126" t="n">
        <v>481.097618</v>
      </c>
      <c r="S126" t="n">
        <v>394.134001</v>
      </c>
      <c r="T126" t="n">
        <v>394.210214</v>
      </c>
      <c r="U126" t="n">
        <v>202.522778</v>
      </c>
      <c r="V126" t="n">
        <v>-2227.375206</v>
      </c>
      <c r="W126" t="n">
        <v>437.21542</v>
      </c>
      <c r="X126" t="n">
        <v>511.290128</v>
      </c>
      <c r="Y126" t="n">
        <v>84.54261099999999</v>
      </c>
      <c r="Z126" t="n">
        <v>318.940827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1" t="inlineStr">
        <is>
          <t>Thons majeurs</t>
        </is>
      </c>
      <c r="E127" t="n">
        <v>163.765772</v>
      </c>
      <c r="F127" t="n">
        <v>2736.422785</v>
      </c>
      <c r="G127" t="n">
        <v>2578.791074</v>
      </c>
      <c r="H127" t="n">
        <v>17894.302324</v>
      </c>
      <c r="I127" t="n">
        <v>8524.622238</v>
      </c>
      <c r="J127" t="n">
        <v>8877.051893</v>
      </c>
      <c r="K127" t="n">
        <v>4438.525947</v>
      </c>
      <c r="L127" t="n">
        <v>13559.408277</v>
      </c>
      <c r="M127" t="n">
        <v>13559.408277</v>
      </c>
      <c r="N127" t="n">
        <v>13559.408277</v>
      </c>
      <c r="O127" t="n">
        <v>3620.855517</v>
      </c>
      <c r="P127" t="n">
        <v>1183.588403</v>
      </c>
      <c r="Q127" t="n">
        <v>13559.408277</v>
      </c>
      <c r="R127" t="n">
        <v>-35792.676603</v>
      </c>
      <c r="S127" t="n">
        <v>3620.855517</v>
      </c>
      <c r="T127" t="n">
        <v>3621.492366</v>
      </c>
      <c r="U127" t="n">
        <v>1183.588403</v>
      </c>
      <c r="V127" t="n">
        <v>-69430.651774</v>
      </c>
      <c r="W127" t="n">
        <v>4014.185729</v>
      </c>
      <c r="X127" t="n">
        <v>14860.282888</v>
      </c>
      <c r="Y127" t="n">
        <v>1388.786767</v>
      </c>
      <c r="Z127" t="n">
        <v>6982.232434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1" t="inlineStr">
        <is>
          <t>Dem M pred</t>
        </is>
      </c>
      <c r="E128" t="n">
        <v>163.765772</v>
      </c>
      <c r="F128" t="n">
        <v>865.196085</v>
      </c>
      <c r="G128" t="n">
        <v>822.424992</v>
      </c>
      <c r="H128" t="n">
        <v>5615.443398</v>
      </c>
      <c r="I128" t="n">
        <v>2545.974662</v>
      </c>
      <c r="J128" t="n">
        <v>2548.997979</v>
      </c>
      <c r="K128" t="n">
        <v>2421.54808</v>
      </c>
      <c r="L128" t="n">
        <v>3524.148314</v>
      </c>
      <c r="M128" t="n">
        <v>3524.148314</v>
      </c>
      <c r="N128" t="n">
        <v>3524.148314</v>
      </c>
      <c r="O128" t="n">
        <v>2342.099562</v>
      </c>
      <c r="P128" t="n">
        <v>966.982842</v>
      </c>
      <c r="Q128" t="n">
        <v>3524.148314</v>
      </c>
      <c r="R128" t="n">
        <v>3524.148314</v>
      </c>
      <c r="S128" t="n">
        <v>2342.099562</v>
      </c>
      <c r="T128" t="n">
        <v>2342.538543</v>
      </c>
      <c r="U128" t="n">
        <v>966.982842</v>
      </c>
      <c r="V128" t="n">
        <v>-10411.689834</v>
      </c>
      <c r="W128" t="n">
        <v>2575.180215</v>
      </c>
      <c r="X128" t="n">
        <v>3752.018969</v>
      </c>
      <c r="Y128" t="n">
        <v>484.640876</v>
      </c>
      <c r="Z128" t="n">
        <v>2412.043438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1" t="inlineStr">
        <is>
          <t>Pel S inv</t>
        </is>
      </c>
      <c r="E129" t="n">
        <v>163.765772</v>
      </c>
      <c r="F129" t="n">
        <v>157.970864</v>
      </c>
      <c r="G129" t="n">
        <v>152.088101</v>
      </c>
      <c r="H129" t="n">
        <v>577.271661</v>
      </c>
      <c r="I129" t="n">
        <v>239.810236</v>
      </c>
      <c r="J129" t="n">
        <v>250.631671</v>
      </c>
      <c r="K129" t="n">
        <v>247.596998</v>
      </c>
      <c r="L129" t="n">
        <v>317.630823</v>
      </c>
      <c r="M129" t="n">
        <v>317.630823</v>
      </c>
      <c r="N129" t="n">
        <v>317.630823</v>
      </c>
      <c r="O129" t="n">
        <v>109.892311</v>
      </c>
      <c r="P129" t="n">
        <v>46.754759</v>
      </c>
      <c r="Q129" t="n">
        <v>317.630823</v>
      </c>
      <c r="R129" t="n">
        <v>317.630823</v>
      </c>
      <c r="S129" t="n">
        <v>109.892311</v>
      </c>
      <c r="T129" t="n">
        <v>109.904353</v>
      </c>
      <c r="U129" t="n">
        <v>46.754759</v>
      </c>
      <c r="V129" t="n">
        <v>-281.146464</v>
      </c>
      <c r="W129" t="n">
        <v>116.066501</v>
      </c>
      <c r="X129" t="n">
        <v>339.622839</v>
      </c>
      <c r="Y129" t="n">
        <v>102.369618</v>
      </c>
      <c r="Z129" t="n">
        <v>312.790013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1" t="inlineStr">
        <is>
          <t>Pel L pred</t>
        </is>
      </c>
      <c r="E130" t="n">
        <v>163.765772</v>
      </c>
      <c r="F130" t="n">
        <v>1087.886765</v>
      </c>
      <c r="G130" t="n">
        <v>1032.332906</v>
      </c>
      <c r="H130" t="n">
        <v>5007.056466</v>
      </c>
      <c r="I130" t="n">
        <v>3058.864858</v>
      </c>
      <c r="J130" t="n">
        <v>3141.84619</v>
      </c>
      <c r="K130" t="n">
        <v>2984.75388</v>
      </c>
      <c r="L130" t="n">
        <v>5671.221213</v>
      </c>
      <c r="M130" t="n">
        <v>5671.221213</v>
      </c>
      <c r="N130" t="n">
        <v>5671.221213</v>
      </c>
      <c r="O130" t="n">
        <v>2818.562992</v>
      </c>
      <c r="P130" t="n">
        <v>998.222029</v>
      </c>
      <c r="Q130" t="n">
        <v>5671.221213</v>
      </c>
      <c r="R130" t="n">
        <v>-68811.51763</v>
      </c>
      <c r="S130" t="n">
        <v>2818.562992</v>
      </c>
      <c r="T130" t="n">
        <v>2819.031522</v>
      </c>
      <c r="U130" t="n">
        <v>998.222029</v>
      </c>
      <c r="V130" t="n">
        <v>-142542.658222</v>
      </c>
      <c r="W130" t="n">
        <v>3155.54017</v>
      </c>
      <c r="X130" t="n">
        <v>6096.553542</v>
      </c>
      <c r="Y130" t="n">
        <v>597.537591</v>
      </c>
      <c r="Z130" t="n">
        <v>2190.295136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1" t="inlineStr">
        <is>
          <t>Côtier M inv | Côtier S inv</t>
        </is>
      </c>
      <c r="E131" t="n">
        <v>163.765772</v>
      </c>
      <c r="F131" t="n">
        <v>122.16173</v>
      </c>
      <c r="G131" t="n">
        <v>117.777925</v>
      </c>
      <c r="H131" t="n">
        <v>466.565269</v>
      </c>
      <c r="I131" t="n">
        <v>277.0582</v>
      </c>
      <c r="J131" t="n">
        <v>277.379916</v>
      </c>
      <c r="K131" t="n">
        <v>273.525549</v>
      </c>
      <c r="L131" t="n">
        <v>360.017884</v>
      </c>
      <c r="M131" t="n">
        <v>360.017884</v>
      </c>
      <c r="N131" t="n">
        <v>360.017884</v>
      </c>
      <c r="O131" t="n">
        <v>302.21757</v>
      </c>
      <c r="P131" t="n">
        <v>160.613558</v>
      </c>
      <c r="Q131" t="n">
        <v>360.017884</v>
      </c>
      <c r="R131" t="n">
        <v>360.017884</v>
      </c>
      <c r="S131" t="n">
        <v>302.21757</v>
      </c>
      <c r="T131" t="n">
        <v>302.27539</v>
      </c>
      <c r="U131" t="n">
        <v>160.613558</v>
      </c>
      <c r="V131" t="n">
        <v>-1744.426224</v>
      </c>
      <c r="W131" t="n">
        <v>329.795781</v>
      </c>
      <c r="X131" t="n">
        <v>377.633291</v>
      </c>
      <c r="Y131" t="n">
        <v>80.482601</v>
      </c>
      <c r="Z131" t="n">
        <v>254.965805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1" t="inlineStr">
        <is>
          <t>Pel S inv</t>
        </is>
      </c>
      <c r="E132" t="n">
        <v>163.765772</v>
      </c>
      <c r="F132" t="n">
        <v>157.970864</v>
      </c>
      <c r="G132" t="n">
        <v>152.088101</v>
      </c>
      <c r="H132" t="n">
        <v>577.271661</v>
      </c>
      <c r="I132" t="n">
        <v>239.810236</v>
      </c>
      <c r="J132" t="n">
        <v>250.631671</v>
      </c>
      <c r="K132" t="n">
        <v>247.596998</v>
      </c>
      <c r="L132" t="n">
        <v>317.630823</v>
      </c>
      <c r="M132" t="n">
        <v>317.630823</v>
      </c>
      <c r="N132" t="n">
        <v>317.630823</v>
      </c>
      <c r="O132" t="n">
        <v>109.892311</v>
      </c>
      <c r="P132" t="n">
        <v>46.754759</v>
      </c>
      <c r="Q132" t="n">
        <v>317.630823</v>
      </c>
      <c r="R132" t="n">
        <v>317.630823</v>
      </c>
      <c r="S132" t="n">
        <v>109.892311</v>
      </c>
      <c r="T132" t="n">
        <v>109.904353</v>
      </c>
      <c r="U132" t="n">
        <v>46.754759</v>
      </c>
      <c r="V132" t="n">
        <v>-281.146464</v>
      </c>
      <c r="W132" t="n">
        <v>116.066501</v>
      </c>
      <c r="X132" t="n">
        <v>339.622839</v>
      </c>
      <c r="Y132" t="n">
        <v>102.369618</v>
      </c>
      <c r="Z132" t="n">
        <v>312.790013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1" t="inlineStr">
        <is>
          <t>Thons mineurs</t>
        </is>
      </c>
      <c r="E133" t="n">
        <v>163.765772</v>
      </c>
      <c r="F133" t="n">
        <v>1395.634937</v>
      </c>
      <c r="G133" t="n">
        <v>1321.894731</v>
      </c>
      <c r="H133" t="n">
        <v>9241.370943</v>
      </c>
      <c r="I133" t="n">
        <v>2965.064174</v>
      </c>
      <c r="J133" t="n">
        <v>2997.796257</v>
      </c>
      <c r="K133" t="n">
        <v>1727.300825</v>
      </c>
      <c r="L133" t="n">
        <v>4278.6736</v>
      </c>
      <c r="M133" t="n">
        <v>4278.6736</v>
      </c>
      <c r="N133" t="n">
        <v>4278.6736</v>
      </c>
      <c r="O133" t="n">
        <v>1413.59346</v>
      </c>
      <c r="P133" t="n">
        <v>516.918231</v>
      </c>
      <c r="Q133" t="n">
        <v>4278.6736</v>
      </c>
      <c r="R133" t="n">
        <v>4278.6736</v>
      </c>
      <c r="S133" t="n">
        <v>1413.59346</v>
      </c>
      <c r="T133" t="n">
        <v>1413.838425</v>
      </c>
      <c r="U133" t="n">
        <v>516.918231</v>
      </c>
      <c r="V133" t="n">
        <v>-5160.738295</v>
      </c>
      <c r="W133" t="n">
        <v>1554.137513</v>
      </c>
      <c r="X133" t="n">
        <v>4550.070821</v>
      </c>
      <c r="Y133" t="n">
        <v>750.381718</v>
      </c>
      <c r="Z133" t="n">
        <v>3860.200613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1" t="inlineStr">
        <is>
          <t>Dem M pred</t>
        </is>
      </c>
      <c r="E134" t="n">
        <v>163.765772</v>
      </c>
      <c r="F134" t="n">
        <v>865.196085</v>
      </c>
      <c r="G134" t="n">
        <v>822.424992</v>
      </c>
      <c r="H134" t="n">
        <v>5615.443398</v>
      </c>
      <c r="I134" t="n">
        <v>2545.974662</v>
      </c>
      <c r="J134" t="n">
        <v>2548.997979</v>
      </c>
      <c r="K134" t="n">
        <v>2421.54808</v>
      </c>
      <c r="L134" t="n">
        <v>3524.148314</v>
      </c>
      <c r="M134" t="n">
        <v>3524.148314</v>
      </c>
      <c r="N134" t="n">
        <v>3524.148314</v>
      </c>
      <c r="O134" t="n">
        <v>2342.099562</v>
      </c>
      <c r="P134" t="n">
        <v>966.982842</v>
      </c>
      <c r="Q134" t="n">
        <v>3524.148314</v>
      </c>
      <c r="R134" t="n">
        <v>3524.148314</v>
      </c>
      <c r="S134" t="n">
        <v>2342.099562</v>
      </c>
      <c r="T134" t="n">
        <v>2342.538543</v>
      </c>
      <c r="U134" t="n">
        <v>966.982842</v>
      </c>
      <c r="V134" t="n">
        <v>-10411.689834</v>
      </c>
      <c r="W134" t="n">
        <v>2575.180215</v>
      </c>
      <c r="X134" t="n">
        <v>3752.018969</v>
      </c>
      <c r="Y134" t="n">
        <v>484.640876</v>
      </c>
      <c r="Z134" t="n">
        <v>2412.043438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1" t="inlineStr">
        <is>
          <t>Sélaciens L prof</t>
        </is>
      </c>
      <c r="E135" t="n">
        <v>163.765772</v>
      </c>
      <c r="F135" t="n">
        <v>2984.356694</v>
      </c>
      <c r="G135" t="n">
        <v>2810.614697</v>
      </c>
      <c r="H135" t="n">
        <v>33755.937801</v>
      </c>
      <c r="I135" t="n">
        <v>124488.415541</v>
      </c>
      <c r="J135" t="n">
        <v>128866.935983</v>
      </c>
      <c r="K135" t="n">
        <v>64433.467991</v>
      </c>
      <c r="L135" t="n">
        <v>630806.17817</v>
      </c>
      <c r="M135" t="n">
        <v>630806.17817</v>
      </c>
      <c r="N135" t="n">
        <v>630806.17817</v>
      </c>
      <c r="O135" t="n">
        <v>51235.06282</v>
      </c>
      <c r="P135" t="n">
        <v>12871.977711</v>
      </c>
      <c r="Q135" t="n">
        <v>630806.17817</v>
      </c>
      <c r="R135" t="n">
        <v>-1411127.786749</v>
      </c>
      <c r="S135" t="n">
        <v>51235.06282</v>
      </c>
      <c r="T135" t="n">
        <v>51244.1029</v>
      </c>
      <c r="U135" t="n">
        <v>12871.977711</v>
      </c>
      <c r="V135" t="n">
        <v>-997488.464399</v>
      </c>
      <c r="W135" t="n">
        <v>58369.578627</v>
      </c>
      <c r="X135" t="n">
        <v>764649.1712</v>
      </c>
      <c r="Y135" t="n">
        <v>1503.40227</v>
      </c>
      <c r="Z135" t="n">
        <v>11832.438102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1" t="inlineStr">
        <is>
          <t>Céphalopodes</t>
        </is>
      </c>
      <c r="E136" t="n">
        <v>163.765772</v>
      </c>
      <c r="F136" t="n">
        <v>822.926928</v>
      </c>
      <c r="G136" t="n">
        <v>782.5392000000001</v>
      </c>
      <c r="H136" t="n">
        <v>2911.869334</v>
      </c>
      <c r="I136" t="n">
        <v>776.132507</v>
      </c>
      <c r="J136" t="n">
        <v>776.132507</v>
      </c>
      <c r="K136" t="n">
        <v>737.325882</v>
      </c>
      <c r="L136" t="n">
        <v>1169.060818</v>
      </c>
      <c r="M136" t="n">
        <v>1169.060818</v>
      </c>
      <c r="N136" t="n">
        <v>1169.060818</v>
      </c>
      <c r="O136" t="n">
        <v>633.531335</v>
      </c>
      <c r="P136" t="n">
        <v>262.847199</v>
      </c>
      <c r="Q136" t="n">
        <v>1169.060818</v>
      </c>
      <c r="R136" t="n">
        <v>1169.060818</v>
      </c>
      <c r="S136" t="n">
        <v>633.531335</v>
      </c>
      <c r="T136" t="n">
        <v>633.6433950000001</v>
      </c>
      <c r="U136" t="n">
        <v>262.847199</v>
      </c>
      <c r="V136" t="n">
        <v>-2693.78971</v>
      </c>
      <c r="W136" t="n">
        <v>696.0734629999999</v>
      </c>
      <c r="X136" t="n">
        <v>1245.599369</v>
      </c>
      <c r="Y136" t="n">
        <v>462.946606</v>
      </c>
      <c r="Z136" t="n">
        <v>1388.472944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1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1" t="inlineStr">
        <is>
          <t>Sélaciens L côtiers | Sélaciens L prof</t>
        </is>
      </c>
      <c r="E138" t="n">
        <v>163.765772</v>
      </c>
      <c r="F138" t="n">
        <v>2781.823109</v>
      </c>
      <c r="G138" t="n">
        <v>2620.729687</v>
      </c>
      <c r="H138" t="n">
        <v>32914.045145</v>
      </c>
      <c r="I138" t="n">
        <v>117376.992332</v>
      </c>
      <c r="J138" t="n">
        <v>120595.391636</v>
      </c>
      <c r="K138" t="n">
        <v>62652.873752</v>
      </c>
      <c r="L138" t="n">
        <v>577175.629756</v>
      </c>
      <c r="M138" t="n">
        <v>577175.629756</v>
      </c>
      <c r="N138" t="n">
        <v>577175.629756</v>
      </c>
      <c r="O138" t="n">
        <v>48623.971447</v>
      </c>
      <c r="P138" t="n">
        <v>12260.04636</v>
      </c>
      <c r="Q138" t="n">
        <v>577175.629756</v>
      </c>
      <c r="R138" t="n">
        <v>-1291278.854716</v>
      </c>
      <c r="S138" t="n">
        <v>48623.971447</v>
      </c>
      <c r="T138" t="n">
        <v>48632.556168</v>
      </c>
      <c r="U138" t="n">
        <v>12260.04636</v>
      </c>
      <c r="V138" t="n">
        <v>-968705.2265549999</v>
      </c>
      <c r="W138" t="n">
        <v>55337.883183</v>
      </c>
      <c r="X138" t="n">
        <v>698317.197925</v>
      </c>
      <c r="Y138" t="n">
        <v>1406.818237</v>
      </c>
      <c r="Z138" t="n">
        <v>11543.574114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1" t="inlineStr">
        <is>
          <t>Côtier pel L pred</t>
        </is>
      </c>
      <c r="E139" t="n">
        <v>163.765772</v>
      </c>
      <c r="F139" t="n">
        <v>1052.557933</v>
      </c>
      <c r="G139" t="n">
        <v>999.055395</v>
      </c>
      <c r="H139" t="n">
        <v>11777.345384</v>
      </c>
      <c r="I139" t="n">
        <v>6532.702988</v>
      </c>
      <c r="J139" t="n">
        <v>7781.543468</v>
      </c>
      <c r="K139" t="n">
        <v>7457.867522</v>
      </c>
      <c r="L139" t="n">
        <v>14096.783373</v>
      </c>
      <c r="M139" t="n">
        <v>14096.783373</v>
      </c>
      <c r="N139" t="n">
        <v>14096.783373</v>
      </c>
      <c r="O139" t="n">
        <v>6109.503634</v>
      </c>
      <c r="P139" t="n">
        <v>1921.91996</v>
      </c>
      <c r="Q139" t="n">
        <v>14096.783373</v>
      </c>
      <c r="R139" t="n">
        <v>-57701.40232</v>
      </c>
      <c r="S139" t="n">
        <v>6109.503634</v>
      </c>
      <c r="T139" t="n">
        <v>6110.593726</v>
      </c>
      <c r="U139" t="n">
        <v>1921.91996</v>
      </c>
      <c r="V139" t="n">
        <v>-289768.063862</v>
      </c>
      <c r="W139" t="n">
        <v>6783.082741</v>
      </c>
      <c r="X139" t="n">
        <v>15274.190211</v>
      </c>
      <c r="Y139" t="n">
        <v>579.770625</v>
      </c>
      <c r="Z139" t="n">
        <v>4535.503078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1" t="inlineStr">
        <is>
          <t>Bars</t>
        </is>
      </c>
      <c r="E140" t="n">
        <v>163.765772</v>
      </c>
      <c r="F140" t="n">
        <v>765.126208</v>
      </c>
      <c r="G140" t="n">
        <v>727.972559</v>
      </c>
      <c r="H140" t="n">
        <v>3298.25622</v>
      </c>
      <c r="I140" t="n">
        <v>1392.35844</v>
      </c>
      <c r="J140" t="n">
        <v>1698.410099</v>
      </c>
      <c r="K140" t="n">
        <v>1593.284857</v>
      </c>
      <c r="L140" t="n">
        <v>2935.662355</v>
      </c>
      <c r="M140" t="n">
        <v>2935.662355</v>
      </c>
      <c r="N140" t="n">
        <v>2935.662355</v>
      </c>
      <c r="O140" t="n">
        <v>1750.549134</v>
      </c>
      <c r="P140" t="n">
        <v>663.603284</v>
      </c>
      <c r="Q140" t="n">
        <v>2935.662355</v>
      </c>
      <c r="R140" t="n">
        <v>-12163.717722</v>
      </c>
      <c r="S140" t="n">
        <v>1750.549134</v>
      </c>
      <c r="T140" t="n">
        <v>1750.869265</v>
      </c>
      <c r="U140" t="n">
        <v>663.603284</v>
      </c>
      <c r="V140" t="n">
        <v>-129126.842756</v>
      </c>
      <c r="W140" t="n">
        <v>1958.674131</v>
      </c>
      <c r="X140" t="n">
        <v>3084.90119</v>
      </c>
      <c r="Y140" t="n">
        <v>433.124819</v>
      </c>
      <c r="Z140" t="n">
        <v>1494.308191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1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1" t="inlineStr">
        <is>
          <t>Crustacés</t>
        </is>
      </c>
      <c r="E142" t="n">
        <v>163.765772</v>
      </c>
      <c r="F142" t="n">
        <v>79.64922</v>
      </c>
      <c r="G142" t="n">
        <v>77.077782</v>
      </c>
      <c r="H142" t="n">
        <v>199.420396</v>
      </c>
      <c r="I142" t="n">
        <v>94.919134</v>
      </c>
      <c r="J142" t="n">
        <v>94.919134</v>
      </c>
      <c r="K142" t="n">
        <v>90.173177</v>
      </c>
      <c r="L142" t="n">
        <v>135.651174</v>
      </c>
      <c r="M142" t="n">
        <v>135.651174</v>
      </c>
      <c r="N142" t="n">
        <v>135.651174</v>
      </c>
      <c r="O142" t="n">
        <v>112.097094</v>
      </c>
      <c r="P142" t="n">
        <v>63.65447</v>
      </c>
      <c r="Q142" t="n">
        <v>135.651174</v>
      </c>
      <c r="R142" t="n">
        <v>135.651174</v>
      </c>
      <c r="S142" t="n">
        <v>112.097094</v>
      </c>
      <c r="T142" t="n">
        <v>112.118405</v>
      </c>
      <c r="U142" t="n">
        <v>63.65447</v>
      </c>
      <c r="V142" t="n">
        <v>-691.708697</v>
      </c>
      <c r="W142" t="n">
        <v>122.926325</v>
      </c>
      <c r="X142" t="n">
        <v>140.897505</v>
      </c>
      <c r="Y142" t="n">
        <v>54.73445</v>
      </c>
      <c r="Z142" t="n">
        <v>122.753568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1" t="inlineStr">
        <is>
          <t>Crustacés</t>
        </is>
      </c>
      <c r="E143" t="n">
        <v>163.765772</v>
      </c>
      <c r="F143" t="n">
        <v>79.64922</v>
      </c>
      <c r="G143" t="n">
        <v>77.077782</v>
      </c>
      <c r="H143" t="n">
        <v>199.420396</v>
      </c>
      <c r="I143" t="n">
        <v>94.919134</v>
      </c>
      <c r="J143" t="n">
        <v>94.919134</v>
      </c>
      <c r="K143" t="n">
        <v>90.173177</v>
      </c>
      <c r="L143" t="n">
        <v>135.651174</v>
      </c>
      <c r="M143" t="n">
        <v>135.651174</v>
      </c>
      <c r="N143" t="n">
        <v>135.651174</v>
      </c>
      <c r="O143" t="n">
        <v>112.097094</v>
      </c>
      <c r="P143" t="n">
        <v>63.65447</v>
      </c>
      <c r="Q143" t="n">
        <v>135.651174</v>
      </c>
      <c r="R143" t="n">
        <v>135.651174</v>
      </c>
      <c r="S143" t="n">
        <v>112.097094</v>
      </c>
      <c r="T143" t="n">
        <v>112.118405</v>
      </c>
      <c r="U143" t="n">
        <v>63.65447</v>
      </c>
      <c r="V143" t="n">
        <v>-691.708697</v>
      </c>
      <c r="W143" t="n">
        <v>122.926325</v>
      </c>
      <c r="X143" t="n">
        <v>140.897505</v>
      </c>
      <c r="Y143" t="n">
        <v>54.73445</v>
      </c>
      <c r="Z143" t="n">
        <v>122.753568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1" t="inlineStr">
        <is>
          <t>Benthos</t>
        </is>
      </c>
      <c r="E144" t="n">
        <v>163.765772</v>
      </c>
      <c r="F144" t="n">
        <v>14.225293</v>
      </c>
      <c r="G144" t="n">
        <v>13.944959</v>
      </c>
      <c r="H144" t="n">
        <v>22.648952</v>
      </c>
      <c r="I144" t="n">
        <v>39.053581</v>
      </c>
      <c r="J144" t="n">
        <v>39.053581</v>
      </c>
      <c r="K144" t="n">
        <v>28.888889</v>
      </c>
      <c r="L144" t="n">
        <v>46.572283</v>
      </c>
      <c r="M144" t="n">
        <v>46.572283</v>
      </c>
      <c r="N144" t="n">
        <v>46.572283</v>
      </c>
      <c r="O144" t="n">
        <v>43.496371</v>
      </c>
      <c r="P144" t="n">
        <v>33.04828</v>
      </c>
      <c r="Q144" t="n">
        <v>46.572283</v>
      </c>
      <c r="R144" t="n">
        <v>46.572283</v>
      </c>
      <c r="S144" t="n">
        <v>43.496371</v>
      </c>
      <c r="T144" t="n">
        <v>43.50535</v>
      </c>
      <c r="U144" t="n">
        <v>33.04828</v>
      </c>
      <c r="V144" t="n">
        <v>-381.521079</v>
      </c>
      <c r="W144" t="n">
        <v>46.817883</v>
      </c>
      <c r="X144" t="n">
        <v>48.197268</v>
      </c>
      <c r="Y144" t="n">
        <v>11.33053</v>
      </c>
      <c r="Z144" t="n">
        <v>16.922572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1" t="inlineStr">
        <is>
          <t>Côtier pel L pred</t>
        </is>
      </c>
      <c r="E145" t="n">
        <v>163.765772</v>
      </c>
      <c r="F145" t="n">
        <v>1052.557933</v>
      </c>
      <c r="G145" t="n">
        <v>999.055395</v>
      </c>
      <c r="H145" t="n">
        <v>11777.345384</v>
      </c>
      <c r="I145" t="n">
        <v>6532.702988</v>
      </c>
      <c r="J145" t="n">
        <v>7781.543468</v>
      </c>
      <c r="K145" t="n">
        <v>7457.867522</v>
      </c>
      <c r="L145" t="n">
        <v>14096.783373</v>
      </c>
      <c r="M145" t="n">
        <v>14096.783373</v>
      </c>
      <c r="N145" t="n">
        <v>14096.783373</v>
      </c>
      <c r="O145" t="n">
        <v>6109.503634</v>
      </c>
      <c r="P145" t="n">
        <v>1921.91996</v>
      </c>
      <c r="Q145" t="n">
        <v>14096.783373</v>
      </c>
      <c r="R145" t="n">
        <v>-57701.40232</v>
      </c>
      <c r="S145" t="n">
        <v>6109.503634</v>
      </c>
      <c r="T145" t="n">
        <v>6110.593726</v>
      </c>
      <c r="U145" t="n">
        <v>1921.91996</v>
      </c>
      <c r="V145" t="n">
        <v>-289768.063862</v>
      </c>
      <c r="W145" t="n">
        <v>6783.082741</v>
      </c>
      <c r="X145" t="n">
        <v>15274.190211</v>
      </c>
      <c r="Y145" t="n">
        <v>579.770625</v>
      </c>
      <c r="Z145" t="n">
        <v>4535.503078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1" t="inlineStr">
        <is>
          <t>Dem L pred</t>
        </is>
      </c>
      <c r="E146" t="n">
        <v>163.765772</v>
      </c>
      <c r="F146" t="n">
        <v>702.92427</v>
      </c>
      <c r="G146" t="n">
        <v>669.216325</v>
      </c>
      <c r="H146" t="n">
        <v>8905.433089</v>
      </c>
      <c r="I146" t="n">
        <v>6777.560073</v>
      </c>
      <c r="J146" t="n">
        <v>6838.476733</v>
      </c>
      <c r="K146" t="n">
        <v>5761.883976</v>
      </c>
      <c r="L146" t="n">
        <v>11046.457304</v>
      </c>
      <c r="M146" t="n">
        <v>11046.457304</v>
      </c>
      <c r="N146" t="n">
        <v>11046.457304</v>
      </c>
      <c r="O146" t="n">
        <v>5782.642595</v>
      </c>
      <c r="P146" t="n">
        <v>2043.771325</v>
      </c>
      <c r="Q146" t="n">
        <v>11046.457304</v>
      </c>
      <c r="R146" t="n">
        <v>11046.457304</v>
      </c>
      <c r="S146" t="n">
        <v>5782.642595</v>
      </c>
      <c r="T146" t="n">
        <v>5783.714073</v>
      </c>
      <c r="U146" t="n">
        <v>2043.771325</v>
      </c>
      <c r="V146" t="n">
        <v>-21764.358979</v>
      </c>
      <c r="W146" t="n">
        <v>6493.9392</v>
      </c>
      <c r="X146" t="n">
        <v>12062.969112</v>
      </c>
      <c r="Y146" t="n">
        <v>400.815207</v>
      </c>
      <c r="Z146" t="n">
        <v>3457.535342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1" t="inlineStr">
        <is>
          <t>Benthos</t>
        </is>
      </c>
      <c r="E147" t="n">
        <v>163.765772</v>
      </c>
      <c r="F147" t="n">
        <v>14.225293</v>
      </c>
      <c r="G147" t="n">
        <v>13.944959</v>
      </c>
      <c r="H147" t="n">
        <v>22.648952</v>
      </c>
      <c r="I147" t="n">
        <v>39.053581</v>
      </c>
      <c r="J147" t="n">
        <v>39.053581</v>
      </c>
      <c r="K147" t="n">
        <v>28.888889</v>
      </c>
      <c r="L147" t="n">
        <v>46.572283</v>
      </c>
      <c r="M147" t="n">
        <v>46.572283</v>
      </c>
      <c r="N147" t="n">
        <v>46.572283</v>
      </c>
      <c r="O147" t="n">
        <v>43.496371</v>
      </c>
      <c r="P147" t="n">
        <v>33.04828</v>
      </c>
      <c r="Q147" t="n">
        <v>46.572283</v>
      </c>
      <c r="R147" t="n">
        <v>46.572283</v>
      </c>
      <c r="S147" t="n">
        <v>43.496371</v>
      </c>
      <c r="T147" t="n">
        <v>43.50535</v>
      </c>
      <c r="U147" t="n">
        <v>33.04828</v>
      </c>
      <c r="V147" t="n">
        <v>-381.521079</v>
      </c>
      <c r="W147" t="n">
        <v>46.817883</v>
      </c>
      <c r="X147" t="n">
        <v>48.197268</v>
      </c>
      <c r="Y147" t="n">
        <v>11.33053</v>
      </c>
      <c r="Z147" t="n">
        <v>16.922572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1" t="inlineStr">
        <is>
          <t>Dem M inv | Mulets</t>
        </is>
      </c>
      <c r="E148" t="n">
        <v>163.765772</v>
      </c>
      <c r="F148" t="n">
        <v>161.365334</v>
      </c>
      <c r="G148" t="n">
        <v>155.277245</v>
      </c>
      <c r="H148" t="n">
        <v>481.497528</v>
      </c>
      <c r="I148" t="n">
        <v>660.489131</v>
      </c>
      <c r="J148" t="n">
        <v>660.489131</v>
      </c>
      <c r="K148" t="n">
        <v>627.4646739999999</v>
      </c>
      <c r="L148" t="n">
        <v>831.334602</v>
      </c>
      <c r="M148" t="n">
        <v>831.334602</v>
      </c>
      <c r="N148" t="n">
        <v>831.334602</v>
      </c>
      <c r="O148" t="n">
        <v>685.685987</v>
      </c>
      <c r="P148" t="n">
        <v>373.360833</v>
      </c>
      <c r="Q148" t="n">
        <v>831.334602</v>
      </c>
      <c r="R148" t="n">
        <v>831.334602</v>
      </c>
      <c r="S148" t="n">
        <v>685.685987</v>
      </c>
      <c r="T148" t="n">
        <v>685.818519</v>
      </c>
      <c r="U148" t="n">
        <v>373.360833</v>
      </c>
      <c r="V148" t="n">
        <v>-4104.606578</v>
      </c>
      <c r="W148" t="n">
        <v>751.201064</v>
      </c>
      <c r="X148" t="n">
        <v>882.8690350000001</v>
      </c>
      <c r="Y148" t="n">
        <v>103.979302</v>
      </c>
      <c r="Z148" t="n">
        <v>267.853862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1" t="inlineStr">
        <is>
          <t>Dem L pred</t>
        </is>
      </c>
      <c r="E149" t="n">
        <v>163.765772</v>
      </c>
      <c r="F149" t="n">
        <v>702.92427</v>
      </c>
      <c r="G149" t="n">
        <v>669.216325</v>
      </c>
      <c r="H149" t="n">
        <v>8905.433089</v>
      </c>
      <c r="I149" t="n">
        <v>6777.560073</v>
      </c>
      <c r="J149" t="n">
        <v>6838.476733</v>
      </c>
      <c r="K149" t="n">
        <v>5761.883976</v>
      </c>
      <c r="L149" t="n">
        <v>11046.457304</v>
      </c>
      <c r="M149" t="n">
        <v>11046.457304</v>
      </c>
      <c r="N149" t="n">
        <v>11046.457304</v>
      </c>
      <c r="O149" t="n">
        <v>5782.642595</v>
      </c>
      <c r="P149" t="n">
        <v>2043.771325</v>
      </c>
      <c r="Q149" t="n">
        <v>11046.457304</v>
      </c>
      <c r="R149" t="n">
        <v>11046.457304</v>
      </c>
      <c r="S149" t="n">
        <v>5782.642595</v>
      </c>
      <c r="T149" t="n">
        <v>5783.714073</v>
      </c>
      <c r="U149" t="n">
        <v>2043.771325</v>
      </c>
      <c r="V149" t="n">
        <v>-21764.358979</v>
      </c>
      <c r="W149" t="n">
        <v>6493.9392</v>
      </c>
      <c r="X149" t="n">
        <v>12062.969112</v>
      </c>
      <c r="Y149" t="n">
        <v>400.815207</v>
      </c>
      <c r="Z149" t="n">
        <v>3457.535342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1" t="inlineStr">
        <is>
          <t>Côtier M inv</t>
        </is>
      </c>
      <c r="E150" t="n">
        <v>163.765772</v>
      </c>
      <c r="F150" t="n">
        <v>170.837609</v>
      </c>
      <c r="G150" t="n">
        <v>164.379174</v>
      </c>
      <c r="H150" t="n">
        <v>573.174129</v>
      </c>
      <c r="I150" t="n">
        <v>332.812451</v>
      </c>
      <c r="J150" t="n">
        <v>332.812451</v>
      </c>
      <c r="K150" t="n">
        <v>331.190423</v>
      </c>
      <c r="L150" t="n">
        <v>425.732264</v>
      </c>
      <c r="M150" t="n">
        <v>425.732264</v>
      </c>
      <c r="N150" t="n">
        <v>425.732264</v>
      </c>
      <c r="O150" t="n">
        <v>368.426453</v>
      </c>
      <c r="P150" t="n">
        <v>198.243136</v>
      </c>
      <c r="Q150" t="n">
        <v>425.732264</v>
      </c>
      <c r="R150" t="n">
        <v>425.732264</v>
      </c>
      <c r="S150" t="n">
        <v>368.426453</v>
      </c>
      <c r="T150" t="n">
        <v>368.498294</v>
      </c>
      <c r="U150" t="n">
        <v>198.243136</v>
      </c>
      <c r="V150" t="n">
        <v>-2197.047861</v>
      </c>
      <c r="W150" t="n">
        <v>402.613215</v>
      </c>
      <c r="X150" t="n">
        <v>447.451967</v>
      </c>
      <c r="Y150" t="n">
        <v>109.967259</v>
      </c>
      <c r="Z150" t="n">
        <v>314.242463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1" t="inlineStr">
        <is>
          <t>Crustacés</t>
        </is>
      </c>
      <c r="E151" t="n">
        <v>163.765772</v>
      </c>
      <c r="F151" t="n">
        <v>79.64922</v>
      </c>
      <c r="G151" t="n">
        <v>77.077782</v>
      </c>
      <c r="H151" t="n">
        <v>199.420396</v>
      </c>
      <c r="I151" t="n">
        <v>94.919134</v>
      </c>
      <c r="J151" t="n">
        <v>94.919134</v>
      </c>
      <c r="K151" t="n">
        <v>90.173177</v>
      </c>
      <c r="L151" t="n">
        <v>135.651174</v>
      </c>
      <c r="M151" t="n">
        <v>135.651174</v>
      </c>
      <c r="N151" t="n">
        <v>135.651174</v>
      </c>
      <c r="O151" t="n">
        <v>112.097094</v>
      </c>
      <c r="P151" t="n">
        <v>63.65447</v>
      </c>
      <c r="Q151" t="n">
        <v>135.651174</v>
      </c>
      <c r="R151" t="n">
        <v>135.651174</v>
      </c>
      <c r="S151" t="n">
        <v>112.097094</v>
      </c>
      <c r="T151" t="n">
        <v>112.118405</v>
      </c>
      <c r="U151" t="n">
        <v>63.65447</v>
      </c>
      <c r="V151" t="n">
        <v>-691.708697</v>
      </c>
      <c r="W151" t="n">
        <v>122.926325</v>
      </c>
      <c r="X151" t="n">
        <v>140.897505</v>
      </c>
      <c r="Y151" t="n">
        <v>54.73445</v>
      </c>
      <c r="Z151" t="n">
        <v>122.753568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1" t="inlineStr">
        <is>
          <t>Dem M inv</t>
        </is>
      </c>
      <c r="E152" t="n">
        <v>163.765772</v>
      </c>
      <c r="F152" t="n">
        <v>172.485056</v>
      </c>
      <c r="G152" t="n">
        <v>165.952401</v>
      </c>
      <c r="H152" t="n">
        <v>511.347723</v>
      </c>
      <c r="I152" t="n">
        <v>706.004578</v>
      </c>
      <c r="J152" t="n">
        <v>706.004578</v>
      </c>
      <c r="K152" t="n">
        <v>670.704349</v>
      </c>
      <c r="L152" t="n">
        <v>890.128168</v>
      </c>
      <c r="M152" t="n">
        <v>890.128168</v>
      </c>
      <c r="N152" t="n">
        <v>890.128168</v>
      </c>
      <c r="O152" t="n">
        <v>735.262371</v>
      </c>
      <c r="P152" t="n">
        <v>400.351586</v>
      </c>
      <c r="Q152" t="n">
        <v>890.128168</v>
      </c>
      <c r="R152" t="n">
        <v>890.128168</v>
      </c>
      <c r="S152" t="n">
        <v>735.262371</v>
      </c>
      <c r="T152" t="n">
        <v>735.404934</v>
      </c>
      <c r="U152" t="n">
        <v>400.351586</v>
      </c>
      <c r="V152" t="n">
        <v>-4414.739474</v>
      </c>
      <c r="W152" t="n">
        <v>805.768964</v>
      </c>
      <c r="X152" t="n">
        <v>945.574586</v>
      </c>
      <c r="Y152" t="n">
        <v>110.936439</v>
      </c>
      <c r="Z152" t="n">
        <v>283.97695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1" t="inlineStr">
        <is>
          <t>Thons majeurs</t>
        </is>
      </c>
      <c r="E153" t="n">
        <v>163.765772</v>
      </c>
      <c r="F153" t="n">
        <v>2736.422785</v>
      </c>
      <c r="G153" t="n">
        <v>2578.791074</v>
      </c>
      <c r="H153" t="n">
        <v>17894.302324</v>
      </c>
      <c r="I153" t="n">
        <v>8524.622238</v>
      </c>
      <c r="J153" t="n">
        <v>8877.051893</v>
      </c>
      <c r="K153" t="n">
        <v>4438.525947</v>
      </c>
      <c r="L153" t="n">
        <v>13559.408277</v>
      </c>
      <c r="M153" t="n">
        <v>13559.408277</v>
      </c>
      <c r="N153" t="n">
        <v>13559.408277</v>
      </c>
      <c r="O153" t="n">
        <v>3620.855517</v>
      </c>
      <c r="P153" t="n">
        <v>1183.588403</v>
      </c>
      <c r="Q153" t="n">
        <v>13559.408277</v>
      </c>
      <c r="R153" t="n">
        <v>-35792.676603</v>
      </c>
      <c r="S153" t="n">
        <v>3620.855517</v>
      </c>
      <c r="T153" t="n">
        <v>3621.492366</v>
      </c>
      <c r="U153" t="n">
        <v>1183.588403</v>
      </c>
      <c r="V153" t="n">
        <v>-69430.651774</v>
      </c>
      <c r="W153" t="n">
        <v>4014.185729</v>
      </c>
      <c r="X153" t="n">
        <v>14860.282888</v>
      </c>
      <c r="Y153" t="n">
        <v>1388.786767</v>
      </c>
      <c r="Z153" t="n">
        <v>6982.232434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1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1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1" t="inlineStr">
        <is>
          <t>Côtier pel L pred</t>
        </is>
      </c>
      <c r="E156" t="n">
        <v>163.765772</v>
      </c>
      <c r="F156" t="n">
        <v>1052.557933</v>
      </c>
      <c r="G156" t="n">
        <v>999.055395</v>
      </c>
      <c r="H156" t="n">
        <v>11777.345384</v>
      </c>
      <c r="I156" t="n">
        <v>6532.702988</v>
      </c>
      <c r="J156" t="n">
        <v>7781.543468</v>
      </c>
      <c r="K156" t="n">
        <v>7457.867522</v>
      </c>
      <c r="L156" t="n">
        <v>14096.783373</v>
      </c>
      <c r="M156" t="n">
        <v>14096.783373</v>
      </c>
      <c r="N156" t="n">
        <v>14096.783373</v>
      </c>
      <c r="O156" t="n">
        <v>6109.503634</v>
      </c>
      <c r="P156" t="n">
        <v>1921.91996</v>
      </c>
      <c r="Q156" t="n">
        <v>14096.783373</v>
      </c>
      <c r="R156" t="n">
        <v>-57701.40232</v>
      </c>
      <c r="S156" t="n">
        <v>6109.503634</v>
      </c>
      <c r="T156" t="n">
        <v>6110.593726</v>
      </c>
      <c r="U156" t="n">
        <v>1921.91996</v>
      </c>
      <c r="V156" t="n">
        <v>-289768.063862</v>
      </c>
      <c r="W156" t="n">
        <v>6783.082741</v>
      </c>
      <c r="X156" t="n">
        <v>15274.190211</v>
      </c>
      <c r="Y156" t="n">
        <v>579.770625</v>
      </c>
      <c r="Z156" t="n">
        <v>4535.503078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1" t="inlineStr">
        <is>
          <t>Pel L pred</t>
        </is>
      </c>
      <c r="E157" t="n">
        <v>163.765772</v>
      </c>
      <c r="F157" t="n">
        <v>1087.886765</v>
      </c>
      <c r="G157" t="n">
        <v>1032.332906</v>
      </c>
      <c r="H157" t="n">
        <v>5007.056466</v>
      </c>
      <c r="I157" t="n">
        <v>3058.864858</v>
      </c>
      <c r="J157" t="n">
        <v>3141.84619</v>
      </c>
      <c r="K157" t="n">
        <v>2984.75388</v>
      </c>
      <c r="L157" t="n">
        <v>5671.221213</v>
      </c>
      <c r="M157" t="n">
        <v>5671.221213</v>
      </c>
      <c r="N157" t="n">
        <v>5671.221213</v>
      </c>
      <c r="O157" t="n">
        <v>2818.562992</v>
      </c>
      <c r="P157" t="n">
        <v>998.222029</v>
      </c>
      <c r="Q157" t="n">
        <v>5671.221213</v>
      </c>
      <c r="R157" t="n">
        <v>-68811.51763</v>
      </c>
      <c r="S157" t="n">
        <v>2818.562992</v>
      </c>
      <c r="T157" t="n">
        <v>2819.031522</v>
      </c>
      <c r="U157" t="n">
        <v>998.222029</v>
      </c>
      <c r="V157" t="n">
        <v>-142542.658222</v>
      </c>
      <c r="W157" t="n">
        <v>3155.54017</v>
      </c>
      <c r="X157" t="n">
        <v>6096.553542</v>
      </c>
      <c r="Y157" t="n">
        <v>597.537591</v>
      </c>
      <c r="Z157" t="n">
        <v>2190.295136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1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1" t="inlineStr">
        <is>
          <t>Côtier S pred</t>
        </is>
      </c>
      <c r="E159" t="n">
        <v>163.765772</v>
      </c>
      <c r="F159" t="n">
        <v>545.757696</v>
      </c>
      <c r="G159" t="n">
        <v>520.573184</v>
      </c>
      <c r="H159" t="n">
        <v>4917.189243</v>
      </c>
      <c r="I159" t="n">
        <v>1275.434725</v>
      </c>
      <c r="J159" t="n">
        <v>1276.068754</v>
      </c>
      <c r="K159" t="n">
        <v>1149.758437</v>
      </c>
      <c r="L159" t="n">
        <v>1835.839539</v>
      </c>
      <c r="M159" t="n">
        <v>1835.839539</v>
      </c>
      <c r="N159" t="n">
        <v>1835.839539</v>
      </c>
      <c r="O159" t="n">
        <v>1067.659965</v>
      </c>
      <c r="P159" t="n">
        <v>415.493332</v>
      </c>
      <c r="Q159" t="n">
        <v>1835.839539</v>
      </c>
      <c r="R159" t="n">
        <v>1835.839539</v>
      </c>
      <c r="S159" t="n">
        <v>1067.659965</v>
      </c>
      <c r="T159" t="n">
        <v>1067.850048</v>
      </c>
      <c r="U159" t="n">
        <v>415.493332</v>
      </c>
      <c r="V159" t="n">
        <v>-4247.291631</v>
      </c>
      <c r="W159" t="n">
        <v>1177.726821</v>
      </c>
      <c r="X159" t="n">
        <v>1944.112618</v>
      </c>
      <c r="Y159" t="n">
        <v>318.019746</v>
      </c>
      <c r="Z159" t="n">
        <v>2089.118752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1" t="inlineStr">
        <is>
          <t>Sélaciens L prof</t>
        </is>
      </c>
      <c r="E160" t="n">
        <v>163.765772</v>
      </c>
      <c r="F160" t="n">
        <v>2984.356694</v>
      </c>
      <c r="G160" t="n">
        <v>2810.614697</v>
      </c>
      <c r="H160" t="n">
        <v>33755.937801</v>
      </c>
      <c r="I160" t="n">
        <v>124488.415541</v>
      </c>
      <c r="J160" t="n">
        <v>128866.935983</v>
      </c>
      <c r="K160" t="n">
        <v>64433.467991</v>
      </c>
      <c r="L160" t="n">
        <v>630806.17817</v>
      </c>
      <c r="M160" t="n">
        <v>630806.17817</v>
      </c>
      <c r="N160" t="n">
        <v>630806.17817</v>
      </c>
      <c r="O160" t="n">
        <v>51235.06282</v>
      </c>
      <c r="P160" t="n">
        <v>12871.977711</v>
      </c>
      <c r="Q160" t="n">
        <v>630806.17817</v>
      </c>
      <c r="R160" t="n">
        <v>-1411127.786749</v>
      </c>
      <c r="S160" t="n">
        <v>51235.06282</v>
      </c>
      <c r="T160" t="n">
        <v>51244.1029</v>
      </c>
      <c r="U160" t="n">
        <v>12871.977711</v>
      </c>
      <c r="V160" t="n">
        <v>-997488.464399</v>
      </c>
      <c r="W160" t="n">
        <v>58369.578627</v>
      </c>
      <c r="X160" t="n">
        <v>764649.1712</v>
      </c>
      <c r="Y160" t="n">
        <v>1503.40227</v>
      </c>
      <c r="Z160" t="n">
        <v>11832.438102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1" t="inlineStr">
        <is>
          <t>Côtier L pred</t>
        </is>
      </c>
      <c r="E161" t="n">
        <v>163.765772</v>
      </c>
      <c r="F161" t="n">
        <v>834.792702</v>
      </c>
      <c r="G161" t="n">
        <v>793.737434</v>
      </c>
      <c r="H161" t="n">
        <v>7076.924212</v>
      </c>
      <c r="I161" t="n">
        <v>5090.678261</v>
      </c>
      <c r="J161" t="n">
        <v>9568.277077999999</v>
      </c>
      <c r="K161" t="n">
        <v>8272.898352</v>
      </c>
      <c r="L161" t="n">
        <v>19279.552919</v>
      </c>
      <c r="M161" t="n">
        <v>19279.552919</v>
      </c>
      <c r="N161" t="n">
        <v>19279.552919</v>
      </c>
      <c r="O161" t="n">
        <v>6360.643117</v>
      </c>
      <c r="P161" t="n">
        <v>2029.258233</v>
      </c>
      <c r="Q161" t="n">
        <v>19279.552919</v>
      </c>
      <c r="R161" t="n">
        <v>-84755.37547899999</v>
      </c>
      <c r="S161" t="n">
        <v>6360.643117</v>
      </c>
      <c r="T161" t="n">
        <v>6361.79434</v>
      </c>
      <c r="U161" t="n">
        <v>2029.258233</v>
      </c>
      <c r="V161" t="n">
        <v>-469150.656344</v>
      </c>
      <c r="W161" t="n">
        <v>6996.073117</v>
      </c>
      <c r="X161" t="n">
        <v>20789.961322</v>
      </c>
      <c r="Y161" t="n">
        <v>469.046047</v>
      </c>
      <c r="Z161" t="n">
        <v>2908.693588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1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1" t="inlineStr">
        <is>
          <t>Dem M inv</t>
        </is>
      </c>
      <c r="E163" t="n">
        <v>163.765772</v>
      </c>
      <c r="F163" t="n">
        <v>172.485056</v>
      </c>
      <c r="G163" t="n">
        <v>165.952401</v>
      </c>
      <c r="H163" t="n">
        <v>511.347723</v>
      </c>
      <c r="I163" t="n">
        <v>706.004578</v>
      </c>
      <c r="J163" t="n">
        <v>706.004578</v>
      </c>
      <c r="K163" t="n">
        <v>670.704349</v>
      </c>
      <c r="L163" t="n">
        <v>890.128168</v>
      </c>
      <c r="M163" t="n">
        <v>890.128168</v>
      </c>
      <c r="N163" t="n">
        <v>890.128168</v>
      </c>
      <c r="O163" t="n">
        <v>735.262371</v>
      </c>
      <c r="P163" t="n">
        <v>400.351586</v>
      </c>
      <c r="Q163" t="n">
        <v>890.128168</v>
      </c>
      <c r="R163" t="n">
        <v>890.128168</v>
      </c>
      <c r="S163" t="n">
        <v>735.262371</v>
      </c>
      <c r="T163" t="n">
        <v>735.404934</v>
      </c>
      <c r="U163" t="n">
        <v>400.351586</v>
      </c>
      <c r="V163" t="n">
        <v>-4414.739474</v>
      </c>
      <c r="W163" t="n">
        <v>805.768964</v>
      </c>
      <c r="X163" t="n">
        <v>945.574586</v>
      </c>
      <c r="Y163" t="n">
        <v>110.936439</v>
      </c>
      <c r="Z163" t="n">
        <v>283.97695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1" t="inlineStr">
        <is>
          <t>Sélaciens L côtiers | Sélaciens L prof</t>
        </is>
      </c>
      <c r="E164" t="n">
        <v>163.765772</v>
      </c>
      <c r="F164" t="n">
        <v>2781.823109</v>
      </c>
      <c r="G164" t="n">
        <v>2620.729687</v>
      </c>
      <c r="H164" t="n">
        <v>32914.045145</v>
      </c>
      <c r="I164" t="n">
        <v>117376.992332</v>
      </c>
      <c r="J164" t="n">
        <v>120595.391636</v>
      </c>
      <c r="K164" t="n">
        <v>62652.873752</v>
      </c>
      <c r="L164" t="n">
        <v>577175.629756</v>
      </c>
      <c r="M164" t="n">
        <v>577175.629756</v>
      </c>
      <c r="N164" t="n">
        <v>577175.629756</v>
      </c>
      <c r="O164" t="n">
        <v>48623.971447</v>
      </c>
      <c r="P164" t="n">
        <v>12260.04636</v>
      </c>
      <c r="Q164" t="n">
        <v>577175.629756</v>
      </c>
      <c r="R164" t="n">
        <v>-1291278.854716</v>
      </c>
      <c r="S164" t="n">
        <v>48623.971447</v>
      </c>
      <c r="T164" t="n">
        <v>48632.556168</v>
      </c>
      <c r="U164" t="n">
        <v>12260.04636</v>
      </c>
      <c r="V164" t="n">
        <v>-968705.2265549999</v>
      </c>
      <c r="W164" t="n">
        <v>55337.883183</v>
      </c>
      <c r="X164" t="n">
        <v>698317.197925</v>
      </c>
      <c r="Y164" t="n">
        <v>1406.818237</v>
      </c>
      <c r="Z164" t="n">
        <v>11543.574114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1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1" t="inlineStr">
        <is>
          <t>Côtier L pred</t>
        </is>
      </c>
      <c r="E166" t="n">
        <v>163.765772</v>
      </c>
      <c r="F166" t="n">
        <v>834.792702</v>
      </c>
      <c r="G166" t="n">
        <v>793.737434</v>
      </c>
      <c r="H166" t="n">
        <v>7076.924212</v>
      </c>
      <c r="I166" t="n">
        <v>5090.678261</v>
      </c>
      <c r="J166" t="n">
        <v>9568.277077999999</v>
      </c>
      <c r="K166" t="n">
        <v>8272.898352</v>
      </c>
      <c r="L166" t="n">
        <v>19279.552919</v>
      </c>
      <c r="M166" t="n">
        <v>19279.552919</v>
      </c>
      <c r="N166" t="n">
        <v>19279.552919</v>
      </c>
      <c r="O166" t="n">
        <v>6360.643117</v>
      </c>
      <c r="P166" t="n">
        <v>2029.258233</v>
      </c>
      <c r="Q166" t="n">
        <v>19279.552919</v>
      </c>
      <c r="R166" t="n">
        <v>-84755.37547899999</v>
      </c>
      <c r="S166" t="n">
        <v>6360.643117</v>
      </c>
      <c r="T166" t="n">
        <v>6361.79434</v>
      </c>
      <c r="U166" t="n">
        <v>2029.258233</v>
      </c>
      <c r="V166" t="n">
        <v>-469150.656344</v>
      </c>
      <c r="W166" t="n">
        <v>6996.073117</v>
      </c>
      <c r="X166" t="n">
        <v>20789.961322</v>
      </c>
      <c r="Y166" t="n">
        <v>469.046047</v>
      </c>
      <c r="Z166" t="n">
        <v>2908.693588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1" t="inlineStr">
        <is>
          <t>Côtier M inv</t>
        </is>
      </c>
      <c r="E167" t="n">
        <v>163.765772</v>
      </c>
      <c r="F167" t="n">
        <v>170.837609</v>
      </c>
      <c r="G167" t="n">
        <v>164.379174</v>
      </c>
      <c r="H167" t="n">
        <v>573.174129</v>
      </c>
      <c r="I167" t="n">
        <v>332.812451</v>
      </c>
      <c r="J167" t="n">
        <v>332.812451</v>
      </c>
      <c r="K167" t="n">
        <v>331.190423</v>
      </c>
      <c r="L167" t="n">
        <v>425.732264</v>
      </c>
      <c r="M167" t="n">
        <v>425.732264</v>
      </c>
      <c r="N167" t="n">
        <v>425.732264</v>
      </c>
      <c r="O167" t="n">
        <v>368.426453</v>
      </c>
      <c r="P167" t="n">
        <v>198.243136</v>
      </c>
      <c r="Q167" t="n">
        <v>425.732264</v>
      </c>
      <c r="R167" t="n">
        <v>425.732264</v>
      </c>
      <c r="S167" t="n">
        <v>368.426453</v>
      </c>
      <c r="T167" t="n">
        <v>368.498294</v>
      </c>
      <c r="U167" t="n">
        <v>198.243136</v>
      </c>
      <c r="V167" t="n">
        <v>-2197.047861</v>
      </c>
      <c r="W167" t="n">
        <v>402.613215</v>
      </c>
      <c r="X167" t="n">
        <v>447.451967</v>
      </c>
      <c r="Y167" t="n">
        <v>109.967259</v>
      </c>
      <c r="Z167" t="n">
        <v>314.242463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1" t="inlineStr">
        <is>
          <t>Sélaciens L prof</t>
        </is>
      </c>
      <c r="E168" t="n">
        <v>163.765772</v>
      </c>
      <c r="F168" t="n">
        <v>2984.356694</v>
      </c>
      <c r="G168" t="n">
        <v>2810.614697</v>
      </c>
      <c r="H168" t="n">
        <v>33755.937801</v>
      </c>
      <c r="I168" t="n">
        <v>124488.415541</v>
      </c>
      <c r="J168" t="n">
        <v>128866.935983</v>
      </c>
      <c r="K168" t="n">
        <v>64433.467991</v>
      </c>
      <c r="L168" t="n">
        <v>630806.17817</v>
      </c>
      <c r="M168" t="n">
        <v>630806.17817</v>
      </c>
      <c r="N168" t="n">
        <v>630806.17817</v>
      </c>
      <c r="O168" t="n">
        <v>51235.06282</v>
      </c>
      <c r="P168" t="n">
        <v>12871.977711</v>
      </c>
      <c r="Q168" t="n">
        <v>630806.17817</v>
      </c>
      <c r="R168" t="n">
        <v>-1411127.786749</v>
      </c>
      <c r="S168" t="n">
        <v>51235.06282</v>
      </c>
      <c r="T168" t="n">
        <v>51244.1029</v>
      </c>
      <c r="U168" t="n">
        <v>12871.977711</v>
      </c>
      <c r="V168" t="n">
        <v>-997488.464399</v>
      </c>
      <c r="W168" t="n">
        <v>58369.578627</v>
      </c>
      <c r="X168" t="n">
        <v>764649.1712</v>
      </c>
      <c r="Y168" t="n">
        <v>1503.40227</v>
      </c>
      <c r="Z168" t="n">
        <v>11832.438102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1" t="inlineStr">
        <is>
          <t>Sélaciens L côtiers | Sélaciens M côtiers</t>
        </is>
      </c>
      <c r="E169" t="n">
        <v>163.765772</v>
      </c>
      <c r="F169" t="n">
        <v>1153.061509</v>
      </c>
      <c r="G169" t="n">
        <v>1093.701635</v>
      </c>
      <c r="H169" t="n">
        <v>25163.912514</v>
      </c>
      <c r="I169" t="n">
        <v>57149.644207</v>
      </c>
      <c r="J169" t="n">
        <v>51505.190715</v>
      </c>
      <c r="K169" t="n">
        <v>45688.206488</v>
      </c>
      <c r="L169" t="n">
        <v>137124.985345</v>
      </c>
      <c r="M169" t="n">
        <v>137124.985345</v>
      </c>
      <c r="N169" t="n">
        <v>137124.985345</v>
      </c>
      <c r="O169" t="n">
        <v>26241.113861</v>
      </c>
      <c r="P169" t="n">
        <v>7002.653238</v>
      </c>
      <c r="Q169" t="n">
        <v>137124.985345</v>
      </c>
      <c r="R169" t="n">
        <v>-311707.361626</v>
      </c>
      <c r="S169" t="n">
        <v>26241.113861</v>
      </c>
      <c r="T169" t="n">
        <v>26245.79024</v>
      </c>
      <c r="U169" t="n">
        <v>7002.653238</v>
      </c>
      <c r="V169" t="n">
        <v>-704503.821496</v>
      </c>
      <c r="W169" t="n">
        <v>29401.858972</v>
      </c>
      <c r="X169" t="n">
        <v>154800.528801</v>
      </c>
      <c r="Y169" t="n">
        <v>630.181807</v>
      </c>
      <c r="Z169" t="n">
        <v>8899.77252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1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1" t="inlineStr">
        <is>
          <t>Crustacés</t>
        </is>
      </c>
      <c r="E171" t="n">
        <v>163.765772</v>
      </c>
      <c r="F171" t="n">
        <v>79.64922</v>
      </c>
      <c r="G171" t="n">
        <v>77.077782</v>
      </c>
      <c r="H171" t="n">
        <v>199.420396</v>
      </c>
      <c r="I171" t="n">
        <v>94.919134</v>
      </c>
      <c r="J171" t="n">
        <v>94.919134</v>
      </c>
      <c r="K171" t="n">
        <v>90.173177</v>
      </c>
      <c r="L171" t="n">
        <v>135.651174</v>
      </c>
      <c r="M171" t="n">
        <v>135.651174</v>
      </c>
      <c r="N171" t="n">
        <v>135.651174</v>
      </c>
      <c r="O171" t="n">
        <v>112.097094</v>
      </c>
      <c r="P171" t="n">
        <v>63.65447</v>
      </c>
      <c r="Q171" t="n">
        <v>135.651174</v>
      </c>
      <c r="R171" t="n">
        <v>135.651174</v>
      </c>
      <c r="S171" t="n">
        <v>112.097094</v>
      </c>
      <c r="T171" t="n">
        <v>112.118405</v>
      </c>
      <c r="U171" t="n">
        <v>63.65447</v>
      </c>
      <c r="V171" t="n">
        <v>-691.708697</v>
      </c>
      <c r="W171" t="n">
        <v>122.926325</v>
      </c>
      <c r="X171" t="n">
        <v>140.897505</v>
      </c>
      <c r="Y171" t="n">
        <v>54.73445</v>
      </c>
      <c r="Z171" t="n">
        <v>122.753568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1" t="inlineStr">
        <is>
          <t>Sélaciens L prof | Sélaciens M prof</t>
        </is>
      </c>
      <c r="E172" t="n">
        <v>163.765772</v>
      </c>
      <c r="F172" t="n">
        <v>2943.265798</v>
      </c>
      <c r="G172" t="n">
        <v>2772.19544</v>
      </c>
      <c r="H172" t="n">
        <v>30340.285119</v>
      </c>
      <c r="I172" t="n">
        <v>106442.919509</v>
      </c>
      <c r="J172" t="n">
        <v>110084.878099</v>
      </c>
      <c r="K172" t="n">
        <v>55042.439049</v>
      </c>
      <c r="L172" t="n">
        <v>519043.253135</v>
      </c>
      <c r="M172" t="n">
        <v>519043.253135</v>
      </c>
      <c r="N172" t="n">
        <v>519043.253135</v>
      </c>
      <c r="O172" t="n">
        <v>43711.018547</v>
      </c>
      <c r="P172" t="n">
        <v>11190.496517</v>
      </c>
      <c r="Q172" t="n">
        <v>519043.253135</v>
      </c>
      <c r="R172" t="n">
        <v>-1134362.766943</v>
      </c>
      <c r="S172" t="n">
        <v>43711.018547</v>
      </c>
      <c r="T172" t="n">
        <v>43718.735429</v>
      </c>
      <c r="U172" t="n">
        <v>11190.496517</v>
      </c>
      <c r="V172" t="n">
        <v>-815589.494598</v>
      </c>
      <c r="W172" t="n">
        <v>49789.922446</v>
      </c>
      <c r="X172" t="n">
        <v>628099.446156</v>
      </c>
      <c r="Y172" t="n">
        <v>1484.415879</v>
      </c>
      <c r="Z172" t="n">
        <v>10771.910501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1" t="inlineStr">
        <is>
          <t>Côtier pel L pred</t>
        </is>
      </c>
      <c r="E173" t="n">
        <v>163.765772</v>
      </c>
      <c r="F173" t="n">
        <v>1052.557933</v>
      </c>
      <c r="G173" t="n">
        <v>999.055395</v>
      </c>
      <c r="H173" t="n">
        <v>11777.345384</v>
      </c>
      <c r="I173" t="n">
        <v>6532.702988</v>
      </c>
      <c r="J173" t="n">
        <v>7781.543468</v>
      </c>
      <c r="K173" t="n">
        <v>7457.867522</v>
      </c>
      <c r="L173" t="n">
        <v>14096.783373</v>
      </c>
      <c r="M173" t="n">
        <v>14096.783373</v>
      </c>
      <c r="N173" t="n">
        <v>14096.783373</v>
      </c>
      <c r="O173" t="n">
        <v>6109.503634</v>
      </c>
      <c r="P173" t="n">
        <v>1921.91996</v>
      </c>
      <c r="Q173" t="n">
        <v>14096.783373</v>
      </c>
      <c r="R173" t="n">
        <v>-57701.40232</v>
      </c>
      <c r="S173" t="n">
        <v>6109.503634</v>
      </c>
      <c r="T173" t="n">
        <v>6110.593726</v>
      </c>
      <c r="U173" t="n">
        <v>1921.91996</v>
      </c>
      <c r="V173" t="n">
        <v>-289768.063862</v>
      </c>
      <c r="W173" t="n">
        <v>6783.082741</v>
      </c>
      <c r="X173" t="n">
        <v>15274.190211</v>
      </c>
      <c r="Y173" t="n">
        <v>579.770625</v>
      </c>
      <c r="Z173" t="n">
        <v>4535.503078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1" t="inlineStr">
        <is>
          <t>Crustacés</t>
        </is>
      </c>
      <c r="E174" t="n">
        <v>163.765772</v>
      </c>
      <c r="F174" t="n">
        <v>79.64922</v>
      </c>
      <c r="G174" t="n">
        <v>77.077782</v>
      </c>
      <c r="H174" t="n">
        <v>199.420396</v>
      </c>
      <c r="I174" t="n">
        <v>94.919134</v>
      </c>
      <c r="J174" t="n">
        <v>94.919134</v>
      </c>
      <c r="K174" t="n">
        <v>90.173177</v>
      </c>
      <c r="L174" t="n">
        <v>135.651174</v>
      </c>
      <c r="M174" t="n">
        <v>135.651174</v>
      </c>
      <c r="N174" t="n">
        <v>135.651174</v>
      </c>
      <c r="O174" t="n">
        <v>112.097094</v>
      </c>
      <c r="P174" t="n">
        <v>63.65447</v>
      </c>
      <c r="Q174" t="n">
        <v>135.651174</v>
      </c>
      <c r="R174" t="n">
        <v>135.651174</v>
      </c>
      <c r="S174" t="n">
        <v>112.097094</v>
      </c>
      <c r="T174" t="n">
        <v>112.118405</v>
      </c>
      <c r="U174" t="n">
        <v>63.65447</v>
      </c>
      <c r="V174" t="n">
        <v>-691.708697</v>
      </c>
      <c r="W174" t="n">
        <v>122.926325</v>
      </c>
      <c r="X174" t="n">
        <v>140.897505</v>
      </c>
      <c r="Y174" t="n">
        <v>54.73445</v>
      </c>
      <c r="Z174" t="n">
        <v>122.753568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1" t="inlineStr">
        <is>
          <t>Côtier pel S inv</t>
        </is>
      </c>
      <c r="E175" t="n">
        <v>163.765772</v>
      </c>
      <c r="F175" t="n">
        <v>63.371783</v>
      </c>
      <c r="G175" t="n">
        <v>61.431046</v>
      </c>
      <c r="H175" t="n">
        <v>318.709045</v>
      </c>
      <c r="I175" t="n">
        <v>117.871263</v>
      </c>
      <c r="J175" t="n">
        <v>118.151768</v>
      </c>
      <c r="K175" t="n">
        <v>106.830225</v>
      </c>
      <c r="L175" t="n">
        <v>182.678518</v>
      </c>
      <c r="M175" t="n">
        <v>182.678518</v>
      </c>
      <c r="N175" t="n">
        <v>182.678518</v>
      </c>
      <c r="O175" t="n">
        <v>118.787049</v>
      </c>
      <c r="P175" t="n">
        <v>55.817264</v>
      </c>
      <c r="Q175" t="n">
        <v>182.678518</v>
      </c>
      <c r="R175" t="n">
        <v>182.678518</v>
      </c>
      <c r="S175" t="n">
        <v>118.787049</v>
      </c>
      <c r="T175" t="n">
        <v>118.805162</v>
      </c>
      <c r="U175" t="n">
        <v>55.817264</v>
      </c>
      <c r="V175" t="n">
        <v>-489.077337</v>
      </c>
      <c r="W175" t="n">
        <v>128.847646</v>
      </c>
      <c r="X175" t="n">
        <v>189.690715</v>
      </c>
      <c r="Y175" t="n">
        <v>44.410268</v>
      </c>
      <c r="Z175" t="n">
        <v>180.282129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1" t="inlineStr">
        <is>
          <t>Thons majeurs</t>
        </is>
      </c>
      <c r="E176" t="n">
        <v>163.765772</v>
      </c>
      <c r="F176" t="n">
        <v>2736.422785</v>
      </c>
      <c r="G176" t="n">
        <v>2578.791074</v>
      </c>
      <c r="H176" t="n">
        <v>17894.302324</v>
      </c>
      <c r="I176" t="n">
        <v>8524.622238</v>
      </c>
      <c r="J176" t="n">
        <v>8877.051893</v>
      </c>
      <c r="K176" t="n">
        <v>4438.525947</v>
      </c>
      <c r="L176" t="n">
        <v>13559.408277</v>
      </c>
      <c r="M176" t="n">
        <v>13559.408277</v>
      </c>
      <c r="N176" t="n">
        <v>13559.408277</v>
      </c>
      <c r="O176" t="n">
        <v>3620.855517</v>
      </c>
      <c r="P176" t="n">
        <v>1183.588403</v>
      </c>
      <c r="Q176" t="n">
        <v>13559.408277</v>
      </c>
      <c r="R176" t="n">
        <v>-35792.676603</v>
      </c>
      <c r="S176" t="n">
        <v>3620.855517</v>
      </c>
      <c r="T176" t="n">
        <v>3621.492366</v>
      </c>
      <c r="U176" t="n">
        <v>1183.588403</v>
      </c>
      <c r="V176" t="n">
        <v>-69430.651774</v>
      </c>
      <c r="W176" t="n">
        <v>4014.185729</v>
      </c>
      <c r="X176" t="n">
        <v>14860.282888</v>
      </c>
      <c r="Y176" t="n">
        <v>1388.786767</v>
      </c>
      <c r="Z176" t="n">
        <v>6982.232434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1" t="inlineStr">
        <is>
          <t>Côtier L pred</t>
        </is>
      </c>
      <c r="E177" t="n">
        <v>163.765772</v>
      </c>
      <c r="F177" t="n">
        <v>834.792702</v>
      </c>
      <c r="G177" t="n">
        <v>793.737434</v>
      </c>
      <c r="H177" t="n">
        <v>7076.924212</v>
      </c>
      <c r="I177" t="n">
        <v>5090.678261</v>
      </c>
      <c r="J177" t="n">
        <v>9568.277077999999</v>
      </c>
      <c r="K177" t="n">
        <v>8272.898352</v>
      </c>
      <c r="L177" t="n">
        <v>19279.552919</v>
      </c>
      <c r="M177" t="n">
        <v>19279.552919</v>
      </c>
      <c r="N177" t="n">
        <v>19279.552919</v>
      </c>
      <c r="O177" t="n">
        <v>6360.643117</v>
      </c>
      <c r="P177" t="n">
        <v>2029.258233</v>
      </c>
      <c r="Q177" t="n">
        <v>19279.552919</v>
      </c>
      <c r="R177" t="n">
        <v>-84755.37547899999</v>
      </c>
      <c r="S177" t="n">
        <v>6360.643117</v>
      </c>
      <c r="T177" t="n">
        <v>6361.79434</v>
      </c>
      <c r="U177" t="n">
        <v>2029.258233</v>
      </c>
      <c r="V177" t="n">
        <v>-469150.656344</v>
      </c>
      <c r="W177" t="n">
        <v>6996.073117</v>
      </c>
      <c r="X177" t="n">
        <v>20789.961322</v>
      </c>
      <c r="Y177" t="n">
        <v>469.046047</v>
      </c>
      <c r="Z177" t="n">
        <v>2908.693588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1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1" t="inlineStr">
        <is>
          <t>Dem L pred</t>
        </is>
      </c>
      <c r="E179" t="n">
        <v>163.765772</v>
      </c>
      <c r="F179" t="n">
        <v>702.92427</v>
      </c>
      <c r="G179" t="n">
        <v>669.216325</v>
      </c>
      <c r="H179" t="n">
        <v>8905.433089</v>
      </c>
      <c r="I179" t="n">
        <v>6777.560073</v>
      </c>
      <c r="J179" t="n">
        <v>6838.476733</v>
      </c>
      <c r="K179" t="n">
        <v>5761.883976</v>
      </c>
      <c r="L179" t="n">
        <v>11046.457304</v>
      </c>
      <c r="M179" t="n">
        <v>11046.457304</v>
      </c>
      <c r="N179" t="n">
        <v>11046.457304</v>
      </c>
      <c r="O179" t="n">
        <v>5782.642595</v>
      </c>
      <c r="P179" t="n">
        <v>2043.771325</v>
      </c>
      <c r="Q179" t="n">
        <v>11046.457304</v>
      </c>
      <c r="R179" t="n">
        <v>11046.457304</v>
      </c>
      <c r="S179" t="n">
        <v>5782.642595</v>
      </c>
      <c r="T179" t="n">
        <v>5783.714073</v>
      </c>
      <c r="U179" t="n">
        <v>2043.771325</v>
      </c>
      <c r="V179" t="n">
        <v>-21764.358979</v>
      </c>
      <c r="W179" t="n">
        <v>6493.9392</v>
      </c>
      <c r="X179" t="n">
        <v>12062.969112</v>
      </c>
      <c r="Y179" t="n">
        <v>400.815207</v>
      </c>
      <c r="Z179" t="n">
        <v>3457.535342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1" t="inlineStr">
        <is>
          <t>Côtier S inv</t>
        </is>
      </c>
      <c r="E180" t="n">
        <v>163.765772</v>
      </c>
      <c r="F180" t="n">
        <v>79.510256</v>
      </c>
      <c r="G180" t="n">
        <v>76.944312</v>
      </c>
      <c r="H180" t="n">
        <v>373.150929</v>
      </c>
      <c r="I180" t="n">
        <v>228.204413</v>
      </c>
      <c r="J180" t="n">
        <v>228.808027</v>
      </c>
      <c r="K180" t="n">
        <v>222.997608</v>
      </c>
      <c r="L180" t="n">
        <v>302.43669</v>
      </c>
      <c r="M180" t="n">
        <v>302.43669</v>
      </c>
      <c r="N180" t="n">
        <v>302.43669</v>
      </c>
      <c r="O180" t="n">
        <v>244.203076</v>
      </c>
      <c r="P180" t="n">
        <v>127.641231</v>
      </c>
      <c r="Q180" t="n">
        <v>302.43669</v>
      </c>
      <c r="R180" t="n">
        <v>302.43669</v>
      </c>
      <c r="S180" t="n">
        <v>244.203076</v>
      </c>
      <c r="T180" t="n">
        <v>244.24861</v>
      </c>
      <c r="U180" t="n">
        <v>127.641231</v>
      </c>
      <c r="V180" t="n">
        <v>-1347.82362</v>
      </c>
      <c r="W180" t="n">
        <v>265.990648</v>
      </c>
      <c r="X180" t="n">
        <v>316.455773</v>
      </c>
      <c r="Y180" t="n">
        <v>54.647132</v>
      </c>
      <c r="Z180" t="n">
        <v>203.025564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1" t="inlineStr">
        <is>
          <t>Sélaciens L côtiers</t>
        </is>
      </c>
      <c r="E181" t="n">
        <v>163.765772</v>
      </c>
      <c r="F181" t="n">
        <v>1149.132987</v>
      </c>
      <c r="G181" t="n">
        <v>1090.003899</v>
      </c>
      <c r="H181" t="n">
        <v>26127.270352</v>
      </c>
      <c r="I181" t="n">
        <v>60049.460833</v>
      </c>
      <c r="J181" t="n">
        <v>53915.740438</v>
      </c>
      <c r="K181" t="n">
        <v>48298.915435</v>
      </c>
      <c r="L181" t="n">
        <v>144842.06399</v>
      </c>
      <c r="M181" t="n">
        <v>144842.06399</v>
      </c>
      <c r="N181" t="n">
        <v>144842.06399</v>
      </c>
      <c r="O181" t="n">
        <v>27575.101402</v>
      </c>
      <c r="P181" t="n">
        <v>7327.065611</v>
      </c>
      <c r="Q181" t="n">
        <v>144842.06399</v>
      </c>
      <c r="R181" t="n">
        <v>-325137.025632</v>
      </c>
      <c r="S181" t="n">
        <v>27575.101402</v>
      </c>
      <c r="T181" t="n">
        <v>27580.015333</v>
      </c>
      <c r="U181" t="n">
        <v>7327.065611</v>
      </c>
      <c r="V181" t="n">
        <v>-736674.038746</v>
      </c>
      <c r="W181" t="n">
        <v>30898.384799</v>
      </c>
      <c r="X181" t="n">
        <v>163593.250874</v>
      </c>
      <c r="Y181" t="n">
        <v>628.222446</v>
      </c>
      <c r="Z181" t="n">
        <v>9214.946091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1" t="inlineStr">
        <is>
          <t>Dem L pred</t>
        </is>
      </c>
      <c r="E182" t="n">
        <v>163.765772</v>
      </c>
      <c r="F182" t="n">
        <v>702.92427</v>
      </c>
      <c r="G182" t="n">
        <v>669.216325</v>
      </c>
      <c r="H182" t="n">
        <v>8905.433089</v>
      </c>
      <c r="I182" t="n">
        <v>6777.560073</v>
      </c>
      <c r="J182" t="n">
        <v>6838.476733</v>
      </c>
      <c r="K182" t="n">
        <v>5761.883976</v>
      </c>
      <c r="L182" t="n">
        <v>11046.457304</v>
      </c>
      <c r="M182" t="n">
        <v>11046.457304</v>
      </c>
      <c r="N182" t="n">
        <v>11046.457304</v>
      </c>
      <c r="O182" t="n">
        <v>5782.642595</v>
      </c>
      <c r="P182" t="n">
        <v>2043.771325</v>
      </c>
      <c r="Q182" t="n">
        <v>11046.457304</v>
      </c>
      <c r="R182" t="n">
        <v>11046.457304</v>
      </c>
      <c r="S182" t="n">
        <v>5782.642595</v>
      </c>
      <c r="T182" t="n">
        <v>5783.714073</v>
      </c>
      <c r="U182" t="n">
        <v>2043.771325</v>
      </c>
      <c r="V182" t="n">
        <v>-21764.358979</v>
      </c>
      <c r="W182" t="n">
        <v>6493.9392</v>
      </c>
      <c r="X182" t="n">
        <v>12062.969112</v>
      </c>
      <c r="Y182" t="n">
        <v>400.815207</v>
      </c>
      <c r="Z182" t="n">
        <v>3457.535342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1" t="inlineStr">
        <is>
          <t>Sélaciens L côtiers | Sélaciens L prof | Sélaciens M côtiers</t>
        </is>
      </c>
      <c r="E183" t="n">
        <v>163.765772</v>
      </c>
      <c r="F183" t="n">
        <v>2769.679101</v>
      </c>
      <c r="G183" t="n">
        <v>2609.345799</v>
      </c>
      <c r="H183" t="n">
        <v>32748.718803</v>
      </c>
      <c r="I183" t="n">
        <v>116594.480459</v>
      </c>
      <c r="J183" t="n">
        <v>119798.035809</v>
      </c>
      <c r="K183" t="n">
        <v>62236.01362</v>
      </c>
      <c r="L183" t="n">
        <v>572933.318145</v>
      </c>
      <c r="M183" t="n">
        <v>572933.318145</v>
      </c>
      <c r="N183" t="n">
        <v>572933.318145</v>
      </c>
      <c r="O183" t="n">
        <v>48305.092364</v>
      </c>
      <c r="P183" t="n">
        <v>12183.933284</v>
      </c>
      <c r="Q183" t="n">
        <v>572933.318145</v>
      </c>
      <c r="R183" t="n">
        <v>-1282245.81738</v>
      </c>
      <c r="S183" t="n">
        <v>48305.092364</v>
      </c>
      <c r="T183" t="n">
        <v>48313.620899</v>
      </c>
      <c r="U183" t="n">
        <v>12183.933284</v>
      </c>
      <c r="V183" t="n">
        <v>-963142.6973840001</v>
      </c>
      <c r="W183" t="n">
        <v>54973.77419</v>
      </c>
      <c r="X183" t="n">
        <v>693158.327248</v>
      </c>
      <c r="Y183" t="n">
        <v>1401.037087</v>
      </c>
      <c r="Z183" t="n">
        <v>11488.64995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1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1" t="inlineStr">
        <is>
          <t>Côtier S pred</t>
        </is>
      </c>
      <c r="E185" t="n">
        <v>163.765772</v>
      </c>
      <c r="F185" t="n">
        <v>545.757696</v>
      </c>
      <c r="G185" t="n">
        <v>520.573184</v>
      </c>
      <c r="H185" t="n">
        <v>4917.189243</v>
      </c>
      <c r="I185" t="n">
        <v>1275.434725</v>
      </c>
      <c r="J185" t="n">
        <v>1276.068754</v>
      </c>
      <c r="K185" t="n">
        <v>1149.758437</v>
      </c>
      <c r="L185" t="n">
        <v>1835.839539</v>
      </c>
      <c r="M185" t="n">
        <v>1835.839539</v>
      </c>
      <c r="N185" t="n">
        <v>1835.839539</v>
      </c>
      <c r="O185" t="n">
        <v>1067.659965</v>
      </c>
      <c r="P185" t="n">
        <v>415.493332</v>
      </c>
      <c r="Q185" t="n">
        <v>1835.839539</v>
      </c>
      <c r="R185" t="n">
        <v>1835.839539</v>
      </c>
      <c r="S185" t="n">
        <v>1067.659965</v>
      </c>
      <c r="T185" t="n">
        <v>1067.850048</v>
      </c>
      <c r="U185" t="n">
        <v>415.493332</v>
      </c>
      <c r="V185" t="n">
        <v>-4247.291631</v>
      </c>
      <c r="W185" t="n">
        <v>1177.726821</v>
      </c>
      <c r="X185" t="n">
        <v>1944.112618</v>
      </c>
      <c r="Y185" t="n">
        <v>318.019746</v>
      </c>
      <c r="Z185" t="n">
        <v>2089.118752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1" t="inlineStr">
        <is>
          <t>Côtier pel S inv</t>
        </is>
      </c>
      <c r="E186" t="n">
        <v>163.765772</v>
      </c>
      <c r="F186" t="n">
        <v>63.371783</v>
      </c>
      <c r="G186" t="n">
        <v>61.431046</v>
      </c>
      <c r="H186" t="n">
        <v>318.709045</v>
      </c>
      <c r="I186" t="n">
        <v>117.871263</v>
      </c>
      <c r="J186" t="n">
        <v>118.151768</v>
      </c>
      <c r="K186" t="n">
        <v>106.830225</v>
      </c>
      <c r="L186" t="n">
        <v>182.678518</v>
      </c>
      <c r="M186" t="n">
        <v>182.678518</v>
      </c>
      <c r="N186" t="n">
        <v>182.678518</v>
      </c>
      <c r="O186" t="n">
        <v>118.787049</v>
      </c>
      <c r="P186" t="n">
        <v>55.817264</v>
      </c>
      <c r="Q186" t="n">
        <v>182.678518</v>
      </c>
      <c r="R186" t="n">
        <v>182.678518</v>
      </c>
      <c r="S186" t="n">
        <v>118.787049</v>
      </c>
      <c r="T186" t="n">
        <v>118.805162</v>
      </c>
      <c r="U186" t="n">
        <v>55.817264</v>
      </c>
      <c r="V186" t="n">
        <v>-489.077337</v>
      </c>
      <c r="W186" t="n">
        <v>128.847646</v>
      </c>
      <c r="X186" t="n">
        <v>189.690715</v>
      </c>
      <c r="Y186" t="n">
        <v>44.410268</v>
      </c>
      <c r="Z186" t="n">
        <v>180.282129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1" t="inlineStr">
        <is>
          <t>Côtier pel L pred</t>
        </is>
      </c>
      <c r="E187" t="n">
        <v>163.765772</v>
      </c>
      <c r="F187" t="n">
        <v>1052.557933</v>
      </c>
      <c r="G187" t="n">
        <v>999.055395</v>
      </c>
      <c r="H187" t="n">
        <v>11777.345384</v>
      </c>
      <c r="I187" t="n">
        <v>6532.702988</v>
      </c>
      <c r="J187" t="n">
        <v>7781.543468</v>
      </c>
      <c r="K187" t="n">
        <v>7457.867522</v>
      </c>
      <c r="L187" t="n">
        <v>14096.783373</v>
      </c>
      <c r="M187" t="n">
        <v>14096.783373</v>
      </c>
      <c r="N187" t="n">
        <v>14096.783373</v>
      </c>
      <c r="O187" t="n">
        <v>6109.503634</v>
      </c>
      <c r="P187" t="n">
        <v>1921.91996</v>
      </c>
      <c r="Q187" t="n">
        <v>14096.783373</v>
      </c>
      <c r="R187" t="n">
        <v>-57701.40232</v>
      </c>
      <c r="S187" t="n">
        <v>6109.503634</v>
      </c>
      <c r="T187" t="n">
        <v>6110.593726</v>
      </c>
      <c r="U187" t="n">
        <v>1921.91996</v>
      </c>
      <c r="V187" t="n">
        <v>-289768.063862</v>
      </c>
      <c r="W187" t="n">
        <v>6783.082741</v>
      </c>
      <c r="X187" t="n">
        <v>15274.190211</v>
      </c>
      <c r="Y187" t="n">
        <v>579.770625</v>
      </c>
      <c r="Z187" t="n">
        <v>4535.503078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1" t="inlineStr">
        <is>
          <t>Crustacés</t>
        </is>
      </c>
      <c r="E188" t="n">
        <v>163.765772</v>
      </c>
      <c r="F188" t="n">
        <v>79.64922</v>
      </c>
      <c r="G188" t="n">
        <v>77.077782</v>
      </c>
      <c r="H188" t="n">
        <v>199.420396</v>
      </c>
      <c r="I188" t="n">
        <v>94.919134</v>
      </c>
      <c r="J188" t="n">
        <v>94.919134</v>
      </c>
      <c r="K188" t="n">
        <v>90.173177</v>
      </c>
      <c r="L188" t="n">
        <v>135.651174</v>
      </c>
      <c r="M188" t="n">
        <v>135.651174</v>
      </c>
      <c r="N188" t="n">
        <v>135.651174</v>
      </c>
      <c r="O188" t="n">
        <v>112.097094</v>
      </c>
      <c r="P188" t="n">
        <v>63.65447</v>
      </c>
      <c r="Q188" t="n">
        <v>135.651174</v>
      </c>
      <c r="R188" t="n">
        <v>135.651174</v>
      </c>
      <c r="S188" t="n">
        <v>112.097094</v>
      </c>
      <c r="T188" t="n">
        <v>112.118405</v>
      </c>
      <c r="U188" t="n">
        <v>63.65447</v>
      </c>
      <c r="V188" t="n">
        <v>-691.708697</v>
      </c>
      <c r="W188" t="n">
        <v>122.926325</v>
      </c>
      <c r="X188" t="n">
        <v>140.897505</v>
      </c>
      <c r="Y188" t="n">
        <v>54.73445</v>
      </c>
      <c r="Z188" t="n">
        <v>122.753568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1" t="inlineStr">
        <is>
          <t>Côtier L pred | Dem M pred | Dem S inv</t>
        </is>
      </c>
      <c r="E189" t="n">
        <v>163.765772</v>
      </c>
      <c r="F189" t="n">
        <v>833.910739</v>
      </c>
      <c r="G189" t="n">
        <v>792.894523</v>
      </c>
      <c r="H189" t="n">
        <v>6985.578285</v>
      </c>
      <c r="I189" t="n">
        <v>4955.63057</v>
      </c>
      <c r="J189" t="n">
        <v>9208.554787999999</v>
      </c>
      <c r="K189" t="n">
        <v>7972.181269</v>
      </c>
      <c r="L189" t="n">
        <v>18478.180011</v>
      </c>
      <c r="M189" t="n">
        <v>18478.180011</v>
      </c>
      <c r="N189" t="n">
        <v>18478.180011</v>
      </c>
      <c r="O189" t="n">
        <v>6152.3442</v>
      </c>
      <c r="P189" t="n">
        <v>1973.473584</v>
      </c>
      <c r="Q189" t="n">
        <v>18478.180011</v>
      </c>
      <c r="R189" t="n">
        <v>-80333.245513</v>
      </c>
      <c r="S189" t="n">
        <v>6152.3442</v>
      </c>
      <c r="T189" t="n">
        <v>6153.458463</v>
      </c>
      <c r="U189" t="n">
        <v>1973.473584</v>
      </c>
      <c r="V189" t="n">
        <v>-446092.008213</v>
      </c>
      <c r="W189" t="n">
        <v>6766.908799</v>
      </c>
      <c r="X189" t="n">
        <v>19923.501675</v>
      </c>
      <c r="Y189" t="n">
        <v>468.524347</v>
      </c>
      <c r="Z189" t="n">
        <v>2876.184298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1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1" t="inlineStr">
        <is>
          <t>Bathy SM inv | Dem M inv | Dem M pred</t>
        </is>
      </c>
      <c r="E191" t="n">
        <v>163.765772</v>
      </c>
      <c r="F191" t="n">
        <v>223.303228</v>
      </c>
      <c r="G191" t="n">
        <v>214.112074</v>
      </c>
      <c r="H191" t="n">
        <v>885.790742</v>
      </c>
      <c r="I191" t="n">
        <v>840.987148</v>
      </c>
      <c r="J191" t="n">
        <v>841.208942</v>
      </c>
      <c r="K191" t="n">
        <v>799.148495</v>
      </c>
      <c r="L191" t="n">
        <v>1083.363271</v>
      </c>
      <c r="M191" t="n">
        <v>1083.363271</v>
      </c>
      <c r="N191" t="n">
        <v>1083.363271</v>
      </c>
      <c r="O191" t="n">
        <v>853.142013</v>
      </c>
      <c r="P191" t="n">
        <v>441.920384</v>
      </c>
      <c r="Q191" t="n">
        <v>1083.363271</v>
      </c>
      <c r="R191" t="n">
        <v>1083.363271</v>
      </c>
      <c r="S191" t="n">
        <v>853.142013</v>
      </c>
      <c r="T191" t="n">
        <v>853.306322</v>
      </c>
      <c r="U191" t="n">
        <v>441.920384</v>
      </c>
      <c r="V191" t="n">
        <v>-4854.68346</v>
      </c>
      <c r="W191" t="n">
        <v>935.575247</v>
      </c>
      <c r="X191" t="n">
        <v>1151.458953</v>
      </c>
      <c r="Y191" t="n">
        <v>138.351876</v>
      </c>
      <c r="Z191" t="n">
        <v>440.094642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1" t="inlineStr">
        <is>
          <t>Côtier L pred | Côtier M pred</t>
        </is>
      </c>
      <c r="E192" t="n">
        <v>163.765772</v>
      </c>
      <c r="F192" t="n">
        <v>834.710991</v>
      </c>
      <c r="G192" t="n">
        <v>793.66012</v>
      </c>
      <c r="H192" t="n">
        <v>7076.667931</v>
      </c>
      <c r="I192" t="n">
        <v>5090.508207</v>
      </c>
      <c r="J192" t="n">
        <v>9567.321019000001</v>
      </c>
      <c r="K192" t="n">
        <v>8272.133609</v>
      </c>
      <c r="L192" t="n">
        <v>19277.16914</v>
      </c>
      <c r="M192" t="n">
        <v>19277.16914</v>
      </c>
      <c r="N192" t="n">
        <v>19277.16914</v>
      </c>
      <c r="O192" t="n">
        <v>6360.199633</v>
      </c>
      <c r="P192" t="n">
        <v>2029.155386</v>
      </c>
      <c r="Q192" t="n">
        <v>19277.16914</v>
      </c>
      <c r="R192" t="n">
        <v>-84785.202364</v>
      </c>
      <c r="S192" t="n">
        <v>6360.199633</v>
      </c>
      <c r="T192" t="n">
        <v>6361.350776</v>
      </c>
      <c r="U192" t="n">
        <v>2029.155386</v>
      </c>
      <c r="V192" t="n">
        <v>-469204.617201</v>
      </c>
      <c r="W192" t="n">
        <v>6995.58659</v>
      </c>
      <c r="X192" t="n">
        <v>20787.359541</v>
      </c>
      <c r="Y192" t="n">
        <v>469.002774</v>
      </c>
      <c r="Z192" t="n">
        <v>2908.581064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1" t="inlineStr">
        <is>
          <t>Crustacés</t>
        </is>
      </c>
      <c r="E193" t="n">
        <v>163.765772</v>
      </c>
      <c r="F193" t="n">
        <v>79.64922</v>
      </c>
      <c r="G193" t="n">
        <v>77.077782</v>
      </c>
      <c r="H193" t="n">
        <v>199.420396</v>
      </c>
      <c r="I193" t="n">
        <v>94.919134</v>
      </c>
      <c r="J193" t="n">
        <v>94.919134</v>
      </c>
      <c r="K193" t="n">
        <v>90.173177</v>
      </c>
      <c r="L193" t="n">
        <v>135.651174</v>
      </c>
      <c r="M193" t="n">
        <v>135.651174</v>
      </c>
      <c r="N193" t="n">
        <v>135.651174</v>
      </c>
      <c r="O193" t="n">
        <v>112.097094</v>
      </c>
      <c r="P193" t="n">
        <v>63.65447</v>
      </c>
      <c r="Q193" t="n">
        <v>135.651174</v>
      </c>
      <c r="R193" t="n">
        <v>135.651174</v>
      </c>
      <c r="S193" t="n">
        <v>112.097094</v>
      </c>
      <c r="T193" t="n">
        <v>112.118405</v>
      </c>
      <c r="U193" t="n">
        <v>63.65447</v>
      </c>
      <c r="V193" t="n">
        <v>-691.708697</v>
      </c>
      <c r="W193" t="n">
        <v>122.926325</v>
      </c>
      <c r="X193" t="n">
        <v>140.897505</v>
      </c>
      <c r="Y193" t="n">
        <v>54.73445</v>
      </c>
      <c r="Z193" t="n">
        <v>122.753568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1" t="inlineStr">
        <is>
          <t>Côtier pel L pred</t>
        </is>
      </c>
      <c r="E194" t="n">
        <v>163.765772</v>
      </c>
      <c r="F194" t="n">
        <v>1052.557933</v>
      </c>
      <c r="G194" t="n">
        <v>999.055395</v>
      </c>
      <c r="H194" t="n">
        <v>11777.345384</v>
      </c>
      <c r="I194" t="n">
        <v>6532.702988</v>
      </c>
      <c r="J194" t="n">
        <v>7781.543468</v>
      </c>
      <c r="K194" t="n">
        <v>7457.867522</v>
      </c>
      <c r="L194" t="n">
        <v>14096.783373</v>
      </c>
      <c r="M194" t="n">
        <v>14096.783373</v>
      </c>
      <c r="N194" t="n">
        <v>14096.783373</v>
      </c>
      <c r="O194" t="n">
        <v>6109.503634</v>
      </c>
      <c r="P194" t="n">
        <v>1921.91996</v>
      </c>
      <c r="Q194" t="n">
        <v>14096.783373</v>
      </c>
      <c r="R194" t="n">
        <v>-57701.40232</v>
      </c>
      <c r="S194" t="n">
        <v>6109.503634</v>
      </c>
      <c r="T194" t="n">
        <v>6110.593726</v>
      </c>
      <c r="U194" t="n">
        <v>1921.91996</v>
      </c>
      <c r="V194" t="n">
        <v>-289768.063862</v>
      </c>
      <c r="W194" t="n">
        <v>6783.082741</v>
      </c>
      <c r="X194" t="n">
        <v>15274.190211</v>
      </c>
      <c r="Y194" t="n">
        <v>579.770625</v>
      </c>
      <c r="Z194" t="n">
        <v>4535.503078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1" t="inlineStr">
        <is>
          <t>Côtier M inv</t>
        </is>
      </c>
      <c r="E195" t="n">
        <v>163.765772</v>
      </c>
      <c r="F195" t="n">
        <v>170.837609</v>
      </c>
      <c r="G195" t="n">
        <v>164.379174</v>
      </c>
      <c r="H195" t="n">
        <v>573.174129</v>
      </c>
      <c r="I195" t="n">
        <v>332.812451</v>
      </c>
      <c r="J195" t="n">
        <v>332.812451</v>
      </c>
      <c r="K195" t="n">
        <v>331.190423</v>
      </c>
      <c r="L195" t="n">
        <v>425.732264</v>
      </c>
      <c r="M195" t="n">
        <v>425.732264</v>
      </c>
      <c r="N195" t="n">
        <v>425.732264</v>
      </c>
      <c r="O195" t="n">
        <v>368.426453</v>
      </c>
      <c r="P195" t="n">
        <v>198.243136</v>
      </c>
      <c r="Q195" t="n">
        <v>425.732264</v>
      </c>
      <c r="R195" t="n">
        <v>425.732264</v>
      </c>
      <c r="S195" t="n">
        <v>368.426453</v>
      </c>
      <c r="T195" t="n">
        <v>368.498294</v>
      </c>
      <c r="U195" t="n">
        <v>198.243136</v>
      </c>
      <c r="V195" t="n">
        <v>-2197.047861</v>
      </c>
      <c r="W195" t="n">
        <v>402.613215</v>
      </c>
      <c r="X195" t="n">
        <v>447.451967</v>
      </c>
      <c r="Y195" t="n">
        <v>109.967259</v>
      </c>
      <c r="Z195" t="n">
        <v>314.242463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1" t="inlineStr">
        <is>
          <t>Sélaciens L prof</t>
        </is>
      </c>
      <c r="E196" t="n">
        <v>163.765772</v>
      </c>
      <c r="F196" t="n">
        <v>2984.356694</v>
      </c>
      <c r="G196" t="n">
        <v>2810.614697</v>
      </c>
      <c r="H196" t="n">
        <v>33755.937801</v>
      </c>
      <c r="I196" t="n">
        <v>124488.415541</v>
      </c>
      <c r="J196" t="n">
        <v>128866.935983</v>
      </c>
      <c r="K196" t="n">
        <v>64433.467991</v>
      </c>
      <c r="L196" t="n">
        <v>630806.17817</v>
      </c>
      <c r="M196" t="n">
        <v>630806.17817</v>
      </c>
      <c r="N196" t="n">
        <v>630806.17817</v>
      </c>
      <c r="O196" t="n">
        <v>51235.06282</v>
      </c>
      <c r="P196" t="n">
        <v>12871.977711</v>
      </c>
      <c r="Q196" t="n">
        <v>630806.17817</v>
      </c>
      <c r="R196" t="n">
        <v>-1411127.786749</v>
      </c>
      <c r="S196" t="n">
        <v>51235.06282</v>
      </c>
      <c r="T196" t="n">
        <v>51244.1029</v>
      </c>
      <c r="U196" t="n">
        <v>12871.977711</v>
      </c>
      <c r="V196" t="n">
        <v>-997488.464399</v>
      </c>
      <c r="W196" t="n">
        <v>58369.578627</v>
      </c>
      <c r="X196" t="n">
        <v>764649.1712</v>
      </c>
      <c r="Y196" t="n">
        <v>1503.40227</v>
      </c>
      <c r="Z196" t="n">
        <v>11832.438102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1" t="inlineStr">
        <is>
          <t>Dem S inv</t>
        </is>
      </c>
      <c r="E197" t="n">
        <v>163.765772</v>
      </c>
      <c r="F197" t="n">
        <v>142.252931</v>
      </c>
      <c r="G197" t="n">
        <v>137.06314</v>
      </c>
      <c r="H197" t="n">
        <v>222.613532</v>
      </c>
      <c r="I197" t="n">
        <v>360.673587</v>
      </c>
      <c r="J197" t="n">
        <v>360.673587</v>
      </c>
      <c r="K197" t="n">
        <v>342.639907</v>
      </c>
      <c r="L197" t="n">
        <v>430.111455</v>
      </c>
      <c r="M197" t="n">
        <v>430.111455</v>
      </c>
      <c r="N197" t="n">
        <v>430.111455</v>
      </c>
      <c r="O197" t="n">
        <v>381.619104</v>
      </c>
      <c r="P197" t="n">
        <v>231.961509</v>
      </c>
      <c r="Q197" t="n">
        <v>430.111455</v>
      </c>
      <c r="R197" t="n">
        <v>430.111455</v>
      </c>
      <c r="S197" t="n">
        <v>381.619104</v>
      </c>
      <c r="T197" t="n">
        <v>381.697883</v>
      </c>
      <c r="U197" t="n">
        <v>231.961509</v>
      </c>
      <c r="V197" t="n">
        <v>-2677.846065</v>
      </c>
      <c r="W197" t="n">
        <v>415.453035</v>
      </c>
      <c r="X197" t="n">
        <v>450.376681</v>
      </c>
      <c r="Y197" t="n">
        <v>93.01559399999999</v>
      </c>
      <c r="Z197" t="n">
        <v>138.922278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1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1" t="inlineStr">
        <is>
          <t>Côtier M inv</t>
        </is>
      </c>
      <c r="E199" t="n">
        <v>163.765772</v>
      </c>
      <c r="F199" t="n">
        <v>170.837609</v>
      </c>
      <c r="G199" t="n">
        <v>164.379174</v>
      </c>
      <c r="H199" t="n">
        <v>573.174129</v>
      </c>
      <c r="I199" t="n">
        <v>332.812451</v>
      </c>
      <c r="J199" t="n">
        <v>332.812451</v>
      </c>
      <c r="K199" t="n">
        <v>331.190423</v>
      </c>
      <c r="L199" t="n">
        <v>425.732264</v>
      </c>
      <c r="M199" t="n">
        <v>425.732264</v>
      </c>
      <c r="N199" t="n">
        <v>425.732264</v>
      </c>
      <c r="O199" t="n">
        <v>368.426453</v>
      </c>
      <c r="P199" t="n">
        <v>198.243136</v>
      </c>
      <c r="Q199" t="n">
        <v>425.732264</v>
      </c>
      <c r="R199" t="n">
        <v>425.732264</v>
      </c>
      <c r="S199" t="n">
        <v>368.426453</v>
      </c>
      <c r="T199" t="n">
        <v>368.498294</v>
      </c>
      <c r="U199" t="n">
        <v>198.243136</v>
      </c>
      <c r="V199" t="n">
        <v>-2197.047861</v>
      </c>
      <c r="W199" t="n">
        <v>402.613215</v>
      </c>
      <c r="X199" t="n">
        <v>447.451967</v>
      </c>
      <c r="Y199" t="n">
        <v>109.967259</v>
      </c>
      <c r="Z199" t="n">
        <v>314.242463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Thons majeurs</t>
        </is>
      </c>
      <c r="E200" t="n">
        <v>163.765772</v>
      </c>
      <c r="F200" t="n">
        <v>2736.422785</v>
      </c>
      <c r="G200" t="n">
        <v>2578.791074</v>
      </c>
      <c r="H200" t="n">
        <v>17894.302324</v>
      </c>
      <c r="I200" t="n">
        <v>8524.622238</v>
      </c>
      <c r="J200" t="n">
        <v>8877.051893</v>
      </c>
      <c r="K200" t="n">
        <v>4438.525947</v>
      </c>
      <c r="L200" t="n">
        <v>13559.408277</v>
      </c>
      <c r="M200" t="n">
        <v>13559.408277</v>
      </c>
      <c r="N200" t="n">
        <v>13559.408277</v>
      </c>
      <c r="O200" t="n">
        <v>3620.855517</v>
      </c>
      <c r="P200" t="n">
        <v>1183.588403</v>
      </c>
      <c r="Q200" t="n">
        <v>13559.408277</v>
      </c>
      <c r="R200" t="n">
        <v>-35792.676603</v>
      </c>
      <c r="S200" t="n">
        <v>3620.855517</v>
      </c>
      <c r="T200" t="n">
        <v>3621.492366</v>
      </c>
      <c r="U200" t="n">
        <v>1183.588403</v>
      </c>
      <c r="V200" t="n">
        <v>-69430.651774</v>
      </c>
      <c r="W200" t="n">
        <v>4014.185729</v>
      </c>
      <c r="X200" t="n">
        <v>14860.282888</v>
      </c>
      <c r="Y200" t="n">
        <v>1388.786767</v>
      </c>
      <c r="Z200" t="n">
        <v>6982.232434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1" t="inlineStr">
        <is>
          <t>Côtier pel L pred</t>
        </is>
      </c>
      <c r="E201" t="n">
        <v>163.765772</v>
      </c>
      <c r="F201" t="n">
        <v>1052.557933</v>
      </c>
      <c r="G201" t="n">
        <v>999.055395</v>
      </c>
      <c r="H201" t="n">
        <v>11777.345384</v>
      </c>
      <c r="I201" t="n">
        <v>6532.702988</v>
      </c>
      <c r="J201" t="n">
        <v>7781.543468</v>
      </c>
      <c r="K201" t="n">
        <v>7457.867522</v>
      </c>
      <c r="L201" t="n">
        <v>14096.783373</v>
      </c>
      <c r="M201" t="n">
        <v>14096.783373</v>
      </c>
      <c r="N201" t="n">
        <v>14096.783373</v>
      </c>
      <c r="O201" t="n">
        <v>6109.503634</v>
      </c>
      <c r="P201" t="n">
        <v>1921.91996</v>
      </c>
      <c r="Q201" t="n">
        <v>14096.783373</v>
      </c>
      <c r="R201" t="n">
        <v>-57701.40232</v>
      </c>
      <c r="S201" t="n">
        <v>6109.503634</v>
      </c>
      <c r="T201" t="n">
        <v>6110.593726</v>
      </c>
      <c r="U201" t="n">
        <v>1921.91996</v>
      </c>
      <c r="V201" t="n">
        <v>-289768.063862</v>
      </c>
      <c r="W201" t="n">
        <v>6783.082741</v>
      </c>
      <c r="X201" t="n">
        <v>15274.190211</v>
      </c>
      <c r="Y201" t="n">
        <v>579.770625</v>
      </c>
      <c r="Z201" t="n">
        <v>4535.503078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1" t="inlineStr">
        <is>
          <t>Dem L pred</t>
        </is>
      </c>
      <c r="E202" t="n">
        <v>163.765772</v>
      </c>
      <c r="F202" t="n">
        <v>702.92427</v>
      </c>
      <c r="G202" t="n">
        <v>669.216325</v>
      </c>
      <c r="H202" t="n">
        <v>8905.433089</v>
      </c>
      <c r="I202" t="n">
        <v>6777.560073</v>
      </c>
      <c r="J202" t="n">
        <v>6838.476733</v>
      </c>
      <c r="K202" t="n">
        <v>5761.883976</v>
      </c>
      <c r="L202" t="n">
        <v>11046.457304</v>
      </c>
      <c r="M202" t="n">
        <v>11046.457304</v>
      </c>
      <c r="N202" t="n">
        <v>11046.457304</v>
      </c>
      <c r="O202" t="n">
        <v>5782.642595</v>
      </c>
      <c r="P202" t="n">
        <v>2043.771325</v>
      </c>
      <c r="Q202" t="n">
        <v>11046.457304</v>
      </c>
      <c r="R202" t="n">
        <v>11046.457304</v>
      </c>
      <c r="S202" t="n">
        <v>5782.642595</v>
      </c>
      <c r="T202" t="n">
        <v>5783.714073</v>
      </c>
      <c r="U202" t="n">
        <v>2043.771325</v>
      </c>
      <c r="V202" t="n">
        <v>-21764.358979</v>
      </c>
      <c r="W202" t="n">
        <v>6493.9392</v>
      </c>
      <c r="X202" t="n">
        <v>12062.969112</v>
      </c>
      <c r="Y202" t="n">
        <v>400.815207</v>
      </c>
      <c r="Z202" t="n">
        <v>3457.535342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1" t="inlineStr">
        <is>
          <t>Dem L pred</t>
        </is>
      </c>
      <c r="E203" t="n">
        <v>163.765772</v>
      </c>
      <c r="F203" t="n">
        <v>702.92427</v>
      </c>
      <c r="G203" t="n">
        <v>669.216325</v>
      </c>
      <c r="H203" t="n">
        <v>8905.433089</v>
      </c>
      <c r="I203" t="n">
        <v>6777.560073</v>
      </c>
      <c r="J203" t="n">
        <v>6838.476733</v>
      </c>
      <c r="K203" t="n">
        <v>5761.883976</v>
      </c>
      <c r="L203" t="n">
        <v>11046.457304</v>
      </c>
      <c r="M203" t="n">
        <v>11046.457304</v>
      </c>
      <c r="N203" t="n">
        <v>11046.457304</v>
      </c>
      <c r="O203" t="n">
        <v>5782.642595</v>
      </c>
      <c r="P203" t="n">
        <v>2043.771325</v>
      </c>
      <c r="Q203" t="n">
        <v>11046.457304</v>
      </c>
      <c r="R203" t="n">
        <v>11046.457304</v>
      </c>
      <c r="S203" t="n">
        <v>5782.642595</v>
      </c>
      <c r="T203" t="n">
        <v>5783.714073</v>
      </c>
      <c r="U203" t="n">
        <v>2043.771325</v>
      </c>
      <c r="V203" t="n">
        <v>-21764.358979</v>
      </c>
      <c r="W203" t="n">
        <v>6493.9392</v>
      </c>
      <c r="X203" t="n">
        <v>12062.969112</v>
      </c>
      <c r="Y203" t="n">
        <v>400.815207</v>
      </c>
      <c r="Z203" t="n">
        <v>3457.535342</v>
      </c>
    </row>
    <row r="204" ht="21" customHeight="1">
      <c r="A204" t="inlineStr">
        <is>
          <t>Abudefduf</t>
        </is>
      </c>
      <c r="D204" s="11" t="inlineStr">
        <is>
          <t>Côtier S inv</t>
        </is>
      </c>
      <c r="E204" t="n">
        <v>163.765772</v>
      </c>
      <c r="F204" t="n">
        <v>79.510256</v>
      </c>
      <c r="G204" t="n">
        <v>76.944312</v>
      </c>
      <c r="H204" t="n">
        <v>373.150929</v>
      </c>
      <c r="I204" t="n">
        <v>228.204413</v>
      </c>
      <c r="J204" t="n">
        <v>228.808027</v>
      </c>
      <c r="K204" t="n">
        <v>222.997608</v>
      </c>
      <c r="L204" t="n">
        <v>302.43669</v>
      </c>
      <c r="M204" t="n">
        <v>302.43669</v>
      </c>
      <c r="N204" t="n">
        <v>302.43669</v>
      </c>
      <c r="O204" t="n">
        <v>244.203076</v>
      </c>
      <c r="P204" t="n">
        <v>127.641231</v>
      </c>
      <c r="Q204" t="n">
        <v>302.43669</v>
      </c>
      <c r="R204" t="n">
        <v>302.43669</v>
      </c>
      <c r="S204" t="n">
        <v>244.203076</v>
      </c>
      <c r="T204" t="n">
        <v>244.24861</v>
      </c>
      <c r="U204" t="n">
        <v>127.641231</v>
      </c>
      <c r="V204" t="n">
        <v>-1347.82362</v>
      </c>
      <c r="W204" t="n">
        <v>265.990648</v>
      </c>
      <c r="X204" t="n">
        <v>316.455773</v>
      </c>
      <c r="Y204" t="n">
        <v>54.647132</v>
      </c>
      <c r="Z204" t="n">
        <v>203.025564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1" t="inlineStr">
        <is>
          <t>Dem M pred</t>
        </is>
      </c>
      <c r="E205" t="n">
        <v>163.765772</v>
      </c>
      <c r="F205" t="n">
        <v>865.196085</v>
      </c>
      <c r="G205" t="n">
        <v>822.424992</v>
      </c>
      <c r="H205" t="n">
        <v>5615.443398</v>
      </c>
      <c r="I205" t="n">
        <v>2545.974662</v>
      </c>
      <c r="J205" t="n">
        <v>2548.997979</v>
      </c>
      <c r="K205" t="n">
        <v>2421.54808</v>
      </c>
      <c r="L205" t="n">
        <v>3524.148314</v>
      </c>
      <c r="M205" t="n">
        <v>3524.148314</v>
      </c>
      <c r="N205" t="n">
        <v>3524.148314</v>
      </c>
      <c r="O205" t="n">
        <v>2342.099562</v>
      </c>
      <c r="P205" t="n">
        <v>966.982842</v>
      </c>
      <c r="Q205" t="n">
        <v>3524.148314</v>
      </c>
      <c r="R205" t="n">
        <v>3524.148314</v>
      </c>
      <c r="S205" t="n">
        <v>2342.099562</v>
      </c>
      <c r="T205" t="n">
        <v>2342.538543</v>
      </c>
      <c r="U205" t="n">
        <v>966.982842</v>
      </c>
      <c r="V205" t="n">
        <v>-10411.689834</v>
      </c>
      <c r="W205" t="n">
        <v>2575.180215</v>
      </c>
      <c r="X205" t="n">
        <v>3752.018969</v>
      </c>
      <c r="Y205" t="n">
        <v>484.640876</v>
      </c>
      <c r="Z205" t="n">
        <v>2412.043438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1" t="inlineStr">
        <is>
          <t>Céphalopodes</t>
        </is>
      </c>
      <c r="E206" t="n">
        <v>163.765772</v>
      </c>
      <c r="F206" t="n">
        <v>822.926928</v>
      </c>
      <c r="G206" t="n">
        <v>782.5392000000001</v>
      </c>
      <c r="H206" t="n">
        <v>2911.869334</v>
      </c>
      <c r="I206" t="n">
        <v>776.132507</v>
      </c>
      <c r="J206" t="n">
        <v>776.132507</v>
      </c>
      <c r="K206" t="n">
        <v>737.325882</v>
      </c>
      <c r="L206" t="n">
        <v>1169.060818</v>
      </c>
      <c r="M206" t="n">
        <v>1169.060818</v>
      </c>
      <c r="N206" t="n">
        <v>1169.060818</v>
      </c>
      <c r="O206" t="n">
        <v>633.531335</v>
      </c>
      <c r="P206" t="n">
        <v>262.847199</v>
      </c>
      <c r="Q206" t="n">
        <v>1169.060818</v>
      </c>
      <c r="R206" t="n">
        <v>1169.060818</v>
      </c>
      <c r="S206" t="n">
        <v>633.531335</v>
      </c>
      <c r="T206" t="n">
        <v>633.6433950000001</v>
      </c>
      <c r="U206" t="n">
        <v>262.847199</v>
      </c>
      <c r="V206" t="n">
        <v>-2693.78971</v>
      </c>
      <c r="W206" t="n">
        <v>696.0734629999999</v>
      </c>
      <c r="X206" t="n">
        <v>1245.599369</v>
      </c>
      <c r="Y206" t="n">
        <v>462.946606</v>
      </c>
      <c r="Z206" t="n">
        <v>1388.472944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1" t="inlineStr">
        <is>
          <t>Dem M inv</t>
        </is>
      </c>
      <c r="E207" t="n">
        <v>163.765772</v>
      </c>
      <c r="F207" t="n">
        <v>172.485056</v>
      </c>
      <c r="G207" t="n">
        <v>165.952401</v>
      </c>
      <c r="H207" t="n">
        <v>511.347723</v>
      </c>
      <c r="I207" t="n">
        <v>706.004578</v>
      </c>
      <c r="J207" t="n">
        <v>706.004578</v>
      </c>
      <c r="K207" t="n">
        <v>670.704349</v>
      </c>
      <c r="L207" t="n">
        <v>890.128168</v>
      </c>
      <c r="M207" t="n">
        <v>890.128168</v>
      </c>
      <c r="N207" t="n">
        <v>890.128168</v>
      </c>
      <c r="O207" t="n">
        <v>735.262371</v>
      </c>
      <c r="P207" t="n">
        <v>400.351586</v>
      </c>
      <c r="Q207" t="n">
        <v>890.128168</v>
      </c>
      <c r="R207" t="n">
        <v>890.128168</v>
      </c>
      <c r="S207" t="n">
        <v>735.262371</v>
      </c>
      <c r="T207" t="n">
        <v>735.404934</v>
      </c>
      <c r="U207" t="n">
        <v>400.351586</v>
      </c>
      <c r="V207" t="n">
        <v>-4414.739474</v>
      </c>
      <c r="W207" t="n">
        <v>805.768964</v>
      </c>
      <c r="X207" t="n">
        <v>945.574586</v>
      </c>
      <c r="Y207" t="n">
        <v>110.936439</v>
      </c>
      <c r="Z207" t="n">
        <v>283.97695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1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1" t="inlineStr">
        <is>
          <t>Sélaciens L côtiers</t>
        </is>
      </c>
      <c r="E209" t="n">
        <v>163.765772</v>
      </c>
      <c r="F209" t="n">
        <v>1149.132987</v>
      </c>
      <c r="G209" t="n">
        <v>1090.003899</v>
      </c>
      <c r="H209" t="n">
        <v>26127.270352</v>
      </c>
      <c r="I209" t="n">
        <v>60049.460833</v>
      </c>
      <c r="J209" t="n">
        <v>53915.740438</v>
      </c>
      <c r="K209" t="n">
        <v>48298.915435</v>
      </c>
      <c r="L209" t="n">
        <v>144842.06399</v>
      </c>
      <c r="M209" t="n">
        <v>144842.06399</v>
      </c>
      <c r="N209" t="n">
        <v>144842.06399</v>
      </c>
      <c r="O209" t="n">
        <v>27575.101402</v>
      </c>
      <c r="P209" t="n">
        <v>7327.065611</v>
      </c>
      <c r="Q209" t="n">
        <v>144842.06399</v>
      </c>
      <c r="R209" t="n">
        <v>-325137.025632</v>
      </c>
      <c r="S209" t="n">
        <v>27575.101402</v>
      </c>
      <c r="T209" t="n">
        <v>27580.015333</v>
      </c>
      <c r="U209" t="n">
        <v>7327.065611</v>
      </c>
      <c r="V209" t="n">
        <v>-736674.038746</v>
      </c>
      <c r="W209" t="n">
        <v>30898.384799</v>
      </c>
      <c r="X209" t="n">
        <v>163593.250874</v>
      </c>
      <c r="Y209" t="n">
        <v>628.222446</v>
      </c>
      <c r="Z209" t="n">
        <v>9214.946091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1" t="inlineStr">
        <is>
          <t>Bathy L pred</t>
        </is>
      </c>
      <c r="E210" t="n">
        <v>163.765772</v>
      </c>
      <c r="F210" t="n">
        <v>1106.358887</v>
      </c>
      <c r="G210" t="n">
        <v>1049.729226</v>
      </c>
      <c r="H210" t="n">
        <v>7084.212361</v>
      </c>
      <c r="I210" t="n">
        <v>3065.622048</v>
      </c>
      <c r="J210" t="n">
        <v>3130.312893</v>
      </c>
      <c r="K210" t="n">
        <v>2973.797249</v>
      </c>
      <c r="L210" t="n">
        <v>5058.397662</v>
      </c>
      <c r="M210" t="n">
        <v>5058.397662</v>
      </c>
      <c r="N210" t="n">
        <v>5058.397662</v>
      </c>
      <c r="O210" t="n">
        <v>2368.204623</v>
      </c>
      <c r="P210" t="n">
        <v>807.087555</v>
      </c>
      <c r="Q210" t="n">
        <v>5058.397662</v>
      </c>
      <c r="R210" t="n">
        <v>5058.397662</v>
      </c>
      <c r="S210" t="n">
        <v>2368.204623</v>
      </c>
      <c r="T210" t="n">
        <v>2368.613989</v>
      </c>
      <c r="U210" t="n">
        <v>807.087555</v>
      </c>
      <c r="V210" t="n">
        <v>-8011.455306</v>
      </c>
      <c r="W210" t="n">
        <v>2656.811608</v>
      </c>
      <c r="X210" t="n">
        <v>5385.068956</v>
      </c>
      <c r="Y210" t="n">
        <v>606.8075</v>
      </c>
      <c r="Z210" t="n">
        <v>2931.572844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1" t="inlineStr">
        <is>
          <t>Thons majeurs</t>
        </is>
      </c>
      <c r="E211" t="n">
        <v>163.765772</v>
      </c>
      <c r="F211" t="n">
        <v>2736.422785</v>
      </c>
      <c r="G211" t="n">
        <v>2578.791074</v>
      </c>
      <c r="H211" t="n">
        <v>17894.302324</v>
      </c>
      <c r="I211" t="n">
        <v>8524.622238</v>
      </c>
      <c r="J211" t="n">
        <v>8877.051893</v>
      </c>
      <c r="K211" t="n">
        <v>4438.525947</v>
      </c>
      <c r="L211" t="n">
        <v>13559.408277</v>
      </c>
      <c r="M211" t="n">
        <v>13559.408277</v>
      </c>
      <c r="N211" t="n">
        <v>13559.408277</v>
      </c>
      <c r="O211" t="n">
        <v>3620.855517</v>
      </c>
      <c r="P211" t="n">
        <v>1183.588403</v>
      </c>
      <c r="Q211" t="n">
        <v>13559.408277</v>
      </c>
      <c r="R211" t="n">
        <v>-35792.676603</v>
      </c>
      <c r="S211" t="n">
        <v>3620.855517</v>
      </c>
      <c r="T211" t="n">
        <v>3621.492366</v>
      </c>
      <c r="U211" t="n">
        <v>1183.588403</v>
      </c>
      <c r="V211" t="n">
        <v>-69430.651774</v>
      </c>
      <c r="W211" t="n">
        <v>4014.185729</v>
      </c>
      <c r="X211" t="n">
        <v>14860.282888</v>
      </c>
      <c r="Y211" t="n">
        <v>1388.786767</v>
      </c>
      <c r="Z211" t="n">
        <v>6982.232434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1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1" t="inlineStr">
        <is>
          <t>Sélaciens L prof | Sélaciens L côtiers | Sélaciens M prof | Sélaciens M côtiers</t>
        </is>
      </c>
      <c r="E213" t="n">
        <v>163.765772</v>
      </c>
      <c r="F213" t="n">
        <v>2769.459489</v>
      </c>
      <c r="G213" t="n">
        <v>2609.234813</v>
      </c>
      <c r="H213" t="n">
        <v>29837.724478</v>
      </c>
      <c r="I213" t="n">
        <v>101657.16278</v>
      </c>
      <c r="J213" t="n">
        <v>104397.527616</v>
      </c>
      <c r="K213" t="n">
        <v>54134.26078</v>
      </c>
      <c r="L213" t="n">
        <v>481963.79536</v>
      </c>
      <c r="M213" t="n">
        <v>481963.79536</v>
      </c>
      <c r="N213" t="n">
        <v>481963.79536</v>
      </c>
      <c r="O213" t="n">
        <v>42014.910642</v>
      </c>
      <c r="P213" t="n">
        <v>10783.909634</v>
      </c>
      <c r="Q213" t="n">
        <v>481963.79536</v>
      </c>
      <c r="R213" t="n">
        <v>-1054493.279314</v>
      </c>
      <c r="S213" t="n">
        <v>42014.910642</v>
      </c>
      <c r="T213" t="n">
        <v>42022.332329</v>
      </c>
      <c r="U213" t="n">
        <v>10783.909634</v>
      </c>
      <c r="V213" t="n">
        <v>-804804.473633</v>
      </c>
      <c r="W213" t="n">
        <v>47810.498044</v>
      </c>
      <c r="X213" t="n">
        <v>582148.077235</v>
      </c>
      <c r="Y213" t="n">
        <v>1401.4805</v>
      </c>
      <c r="Z213" t="n">
        <v>10590.149462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1" t="inlineStr">
        <is>
          <t>Côtier pel L pred</t>
        </is>
      </c>
      <c r="E214" t="n">
        <v>163.765772</v>
      </c>
      <c r="F214" t="n">
        <v>1052.557933</v>
      </c>
      <c r="G214" t="n">
        <v>999.055395</v>
      </c>
      <c r="H214" t="n">
        <v>11777.345384</v>
      </c>
      <c r="I214" t="n">
        <v>6532.702988</v>
      </c>
      <c r="J214" t="n">
        <v>7781.543468</v>
      </c>
      <c r="K214" t="n">
        <v>7457.867522</v>
      </c>
      <c r="L214" t="n">
        <v>14096.783373</v>
      </c>
      <c r="M214" t="n">
        <v>14096.783373</v>
      </c>
      <c r="N214" t="n">
        <v>14096.783373</v>
      </c>
      <c r="O214" t="n">
        <v>6109.503634</v>
      </c>
      <c r="P214" t="n">
        <v>1921.91996</v>
      </c>
      <c r="Q214" t="n">
        <v>14096.783373</v>
      </c>
      <c r="R214" t="n">
        <v>-57701.40232</v>
      </c>
      <c r="S214" t="n">
        <v>6109.503634</v>
      </c>
      <c r="T214" t="n">
        <v>6110.593726</v>
      </c>
      <c r="U214" t="n">
        <v>1921.91996</v>
      </c>
      <c r="V214" t="n">
        <v>-289768.063862</v>
      </c>
      <c r="W214" t="n">
        <v>6783.082741</v>
      </c>
      <c r="X214" t="n">
        <v>15274.190211</v>
      </c>
      <c r="Y214" t="n">
        <v>579.770625</v>
      </c>
      <c r="Z214" t="n">
        <v>4535.503078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1" t="inlineStr">
        <is>
          <t>Sélaciens L côtiers | Sélaciens M côtiers</t>
        </is>
      </c>
      <c r="E215" t="n">
        <v>163.765772</v>
      </c>
      <c r="F215" t="n">
        <v>1153.061509</v>
      </c>
      <c r="G215" t="n">
        <v>1093.701635</v>
      </c>
      <c r="H215" t="n">
        <v>25163.912514</v>
      </c>
      <c r="I215" t="n">
        <v>57149.644207</v>
      </c>
      <c r="J215" t="n">
        <v>51505.190715</v>
      </c>
      <c r="K215" t="n">
        <v>45688.206488</v>
      </c>
      <c r="L215" t="n">
        <v>137124.985345</v>
      </c>
      <c r="M215" t="n">
        <v>137124.985345</v>
      </c>
      <c r="N215" t="n">
        <v>137124.985345</v>
      </c>
      <c r="O215" t="n">
        <v>26241.113861</v>
      </c>
      <c r="P215" t="n">
        <v>7002.653238</v>
      </c>
      <c r="Q215" t="n">
        <v>137124.985345</v>
      </c>
      <c r="R215" t="n">
        <v>-311707.361626</v>
      </c>
      <c r="S215" t="n">
        <v>26241.113861</v>
      </c>
      <c r="T215" t="n">
        <v>26245.79024</v>
      </c>
      <c r="U215" t="n">
        <v>7002.653238</v>
      </c>
      <c r="V215" t="n">
        <v>-704503.821496</v>
      </c>
      <c r="W215" t="n">
        <v>29401.858972</v>
      </c>
      <c r="X215" t="n">
        <v>154800.528801</v>
      </c>
      <c r="Y215" t="n">
        <v>630.181807</v>
      </c>
      <c r="Z215" t="n">
        <v>8899.77252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1" t="inlineStr">
        <is>
          <t>Bathy L pred | Dem M pred</t>
        </is>
      </c>
      <c r="E216" t="n">
        <v>163.765772</v>
      </c>
      <c r="F216" t="n">
        <v>885.3131069999999</v>
      </c>
      <c r="G216" t="n">
        <v>841.385976</v>
      </c>
      <c r="H216" t="n">
        <v>5737.963359</v>
      </c>
      <c r="I216" t="n">
        <v>2589.321968</v>
      </c>
      <c r="J216" t="n">
        <v>2597.489391</v>
      </c>
      <c r="K216" t="n">
        <v>2467.614921</v>
      </c>
      <c r="L216" t="n">
        <v>3652.130437</v>
      </c>
      <c r="M216" t="n">
        <v>3652.130437</v>
      </c>
      <c r="N216" t="n">
        <v>3652.130437</v>
      </c>
      <c r="O216" t="n">
        <v>2344.277162</v>
      </c>
      <c r="P216" t="n">
        <v>953.644893</v>
      </c>
      <c r="Q216" t="n">
        <v>3652.130437</v>
      </c>
      <c r="R216" t="n">
        <v>3652.130437</v>
      </c>
      <c r="S216" t="n">
        <v>2344.277162</v>
      </c>
      <c r="T216" t="n">
        <v>2344.713672</v>
      </c>
      <c r="U216" t="n">
        <v>953.644893</v>
      </c>
      <c r="V216" t="n">
        <v>-10211.470025</v>
      </c>
      <c r="W216" t="n">
        <v>2581.989642</v>
      </c>
      <c r="X216" t="n">
        <v>3888.242723</v>
      </c>
      <c r="Y216" t="n">
        <v>494.831621</v>
      </c>
      <c r="Z216" t="n">
        <v>2455.380902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1" t="inlineStr">
        <is>
          <t>Thons majeurs</t>
        </is>
      </c>
      <c r="E217" t="n">
        <v>163.765772</v>
      </c>
      <c r="F217" t="n">
        <v>2736.422785</v>
      </c>
      <c r="G217" t="n">
        <v>2578.791074</v>
      </c>
      <c r="H217" t="n">
        <v>17894.302324</v>
      </c>
      <c r="I217" t="n">
        <v>8524.622238</v>
      </c>
      <c r="J217" t="n">
        <v>8877.051893</v>
      </c>
      <c r="K217" t="n">
        <v>4438.525947</v>
      </c>
      <c r="L217" t="n">
        <v>13559.408277</v>
      </c>
      <c r="M217" t="n">
        <v>13559.408277</v>
      </c>
      <c r="N217" t="n">
        <v>13559.408277</v>
      </c>
      <c r="O217" t="n">
        <v>3620.855517</v>
      </c>
      <c r="P217" t="n">
        <v>1183.588403</v>
      </c>
      <c r="Q217" t="n">
        <v>13559.408277</v>
      </c>
      <c r="R217" t="n">
        <v>-35792.676603</v>
      </c>
      <c r="S217" t="n">
        <v>3620.855517</v>
      </c>
      <c r="T217" t="n">
        <v>3621.492366</v>
      </c>
      <c r="U217" t="n">
        <v>1183.588403</v>
      </c>
      <c r="V217" t="n">
        <v>-69430.651774</v>
      </c>
      <c r="W217" t="n">
        <v>4014.185729</v>
      </c>
      <c r="X217" t="n">
        <v>14860.282888</v>
      </c>
      <c r="Y217" t="n">
        <v>1388.786767</v>
      </c>
      <c r="Z217" t="n">
        <v>6982.232434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1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1" t="inlineStr">
        <is>
          <t>Dem L pred</t>
        </is>
      </c>
      <c r="E219" t="n">
        <v>163.765772</v>
      </c>
      <c r="F219" t="n">
        <v>702.92427</v>
      </c>
      <c r="G219" t="n">
        <v>669.216325</v>
      </c>
      <c r="H219" t="n">
        <v>8905.433089</v>
      </c>
      <c r="I219" t="n">
        <v>6777.560073</v>
      </c>
      <c r="J219" t="n">
        <v>6838.476733</v>
      </c>
      <c r="K219" t="n">
        <v>5761.883976</v>
      </c>
      <c r="L219" t="n">
        <v>11046.457304</v>
      </c>
      <c r="M219" t="n">
        <v>11046.457304</v>
      </c>
      <c r="N219" t="n">
        <v>11046.457304</v>
      </c>
      <c r="O219" t="n">
        <v>5782.642595</v>
      </c>
      <c r="P219" t="n">
        <v>2043.771325</v>
      </c>
      <c r="Q219" t="n">
        <v>11046.457304</v>
      </c>
      <c r="R219" t="n">
        <v>11046.457304</v>
      </c>
      <c r="S219" t="n">
        <v>5782.642595</v>
      </c>
      <c r="T219" t="n">
        <v>5783.714073</v>
      </c>
      <c r="U219" t="n">
        <v>2043.771325</v>
      </c>
      <c r="V219" t="n">
        <v>-21764.358979</v>
      </c>
      <c r="W219" t="n">
        <v>6493.9392</v>
      </c>
      <c r="X219" t="n">
        <v>12062.969112</v>
      </c>
      <c r="Y219" t="n">
        <v>400.815207</v>
      </c>
      <c r="Z219" t="n">
        <v>3457.535342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1" t="inlineStr">
        <is>
          <t>Céphalopodes</t>
        </is>
      </c>
      <c r="E220" t="n">
        <v>163.765772</v>
      </c>
      <c r="F220" t="n">
        <v>822.926928</v>
      </c>
      <c r="G220" t="n">
        <v>782.5392000000001</v>
      </c>
      <c r="H220" t="n">
        <v>2911.869334</v>
      </c>
      <c r="I220" t="n">
        <v>776.132507</v>
      </c>
      <c r="J220" t="n">
        <v>776.132507</v>
      </c>
      <c r="K220" t="n">
        <v>737.325882</v>
      </c>
      <c r="L220" t="n">
        <v>1169.060818</v>
      </c>
      <c r="M220" t="n">
        <v>1169.060818</v>
      </c>
      <c r="N220" t="n">
        <v>1169.060818</v>
      </c>
      <c r="O220" t="n">
        <v>633.531335</v>
      </c>
      <c r="P220" t="n">
        <v>262.847199</v>
      </c>
      <c r="Q220" t="n">
        <v>1169.060818</v>
      </c>
      <c r="R220" t="n">
        <v>1169.060818</v>
      </c>
      <c r="S220" t="n">
        <v>633.531335</v>
      </c>
      <c r="T220" t="n">
        <v>633.6433950000001</v>
      </c>
      <c r="U220" t="n">
        <v>262.847199</v>
      </c>
      <c r="V220" t="n">
        <v>-2693.78971</v>
      </c>
      <c r="W220" t="n">
        <v>696.0734629999999</v>
      </c>
      <c r="X220" t="n">
        <v>1245.599369</v>
      </c>
      <c r="Y220" t="n">
        <v>462.946606</v>
      </c>
      <c r="Z220" t="n">
        <v>1388.472944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1" t="inlineStr">
        <is>
          <t>Côtier L pred | Côtier M pred | Côtier M inv | Côtier S pred | Côtier S inv | Dem L pred | Dem L inv | Dem M pred | Dem M inv | Dem S pred | Dem S inv</t>
        </is>
      </c>
      <c r="E221" t="n">
        <v>163.765772</v>
      </c>
      <c r="F221" t="n">
        <v>357.274322</v>
      </c>
      <c r="G221" t="n">
        <v>340.933365</v>
      </c>
      <c r="H221" t="n">
        <v>2733.003035</v>
      </c>
      <c r="I221" t="n">
        <v>1872.062243</v>
      </c>
      <c r="J221" t="n">
        <v>2944.643751</v>
      </c>
      <c r="K221" t="n">
        <v>2569.805973</v>
      </c>
      <c r="L221" t="n">
        <v>5569.671963</v>
      </c>
      <c r="M221" t="n">
        <v>5569.671963</v>
      </c>
      <c r="N221" t="n">
        <v>5569.671963</v>
      </c>
      <c r="O221" t="n">
        <v>2133.083551</v>
      </c>
      <c r="P221" t="n">
        <v>753.297937</v>
      </c>
      <c r="Q221" t="n">
        <v>5569.671963</v>
      </c>
      <c r="R221" t="n">
        <v>-19290.870973</v>
      </c>
      <c r="S221" t="n">
        <v>2133.083551</v>
      </c>
      <c r="T221" t="n">
        <v>2133.473798</v>
      </c>
      <c r="U221" t="n">
        <v>753.297937</v>
      </c>
      <c r="V221" t="n">
        <v>-114985.184917</v>
      </c>
      <c r="W221" t="n">
        <v>2350.857951</v>
      </c>
      <c r="X221" t="n">
        <v>6003.243494</v>
      </c>
      <c r="Y221" t="n">
        <v>209.626712</v>
      </c>
      <c r="Z221" t="n">
        <v>1161.363497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1" t="inlineStr">
        <is>
          <t>Pel S inv</t>
        </is>
      </c>
      <c r="E222" t="n">
        <v>163.765772</v>
      </c>
      <c r="F222" t="n">
        <v>157.970864</v>
      </c>
      <c r="G222" t="n">
        <v>152.088101</v>
      </c>
      <c r="H222" t="n">
        <v>577.271661</v>
      </c>
      <c r="I222" t="n">
        <v>239.810236</v>
      </c>
      <c r="J222" t="n">
        <v>250.631671</v>
      </c>
      <c r="K222" t="n">
        <v>247.596998</v>
      </c>
      <c r="L222" t="n">
        <v>317.630823</v>
      </c>
      <c r="M222" t="n">
        <v>317.630823</v>
      </c>
      <c r="N222" t="n">
        <v>317.630823</v>
      </c>
      <c r="O222" t="n">
        <v>109.892311</v>
      </c>
      <c r="P222" t="n">
        <v>46.754759</v>
      </c>
      <c r="Q222" t="n">
        <v>317.630823</v>
      </c>
      <c r="R222" t="n">
        <v>317.630823</v>
      </c>
      <c r="S222" t="n">
        <v>109.892311</v>
      </c>
      <c r="T222" t="n">
        <v>109.904353</v>
      </c>
      <c r="U222" t="n">
        <v>46.754759</v>
      </c>
      <c r="V222" t="n">
        <v>-281.146464</v>
      </c>
      <c r="W222" t="n">
        <v>116.066501</v>
      </c>
      <c r="X222" t="n">
        <v>339.622839</v>
      </c>
      <c r="Y222" t="n">
        <v>102.369618</v>
      </c>
      <c r="Z222" t="n">
        <v>312.790013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1" t="inlineStr">
        <is>
          <t>Côtier S inv | Côtier S pred</t>
        </is>
      </c>
      <c r="E223" t="n">
        <v>163.765772</v>
      </c>
      <c r="F223" t="n">
        <v>154.555024</v>
      </c>
      <c r="G223" t="n">
        <v>148.348512</v>
      </c>
      <c r="H223" t="n">
        <v>1104.535749</v>
      </c>
      <c r="I223" t="n">
        <v>396.761168</v>
      </c>
      <c r="J223" t="n">
        <v>397.369678</v>
      </c>
      <c r="K223" t="n">
        <v>372.16422</v>
      </c>
      <c r="L223" t="n">
        <v>549.245253</v>
      </c>
      <c r="M223" t="n">
        <v>549.245253</v>
      </c>
      <c r="N223" t="n">
        <v>549.245253</v>
      </c>
      <c r="O223" t="n">
        <v>376.742422</v>
      </c>
      <c r="P223" t="n">
        <v>173.972411</v>
      </c>
      <c r="Q223" t="n">
        <v>549.245253</v>
      </c>
      <c r="R223" t="n">
        <v>549.245253</v>
      </c>
      <c r="S223" t="n">
        <v>376.742422</v>
      </c>
      <c r="T223" t="n">
        <v>376.811222</v>
      </c>
      <c r="U223" t="n">
        <v>173.972411</v>
      </c>
      <c r="V223" t="n">
        <v>-1814.506941</v>
      </c>
      <c r="W223" t="n">
        <v>412.73897</v>
      </c>
      <c r="X223" t="n">
        <v>578.43497</v>
      </c>
      <c r="Y223" t="n">
        <v>97.03822099999999</v>
      </c>
      <c r="Z223" t="n">
        <v>506.601333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1" t="inlineStr">
        <is>
          <t>Côtier pel L pred</t>
        </is>
      </c>
      <c r="E224" t="n">
        <v>163.765772</v>
      </c>
      <c r="F224" t="n">
        <v>1052.557933</v>
      </c>
      <c r="G224" t="n">
        <v>999.055395</v>
      </c>
      <c r="H224" t="n">
        <v>11777.345384</v>
      </c>
      <c r="I224" t="n">
        <v>6532.702988</v>
      </c>
      <c r="J224" t="n">
        <v>7781.543468</v>
      </c>
      <c r="K224" t="n">
        <v>7457.867522</v>
      </c>
      <c r="L224" t="n">
        <v>14096.783373</v>
      </c>
      <c r="M224" t="n">
        <v>14096.783373</v>
      </c>
      <c r="N224" t="n">
        <v>14096.783373</v>
      </c>
      <c r="O224" t="n">
        <v>6109.503634</v>
      </c>
      <c r="P224" t="n">
        <v>1921.91996</v>
      </c>
      <c r="Q224" t="n">
        <v>14096.783373</v>
      </c>
      <c r="R224" t="n">
        <v>-57701.40232</v>
      </c>
      <c r="S224" t="n">
        <v>6109.503634</v>
      </c>
      <c r="T224" t="n">
        <v>6110.593726</v>
      </c>
      <c r="U224" t="n">
        <v>1921.91996</v>
      </c>
      <c r="V224" t="n">
        <v>-289768.063862</v>
      </c>
      <c r="W224" t="n">
        <v>6783.082741</v>
      </c>
      <c r="X224" t="n">
        <v>15274.190211</v>
      </c>
      <c r="Y224" t="n">
        <v>579.770625</v>
      </c>
      <c r="Z224" t="n">
        <v>4535.503078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1" t="inlineStr">
        <is>
          <t>Crustacés</t>
        </is>
      </c>
      <c r="E225" t="n">
        <v>163.765772</v>
      </c>
      <c r="F225" t="n">
        <v>79.64922</v>
      </c>
      <c r="G225" t="n">
        <v>77.077782</v>
      </c>
      <c r="H225" t="n">
        <v>199.420396</v>
      </c>
      <c r="I225" t="n">
        <v>94.919134</v>
      </c>
      <c r="J225" t="n">
        <v>94.919134</v>
      </c>
      <c r="K225" t="n">
        <v>90.173177</v>
      </c>
      <c r="L225" t="n">
        <v>135.651174</v>
      </c>
      <c r="M225" t="n">
        <v>135.651174</v>
      </c>
      <c r="N225" t="n">
        <v>135.651174</v>
      </c>
      <c r="O225" t="n">
        <v>112.097094</v>
      </c>
      <c r="P225" t="n">
        <v>63.65447</v>
      </c>
      <c r="Q225" t="n">
        <v>135.651174</v>
      </c>
      <c r="R225" t="n">
        <v>135.651174</v>
      </c>
      <c r="S225" t="n">
        <v>112.097094</v>
      </c>
      <c r="T225" t="n">
        <v>112.118405</v>
      </c>
      <c r="U225" t="n">
        <v>63.65447</v>
      </c>
      <c r="V225" t="n">
        <v>-691.708697</v>
      </c>
      <c r="W225" t="n">
        <v>122.926325</v>
      </c>
      <c r="X225" t="n">
        <v>140.897505</v>
      </c>
      <c r="Y225" t="n">
        <v>54.73445</v>
      </c>
      <c r="Z225" t="n">
        <v>122.753568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1" t="inlineStr">
        <is>
          <t>Côtier S inv</t>
        </is>
      </c>
      <c r="E226" t="n">
        <v>163.765772</v>
      </c>
      <c r="F226" t="n">
        <v>79.510256</v>
      </c>
      <c r="G226" t="n">
        <v>76.944312</v>
      </c>
      <c r="H226" t="n">
        <v>373.150929</v>
      </c>
      <c r="I226" t="n">
        <v>228.204413</v>
      </c>
      <c r="J226" t="n">
        <v>228.808027</v>
      </c>
      <c r="K226" t="n">
        <v>222.997608</v>
      </c>
      <c r="L226" t="n">
        <v>302.43669</v>
      </c>
      <c r="M226" t="n">
        <v>302.43669</v>
      </c>
      <c r="N226" t="n">
        <v>302.43669</v>
      </c>
      <c r="O226" t="n">
        <v>244.203076</v>
      </c>
      <c r="P226" t="n">
        <v>127.641231</v>
      </c>
      <c r="Q226" t="n">
        <v>302.43669</v>
      </c>
      <c r="R226" t="n">
        <v>302.43669</v>
      </c>
      <c r="S226" t="n">
        <v>244.203076</v>
      </c>
      <c r="T226" t="n">
        <v>244.24861</v>
      </c>
      <c r="U226" t="n">
        <v>127.641231</v>
      </c>
      <c r="V226" t="n">
        <v>-1347.82362</v>
      </c>
      <c r="W226" t="n">
        <v>265.990648</v>
      </c>
      <c r="X226" t="n">
        <v>316.455773</v>
      </c>
      <c r="Y226" t="n">
        <v>54.647132</v>
      </c>
      <c r="Z226" t="n">
        <v>203.025564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1" t="inlineStr">
        <is>
          <t>Crustacés</t>
        </is>
      </c>
      <c r="E227" t="n">
        <v>163.765772</v>
      </c>
      <c r="F227" t="n">
        <v>79.64922</v>
      </c>
      <c r="G227" t="n">
        <v>77.077782</v>
      </c>
      <c r="H227" t="n">
        <v>199.420396</v>
      </c>
      <c r="I227" t="n">
        <v>94.919134</v>
      </c>
      <c r="J227" t="n">
        <v>94.919134</v>
      </c>
      <c r="K227" t="n">
        <v>90.173177</v>
      </c>
      <c r="L227" t="n">
        <v>135.651174</v>
      </c>
      <c r="M227" t="n">
        <v>135.651174</v>
      </c>
      <c r="N227" t="n">
        <v>135.651174</v>
      </c>
      <c r="O227" t="n">
        <v>112.097094</v>
      </c>
      <c r="P227" t="n">
        <v>63.65447</v>
      </c>
      <c r="Q227" t="n">
        <v>135.651174</v>
      </c>
      <c r="R227" t="n">
        <v>135.651174</v>
      </c>
      <c r="S227" t="n">
        <v>112.097094</v>
      </c>
      <c r="T227" t="n">
        <v>112.118405</v>
      </c>
      <c r="U227" t="n">
        <v>63.65447</v>
      </c>
      <c r="V227" t="n">
        <v>-691.708697</v>
      </c>
      <c r="W227" t="n">
        <v>122.926325</v>
      </c>
      <c r="X227" t="n">
        <v>140.897505</v>
      </c>
      <c r="Y227" t="n">
        <v>54.73445</v>
      </c>
      <c r="Z227" t="n">
        <v>122.753568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1" t="inlineStr">
        <is>
          <t>Côtier S pred</t>
        </is>
      </c>
      <c r="E228" t="n">
        <v>163.765772</v>
      </c>
      <c r="F228" t="n">
        <v>545.757696</v>
      </c>
      <c r="G228" t="n">
        <v>520.573184</v>
      </c>
      <c r="H228" t="n">
        <v>4917.189243</v>
      </c>
      <c r="I228" t="n">
        <v>1275.434725</v>
      </c>
      <c r="J228" t="n">
        <v>1276.068754</v>
      </c>
      <c r="K228" t="n">
        <v>1149.758437</v>
      </c>
      <c r="L228" t="n">
        <v>1835.839539</v>
      </c>
      <c r="M228" t="n">
        <v>1835.839539</v>
      </c>
      <c r="N228" t="n">
        <v>1835.839539</v>
      </c>
      <c r="O228" t="n">
        <v>1067.659965</v>
      </c>
      <c r="P228" t="n">
        <v>415.493332</v>
      </c>
      <c r="Q228" t="n">
        <v>1835.839539</v>
      </c>
      <c r="R228" t="n">
        <v>1835.839539</v>
      </c>
      <c r="S228" t="n">
        <v>1067.659965</v>
      </c>
      <c r="T228" t="n">
        <v>1067.850048</v>
      </c>
      <c r="U228" t="n">
        <v>415.493332</v>
      </c>
      <c r="V228" t="n">
        <v>-4247.291631</v>
      </c>
      <c r="W228" t="n">
        <v>1177.726821</v>
      </c>
      <c r="X228" t="n">
        <v>1944.112618</v>
      </c>
      <c r="Y228" t="n">
        <v>318.019746</v>
      </c>
      <c r="Z228" t="n">
        <v>2089.118752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1" t="inlineStr">
        <is>
          <t>Sélaciens L côtiers</t>
        </is>
      </c>
      <c r="E229" t="n">
        <v>163.765772</v>
      </c>
      <c r="F229" t="n">
        <v>1149.132987</v>
      </c>
      <c r="G229" t="n">
        <v>1090.003899</v>
      </c>
      <c r="H229" t="n">
        <v>26127.270352</v>
      </c>
      <c r="I229" t="n">
        <v>60049.460833</v>
      </c>
      <c r="J229" t="n">
        <v>53915.740438</v>
      </c>
      <c r="K229" t="n">
        <v>48298.915435</v>
      </c>
      <c r="L229" t="n">
        <v>144842.06399</v>
      </c>
      <c r="M229" t="n">
        <v>144842.06399</v>
      </c>
      <c r="N229" t="n">
        <v>144842.06399</v>
      </c>
      <c r="O229" t="n">
        <v>27575.101402</v>
      </c>
      <c r="P229" t="n">
        <v>7327.065611</v>
      </c>
      <c r="Q229" t="n">
        <v>144842.06399</v>
      </c>
      <c r="R229" t="n">
        <v>-325137.025632</v>
      </c>
      <c r="S229" t="n">
        <v>27575.101402</v>
      </c>
      <c r="T229" t="n">
        <v>27580.015333</v>
      </c>
      <c r="U229" t="n">
        <v>7327.065611</v>
      </c>
      <c r="V229" t="n">
        <v>-736674.038746</v>
      </c>
      <c r="W229" t="n">
        <v>30898.384799</v>
      </c>
      <c r="X229" t="n">
        <v>163593.250874</v>
      </c>
      <c r="Y229" t="n">
        <v>628.222446</v>
      </c>
      <c r="Z229" t="n">
        <v>9214.946091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1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1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1" t="inlineStr">
        <is>
          <t>Côtier S inv</t>
        </is>
      </c>
      <c r="E232" t="n">
        <v>163.765772</v>
      </c>
      <c r="F232" t="n">
        <v>79.510256</v>
      </c>
      <c r="G232" t="n">
        <v>76.944312</v>
      </c>
      <c r="H232" t="n">
        <v>373.150929</v>
      </c>
      <c r="I232" t="n">
        <v>228.204413</v>
      </c>
      <c r="J232" t="n">
        <v>228.808027</v>
      </c>
      <c r="K232" t="n">
        <v>222.997608</v>
      </c>
      <c r="L232" t="n">
        <v>302.43669</v>
      </c>
      <c r="M232" t="n">
        <v>302.43669</v>
      </c>
      <c r="N232" t="n">
        <v>302.43669</v>
      </c>
      <c r="O232" t="n">
        <v>244.203076</v>
      </c>
      <c r="P232" t="n">
        <v>127.641231</v>
      </c>
      <c r="Q232" t="n">
        <v>302.43669</v>
      </c>
      <c r="R232" t="n">
        <v>302.43669</v>
      </c>
      <c r="S232" t="n">
        <v>244.203076</v>
      </c>
      <c r="T232" t="n">
        <v>244.24861</v>
      </c>
      <c r="U232" t="n">
        <v>127.641231</v>
      </c>
      <c r="V232" t="n">
        <v>-1347.82362</v>
      </c>
      <c r="W232" t="n">
        <v>265.990648</v>
      </c>
      <c r="X232" t="n">
        <v>316.455773</v>
      </c>
      <c r="Y232" t="n">
        <v>54.647132</v>
      </c>
      <c r="Z232" t="n">
        <v>203.025564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1" t="inlineStr">
        <is>
          <t>Côtier L pred</t>
        </is>
      </c>
      <c r="E233" t="n">
        <v>163.765772</v>
      </c>
      <c r="F233" t="n">
        <v>834.792702</v>
      </c>
      <c r="G233" t="n">
        <v>793.737434</v>
      </c>
      <c r="H233" t="n">
        <v>7076.924212</v>
      </c>
      <c r="I233" t="n">
        <v>5090.678261</v>
      </c>
      <c r="J233" t="n">
        <v>9568.277077999999</v>
      </c>
      <c r="K233" t="n">
        <v>8272.898352</v>
      </c>
      <c r="L233" t="n">
        <v>19279.552919</v>
      </c>
      <c r="M233" t="n">
        <v>19279.552919</v>
      </c>
      <c r="N233" t="n">
        <v>19279.552919</v>
      </c>
      <c r="O233" t="n">
        <v>6360.643117</v>
      </c>
      <c r="P233" t="n">
        <v>2029.258233</v>
      </c>
      <c r="Q233" t="n">
        <v>19279.552919</v>
      </c>
      <c r="R233" t="n">
        <v>-84755.37547899999</v>
      </c>
      <c r="S233" t="n">
        <v>6360.643117</v>
      </c>
      <c r="T233" t="n">
        <v>6361.79434</v>
      </c>
      <c r="U233" t="n">
        <v>2029.258233</v>
      </c>
      <c r="V233" t="n">
        <v>-469150.656344</v>
      </c>
      <c r="W233" t="n">
        <v>6996.073117</v>
      </c>
      <c r="X233" t="n">
        <v>20789.961322</v>
      </c>
      <c r="Y233" t="n">
        <v>469.046047</v>
      </c>
      <c r="Z233" t="n">
        <v>2908.693588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1" t="inlineStr">
        <is>
          <t>Céphalopodes</t>
        </is>
      </c>
      <c r="E234" t="n">
        <v>163.765772</v>
      </c>
      <c r="F234" t="n">
        <v>822.926928</v>
      </c>
      <c r="G234" t="n">
        <v>782.5392000000001</v>
      </c>
      <c r="H234" t="n">
        <v>2911.869334</v>
      </c>
      <c r="I234" t="n">
        <v>776.132507</v>
      </c>
      <c r="J234" t="n">
        <v>776.132507</v>
      </c>
      <c r="K234" t="n">
        <v>737.325882</v>
      </c>
      <c r="L234" t="n">
        <v>1169.060818</v>
      </c>
      <c r="M234" t="n">
        <v>1169.060818</v>
      </c>
      <c r="N234" t="n">
        <v>1169.060818</v>
      </c>
      <c r="O234" t="n">
        <v>633.531335</v>
      </c>
      <c r="P234" t="n">
        <v>262.847199</v>
      </c>
      <c r="Q234" t="n">
        <v>1169.060818</v>
      </c>
      <c r="R234" t="n">
        <v>1169.060818</v>
      </c>
      <c r="S234" t="n">
        <v>633.531335</v>
      </c>
      <c r="T234" t="n">
        <v>633.6433950000001</v>
      </c>
      <c r="U234" t="n">
        <v>262.847199</v>
      </c>
      <c r="V234" t="n">
        <v>-2693.78971</v>
      </c>
      <c r="W234" t="n">
        <v>696.0734629999999</v>
      </c>
      <c r="X234" t="n">
        <v>1245.599369</v>
      </c>
      <c r="Y234" t="n">
        <v>462.946606</v>
      </c>
      <c r="Z234" t="n">
        <v>1388.472944</v>
      </c>
    </row>
    <row r="235" ht="21" customHeight="1">
      <c r="A235" t="inlineStr">
        <is>
          <t>Istiophorus</t>
        </is>
      </c>
      <c r="D235" s="11" t="inlineStr">
        <is>
          <t>Thons majeurs</t>
        </is>
      </c>
      <c r="E235" t="n">
        <v>163.765772</v>
      </c>
      <c r="F235" t="n">
        <v>2736.422785</v>
      </c>
      <c r="G235" t="n">
        <v>2578.791074</v>
      </c>
      <c r="H235" t="n">
        <v>17894.302324</v>
      </c>
      <c r="I235" t="n">
        <v>8524.622238</v>
      </c>
      <c r="J235" t="n">
        <v>8877.051893</v>
      </c>
      <c r="K235" t="n">
        <v>4438.525947</v>
      </c>
      <c r="L235" t="n">
        <v>13559.408277</v>
      </c>
      <c r="M235" t="n">
        <v>13559.408277</v>
      </c>
      <c r="N235" t="n">
        <v>13559.408277</v>
      </c>
      <c r="O235" t="n">
        <v>3620.855517</v>
      </c>
      <c r="P235" t="n">
        <v>1183.588403</v>
      </c>
      <c r="Q235" t="n">
        <v>13559.408277</v>
      </c>
      <c r="R235" t="n">
        <v>-35792.676603</v>
      </c>
      <c r="S235" t="n">
        <v>3620.855517</v>
      </c>
      <c r="T235" t="n">
        <v>3621.492366</v>
      </c>
      <c r="U235" t="n">
        <v>1183.588403</v>
      </c>
      <c r="V235" t="n">
        <v>-69430.651774</v>
      </c>
      <c r="W235" t="n">
        <v>4014.185729</v>
      </c>
      <c r="X235" t="n">
        <v>14860.282888</v>
      </c>
      <c r="Y235" t="n">
        <v>1388.786767</v>
      </c>
      <c r="Z235" t="n">
        <v>6982.232434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1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1" t="inlineStr">
        <is>
          <t>Dem L pred</t>
        </is>
      </c>
      <c r="E237" t="n">
        <v>163.765772</v>
      </c>
      <c r="F237" t="n">
        <v>702.92427</v>
      </c>
      <c r="G237" t="n">
        <v>669.216325</v>
      </c>
      <c r="H237" t="n">
        <v>8905.433089</v>
      </c>
      <c r="I237" t="n">
        <v>6777.560073</v>
      </c>
      <c r="J237" t="n">
        <v>6838.476733</v>
      </c>
      <c r="K237" t="n">
        <v>5761.883976</v>
      </c>
      <c r="L237" t="n">
        <v>11046.457304</v>
      </c>
      <c r="M237" t="n">
        <v>11046.457304</v>
      </c>
      <c r="N237" t="n">
        <v>11046.457304</v>
      </c>
      <c r="O237" t="n">
        <v>5782.642595</v>
      </c>
      <c r="P237" t="n">
        <v>2043.771325</v>
      </c>
      <c r="Q237" t="n">
        <v>11046.457304</v>
      </c>
      <c r="R237" t="n">
        <v>11046.457304</v>
      </c>
      <c r="S237" t="n">
        <v>5782.642595</v>
      </c>
      <c r="T237" t="n">
        <v>5783.714073</v>
      </c>
      <c r="U237" t="n">
        <v>2043.771325</v>
      </c>
      <c r="V237" t="n">
        <v>-21764.358979</v>
      </c>
      <c r="W237" t="n">
        <v>6493.9392</v>
      </c>
      <c r="X237" t="n">
        <v>12062.969112</v>
      </c>
      <c r="Y237" t="n">
        <v>400.815207</v>
      </c>
      <c r="Z237" t="n">
        <v>3457.535342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1" t="inlineStr">
        <is>
          <t>Dem M pred</t>
        </is>
      </c>
      <c r="E238" t="n">
        <v>163.765772</v>
      </c>
      <c r="F238" t="n">
        <v>865.196085</v>
      </c>
      <c r="G238" t="n">
        <v>822.424992</v>
      </c>
      <c r="H238" t="n">
        <v>5615.443398</v>
      </c>
      <c r="I238" t="n">
        <v>2545.974662</v>
      </c>
      <c r="J238" t="n">
        <v>2548.997979</v>
      </c>
      <c r="K238" t="n">
        <v>2421.54808</v>
      </c>
      <c r="L238" t="n">
        <v>3524.148314</v>
      </c>
      <c r="M238" t="n">
        <v>3524.148314</v>
      </c>
      <c r="N238" t="n">
        <v>3524.148314</v>
      </c>
      <c r="O238" t="n">
        <v>2342.099562</v>
      </c>
      <c r="P238" t="n">
        <v>966.982842</v>
      </c>
      <c r="Q238" t="n">
        <v>3524.148314</v>
      </c>
      <c r="R238" t="n">
        <v>3524.148314</v>
      </c>
      <c r="S238" t="n">
        <v>2342.099562</v>
      </c>
      <c r="T238" t="n">
        <v>2342.538543</v>
      </c>
      <c r="U238" t="n">
        <v>966.982842</v>
      </c>
      <c r="V238" t="n">
        <v>-10411.689834</v>
      </c>
      <c r="W238" t="n">
        <v>2575.180215</v>
      </c>
      <c r="X238" t="n">
        <v>3752.018969</v>
      </c>
      <c r="Y238" t="n">
        <v>484.640876</v>
      </c>
      <c r="Z238" t="n">
        <v>2412.043438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1" t="inlineStr">
        <is>
          <t>Sélaciens M côtiers</t>
        </is>
      </c>
      <c r="E239" t="n">
        <v>163.765772</v>
      </c>
      <c r="F239" t="n">
        <v>1208.786277</v>
      </c>
      <c r="G239" t="n">
        <v>1146.152781</v>
      </c>
      <c r="H239" t="n">
        <v>11499.004677</v>
      </c>
      <c r="I239" t="n">
        <v>16016.717942</v>
      </c>
      <c r="J239" t="n">
        <v>17312.351371</v>
      </c>
      <c r="K239" t="n">
        <v>8656.175686</v>
      </c>
      <c r="L239" t="n">
        <v>27660.813015</v>
      </c>
      <c r="M239" t="n">
        <v>27660.813015</v>
      </c>
      <c r="N239" t="n">
        <v>27660.813015</v>
      </c>
      <c r="O239" t="n">
        <v>7318.947993</v>
      </c>
      <c r="P239" t="n">
        <v>2400.972532</v>
      </c>
      <c r="Q239" t="n">
        <v>27660.813015</v>
      </c>
      <c r="R239" t="n">
        <v>-121212.081893</v>
      </c>
      <c r="S239" t="n">
        <v>7318.947993</v>
      </c>
      <c r="T239" t="n">
        <v>7320.254786</v>
      </c>
      <c r="U239" t="n">
        <v>2400.972532</v>
      </c>
      <c r="V239" t="n">
        <v>-248180.079411</v>
      </c>
      <c r="W239" t="n">
        <v>8174.142038</v>
      </c>
      <c r="X239" t="n">
        <v>30078.715197</v>
      </c>
      <c r="Y239" t="n">
        <v>657.974678</v>
      </c>
      <c r="Z239" t="n">
        <v>4429.141123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1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1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1" t="inlineStr">
        <is>
          <t>Côtier S inv</t>
        </is>
      </c>
      <c r="E242" t="n">
        <v>163.765772</v>
      </c>
      <c r="F242" t="n">
        <v>79.510256</v>
      </c>
      <c r="G242" t="n">
        <v>76.944312</v>
      </c>
      <c r="H242" t="n">
        <v>373.150929</v>
      </c>
      <c r="I242" t="n">
        <v>228.204413</v>
      </c>
      <c r="J242" t="n">
        <v>228.808027</v>
      </c>
      <c r="K242" t="n">
        <v>222.997608</v>
      </c>
      <c r="L242" t="n">
        <v>302.43669</v>
      </c>
      <c r="M242" t="n">
        <v>302.43669</v>
      </c>
      <c r="N242" t="n">
        <v>302.43669</v>
      </c>
      <c r="O242" t="n">
        <v>244.203076</v>
      </c>
      <c r="P242" t="n">
        <v>127.641231</v>
      </c>
      <c r="Q242" t="n">
        <v>302.43669</v>
      </c>
      <c r="R242" t="n">
        <v>302.43669</v>
      </c>
      <c r="S242" t="n">
        <v>244.203076</v>
      </c>
      <c r="T242" t="n">
        <v>244.24861</v>
      </c>
      <c r="U242" t="n">
        <v>127.641231</v>
      </c>
      <c r="V242" t="n">
        <v>-1347.82362</v>
      </c>
      <c r="W242" t="n">
        <v>265.990648</v>
      </c>
      <c r="X242" t="n">
        <v>316.455773</v>
      </c>
      <c r="Y242" t="n">
        <v>54.647132</v>
      </c>
      <c r="Z242" t="n">
        <v>203.025564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1" t="inlineStr">
        <is>
          <t>Sélaciens L côtiers</t>
        </is>
      </c>
      <c r="E243" t="n">
        <v>163.765772</v>
      </c>
      <c r="F243" t="n">
        <v>1149.132987</v>
      </c>
      <c r="G243" t="n">
        <v>1090.003899</v>
      </c>
      <c r="H243" t="n">
        <v>26127.270352</v>
      </c>
      <c r="I243" t="n">
        <v>60049.460833</v>
      </c>
      <c r="J243" t="n">
        <v>53915.740438</v>
      </c>
      <c r="K243" t="n">
        <v>48298.915435</v>
      </c>
      <c r="L243" t="n">
        <v>144842.06399</v>
      </c>
      <c r="M243" t="n">
        <v>144842.06399</v>
      </c>
      <c r="N243" t="n">
        <v>144842.06399</v>
      </c>
      <c r="O243" t="n">
        <v>27575.101402</v>
      </c>
      <c r="P243" t="n">
        <v>7327.065611</v>
      </c>
      <c r="Q243" t="n">
        <v>144842.06399</v>
      </c>
      <c r="R243" t="n">
        <v>-325137.025632</v>
      </c>
      <c r="S243" t="n">
        <v>27575.101402</v>
      </c>
      <c r="T243" t="n">
        <v>27580.015333</v>
      </c>
      <c r="U243" t="n">
        <v>7327.065611</v>
      </c>
      <c r="V243" t="n">
        <v>-736674.038746</v>
      </c>
      <c r="W243" t="n">
        <v>30898.384799</v>
      </c>
      <c r="X243" t="n">
        <v>163593.250874</v>
      </c>
      <c r="Y243" t="n">
        <v>628.222446</v>
      </c>
      <c r="Z243" t="n">
        <v>9214.946091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1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1" t="inlineStr">
        <is>
          <t>Pel L pred</t>
        </is>
      </c>
      <c r="E245" t="n">
        <v>163.765772</v>
      </c>
      <c r="F245" t="n">
        <v>1087.886765</v>
      </c>
      <c r="G245" t="n">
        <v>1032.332906</v>
      </c>
      <c r="H245" t="n">
        <v>5007.056466</v>
      </c>
      <c r="I245" t="n">
        <v>3058.864858</v>
      </c>
      <c r="J245" t="n">
        <v>3141.84619</v>
      </c>
      <c r="K245" t="n">
        <v>2984.75388</v>
      </c>
      <c r="L245" t="n">
        <v>5671.221213</v>
      </c>
      <c r="M245" t="n">
        <v>5671.221213</v>
      </c>
      <c r="N245" t="n">
        <v>5671.221213</v>
      </c>
      <c r="O245" t="n">
        <v>2818.562992</v>
      </c>
      <c r="P245" t="n">
        <v>998.222029</v>
      </c>
      <c r="Q245" t="n">
        <v>5671.221213</v>
      </c>
      <c r="R245" t="n">
        <v>-68811.51763</v>
      </c>
      <c r="S245" t="n">
        <v>2818.562992</v>
      </c>
      <c r="T245" t="n">
        <v>2819.031522</v>
      </c>
      <c r="U245" t="n">
        <v>998.222029</v>
      </c>
      <c r="V245" t="n">
        <v>-142542.658222</v>
      </c>
      <c r="W245" t="n">
        <v>3155.54017</v>
      </c>
      <c r="X245" t="n">
        <v>6096.553542</v>
      </c>
      <c r="Y245" t="n">
        <v>597.537591</v>
      </c>
      <c r="Z245" t="n">
        <v>2190.295136</v>
      </c>
    </row>
    <row r="246" ht="21" customHeight="1">
      <c r="A246" t="inlineStr">
        <is>
          <t>Glaucostegus cemiculus</t>
        </is>
      </c>
      <c r="D246" s="11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1" t="inlineStr">
        <is>
          <t>Côtier M inv | Dem S pred</t>
        </is>
      </c>
      <c r="E247" t="n">
        <v>163.765772</v>
      </c>
      <c r="F247" t="n">
        <v>170.878471</v>
      </c>
      <c r="G247" t="n">
        <v>164.41799</v>
      </c>
      <c r="H247" t="n">
        <v>573.400023</v>
      </c>
      <c r="I247" t="n">
        <v>332.9304</v>
      </c>
      <c r="J247" t="n">
        <v>332.933335</v>
      </c>
      <c r="K247" t="n">
        <v>331.303694</v>
      </c>
      <c r="L247" t="n">
        <v>425.933195</v>
      </c>
      <c r="M247" t="n">
        <v>425.933195</v>
      </c>
      <c r="N247" t="n">
        <v>425.933195</v>
      </c>
      <c r="O247" t="n">
        <v>368.533355</v>
      </c>
      <c r="P247" t="n">
        <v>198.284222</v>
      </c>
      <c r="Q247" t="n">
        <v>425.933195</v>
      </c>
      <c r="R247" t="n">
        <v>425.933195</v>
      </c>
      <c r="S247" t="n">
        <v>368.533355</v>
      </c>
      <c r="T247" t="n">
        <v>368.605216</v>
      </c>
      <c r="U247" t="n">
        <v>198.284222</v>
      </c>
      <c r="V247" t="n">
        <v>-2197.476264</v>
      </c>
      <c r="W247" t="n">
        <v>402.732653</v>
      </c>
      <c r="X247" t="n">
        <v>447.663252</v>
      </c>
      <c r="Y247" t="n">
        <v>109.989896</v>
      </c>
      <c r="Z247" t="n">
        <v>314.343805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1" t="inlineStr">
        <is>
          <t>Sélaciens L côtiers</t>
        </is>
      </c>
      <c r="E248" t="n">
        <v>163.765772</v>
      </c>
      <c r="F248" t="n">
        <v>1149.132987</v>
      </c>
      <c r="G248" t="n">
        <v>1090.003899</v>
      </c>
      <c r="H248" t="n">
        <v>26127.270352</v>
      </c>
      <c r="I248" t="n">
        <v>60049.460833</v>
      </c>
      <c r="J248" t="n">
        <v>53915.740438</v>
      </c>
      <c r="K248" t="n">
        <v>48298.915435</v>
      </c>
      <c r="L248" t="n">
        <v>144842.06399</v>
      </c>
      <c r="M248" t="n">
        <v>144842.06399</v>
      </c>
      <c r="N248" t="n">
        <v>144842.06399</v>
      </c>
      <c r="O248" t="n">
        <v>27575.101402</v>
      </c>
      <c r="P248" t="n">
        <v>7327.065611</v>
      </c>
      <c r="Q248" t="n">
        <v>144842.06399</v>
      </c>
      <c r="R248" t="n">
        <v>-325137.025632</v>
      </c>
      <c r="S248" t="n">
        <v>27575.101402</v>
      </c>
      <c r="T248" t="n">
        <v>27580.015333</v>
      </c>
      <c r="U248" t="n">
        <v>7327.065611</v>
      </c>
      <c r="V248" t="n">
        <v>-736674.038746</v>
      </c>
      <c r="W248" t="n">
        <v>30898.384799</v>
      </c>
      <c r="X248" t="n">
        <v>163593.250874</v>
      </c>
      <c r="Y248" t="n">
        <v>628.222446</v>
      </c>
      <c r="Z248" t="n">
        <v>9214.946091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1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1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1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1" t="inlineStr">
        <is>
          <t>Bathy L pred</t>
        </is>
      </c>
      <c r="E252" t="n">
        <v>163.765772</v>
      </c>
      <c r="F252" t="n">
        <v>1106.358887</v>
      </c>
      <c r="G252" t="n">
        <v>1049.729226</v>
      </c>
      <c r="H252" t="n">
        <v>7084.212361</v>
      </c>
      <c r="I252" t="n">
        <v>3065.622048</v>
      </c>
      <c r="J252" t="n">
        <v>3130.312893</v>
      </c>
      <c r="K252" t="n">
        <v>2973.797249</v>
      </c>
      <c r="L252" t="n">
        <v>5058.397662</v>
      </c>
      <c r="M252" t="n">
        <v>5058.397662</v>
      </c>
      <c r="N252" t="n">
        <v>5058.397662</v>
      </c>
      <c r="O252" t="n">
        <v>2368.204623</v>
      </c>
      <c r="P252" t="n">
        <v>807.087555</v>
      </c>
      <c r="Q252" t="n">
        <v>5058.397662</v>
      </c>
      <c r="R252" t="n">
        <v>5058.397662</v>
      </c>
      <c r="S252" t="n">
        <v>2368.204623</v>
      </c>
      <c r="T252" t="n">
        <v>2368.613989</v>
      </c>
      <c r="U252" t="n">
        <v>807.087555</v>
      </c>
      <c r="V252" t="n">
        <v>-8011.455306</v>
      </c>
      <c r="W252" t="n">
        <v>2656.811608</v>
      </c>
      <c r="X252" t="n">
        <v>5385.068956</v>
      </c>
      <c r="Y252" t="n">
        <v>606.8075</v>
      </c>
      <c r="Z252" t="n">
        <v>2931.572844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1" t="inlineStr">
        <is>
          <t>Bathy L pred</t>
        </is>
      </c>
      <c r="E253" t="n">
        <v>163.765772</v>
      </c>
      <c r="F253" t="n">
        <v>1106.358887</v>
      </c>
      <c r="G253" t="n">
        <v>1049.729226</v>
      </c>
      <c r="H253" t="n">
        <v>7084.212361</v>
      </c>
      <c r="I253" t="n">
        <v>3065.622048</v>
      </c>
      <c r="J253" t="n">
        <v>3130.312893</v>
      </c>
      <c r="K253" t="n">
        <v>2973.797249</v>
      </c>
      <c r="L253" t="n">
        <v>5058.397662</v>
      </c>
      <c r="M253" t="n">
        <v>5058.397662</v>
      </c>
      <c r="N253" t="n">
        <v>5058.397662</v>
      </c>
      <c r="O253" t="n">
        <v>2368.204623</v>
      </c>
      <c r="P253" t="n">
        <v>807.087555</v>
      </c>
      <c r="Q253" t="n">
        <v>5058.397662</v>
      </c>
      <c r="R253" t="n">
        <v>5058.397662</v>
      </c>
      <c r="S253" t="n">
        <v>2368.204623</v>
      </c>
      <c r="T253" t="n">
        <v>2368.613989</v>
      </c>
      <c r="U253" t="n">
        <v>807.087555</v>
      </c>
      <c r="V253" t="n">
        <v>-8011.455306</v>
      </c>
      <c r="W253" t="n">
        <v>2656.811608</v>
      </c>
      <c r="X253" t="n">
        <v>5385.068956</v>
      </c>
      <c r="Y253" t="n">
        <v>606.8075</v>
      </c>
      <c r="Z253" t="n">
        <v>2931.572844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1" t="inlineStr">
        <is>
          <t>Pel L pred</t>
        </is>
      </c>
      <c r="E254" t="n">
        <v>163.765772</v>
      </c>
      <c r="F254" t="n">
        <v>1087.886765</v>
      </c>
      <c r="G254" t="n">
        <v>1032.332906</v>
      </c>
      <c r="H254" t="n">
        <v>5007.056466</v>
      </c>
      <c r="I254" t="n">
        <v>3058.864858</v>
      </c>
      <c r="J254" t="n">
        <v>3141.84619</v>
      </c>
      <c r="K254" t="n">
        <v>2984.75388</v>
      </c>
      <c r="L254" t="n">
        <v>5671.221213</v>
      </c>
      <c r="M254" t="n">
        <v>5671.221213</v>
      </c>
      <c r="N254" t="n">
        <v>5671.221213</v>
      </c>
      <c r="O254" t="n">
        <v>2818.562992</v>
      </c>
      <c r="P254" t="n">
        <v>998.222029</v>
      </c>
      <c r="Q254" t="n">
        <v>5671.221213</v>
      </c>
      <c r="R254" t="n">
        <v>-68811.51763</v>
      </c>
      <c r="S254" t="n">
        <v>2818.562992</v>
      </c>
      <c r="T254" t="n">
        <v>2819.031522</v>
      </c>
      <c r="U254" t="n">
        <v>998.222029</v>
      </c>
      <c r="V254" t="n">
        <v>-142542.658222</v>
      </c>
      <c r="W254" t="n">
        <v>3155.54017</v>
      </c>
      <c r="X254" t="n">
        <v>6096.553542</v>
      </c>
      <c r="Y254" t="n">
        <v>597.537591</v>
      </c>
      <c r="Z254" t="n">
        <v>2190.295136</v>
      </c>
    </row>
    <row r="255" ht="21" customHeight="1">
      <c r="A255" t="inlineStr">
        <is>
          <t>Myctophidae</t>
        </is>
      </c>
      <c r="D255" s="11" t="inlineStr">
        <is>
          <t>Mésopélagiques</t>
        </is>
      </c>
      <c r="E255" t="n">
        <v>163.765772</v>
      </c>
      <c r="F255" t="n">
        <v>162.374858</v>
      </c>
      <c r="G255" t="n">
        <v>156.295871</v>
      </c>
      <c r="H255" t="n">
        <v>294.923439</v>
      </c>
      <c r="I255" t="n">
        <v>261.567792</v>
      </c>
      <c r="J255" t="n">
        <v>281.547987</v>
      </c>
      <c r="K255" t="n">
        <v>84.289393</v>
      </c>
      <c r="L255" t="n">
        <v>361.644456</v>
      </c>
      <c r="M255" t="n">
        <v>361.644456</v>
      </c>
      <c r="N255" t="n">
        <v>361.644456</v>
      </c>
      <c r="O255" t="n">
        <v>73.370767</v>
      </c>
      <c r="P255" t="n">
        <v>36.159373</v>
      </c>
      <c r="Q255" t="n">
        <v>361.644456</v>
      </c>
      <c r="R255" t="n">
        <v>361.644456</v>
      </c>
      <c r="S255" t="n">
        <v>73.370767</v>
      </c>
      <c r="T255" t="n">
        <v>73.381097</v>
      </c>
      <c r="U255" t="n">
        <v>36.159373</v>
      </c>
      <c r="V255" t="n">
        <v>-294.065252</v>
      </c>
      <c r="W255" t="n">
        <v>78.987875</v>
      </c>
      <c r="X255" t="n">
        <v>372.176989</v>
      </c>
      <c r="Y255" t="n">
        <v>104.97588</v>
      </c>
      <c r="Z255" t="n">
        <v>177.370423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1" t="inlineStr">
        <is>
          <t>Mulets</t>
        </is>
      </c>
      <c r="E256" t="n">
        <v>163.765772</v>
      </c>
      <c r="F256" t="n">
        <v>20.76151</v>
      </c>
      <c r="G256" t="n">
        <v>20.294765</v>
      </c>
      <c r="H256" t="n">
        <v>104.055417</v>
      </c>
      <c r="I256" t="n">
        <v>84.96705300000001</v>
      </c>
      <c r="J256" t="n">
        <v>84.96705300000001</v>
      </c>
      <c r="K256" t="n">
        <v>80.7187</v>
      </c>
      <c r="L256" t="n">
        <v>87.916766</v>
      </c>
      <c r="M256" t="n">
        <v>87.916766</v>
      </c>
      <c r="N256" t="n">
        <v>87.916766</v>
      </c>
      <c r="O256" t="n">
        <v>58.81521</v>
      </c>
      <c r="P256" t="n">
        <v>32.075058</v>
      </c>
      <c r="Q256" t="n">
        <v>87.916766</v>
      </c>
      <c r="R256" t="n">
        <v>87.916766</v>
      </c>
      <c r="S256" t="n">
        <v>58.81521</v>
      </c>
      <c r="T256" t="n">
        <v>58.820906</v>
      </c>
      <c r="U256" t="n">
        <v>32.075058</v>
      </c>
      <c r="V256" t="n">
        <v>-183.117525</v>
      </c>
      <c r="W256" t="n">
        <v>61.214848</v>
      </c>
      <c r="X256" t="n">
        <v>89.985946</v>
      </c>
      <c r="Y256" t="n">
        <v>16.009476</v>
      </c>
      <c r="Z256" t="n">
        <v>63.984768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1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1" t="inlineStr">
        <is>
          <t>Bathy L pred</t>
        </is>
      </c>
      <c r="E258" t="n">
        <v>163.765772</v>
      </c>
      <c r="F258" t="n">
        <v>1106.358887</v>
      </c>
      <c r="G258" t="n">
        <v>1049.729226</v>
      </c>
      <c r="H258" t="n">
        <v>7084.212361</v>
      </c>
      <c r="I258" t="n">
        <v>3065.622048</v>
      </c>
      <c r="J258" t="n">
        <v>3130.312893</v>
      </c>
      <c r="K258" t="n">
        <v>2973.797249</v>
      </c>
      <c r="L258" t="n">
        <v>5058.397662</v>
      </c>
      <c r="M258" t="n">
        <v>5058.397662</v>
      </c>
      <c r="N258" t="n">
        <v>5058.397662</v>
      </c>
      <c r="O258" t="n">
        <v>2368.204623</v>
      </c>
      <c r="P258" t="n">
        <v>807.087555</v>
      </c>
      <c r="Q258" t="n">
        <v>5058.397662</v>
      </c>
      <c r="R258" t="n">
        <v>5058.397662</v>
      </c>
      <c r="S258" t="n">
        <v>2368.204623</v>
      </c>
      <c r="T258" t="n">
        <v>2368.613989</v>
      </c>
      <c r="U258" t="n">
        <v>807.087555</v>
      </c>
      <c r="V258" t="n">
        <v>-8011.455306</v>
      </c>
      <c r="W258" t="n">
        <v>2656.811608</v>
      </c>
      <c r="X258" t="n">
        <v>5385.068956</v>
      </c>
      <c r="Y258" t="n">
        <v>606.8075</v>
      </c>
      <c r="Z258" t="n">
        <v>2931.572844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1" t="inlineStr">
        <is>
          <t>Crustacés</t>
        </is>
      </c>
      <c r="E259" t="n">
        <v>163.765772</v>
      </c>
      <c r="F259" t="n">
        <v>79.64922</v>
      </c>
      <c r="G259" t="n">
        <v>77.077782</v>
      </c>
      <c r="H259" t="n">
        <v>199.420396</v>
      </c>
      <c r="I259" t="n">
        <v>94.919134</v>
      </c>
      <c r="J259" t="n">
        <v>94.919134</v>
      </c>
      <c r="K259" t="n">
        <v>90.173177</v>
      </c>
      <c r="L259" t="n">
        <v>135.651174</v>
      </c>
      <c r="M259" t="n">
        <v>135.651174</v>
      </c>
      <c r="N259" t="n">
        <v>135.651174</v>
      </c>
      <c r="O259" t="n">
        <v>112.097094</v>
      </c>
      <c r="P259" t="n">
        <v>63.65447</v>
      </c>
      <c r="Q259" t="n">
        <v>135.651174</v>
      </c>
      <c r="R259" t="n">
        <v>135.651174</v>
      </c>
      <c r="S259" t="n">
        <v>112.097094</v>
      </c>
      <c r="T259" t="n">
        <v>112.118405</v>
      </c>
      <c r="U259" t="n">
        <v>63.65447</v>
      </c>
      <c r="V259" t="n">
        <v>-691.708697</v>
      </c>
      <c r="W259" t="n">
        <v>122.926325</v>
      </c>
      <c r="X259" t="n">
        <v>140.897505</v>
      </c>
      <c r="Y259" t="n">
        <v>54.73445</v>
      </c>
      <c r="Z259" t="n">
        <v>122.753568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1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1" t="inlineStr">
        <is>
          <t>Côtier L pred</t>
        </is>
      </c>
      <c r="E261" t="n">
        <v>163.765772</v>
      </c>
      <c r="F261" t="n">
        <v>834.792702</v>
      </c>
      <c r="G261" t="n">
        <v>793.737434</v>
      </c>
      <c r="H261" t="n">
        <v>7076.924212</v>
      </c>
      <c r="I261" t="n">
        <v>5090.678261</v>
      </c>
      <c r="J261" t="n">
        <v>9568.277077999999</v>
      </c>
      <c r="K261" t="n">
        <v>8272.898352</v>
      </c>
      <c r="L261" t="n">
        <v>19279.552919</v>
      </c>
      <c r="M261" t="n">
        <v>19279.552919</v>
      </c>
      <c r="N261" t="n">
        <v>19279.552919</v>
      </c>
      <c r="O261" t="n">
        <v>6360.643117</v>
      </c>
      <c r="P261" t="n">
        <v>2029.258233</v>
      </c>
      <c r="Q261" t="n">
        <v>19279.552919</v>
      </c>
      <c r="R261" t="n">
        <v>-84755.37547899999</v>
      </c>
      <c r="S261" t="n">
        <v>6360.643117</v>
      </c>
      <c r="T261" t="n">
        <v>6361.79434</v>
      </c>
      <c r="U261" t="n">
        <v>2029.258233</v>
      </c>
      <c r="V261" t="n">
        <v>-469150.656344</v>
      </c>
      <c r="W261" t="n">
        <v>6996.073117</v>
      </c>
      <c r="X261" t="n">
        <v>20789.961322</v>
      </c>
      <c r="Y261" t="n">
        <v>469.046047</v>
      </c>
      <c r="Z261" t="n">
        <v>2908.693588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1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1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1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1" t="inlineStr">
        <is>
          <t>Sélaciens L côtiers</t>
        </is>
      </c>
      <c r="E265" t="n">
        <v>163.765772</v>
      </c>
      <c r="F265" t="n">
        <v>1149.132987</v>
      </c>
      <c r="G265" t="n">
        <v>1090.003899</v>
      </c>
      <c r="H265" t="n">
        <v>26127.270352</v>
      </c>
      <c r="I265" t="n">
        <v>60049.460833</v>
      </c>
      <c r="J265" t="n">
        <v>53915.740438</v>
      </c>
      <c r="K265" t="n">
        <v>48298.915435</v>
      </c>
      <c r="L265" t="n">
        <v>144842.06399</v>
      </c>
      <c r="M265" t="n">
        <v>144842.06399</v>
      </c>
      <c r="N265" t="n">
        <v>144842.06399</v>
      </c>
      <c r="O265" t="n">
        <v>27575.101402</v>
      </c>
      <c r="P265" t="n">
        <v>7327.065611</v>
      </c>
      <c r="Q265" t="n">
        <v>144842.06399</v>
      </c>
      <c r="R265" t="n">
        <v>-325137.025632</v>
      </c>
      <c r="S265" t="n">
        <v>27575.101402</v>
      </c>
      <c r="T265" t="n">
        <v>27580.015333</v>
      </c>
      <c r="U265" t="n">
        <v>7327.065611</v>
      </c>
      <c r="V265" t="n">
        <v>-736674.038746</v>
      </c>
      <c r="W265" t="n">
        <v>30898.384799</v>
      </c>
      <c r="X265" t="n">
        <v>163593.250874</v>
      </c>
      <c r="Y265" t="n">
        <v>628.222446</v>
      </c>
      <c r="Z265" t="n">
        <v>9214.946091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1" t="inlineStr">
        <is>
          <t>Bathy S pred</t>
        </is>
      </c>
      <c r="E266" t="n">
        <v>163.765772</v>
      </c>
      <c r="F266" t="n">
        <v>534.286597</v>
      </c>
      <c r="G266" t="n">
        <v>509.712594</v>
      </c>
      <c r="H266" t="n">
        <v>1642.875338</v>
      </c>
      <c r="I266" t="n">
        <v>1036.424218</v>
      </c>
      <c r="J266" t="n">
        <v>1086.988906</v>
      </c>
      <c r="K266" t="n">
        <v>1032.639461</v>
      </c>
      <c r="L266" t="n">
        <v>1419.875858</v>
      </c>
      <c r="M266" t="n">
        <v>1419.875858</v>
      </c>
      <c r="N266" t="n">
        <v>1419.875858</v>
      </c>
      <c r="O266" t="n">
        <v>490.205577</v>
      </c>
      <c r="P266" t="n">
        <v>214.306308</v>
      </c>
      <c r="Q266" t="n">
        <v>1419.875858</v>
      </c>
      <c r="R266" t="n">
        <v>1419.875858</v>
      </c>
      <c r="S266" t="n">
        <v>490.205577</v>
      </c>
      <c r="T266" t="n">
        <v>490.282514</v>
      </c>
      <c r="U266" t="n">
        <v>214.306308</v>
      </c>
      <c r="V266" t="n">
        <v>-1962.482496</v>
      </c>
      <c r="W266" t="n">
        <v>538.063458</v>
      </c>
      <c r="X266" t="n">
        <v>1480.144923</v>
      </c>
      <c r="Y266" t="n">
        <v>311.902661</v>
      </c>
      <c r="Z266" t="n">
        <v>836.088699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1" t="inlineStr">
        <is>
          <t>Côtier L pred</t>
        </is>
      </c>
      <c r="E267" t="n">
        <v>163.765772</v>
      </c>
      <c r="F267" t="n">
        <v>834.792702</v>
      </c>
      <c r="G267" t="n">
        <v>793.737434</v>
      </c>
      <c r="H267" t="n">
        <v>7076.924212</v>
      </c>
      <c r="I267" t="n">
        <v>5090.678261</v>
      </c>
      <c r="J267" t="n">
        <v>9568.277077999999</v>
      </c>
      <c r="K267" t="n">
        <v>8272.898352</v>
      </c>
      <c r="L267" t="n">
        <v>19279.552919</v>
      </c>
      <c r="M267" t="n">
        <v>19279.552919</v>
      </c>
      <c r="N267" t="n">
        <v>19279.552919</v>
      </c>
      <c r="O267" t="n">
        <v>6360.643117</v>
      </c>
      <c r="P267" t="n">
        <v>2029.258233</v>
      </c>
      <c r="Q267" t="n">
        <v>19279.552919</v>
      </c>
      <c r="R267" t="n">
        <v>-84755.37547899999</v>
      </c>
      <c r="S267" t="n">
        <v>6360.643117</v>
      </c>
      <c r="T267" t="n">
        <v>6361.79434</v>
      </c>
      <c r="U267" t="n">
        <v>2029.258233</v>
      </c>
      <c r="V267" t="n">
        <v>-469150.656344</v>
      </c>
      <c r="W267" t="n">
        <v>6996.073117</v>
      </c>
      <c r="X267" t="n">
        <v>20789.961322</v>
      </c>
      <c r="Y267" t="n">
        <v>469.046047</v>
      </c>
      <c r="Z267" t="n">
        <v>2908.693588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1" t="inlineStr">
        <is>
          <t>Sélaciens L prof</t>
        </is>
      </c>
      <c r="E268" t="n">
        <v>163.765772</v>
      </c>
      <c r="F268" t="n">
        <v>2984.356694</v>
      </c>
      <c r="G268" t="n">
        <v>2810.614697</v>
      </c>
      <c r="H268" t="n">
        <v>33755.937801</v>
      </c>
      <c r="I268" t="n">
        <v>124488.415541</v>
      </c>
      <c r="J268" t="n">
        <v>128866.935983</v>
      </c>
      <c r="K268" t="n">
        <v>64433.467991</v>
      </c>
      <c r="L268" t="n">
        <v>630806.17817</v>
      </c>
      <c r="M268" t="n">
        <v>630806.17817</v>
      </c>
      <c r="N268" t="n">
        <v>630806.17817</v>
      </c>
      <c r="O268" t="n">
        <v>51235.06282</v>
      </c>
      <c r="P268" t="n">
        <v>12871.977711</v>
      </c>
      <c r="Q268" t="n">
        <v>630806.17817</v>
      </c>
      <c r="R268" t="n">
        <v>-1411127.786749</v>
      </c>
      <c r="S268" t="n">
        <v>51235.06282</v>
      </c>
      <c r="T268" t="n">
        <v>51244.1029</v>
      </c>
      <c r="U268" t="n">
        <v>12871.977711</v>
      </c>
      <c r="V268" t="n">
        <v>-997488.464399</v>
      </c>
      <c r="W268" t="n">
        <v>58369.578627</v>
      </c>
      <c r="X268" t="n">
        <v>764649.1712</v>
      </c>
      <c r="Y268" t="n">
        <v>1503.40227</v>
      </c>
      <c r="Z268" t="n">
        <v>11832.438102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1" t="inlineStr">
        <is>
          <t>Crustacés</t>
        </is>
      </c>
      <c r="E269" t="n">
        <v>163.765772</v>
      </c>
      <c r="F269" t="n">
        <v>79.64922</v>
      </c>
      <c r="G269" t="n">
        <v>77.077782</v>
      </c>
      <c r="H269" t="n">
        <v>199.420396</v>
      </c>
      <c r="I269" t="n">
        <v>94.919134</v>
      </c>
      <c r="J269" t="n">
        <v>94.919134</v>
      </c>
      <c r="K269" t="n">
        <v>90.173177</v>
      </c>
      <c r="L269" t="n">
        <v>135.651174</v>
      </c>
      <c r="M269" t="n">
        <v>135.651174</v>
      </c>
      <c r="N269" t="n">
        <v>135.651174</v>
      </c>
      <c r="O269" t="n">
        <v>112.097094</v>
      </c>
      <c r="P269" t="n">
        <v>63.65447</v>
      </c>
      <c r="Q269" t="n">
        <v>135.651174</v>
      </c>
      <c r="R269" t="n">
        <v>135.651174</v>
      </c>
      <c r="S269" t="n">
        <v>112.097094</v>
      </c>
      <c r="T269" t="n">
        <v>112.118405</v>
      </c>
      <c r="U269" t="n">
        <v>63.65447</v>
      </c>
      <c r="V269" t="n">
        <v>-691.708697</v>
      </c>
      <c r="W269" t="n">
        <v>122.926325</v>
      </c>
      <c r="X269" t="n">
        <v>140.897505</v>
      </c>
      <c r="Y269" t="n">
        <v>54.73445</v>
      </c>
      <c r="Z269" t="n">
        <v>122.753568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1" t="inlineStr">
        <is>
          <t>Sélaciens L côtiers</t>
        </is>
      </c>
      <c r="E270" t="n">
        <v>163.765772</v>
      </c>
      <c r="F270" t="n">
        <v>1149.132987</v>
      </c>
      <c r="G270" t="n">
        <v>1090.003899</v>
      </c>
      <c r="H270" t="n">
        <v>26127.270352</v>
      </c>
      <c r="I270" t="n">
        <v>60049.460833</v>
      </c>
      <c r="J270" t="n">
        <v>53915.740438</v>
      </c>
      <c r="K270" t="n">
        <v>48298.915435</v>
      </c>
      <c r="L270" t="n">
        <v>144842.06399</v>
      </c>
      <c r="M270" t="n">
        <v>144842.06399</v>
      </c>
      <c r="N270" t="n">
        <v>144842.06399</v>
      </c>
      <c r="O270" t="n">
        <v>27575.101402</v>
      </c>
      <c r="P270" t="n">
        <v>7327.065611</v>
      </c>
      <c r="Q270" t="n">
        <v>144842.06399</v>
      </c>
      <c r="R270" t="n">
        <v>-325137.025632</v>
      </c>
      <c r="S270" t="n">
        <v>27575.101402</v>
      </c>
      <c r="T270" t="n">
        <v>27580.015333</v>
      </c>
      <c r="U270" t="n">
        <v>7327.065611</v>
      </c>
      <c r="V270" t="n">
        <v>-736674.038746</v>
      </c>
      <c r="W270" t="n">
        <v>30898.384799</v>
      </c>
      <c r="X270" t="n">
        <v>163593.250874</v>
      </c>
      <c r="Y270" t="n">
        <v>628.222446</v>
      </c>
      <c r="Z270" t="n">
        <v>9214.946091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1" t="inlineStr">
        <is>
          <t>Bathy L pred</t>
        </is>
      </c>
      <c r="E271" t="n">
        <v>163.765772</v>
      </c>
      <c r="F271" t="n">
        <v>1106.358887</v>
      </c>
      <c r="G271" t="n">
        <v>1049.729226</v>
      </c>
      <c r="H271" t="n">
        <v>7084.212361</v>
      </c>
      <c r="I271" t="n">
        <v>3065.622048</v>
      </c>
      <c r="J271" t="n">
        <v>3130.312893</v>
      </c>
      <c r="K271" t="n">
        <v>2973.797249</v>
      </c>
      <c r="L271" t="n">
        <v>5058.397662</v>
      </c>
      <c r="M271" t="n">
        <v>5058.397662</v>
      </c>
      <c r="N271" t="n">
        <v>5058.397662</v>
      </c>
      <c r="O271" t="n">
        <v>2368.204623</v>
      </c>
      <c r="P271" t="n">
        <v>807.087555</v>
      </c>
      <c r="Q271" t="n">
        <v>5058.397662</v>
      </c>
      <c r="R271" t="n">
        <v>5058.397662</v>
      </c>
      <c r="S271" t="n">
        <v>2368.204623</v>
      </c>
      <c r="T271" t="n">
        <v>2368.613989</v>
      </c>
      <c r="U271" t="n">
        <v>807.087555</v>
      </c>
      <c r="V271" t="n">
        <v>-8011.455306</v>
      </c>
      <c r="W271" t="n">
        <v>2656.811608</v>
      </c>
      <c r="X271" t="n">
        <v>5385.068956</v>
      </c>
      <c r="Y271" t="n">
        <v>606.8075</v>
      </c>
      <c r="Z271" t="n">
        <v>2931.572844</v>
      </c>
    </row>
    <row r="272" ht="81" customHeight="1">
      <c r="A272" t="inlineStr">
        <is>
          <t>Marine finfishes not identified</t>
        </is>
      </c>
      <c r="D272" s="11" t="inlineStr">
        <is>
          <t>Côtier L pred | Côtier M pred | Côtier M inv | Côtier S pred | Côtier S inv | Dem L pred | Dem L inv | Dem M pred | Dem M inv | Dem S pred | Dem S inv</t>
        </is>
      </c>
      <c r="E272" t="n">
        <v>163.765772</v>
      </c>
      <c r="F272" t="n">
        <v>357.274322</v>
      </c>
      <c r="G272" t="n">
        <v>340.933365</v>
      </c>
      <c r="H272" t="n">
        <v>2733.003035</v>
      </c>
      <c r="I272" t="n">
        <v>1872.062243</v>
      </c>
      <c r="J272" t="n">
        <v>2944.643751</v>
      </c>
      <c r="K272" t="n">
        <v>2569.805973</v>
      </c>
      <c r="L272" t="n">
        <v>5569.671963</v>
      </c>
      <c r="M272" t="n">
        <v>5569.671963</v>
      </c>
      <c r="N272" t="n">
        <v>5569.671963</v>
      </c>
      <c r="O272" t="n">
        <v>2133.083551</v>
      </c>
      <c r="P272" t="n">
        <v>753.297937</v>
      </c>
      <c r="Q272" t="n">
        <v>5569.671963</v>
      </c>
      <c r="R272" t="n">
        <v>-19290.870973</v>
      </c>
      <c r="S272" t="n">
        <v>2133.083551</v>
      </c>
      <c r="T272" t="n">
        <v>2133.473798</v>
      </c>
      <c r="U272" t="n">
        <v>753.297937</v>
      </c>
      <c r="V272" t="n">
        <v>-114985.184917</v>
      </c>
      <c r="W272" t="n">
        <v>2350.857951</v>
      </c>
      <c r="X272" t="n">
        <v>6003.243494</v>
      </c>
      <c r="Y272" t="n">
        <v>209.626712</v>
      </c>
      <c r="Z272" t="n">
        <v>1161.363497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1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1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1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1" t="inlineStr">
        <is>
          <t>Côtier M pred</t>
        </is>
      </c>
      <c r="E276" t="n">
        <v>163.765772</v>
      </c>
      <c r="F276" t="n">
        <v>369.644464</v>
      </c>
      <c r="G276" t="n">
        <v>353.618246</v>
      </c>
      <c r="H276" t="n">
        <v>5618.010617</v>
      </c>
      <c r="I276" t="n">
        <v>4122.619469</v>
      </c>
      <c r="J276" t="n">
        <v>4125.781473</v>
      </c>
      <c r="K276" t="n">
        <v>3919.492399</v>
      </c>
      <c r="L276" t="n">
        <v>5709.562172</v>
      </c>
      <c r="M276" t="n">
        <v>5709.562172</v>
      </c>
      <c r="N276" t="n">
        <v>5709.562172</v>
      </c>
      <c r="O276" t="n">
        <v>3836.053273</v>
      </c>
      <c r="P276" t="n">
        <v>1443.787142</v>
      </c>
      <c r="Q276" t="n">
        <v>5709.562172</v>
      </c>
      <c r="R276" t="n">
        <v>-254548.970672</v>
      </c>
      <c r="S276" t="n">
        <v>3836.053273</v>
      </c>
      <c r="T276" t="n">
        <v>3836.744672</v>
      </c>
      <c r="U276" t="n">
        <v>1443.787142</v>
      </c>
      <c r="V276" t="n">
        <v>-776330.166223</v>
      </c>
      <c r="W276" t="n">
        <v>4226.450942</v>
      </c>
      <c r="X276" t="n">
        <v>5978.972399</v>
      </c>
      <c r="Y276" t="n">
        <v>222.709772</v>
      </c>
      <c r="Z276" t="n">
        <v>2268.13536</v>
      </c>
    </row>
    <row r="277" ht="21" customHeight="1">
      <c r="A277" t="inlineStr">
        <is>
          <t>Echeneidae</t>
        </is>
      </c>
      <c r="D277" s="11" t="inlineStr">
        <is>
          <t>Dem L inv</t>
        </is>
      </c>
      <c r="E277" t="n">
        <v>163.765772</v>
      </c>
      <c r="F277" t="n">
        <v>128.142544</v>
      </c>
      <c r="G277" t="n">
        <v>123.564267</v>
      </c>
      <c r="H277" t="n">
        <v>594.540571</v>
      </c>
      <c r="I277" t="n">
        <v>364.900286</v>
      </c>
      <c r="J277" t="n">
        <v>364.900286</v>
      </c>
      <c r="K277" t="n">
        <v>346.655272</v>
      </c>
      <c r="L277" t="n">
        <v>481.097618</v>
      </c>
      <c r="M277" t="n">
        <v>481.097618</v>
      </c>
      <c r="N277" t="n">
        <v>481.097618</v>
      </c>
      <c r="O277" t="n">
        <v>394.134001</v>
      </c>
      <c r="P277" t="n">
        <v>202.522778</v>
      </c>
      <c r="Q277" t="n">
        <v>481.097618</v>
      </c>
      <c r="R277" t="n">
        <v>481.097618</v>
      </c>
      <c r="S277" t="n">
        <v>394.134001</v>
      </c>
      <c r="T277" t="n">
        <v>394.210214</v>
      </c>
      <c r="U277" t="n">
        <v>202.522778</v>
      </c>
      <c r="V277" t="n">
        <v>-2227.375206</v>
      </c>
      <c r="W277" t="n">
        <v>437.21542</v>
      </c>
      <c r="X277" t="n">
        <v>511.290128</v>
      </c>
      <c r="Y277" t="n">
        <v>84.54261099999999</v>
      </c>
      <c r="Z277" t="n">
        <v>318.940827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1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1" t="inlineStr">
        <is>
          <t>Côtier pel L pred</t>
        </is>
      </c>
      <c r="E279" t="n">
        <v>163.765772</v>
      </c>
      <c r="F279" t="n">
        <v>1052.557933</v>
      </c>
      <c r="G279" t="n">
        <v>999.055395</v>
      </c>
      <c r="H279" t="n">
        <v>11777.345384</v>
      </c>
      <c r="I279" t="n">
        <v>6532.702988</v>
      </c>
      <c r="J279" t="n">
        <v>7781.543468</v>
      </c>
      <c r="K279" t="n">
        <v>7457.867522</v>
      </c>
      <c r="L279" t="n">
        <v>14096.783373</v>
      </c>
      <c r="M279" t="n">
        <v>14096.783373</v>
      </c>
      <c r="N279" t="n">
        <v>14096.783373</v>
      </c>
      <c r="O279" t="n">
        <v>6109.503634</v>
      </c>
      <c r="P279" t="n">
        <v>1921.91996</v>
      </c>
      <c r="Q279" t="n">
        <v>14096.783373</v>
      </c>
      <c r="R279" t="n">
        <v>-57701.40232</v>
      </c>
      <c r="S279" t="n">
        <v>6109.503634</v>
      </c>
      <c r="T279" t="n">
        <v>6110.593726</v>
      </c>
      <c r="U279" t="n">
        <v>1921.91996</v>
      </c>
      <c r="V279" t="n">
        <v>-289768.063862</v>
      </c>
      <c r="W279" t="n">
        <v>6783.082741</v>
      </c>
      <c r="X279" t="n">
        <v>15274.190211</v>
      </c>
      <c r="Y279" t="n">
        <v>579.770625</v>
      </c>
      <c r="Z279" t="n">
        <v>4535.503078</v>
      </c>
    </row>
    <row r="280" ht="21" customHeight="1">
      <c r="A280" t="inlineStr">
        <is>
          <t>Holothuriidae</t>
        </is>
      </c>
      <c r="D280" s="11" t="inlineStr">
        <is>
          <t>Benthos</t>
        </is>
      </c>
      <c r="E280" t="n">
        <v>163.765772</v>
      </c>
      <c r="F280" t="n">
        <v>14.225293</v>
      </c>
      <c r="G280" t="n">
        <v>13.944959</v>
      </c>
      <c r="H280" t="n">
        <v>22.648952</v>
      </c>
      <c r="I280" t="n">
        <v>39.053581</v>
      </c>
      <c r="J280" t="n">
        <v>39.053581</v>
      </c>
      <c r="K280" t="n">
        <v>28.888889</v>
      </c>
      <c r="L280" t="n">
        <v>46.572283</v>
      </c>
      <c r="M280" t="n">
        <v>46.572283</v>
      </c>
      <c r="N280" t="n">
        <v>46.572283</v>
      </c>
      <c r="O280" t="n">
        <v>43.496371</v>
      </c>
      <c r="P280" t="n">
        <v>33.04828</v>
      </c>
      <c r="Q280" t="n">
        <v>46.572283</v>
      </c>
      <c r="R280" t="n">
        <v>46.572283</v>
      </c>
      <c r="S280" t="n">
        <v>43.496371</v>
      </c>
      <c r="T280" t="n">
        <v>43.50535</v>
      </c>
      <c r="U280" t="n">
        <v>33.04828</v>
      </c>
      <c r="V280" t="n">
        <v>-381.521079</v>
      </c>
      <c r="W280" t="n">
        <v>46.817883</v>
      </c>
      <c r="X280" t="n">
        <v>48.197268</v>
      </c>
      <c r="Y280" t="n">
        <v>11.33053</v>
      </c>
      <c r="Z280" t="n">
        <v>16.922572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1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1" t="inlineStr">
        <is>
          <t>Mulets</t>
        </is>
      </c>
      <c r="E282" t="n">
        <v>163.765772</v>
      </c>
      <c r="F282" t="n">
        <v>20.76151</v>
      </c>
      <c r="G282" t="n">
        <v>20.294765</v>
      </c>
      <c r="H282" t="n">
        <v>104.055417</v>
      </c>
      <c r="I282" t="n">
        <v>84.96705300000001</v>
      </c>
      <c r="J282" t="n">
        <v>84.96705300000001</v>
      </c>
      <c r="K282" t="n">
        <v>80.7187</v>
      </c>
      <c r="L282" t="n">
        <v>87.916766</v>
      </c>
      <c r="M282" t="n">
        <v>87.916766</v>
      </c>
      <c r="N282" t="n">
        <v>87.916766</v>
      </c>
      <c r="O282" t="n">
        <v>58.81521</v>
      </c>
      <c r="P282" t="n">
        <v>32.075058</v>
      </c>
      <c r="Q282" t="n">
        <v>87.916766</v>
      </c>
      <c r="R282" t="n">
        <v>87.916766</v>
      </c>
      <c r="S282" t="n">
        <v>58.81521</v>
      </c>
      <c r="T282" t="n">
        <v>58.820906</v>
      </c>
      <c r="U282" t="n">
        <v>32.075058</v>
      </c>
      <c r="V282" t="n">
        <v>-183.117525</v>
      </c>
      <c r="W282" t="n">
        <v>61.214848</v>
      </c>
      <c r="X282" t="n">
        <v>89.985946</v>
      </c>
      <c r="Y282" t="n">
        <v>16.009476</v>
      </c>
      <c r="Z282" t="n">
        <v>63.984768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1" t="inlineStr">
        <is>
          <t>Crustacés</t>
        </is>
      </c>
      <c r="E283" t="n">
        <v>163.765772</v>
      </c>
      <c r="F283" t="n">
        <v>79.64922</v>
      </c>
      <c r="G283" t="n">
        <v>77.077782</v>
      </c>
      <c r="H283" t="n">
        <v>199.420396</v>
      </c>
      <c r="I283" t="n">
        <v>94.919134</v>
      </c>
      <c r="J283" t="n">
        <v>94.919134</v>
      </c>
      <c r="K283" t="n">
        <v>90.173177</v>
      </c>
      <c r="L283" t="n">
        <v>135.651174</v>
      </c>
      <c r="M283" t="n">
        <v>135.651174</v>
      </c>
      <c r="N283" t="n">
        <v>135.651174</v>
      </c>
      <c r="O283" t="n">
        <v>112.097094</v>
      </c>
      <c r="P283" t="n">
        <v>63.65447</v>
      </c>
      <c r="Q283" t="n">
        <v>135.651174</v>
      </c>
      <c r="R283" t="n">
        <v>135.651174</v>
      </c>
      <c r="S283" t="n">
        <v>112.097094</v>
      </c>
      <c r="T283" t="n">
        <v>112.118405</v>
      </c>
      <c r="U283" t="n">
        <v>63.65447</v>
      </c>
      <c r="V283" t="n">
        <v>-691.708697</v>
      </c>
      <c r="W283" t="n">
        <v>122.926325</v>
      </c>
      <c r="X283" t="n">
        <v>140.897505</v>
      </c>
      <c r="Y283" t="n">
        <v>54.73445</v>
      </c>
      <c r="Z283" t="n">
        <v>122.753568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1" t="inlineStr">
        <is>
          <t>Sélaciens L prof</t>
        </is>
      </c>
      <c r="E284" t="n">
        <v>163.765772</v>
      </c>
      <c r="F284" t="n">
        <v>2984.356694</v>
      </c>
      <c r="G284" t="n">
        <v>2810.614697</v>
      </c>
      <c r="H284" t="n">
        <v>33755.937801</v>
      </c>
      <c r="I284" t="n">
        <v>124488.415541</v>
      </c>
      <c r="J284" t="n">
        <v>128866.935983</v>
      </c>
      <c r="K284" t="n">
        <v>64433.467991</v>
      </c>
      <c r="L284" t="n">
        <v>630806.17817</v>
      </c>
      <c r="M284" t="n">
        <v>630806.17817</v>
      </c>
      <c r="N284" t="n">
        <v>630806.17817</v>
      </c>
      <c r="O284" t="n">
        <v>51235.06282</v>
      </c>
      <c r="P284" t="n">
        <v>12871.977711</v>
      </c>
      <c r="Q284" t="n">
        <v>630806.17817</v>
      </c>
      <c r="R284" t="n">
        <v>-1411127.786749</v>
      </c>
      <c r="S284" t="n">
        <v>51235.06282</v>
      </c>
      <c r="T284" t="n">
        <v>51244.1029</v>
      </c>
      <c r="U284" t="n">
        <v>12871.977711</v>
      </c>
      <c r="V284" t="n">
        <v>-997488.464399</v>
      </c>
      <c r="W284" t="n">
        <v>58369.578627</v>
      </c>
      <c r="X284" t="n">
        <v>764649.1712</v>
      </c>
      <c r="Y284" t="n">
        <v>1503.40227</v>
      </c>
      <c r="Z284" t="n">
        <v>11832.438102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1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1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1" t="inlineStr">
        <is>
          <t>Unresolved</t>
        </is>
      </c>
    </row>
    <row r="288" ht="21" customHeight="1">
      <c r="A288" t="inlineStr">
        <is>
          <t>Mustelus</t>
        </is>
      </c>
      <c r="D288" s="11" t="inlineStr">
        <is>
          <t>Sélaciens L côtiers</t>
        </is>
      </c>
      <c r="E288" t="n">
        <v>163.765772</v>
      </c>
      <c r="F288" t="n">
        <v>1149.132987</v>
      </c>
      <c r="G288" t="n">
        <v>1090.003899</v>
      </c>
      <c r="H288" t="n">
        <v>26127.270352</v>
      </c>
      <c r="I288" t="n">
        <v>60049.460833</v>
      </c>
      <c r="J288" t="n">
        <v>53915.740438</v>
      </c>
      <c r="K288" t="n">
        <v>48298.915435</v>
      </c>
      <c r="L288" t="n">
        <v>144842.06399</v>
      </c>
      <c r="M288" t="n">
        <v>144842.06399</v>
      </c>
      <c r="N288" t="n">
        <v>144842.06399</v>
      </c>
      <c r="O288" t="n">
        <v>27575.101402</v>
      </c>
      <c r="P288" t="n">
        <v>7327.065611</v>
      </c>
      <c r="Q288" t="n">
        <v>144842.06399</v>
      </c>
      <c r="R288" t="n">
        <v>-325137.025632</v>
      </c>
      <c r="S288" t="n">
        <v>27575.101402</v>
      </c>
      <c r="T288" t="n">
        <v>27580.015333</v>
      </c>
      <c r="U288" t="n">
        <v>7327.065611</v>
      </c>
      <c r="V288" t="n">
        <v>-736674.038746</v>
      </c>
      <c r="W288" t="n">
        <v>30898.384799</v>
      </c>
      <c r="X288" t="n">
        <v>163593.250874</v>
      </c>
      <c r="Y288" t="n">
        <v>628.222446</v>
      </c>
      <c r="Z288" t="n">
        <v>9214.946091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1" t="inlineStr">
        <is>
          <t>Dem S pred</t>
        </is>
      </c>
      <c r="E289" t="n">
        <v>163.765772</v>
      </c>
      <c r="F289" t="n">
        <v>562.12163</v>
      </c>
      <c r="G289" t="n">
        <v>536.063253</v>
      </c>
      <c r="H289" t="n">
        <v>2736.23723</v>
      </c>
      <c r="I289" t="n">
        <v>1462.241112</v>
      </c>
      <c r="J289" t="n">
        <v>1490.336634</v>
      </c>
      <c r="K289" t="n">
        <v>1415.819803</v>
      </c>
      <c r="L289" t="n">
        <v>2349.753802</v>
      </c>
      <c r="M289" t="n">
        <v>2349.753802</v>
      </c>
      <c r="N289" t="n">
        <v>2349.753802</v>
      </c>
      <c r="O289" t="n">
        <v>1392.070945</v>
      </c>
      <c r="P289" t="n">
        <v>591.665068</v>
      </c>
      <c r="Q289" t="n">
        <v>2349.753802</v>
      </c>
      <c r="R289" t="n">
        <v>2349.753802</v>
      </c>
      <c r="S289" t="n">
        <v>1392.070945</v>
      </c>
      <c r="T289" t="n">
        <v>1392.328073</v>
      </c>
      <c r="U289" t="n">
        <v>591.665068</v>
      </c>
      <c r="V289" t="n">
        <v>-6299.237463</v>
      </c>
      <c r="W289" t="n">
        <v>1546.303442</v>
      </c>
      <c r="X289" t="n">
        <v>2470.626867</v>
      </c>
      <c r="Y289" t="n">
        <v>326.726995</v>
      </c>
      <c r="Z289" t="n">
        <v>1284.648584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1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1" t="inlineStr">
        <is>
          <t>Dem L pred</t>
        </is>
      </c>
      <c r="E291" t="n">
        <v>163.765772</v>
      </c>
      <c r="F291" t="n">
        <v>702.92427</v>
      </c>
      <c r="G291" t="n">
        <v>669.216325</v>
      </c>
      <c r="H291" t="n">
        <v>8905.433089</v>
      </c>
      <c r="I291" t="n">
        <v>6777.560073</v>
      </c>
      <c r="J291" t="n">
        <v>6838.476733</v>
      </c>
      <c r="K291" t="n">
        <v>5761.883976</v>
      </c>
      <c r="L291" t="n">
        <v>11046.457304</v>
      </c>
      <c r="M291" t="n">
        <v>11046.457304</v>
      </c>
      <c r="N291" t="n">
        <v>11046.457304</v>
      </c>
      <c r="O291" t="n">
        <v>5782.642595</v>
      </c>
      <c r="P291" t="n">
        <v>2043.771325</v>
      </c>
      <c r="Q291" t="n">
        <v>11046.457304</v>
      </c>
      <c r="R291" t="n">
        <v>11046.457304</v>
      </c>
      <c r="S291" t="n">
        <v>5782.642595</v>
      </c>
      <c r="T291" t="n">
        <v>5783.714073</v>
      </c>
      <c r="U291" t="n">
        <v>2043.771325</v>
      </c>
      <c r="V291" t="n">
        <v>-21764.358979</v>
      </c>
      <c r="W291" t="n">
        <v>6493.9392</v>
      </c>
      <c r="X291" t="n">
        <v>12062.969112</v>
      </c>
      <c r="Y291" t="n">
        <v>400.815207</v>
      </c>
      <c r="Z291" t="n">
        <v>3457.535342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1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1" t="inlineStr">
        <is>
          <t>Sélaciens L côtiers</t>
        </is>
      </c>
      <c r="E293" t="n">
        <v>163.765772</v>
      </c>
      <c r="F293" t="n">
        <v>1149.132987</v>
      </c>
      <c r="G293" t="n">
        <v>1090.003899</v>
      </c>
      <c r="H293" t="n">
        <v>26127.270352</v>
      </c>
      <c r="I293" t="n">
        <v>60049.460833</v>
      </c>
      <c r="J293" t="n">
        <v>53915.740438</v>
      </c>
      <c r="K293" t="n">
        <v>48298.915435</v>
      </c>
      <c r="L293" t="n">
        <v>144842.06399</v>
      </c>
      <c r="M293" t="n">
        <v>144842.06399</v>
      </c>
      <c r="N293" t="n">
        <v>144842.06399</v>
      </c>
      <c r="O293" t="n">
        <v>27575.101402</v>
      </c>
      <c r="P293" t="n">
        <v>7327.065611</v>
      </c>
      <c r="Q293" t="n">
        <v>144842.06399</v>
      </c>
      <c r="R293" t="n">
        <v>-325137.025632</v>
      </c>
      <c r="S293" t="n">
        <v>27575.101402</v>
      </c>
      <c r="T293" t="n">
        <v>27580.015333</v>
      </c>
      <c r="U293" t="n">
        <v>7327.065611</v>
      </c>
      <c r="V293" t="n">
        <v>-736674.038746</v>
      </c>
      <c r="W293" t="n">
        <v>30898.384799</v>
      </c>
      <c r="X293" t="n">
        <v>163593.250874</v>
      </c>
      <c r="Y293" t="n">
        <v>628.222446</v>
      </c>
      <c r="Z293" t="n">
        <v>9214.946091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1" t="inlineStr">
        <is>
          <t>Sélaciens L côtiers</t>
        </is>
      </c>
      <c r="E294" t="n">
        <v>163.765772</v>
      </c>
      <c r="F294" t="n">
        <v>1149.132987</v>
      </c>
      <c r="G294" t="n">
        <v>1090.003899</v>
      </c>
      <c r="H294" t="n">
        <v>26127.270352</v>
      </c>
      <c r="I294" t="n">
        <v>60049.460833</v>
      </c>
      <c r="J294" t="n">
        <v>53915.740438</v>
      </c>
      <c r="K294" t="n">
        <v>48298.915435</v>
      </c>
      <c r="L294" t="n">
        <v>144842.06399</v>
      </c>
      <c r="M294" t="n">
        <v>144842.06399</v>
      </c>
      <c r="N294" t="n">
        <v>144842.06399</v>
      </c>
      <c r="O294" t="n">
        <v>27575.101402</v>
      </c>
      <c r="P294" t="n">
        <v>7327.065611</v>
      </c>
      <c r="Q294" t="n">
        <v>144842.06399</v>
      </c>
      <c r="R294" t="n">
        <v>-325137.025632</v>
      </c>
      <c r="S294" t="n">
        <v>27575.101402</v>
      </c>
      <c r="T294" t="n">
        <v>27580.015333</v>
      </c>
      <c r="U294" t="n">
        <v>7327.065611</v>
      </c>
      <c r="V294" t="n">
        <v>-736674.038746</v>
      </c>
      <c r="W294" t="n">
        <v>30898.384799</v>
      </c>
      <c r="X294" t="n">
        <v>163593.250874</v>
      </c>
      <c r="Y294" t="n">
        <v>628.222446</v>
      </c>
      <c r="Z294" t="n">
        <v>9214.946091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1" t="inlineStr">
        <is>
          <t>Crustacés</t>
        </is>
      </c>
      <c r="E295" t="n">
        <v>163.765772</v>
      </c>
      <c r="F295" t="n">
        <v>79.64922</v>
      </c>
      <c r="G295" t="n">
        <v>77.077782</v>
      </c>
      <c r="H295" t="n">
        <v>199.420396</v>
      </c>
      <c r="I295" t="n">
        <v>94.919134</v>
      </c>
      <c r="J295" t="n">
        <v>94.919134</v>
      </c>
      <c r="K295" t="n">
        <v>90.173177</v>
      </c>
      <c r="L295" t="n">
        <v>135.651174</v>
      </c>
      <c r="M295" t="n">
        <v>135.651174</v>
      </c>
      <c r="N295" t="n">
        <v>135.651174</v>
      </c>
      <c r="O295" t="n">
        <v>112.097094</v>
      </c>
      <c r="P295" t="n">
        <v>63.65447</v>
      </c>
      <c r="Q295" t="n">
        <v>135.651174</v>
      </c>
      <c r="R295" t="n">
        <v>135.651174</v>
      </c>
      <c r="S295" t="n">
        <v>112.097094</v>
      </c>
      <c r="T295" t="n">
        <v>112.118405</v>
      </c>
      <c r="U295" t="n">
        <v>63.65447</v>
      </c>
      <c r="V295" t="n">
        <v>-691.708697</v>
      </c>
      <c r="W295" t="n">
        <v>122.926325</v>
      </c>
      <c r="X295" t="n">
        <v>140.897505</v>
      </c>
      <c r="Y295" t="n">
        <v>54.73445</v>
      </c>
      <c r="Z295" t="n">
        <v>122.753568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1" t="inlineStr">
        <is>
          <t>Côtier M inv</t>
        </is>
      </c>
      <c r="E296" t="n">
        <v>163.765772</v>
      </c>
      <c r="F296" t="n">
        <v>170.837609</v>
      </c>
      <c r="G296" t="n">
        <v>164.379174</v>
      </c>
      <c r="H296" t="n">
        <v>573.174129</v>
      </c>
      <c r="I296" t="n">
        <v>332.812451</v>
      </c>
      <c r="J296" t="n">
        <v>332.812451</v>
      </c>
      <c r="K296" t="n">
        <v>331.190423</v>
      </c>
      <c r="L296" t="n">
        <v>425.732264</v>
      </c>
      <c r="M296" t="n">
        <v>425.732264</v>
      </c>
      <c r="N296" t="n">
        <v>425.732264</v>
      </c>
      <c r="O296" t="n">
        <v>368.426453</v>
      </c>
      <c r="P296" t="n">
        <v>198.243136</v>
      </c>
      <c r="Q296" t="n">
        <v>425.732264</v>
      </c>
      <c r="R296" t="n">
        <v>425.732264</v>
      </c>
      <c r="S296" t="n">
        <v>368.426453</v>
      </c>
      <c r="T296" t="n">
        <v>368.498294</v>
      </c>
      <c r="U296" t="n">
        <v>198.243136</v>
      </c>
      <c r="V296" t="n">
        <v>-2197.047861</v>
      </c>
      <c r="W296" t="n">
        <v>402.613215</v>
      </c>
      <c r="X296" t="n">
        <v>447.451967</v>
      </c>
      <c r="Y296" t="n">
        <v>109.967259</v>
      </c>
      <c r="Z296" t="n">
        <v>314.242463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1" t="inlineStr">
        <is>
          <t>Crustacés</t>
        </is>
      </c>
      <c r="E297" t="n">
        <v>163.765772</v>
      </c>
      <c r="F297" t="n">
        <v>79.64922</v>
      </c>
      <c r="G297" t="n">
        <v>77.077782</v>
      </c>
      <c r="H297" t="n">
        <v>199.420396</v>
      </c>
      <c r="I297" t="n">
        <v>94.919134</v>
      </c>
      <c r="J297" t="n">
        <v>94.919134</v>
      </c>
      <c r="K297" t="n">
        <v>90.173177</v>
      </c>
      <c r="L297" t="n">
        <v>135.651174</v>
      </c>
      <c r="M297" t="n">
        <v>135.651174</v>
      </c>
      <c r="N297" t="n">
        <v>135.651174</v>
      </c>
      <c r="O297" t="n">
        <v>112.097094</v>
      </c>
      <c r="P297" t="n">
        <v>63.65447</v>
      </c>
      <c r="Q297" t="n">
        <v>135.651174</v>
      </c>
      <c r="R297" t="n">
        <v>135.651174</v>
      </c>
      <c r="S297" t="n">
        <v>112.097094</v>
      </c>
      <c r="T297" t="n">
        <v>112.118405</v>
      </c>
      <c r="U297" t="n">
        <v>63.65447</v>
      </c>
      <c r="V297" t="n">
        <v>-691.708697</v>
      </c>
      <c r="W297" t="n">
        <v>122.926325</v>
      </c>
      <c r="X297" t="n">
        <v>140.897505</v>
      </c>
      <c r="Y297" t="n">
        <v>54.73445</v>
      </c>
      <c r="Z297" t="n">
        <v>122.753568</v>
      </c>
    </row>
    <row r="298" ht="21" customHeight="1">
      <c r="A298" t="inlineStr">
        <is>
          <t>Trachichthyidae</t>
        </is>
      </c>
      <c r="D298" s="11" t="inlineStr">
        <is>
          <t>Bathy L pred</t>
        </is>
      </c>
      <c r="E298" t="n">
        <v>163.765772</v>
      </c>
      <c r="F298" t="n">
        <v>1106.358887</v>
      </c>
      <c r="G298" t="n">
        <v>1049.729226</v>
      </c>
      <c r="H298" t="n">
        <v>7084.212361</v>
      </c>
      <c r="I298" t="n">
        <v>3065.622048</v>
      </c>
      <c r="J298" t="n">
        <v>3130.312893</v>
      </c>
      <c r="K298" t="n">
        <v>2973.797249</v>
      </c>
      <c r="L298" t="n">
        <v>5058.397662</v>
      </c>
      <c r="M298" t="n">
        <v>5058.397662</v>
      </c>
      <c r="N298" t="n">
        <v>5058.397662</v>
      </c>
      <c r="O298" t="n">
        <v>2368.204623</v>
      </c>
      <c r="P298" t="n">
        <v>807.087555</v>
      </c>
      <c r="Q298" t="n">
        <v>5058.397662</v>
      </c>
      <c r="R298" t="n">
        <v>5058.397662</v>
      </c>
      <c r="S298" t="n">
        <v>2368.204623</v>
      </c>
      <c r="T298" t="n">
        <v>2368.613989</v>
      </c>
      <c r="U298" t="n">
        <v>807.087555</v>
      </c>
      <c r="V298" t="n">
        <v>-8011.455306</v>
      </c>
      <c r="W298" t="n">
        <v>2656.811608</v>
      </c>
      <c r="X298" t="n">
        <v>5385.068956</v>
      </c>
      <c r="Y298" t="n">
        <v>606.8075</v>
      </c>
      <c r="Z298" t="n">
        <v>2931.572844</v>
      </c>
    </row>
    <row r="299" ht="21" customHeight="1">
      <c r="A299" t="inlineStr">
        <is>
          <t>Leptocharias smithii</t>
        </is>
      </c>
      <c r="D299" s="11" t="inlineStr">
        <is>
          <t>Sélaciens L côtiers</t>
        </is>
      </c>
      <c r="E299" t="n">
        <v>163.765772</v>
      </c>
      <c r="F299" t="n">
        <v>1149.132987</v>
      </c>
      <c r="G299" t="n">
        <v>1090.003899</v>
      </c>
      <c r="H299" t="n">
        <v>26127.270352</v>
      </c>
      <c r="I299" t="n">
        <v>60049.460833</v>
      </c>
      <c r="J299" t="n">
        <v>53915.740438</v>
      </c>
      <c r="K299" t="n">
        <v>48298.915435</v>
      </c>
      <c r="L299" t="n">
        <v>144842.06399</v>
      </c>
      <c r="M299" t="n">
        <v>144842.06399</v>
      </c>
      <c r="N299" t="n">
        <v>144842.06399</v>
      </c>
      <c r="O299" t="n">
        <v>27575.101402</v>
      </c>
      <c r="P299" t="n">
        <v>7327.065611</v>
      </c>
      <c r="Q299" t="n">
        <v>144842.06399</v>
      </c>
      <c r="R299" t="n">
        <v>-325137.025632</v>
      </c>
      <c r="S299" t="n">
        <v>27575.101402</v>
      </c>
      <c r="T299" t="n">
        <v>27580.015333</v>
      </c>
      <c r="U299" t="n">
        <v>7327.065611</v>
      </c>
      <c r="V299" t="n">
        <v>-736674.038746</v>
      </c>
      <c r="W299" t="n">
        <v>30898.384799</v>
      </c>
      <c r="X299" t="n">
        <v>163593.250874</v>
      </c>
      <c r="Y299" t="n">
        <v>628.222446</v>
      </c>
      <c r="Z299" t="n">
        <v>9214.946091</v>
      </c>
    </row>
    <row r="300" ht="21" customHeight="1">
      <c r="A300" t="inlineStr">
        <is>
          <t>Lophius vaillanti</t>
        </is>
      </c>
      <c r="D300" s="11" t="inlineStr">
        <is>
          <t>Bathy L pred</t>
        </is>
      </c>
      <c r="E300" t="n">
        <v>163.765772</v>
      </c>
      <c r="F300" t="n">
        <v>1106.358887</v>
      </c>
      <c r="G300" t="n">
        <v>1049.729226</v>
      </c>
      <c r="H300" t="n">
        <v>7084.212361</v>
      </c>
      <c r="I300" t="n">
        <v>3065.622048</v>
      </c>
      <c r="J300" t="n">
        <v>3130.312893</v>
      </c>
      <c r="K300" t="n">
        <v>2973.797249</v>
      </c>
      <c r="L300" t="n">
        <v>5058.397662</v>
      </c>
      <c r="M300" t="n">
        <v>5058.397662</v>
      </c>
      <c r="N300" t="n">
        <v>5058.397662</v>
      </c>
      <c r="O300" t="n">
        <v>2368.204623</v>
      </c>
      <c r="P300" t="n">
        <v>807.087555</v>
      </c>
      <c r="Q300" t="n">
        <v>5058.397662</v>
      </c>
      <c r="R300" t="n">
        <v>5058.397662</v>
      </c>
      <c r="S300" t="n">
        <v>2368.204623</v>
      </c>
      <c r="T300" t="n">
        <v>2368.613989</v>
      </c>
      <c r="U300" t="n">
        <v>807.087555</v>
      </c>
      <c r="V300" t="n">
        <v>-8011.455306</v>
      </c>
      <c r="W300" t="n">
        <v>2656.811608</v>
      </c>
      <c r="X300" t="n">
        <v>5385.068956</v>
      </c>
      <c r="Y300" t="n">
        <v>606.8075</v>
      </c>
      <c r="Z300" t="n">
        <v>2931.572844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1" t="inlineStr">
        <is>
          <t>Dem M pred</t>
        </is>
      </c>
      <c r="E301" t="n">
        <v>163.765772</v>
      </c>
      <c r="F301" t="n">
        <v>865.196085</v>
      </c>
      <c r="G301" t="n">
        <v>822.424992</v>
      </c>
      <c r="H301" t="n">
        <v>5615.443398</v>
      </c>
      <c r="I301" t="n">
        <v>2545.974662</v>
      </c>
      <c r="J301" t="n">
        <v>2548.997979</v>
      </c>
      <c r="K301" t="n">
        <v>2421.54808</v>
      </c>
      <c r="L301" t="n">
        <v>3524.148314</v>
      </c>
      <c r="M301" t="n">
        <v>3524.148314</v>
      </c>
      <c r="N301" t="n">
        <v>3524.148314</v>
      </c>
      <c r="O301" t="n">
        <v>2342.099562</v>
      </c>
      <c r="P301" t="n">
        <v>966.982842</v>
      </c>
      <c r="Q301" t="n">
        <v>3524.148314</v>
      </c>
      <c r="R301" t="n">
        <v>3524.148314</v>
      </c>
      <c r="S301" t="n">
        <v>2342.099562</v>
      </c>
      <c r="T301" t="n">
        <v>2342.538543</v>
      </c>
      <c r="U301" t="n">
        <v>966.982842</v>
      </c>
      <c r="V301" t="n">
        <v>-10411.689834</v>
      </c>
      <c r="W301" t="n">
        <v>2575.180215</v>
      </c>
      <c r="X301" t="n">
        <v>3752.018969</v>
      </c>
      <c r="Y301" t="n">
        <v>484.640876</v>
      </c>
      <c r="Z301" t="n">
        <v>2412.043438</v>
      </c>
    </row>
    <row r="302" ht="21" customHeight="1">
      <c r="A302" t="inlineStr">
        <is>
          <t>Cyprinidae</t>
        </is>
      </c>
      <c r="D302" s="11" t="inlineStr">
        <is>
          <t>Unresolved</t>
        </is>
      </c>
    </row>
    <row r="303" ht="21" customHeight="1">
      <c r="A303" t="inlineStr">
        <is>
          <t>Inermiidae</t>
        </is>
      </c>
      <c r="D303" s="11" t="inlineStr">
        <is>
          <t>Unresolved</t>
        </is>
      </c>
    </row>
    <row r="304" ht="21" customHeight="1">
      <c r="A304" t="inlineStr">
        <is>
          <t>Pristidae</t>
        </is>
      </c>
      <c r="D304" s="11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1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1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1" t="inlineStr">
        <is>
          <t>Céphalopodes</t>
        </is>
      </c>
      <c r="E307" t="n">
        <v>163.765772</v>
      </c>
      <c r="F307" t="n">
        <v>822.926928</v>
      </c>
      <c r="G307" t="n">
        <v>782.5392000000001</v>
      </c>
      <c r="H307" t="n">
        <v>2911.869334</v>
      </c>
      <c r="I307" t="n">
        <v>776.132507</v>
      </c>
      <c r="J307" t="n">
        <v>776.132507</v>
      </c>
      <c r="K307" t="n">
        <v>737.325882</v>
      </c>
      <c r="L307" t="n">
        <v>1169.060818</v>
      </c>
      <c r="M307" t="n">
        <v>1169.060818</v>
      </c>
      <c r="N307" t="n">
        <v>1169.060818</v>
      </c>
      <c r="O307" t="n">
        <v>633.531335</v>
      </c>
      <c r="P307" t="n">
        <v>262.847199</v>
      </c>
      <c r="Q307" t="n">
        <v>1169.060818</v>
      </c>
      <c r="R307" t="n">
        <v>1169.060818</v>
      </c>
      <c r="S307" t="n">
        <v>633.531335</v>
      </c>
      <c r="T307" t="n">
        <v>633.6433950000001</v>
      </c>
      <c r="U307" t="n">
        <v>262.847199</v>
      </c>
      <c r="V307" t="n">
        <v>-2693.78971</v>
      </c>
      <c r="W307" t="n">
        <v>696.0734629999999</v>
      </c>
      <c r="X307" t="n">
        <v>1245.599369</v>
      </c>
      <c r="Y307" t="n">
        <v>462.946606</v>
      </c>
      <c r="Z307" t="n">
        <v>1388.472944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1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1" t="inlineStr">
        <is>
          <t>Dem L pred</t>
        </is>
      </c>
      <c r="E309" t="n">
        <v>163.765772</v>
      </c>
      <c r="F309" t="n">
        <v>702.92427</v>
      </c>
      <c r="G309" t="n">
        <v>669.216325</v>
      </c>
      <c r="H309" t="n">
        <v>8905.433089</v>
      </c>
      <c r="I309" t="n">
        <v>6777.560073</v>
      </c>
      <c r="J309" t="n">
        <v>6838.476733</v>
      </c>
      <c r="K309" t="n">
        <v>5761.883976</v>
      </c>
      <c r="L309" t="n">
        <v>11046.457304</v>
      </c>
      <c r="M309" t="n">
        <v>11046.457304</v>
      </c>
      <c r="N309" t="n">
        <v>11046.457304</v>
      </c>
      <c r="O309" t="n">
        <v>5782.642595</v>
      </c>
      <c r="P309" t="n">
        <v>2043.771325</v>
      </c>
      <c r="Q309" t="n">
        <v>11046.457304</v>
      </c>
      <c r="R309" t="n">
        <v>11046.457304</v>
      </c>
      <c r="S309" t="n">
        <v>5782.642595</v>
      </c>
      <c r="T309" t="n">
        <v>5783.714073</v>
      </c>
      <c r="U309" t="n">
        <v>2043.771325</v>
      </c>
      <c r="V309" t="n">
        <v>-21764.358979</v>
      </c>
      <c r="W309" t="n">
        <v>6493.9392</v>
      </c>
      <c r="X309" t="n">
        <v>12062.969112</v>
      </c>
      <c r="Y309" t="n">
        <v>400.815207</v>
      </c>
      <c r="Z309" t="n">
        <v>3457.535342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1" t="inlineStr">
        <is>
          <t>Pel L pred</t>
        </is>
      </c>
      <c r="E310" t="n">
        <v>163.765772</v>
      </c>
      <c r="F310" t="n">
        <v>1087.886765</v>
      </c>
      <c r="G310" t="n">
        <v>1032.332906</v>
      </c>
      <c r="H310" t="n">
        <v>5007.056466</v>
      </c>
      <c r="I310" t="n">
        <v>3058.864858</v>
      </c>
      <c r="J310" t="n">
        <v>3141.84619</v>
      </c>
      <c r="K310" t="n">
        <v>2984.75388</v>
      </c>
      <c r="L310" t="n">
        <v>5671.221213</v>
      </c>
      <c r="M310" t="n">
        <v>5671.221213</v>
      </c>
      <c r="N310" t="n">
        <v>5671.221213</v>
      </c>
      <c r="O310" t="n">
        <v>2818.562992</v>
      </c>
      <c r="P310" t="n">
        <v>998.222029</v>
      </c>
      <c r="Q310" t="n">
        <v>5671.221213</v>
      </c>
      <c r="R310" t="n">
        <v>-68811.51763</v>
      </c>
      <c r="S310" t="n">
        <v>2818.562992</v>
      </c>
      <c r="T310" t="n">
        <v>2819.031522</v>
      </c>
      <c r="U310" t="n">
        <v>998.222029</v>
      </c>
      <c r="V310" t="n">
        <v>-142542.658222</v>
      </c>
      <c r="W310" t="n">
        <v>3155.54017</v>
      </c>
      <c r="X310" t="n">
        <v>6096.553542</v>
      </c>
      <c r="Y310" t="n">
        <v>597.537591</v>
      </c>
      <c r="Z310" t="n">
        <v>2190.295136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1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1" t="inlineStr">
        <is>
          <t>Sélaciens L prof</t>
        </is>
      </c>
      <c r="E312" t="n">
        <v>163.765772</v>
      </c>
      <c r="F312" t="n">
        <v>2984.356694</v>
      </c>
      <c r="G312" t="n">
        <v>2810.614697</v>
      </c>
      <c r="H312" t="n">
        <v>33755.937801</v>
      </c>
      <c r="I312" t="n">
        <v>124488.415541</v>
      </c>
      <c r="J312" t="n">
        <v>128866.935983</v>
      </c>
      <c r="K312" t="n">
        <v>64433.467991</v>
      </c>
      <c r="L312" t="n">
        <v>630806.17817</v>
      </c>
      <c r="M312" t="n">
        <v>630806.17817</v>
      </c>
      <c r="N312" t="n">
        <v>630806.17817</v>
      </c>
      <c r="O312" t="n">
        <v>51235.06282</v>
      </c>
      <c r="P312" t="n">
        <v>12871.977711</v>
      </c>
      <c r="Q312" t="n">
        <v>630806.17817</v>
      </c>
      <c r="R312" t="n">
        <v>-1411127.786749</v>
      </c>
      <c r="S312" t="n">
        <v>51235.06282</v>
      </c>
      <c r="T312" t="n">
        <v>51244.1029</v>
      </c>
      <c r="U312" t="n">
        <v>12871.977711</v>
      </c>
      <c r="V312" t="n">
        <v>-997488.464399</v>
      </c>
      <c r="W312" t="n">
        <v>58369.578627</v>
      </c>
      <c r="X312" t="n">
        <v>764649.1712</v>
      </c>
      <c r="Y312" t="n">
        <v>1503.40227</v>
      </c>
      <c r="Z312" t="n">
        <v>11832.438102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1" t="inlineStr">
        <is>
          <t>Bathy L pred</t>
        </is>
      </c>
      <c r="E313" t="n">
        <v>163.765772</v>
      </c>
      <c r="F313" t="n">
        <v>1106.358887</v>
      </c>
      <c r="G313" t="n">
        <v>1049.729226</v>
      </c>
      <c r="H313" t="n">
        <v>7084.212361</v>
      </c>
      <c r="I313" t="n">
        <v>3065.622048</v>
      </c>
      <c r="J313" t="n">
        <v>3130.312893</v>
      </c>
      <c r="K313" t="n">
        <v>2973.797249</v>
      </c>
      <c r="L313" t="n">
        <v>5058.397662</v>
      </c>
      <c r="M313" t="n">
        <v>5058.397662</v>
      </c>
      <c r="N313" t="n">
        <v>5058.397662</v>
      </c>
      <c r="O313" t="n">
        <v>2368.204623</v>
      </c>
      <c r="P313" t="n">
        <v>807.087555</v>
      </c>
      <c r="Q313" t="n">
        <v>5058.397662</v>
      </c>
      <c r="R313" t="n">
        <v>5058.397662</v>
      </c>
      <c r="S313" t="n">
        <v>2368.204623</v>
      </c>
      <c r="T313" t="n">
        <v>2368.613989</v>
      </c>
      <c r="U313" t="n">
        <v>807.087555</v>
      </c>
      <c r="V313" t="n">
        <v>-8011.455306</v>
      </c>
      <c r="W313" t="n">
        <v>2656.811608</v>
      </c>
      <c r="X313" t="n">
        <v>5385.068956</v>
      </c>
      <c r="Y313" t="n">
        <v>606.8075</v>
      </c>
      <c r="Z313" t="n">
        <v>2931.572844</v>
      </c>
    </row>
    <row r="314" ht="21" customHeight="1">
      <c r="A314" t="inlineStr">
        <is>
          <t>Centrophorus lusitanicus</t>
        </is>
      </c>
      <c r="D314" s="11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1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1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1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1" t="inlineStr">
        <is>
          <t>Sélaciens L prof</t>
        </is>
      </c>
      <c r="E318" t="n">
        <v>163.765772</v>
      </c>
      <c r="F318" t="n">
        <v>2984.356694</v>
      </c>
      <c r="G318" t="n">
        <v>2810.614697</v>
      </c>
      <c r="H318" t="n">
        <v>33755.937801</v>
      </c>
      <c r="I318" t="n">
        <v>124488.415541</v>
      </c>
      <c r="J318" t="n">
        <v>128866.935983</v>
      </c>
      <c r="K318" t="n">
        <v>64433.467991</v>
      </c>
      <c r="L318" t="n">
        <v>630806.17817</v>
      </c>
      <c r="M318" t="n">
        <v>630806.17817</v>
      </c>
      <c r="N318" t="n">
        <v>630806.17817</v>
      </c>
      <c r="O318" t="n">
        <v>51235.06282</v>
      </c>
      <c r="P318" t="n">
        <v>12871.977711</v>
      </c>
      <c r="Q318" t="n">
        <v>630806.17817</v>
      </c>
      <c r="R318" t="n">
        <v>-1411127.786749</v>
      </c>
      <c r="S318" t="n">
        <v>51235.06282</v>
      </c>
      <c r="T318" t="n">
        <v>51244.1029</v>
      </c>
      <c r="U318" t="n">
        <v>12871.977711</v>
      </c>
      <c r="V318" t="n">
        <v>-997488.464399</v>
      </c>
      <c r="W318" t="n">
        <v>58369.578627</v>
      </c>
      <c r="X318" t="n">
        <v>764649.1712</v>
      </c>
      <c r="Y318" t="n">
        <v>1503.40227</v>
      </c>
      <c r="Z318" t="n">
        <v>11832.438102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1" t="inlineStr">
        <is>
          <t>Benthos</t>
        </is>
      </c>
      <c r="E319" t="n">
        <v>163.765772</v>
      </c>
      <c r="F319" t="n">
        <v>14.225293</v>
      </c>
      <c r="G319" t="n">
        <v>13.944959</v>
      </c>
      <c r="H319" t="n">
        <v>22.648952</v>
      </c>
      <c r="I319" t="n">
        <v>39.053581</v>
      </c>
      <c r="J319" t="n">
        <v>39.053581</v>
      </c>
      <c r="K319" t="n">
        <v>28.888889</v>
      </c>
      <c r="L319" t="n">
        <v>46.572283</v>
      </c>
      <c r="M319" t="n">
        <v>46.572283</v>
      </c>
      <c r="N319" t="n">
        <v>46.572283</v>
      </c>
      <c r="O319" t="n">
        <v>43.496371</v>
      </c>
      <c r="P319" t="n">
        <v>33.04828</v>
      </c>
      <c r="Q319" t="n">
        <v>46.572283</v>
      </c>
      <c r="R319" t="n">
        <v>46.572283</v>
      </c>
      <c r="S319" t="n">
        <v>43.496371</v>
      </c>
      <c r="T319" t="n">
        <v>43.50535</v>
      </c>
      <c r="U319" t="n">
        <v>33.04828</v>
      </c>
      <c r="V319" t="n">
        <v>-381.521079</v>
      </c>
      <c r="W319" t="n">
        <v>46.817883</v>
      </c>
      <c r="X319" t="n">
        <v>48.197268</v>
      </c>
      <c r="Y319" t="n">
        <v>11.33053</v>
      </c>
      <c r="Z319" t="n">
        <v>16.922572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1" t="inlineStr">
        <is>
          <t>Côtier pel L pred</t>
        </is>
      </c>
      <c r="E320" t="n">
        <v>163.765772</v>
      </c>
      <c r="F320" t="n">
        <v>1052.557933</v>
      </c>
      <c r="G320" t="n">
        <v>999.055395</v>
      </c>
      <c r="H320" t="n">
        <v>11777.345384</v>
      </c>
      <c r="I320" t="n">
        <v>6532.702988</v>
      </c>
      <c r="J320" t="n">
        <v>7781.543468</v>
      </c>
      <c r="K320" t="n">
        <v>7457.867522</v>
      </c>
      <c r="L320" t="n">
        <v>14096.783373</v>
      </c>
      <c r="M320" t="n">
        <v>14096.783373</v>
      </c>
      <c r="N320" t="n">
        <v>14096.783373</v>
      </c>
      <c r="O320" t="n">
        <v>6109.503634</v>
      </c>
      <c r="P320" t="n">
        <v>1921.91996</v>
      </c>
      <c r="Q320" t="n">
        <v>14096.783373</v>
      </c>
      <c r="R320" t="n">
        <v>-57701.40232</v>
      </c>
      <c r="S320" t="n">
        <v>6109.503634</v>
      </c>
      <c r="T320" t="n">
        <v>6110.593726</v>
      </c>
      <c r="U320" t="n">
        <v>1921.91996</v>
      </c>
      <c r="V320" t="n">
        <v>-289768.063862</v>
      </c>
      <c r="W320" t="n">
        <v>6783.082741</v>
      </c>
      <c r="X320" t="n">
        <v>15274.190211</v>
      </c>
      <c r="Y320" t="n">
        <v>579.770625</v>
      </c>
      <c r="Z320" t="n">
        <v>4535.503078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1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1" t="inlineStr">
        <is>
          <t>Côtier pel L pred</t>
        </is>
      </c>
      <c r="E322" t="n">
        <v>163.765772</v>
      </c>
      <c r="F322" t="n">
        <v>1052.557933</v>
      </c>
      <c r="G322" t="n">
        <v>999.055395</v>
      </c>
      <c r="H322" t="n">
        <v>11777.345384</v>
      </c>
      <c r="I322" t="n">
        <v>6532.702988</v>
      </c>
      <c r="J322" t="n">
        <v>7781.543468</v>
      </c>
      <c r="K322" t="n">
        <v>7457.867522</v>
      </c>
      <c r="L322" t="n">
        <v>14096.783373</v>
      </c>
      <c r="M322" t="n">
        <v>14096.783373</v>
      </c>
      <c r="N322" t="n">
        <v>14096.783373</v>
      </c>
      <c r="O322" t="n">
        <v>6109.503634</v>
      </c>
      <c r="P322" t="n">
        <v>1921.91996</v>
      </c>
      <c r="Q322" t="n">
        <v>14096.783373</v>
      </c>
      <c r="R322" t="n">
        <v>-57701.40232</v>
      </c>
      <c r="S322" t="n">
        <v>6109.503634</v>
      </c>
      <c r="T322" t="n">
        <v>6110.593726</v>
      </c>
      <c r="U322" t="n">
        <v>1921.91996</v>
      </c>
      <c r="V322" t="n">
        <v>-289768.063862</v>
      </c>
      <c r="W322" t="n">
        <v>6783.082741</v>
      </c>
      <c r="X322" t="n">
        <v>15274.190211</v>
      </c>
      <c r="Y322" t="n">
        <v>579.770625</v>
      </c>
      <c r="Z322" t="n">
        <v>4535.503078</v>
      </c>
    </row>
    <row r="323" ht="21" customHeight="1">
      <c r="A323" t="inlineStr">
        <is>
          <t>Oblada melanurus</t>
        </is>
      </c>
      <c r="D323" s="11" t="inlineStr">
        <is>
          <t>Côtier S inv</t>
        </is>
      </c>
      <c r="E323" t="n">
        <v>163.765772</v>
      </c>
      <c r="F323" t="n">
        <v>79.510256</v>
      </c>
      <c r="G323" t="n">
        <v>76.944312</v>
      </c>
      <c r="H323" t="n">
        <v>373.150929</v>
      </c>
      <c r="I323" t="n">
        <v>228.204413</v>
      </c>
      <c r="J323" t="n">
        <v>228.808027</v>
      </c>
      <c r="K323" t="n">
        <v>222.997608</v>
      </c>
      <c r="L323" t="n">
        <v>302.43669</v>
      </c>
      <c r="M323" t="n">
        <v>302.43669</v>
      </c>
      <c r="N323" t="n">
        <v>302.43669</v>
      </c>
      <c r="O323" t="n">
        <v>244.203076</v>
      </c>
      <c r="P323" t="n">
        <v>127.641231</v>
      </c>
      <c r="Q323" t="n">
        <v>302.43669</v>
      </c>
      <c r="R323" t="n">
        <v>302.43669</v>
      </c>
      <c r="S323" t="n">
        <v>244.203076</v>
      </c>
      <c r="T323" t="n">
        <v>244.24861</v>
      </c>
      <c r="U323" t="n">
        <v>127.641231</v>
      </c>
      <c r="V323" t="n">
        <v>-1347.82362</v>
      </c>
      <c r="W323" t="n">
        <v>265.990648</v>
      </c>
      <c r="X323" t="n">
        <v>316.455773</v>
      </c>
      <c r="Y323" t="n">
        <v>54.647132</v>
      </c>
      <c r="Z323" t="n">
        <v>203.025564</v>
      </c>
    </row>
    <row r="324" ht="21" customHeight="1">
      <c r="A324" t="inlineStr">
        <is>
          <t>Carcharhiniformes</t>
        </is>
      </c>
      <c r="D324" s="11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1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1" t="inlineStr">
        <is>
          <t>Céphalopodes | Crustacés | Benthos</t>
        </is>
      </c>
      <c r="E326" t="n">
        <v>163.765772</v>
      </c>
      <c r="F326" t="n">
        <v>550.556954</v>
      </c>
      <c r="G326" t="n">
        <v>523.977991</v>
      </c>
      <c r="H326" t="n">
        <v>1920.823008</v>
      </c>
      <c r="I326" t="n">
        <v>526.698305</v>
      </c>
      <c r="J326" t="n">
        <v>526.698305</v>
      </c>
      <c r="K326" t="n">
        <v>499.97711</v>
      </c>
      <c r="L326" t="n">
        <v>790.462172</v>
      </c>
      <c r="M326" t="n">
        <v>790.462172</v>
      </c>
      <c r="N326" t="n">
        <v>790.462172</v>
      </c>
      <c r="O326" t="n">
        <v>441.386719</v>
      </c>
      <c r="P326" t="n">
        <v>189.239196</v>
      </c>
      <c r="Q326" t="n">
        <v>790.462172</v>
      </c>
      <c r="R326" t="n">
        <v>790.462172</v>
      </c>
      <c r="S326" t="n">
        <v>441.386719</v>
      </c>
      <c r="T326" t="n">
        <v>441.46532</v>
      </c>
      <c r="U326" t="n">
        <v>189.239196</v>
      </c>
      <c r="V326" t="n">
        <v>-1953.83688</v>
      </c>
      <c r="W326" t="n">
        <v>484.839903</v>
      </c>
      <c r="X326" t="n">
        <v>841.00092</v>
      </c>
      <c r="Y326" t="n">
        <v>313.00803</v>
      </c>
      <c r="Z326" t="n">
        <v>924.919545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1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1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1" t="inlineStr">
        <is>
          <t>Dem M pred</t>
        </is>
      </c>
      <c r="E329" t="n">
        <v>163.765772</v>
      </c>
      <c r="F329" t="n">
        <v>865.196085</v>
      </c>
      <c r="G329" t="n">
        <v>822.424992</v>
      </c>
      <c r="H329" t="n">
        <v>5615.443398</v>
      </c>
      <c r="I329" t="n">
        <v>2545.974662</v>
      </c>
      <c r="J329" t="n">
        <v>2548.997979</v>
      </c>
      <c r="K329" t="n">
        <v>2421.54808</v>
      </c>
      <c r="L329" t="n">
        <v>3524.148314</v>
      </c>
      <c r="M329" t="n">
        <v>3524.148314</v>
      </c>
      <c r="N329" t="n">
        <v>3524.148314</v>
      </c>
      <c r="O329" t="n">
        <v>2342.099562</v>
      </c>
      <c r="P329" t="n">
        <v>966.982842</v>
      </c>
      <c r="Q329" t="n">
        <v>3524.148314</v>
      </c>
      <c r="R329" t="n">
        <v>3524.148314</v>
      </c>
      <c r="S329" t="n">
        <v>2342.099562</v>
      </c>
      <c r="T329" t="n">
        <v>2342.538543</v>
      </c>
      <c r="U329" t="n">
        <v>966.982842</v>
      </c>
      <c r="V329" t="n">
        <v>-10411.689834</v>
      </c>
      <c r="W329" t="n">
        <v>2575.180215</v>
      </c>
      <c r="X329" t="n">
        <v>3752.018969</v>
      </c>
      <c r="Y329" t="n">
        <v>484.640876</v>
      </c>
      <c r="Z329" t="n">
        <v>2412.043438</v>
      </c>
    </row>
    <row r="330" ht="21" customHeight="1">
      <c r="A330" t="inlineStr">
        <is>
          <t>Rachycentridae</t>
        </is>
      </c>
      <c r="D330" s="11" t="inlineStr">
        <is>
          <t>Côtier pel L pred</t>
        </is>
      </c>
      <c r="E330" t="n">
        <v>163.765772</v>
      </c>
      <c r="F330" t="n">
        <v>1052.557933</v>
      </c>
      <c r="G330" t="n">
        <v>999.055395</v>
      </c>
      <c r="H330" t="n">
        <v>11777.345384</v>
      </c>
      <c r="I330" t="n">
        <v>6532.702988</v>
      </c>
      <c r="J330" t="n">
        <v>7781.543468</v>
      </c>
      <c r="K330" t="n">
        <v>7457.867522</v>
      </c>
      <c r="L330" t="n">
        <v>14096.783373</v>
      </c>
      <c r="M330" t="n">
        <v>14096.783373</v>
      </c>
      <c r="N330" t="n">
        <v>14096.783373</v>
      </c>
      <c r="O330" t="n">
        <v>6109.503634</v>
      </c>
      <c r="P330" t="n">
        <v>1921.91996</v>
      </c>
      <c r="Q330" t="n">
        <v>14096.783373</v>
      </c>
      <c r="R330" t="n">
        <v>-57701.40232</v>
      </c>
      <c r="S330" t="n">
        <v>6109.503634</v>
      </c>
      <c r="T330" t="n">
        <v>6110.593726</v>
      </c>
      <c r="U330" t="n">
        <v>1921.91996</v>
      </c>
      <c r="V330" t="n">
        <v>-289768.063862</v>
      </c>
      <c r="W330" t="n">
        <v>6783.082741</v>
      </c>
      <c r="X330" t="n">
        <v>15274.190211</v>
      </c>
      <c r="Y330" t="n">
        <v>579.770625</v>
      </c>
      <c r="Z330" t="n">
        <v>4535.503078</v>
      </c>
    </row>
    <row r="331" ht="21" customHeight="1">
      <c r="A331" t="inlineStr">
        <is>
          <t>Lamnidae</t>
        </is>
      </c>
      <c r="D331" s="11" t="inlineStr">
        <is>
          <t>Sélaciens L prof</t>
        </is>
      </c>
      <c r="E331" t="n">
        <v>163.765772</v>
      </c>
      <c r="F331" t="n">
        <v>2984.356694</v>
      </c>
      <c r="G331" t="n">
        <v>2810.614697</v>
      </c>
      <c r="H331" t="n">
        <v>33755.937801</v>
      </c>
      <c r="I331" t="n">
        <v>124488.415541</v>
      </c>
      <c r="J331" t="n">
        <v>128866.935983</v>
      </c>
      <c r="K331" t="n">
        <v>64433.467991</v>
      </c>
      <c r="L331" t="n">
        <v>630806.17817</v>
      </c>
      <c r="M331" t="n">
        <v>630806.17817</v>
      </c>
      <c r="N331" t="n">
        <v>630806.17817</v>
      </c>
      <c r="O331" t="n">
        <v>51235.06282</v>
      </c>
      <c r="P331" t="n">
        <v>12871.977711</v>
      </c>
      <c r="Q331" t="n">
        <v>630806.17817</v>
      </c>
      <c r="R331" t="n">
        <v>-1411127.786749</v>
      </c>
      <c r="S331" t="n">
        <v>51235.06282</v>
      </c>
      <c r="T331" t="n">
        <v>51244.1029</v>
      </c>
      <c r="U331" t="n">
        <v>12871.977711</v>
      </c>
      <c r="V331" t="n">
        <v>-997488.464399</v>
      </c>
      <c r="W331" t="n">
        <v>58369.578627</v>
      </c>
      <c r="X331" t="n">
        <v>764649.1712</v>
      </c>
      <c r="Y331" t="n">
        <v>1503.40227</v>
      </c>
      <c r="Z331" t="n">
        <v>11832.438102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1" t="inlineStr">
        <is>
          <t>Thons mineurs</t>
        </is>
      </c>
      <c r="E332" t="n">
        <v>163.765772</v>
      </c>
      <c r="F332" t="n">
        <v>1395.634937</v>
      </c>
      <c r="G332" t="n">
        <v>1321.894731</v>
      </c>
      <c r="H332" t="n">
        <v>9241.370943</v>
      </c>
      <c r="I332" t="n">
        <v>2965.064174</v>
      </c>
      <c r="J332" t="n">
        <v>2997.796257</v>
      </c>
      <c r="K332" t="n">
        <v>1727.300825</v>
      </c>
      <c r="L332" t="n">
        <v>4278.6736</v>
      </c>
      <c r="M332" t="n">
        <v>4278.6736</v>
      </c>
      <c r="N332" t="n">
        <v>4278.6736</v>
      </c>
      <c r="O332" t="n">
        <v>1413.59346</v>
      </c>
      <c r="P332" t="n">
        <v>516.918231</v>
      </c>
      <c r="Q332" t="n">
        <v>4278.6736</v>
      </c>
      <c r="R332" t="n">
        <v>4278.6736</v>
      </c>
      <c r="S332" t="n">
        <v>1413.59346</v>
      </c>
      <c r="T332" t="n">
        <v>1413.838425</v>
      </c>
      <c r="U332" t="n">
        <v>516.918231</v>
      </c>
      <c r="V332" t="n">
        <v>-5160.738295</v>
      </c>
      <c r="W332" t="n">
        <v>1554.137513</v>
      </c>
      <c r="X332" t="n">
        <v>4550.070821</v>
      </c>
      <c r="Y332" t="n">
        <v>750.381718</v>
      </c>
      <c r="Z332" t="n">
        <v>3860.200613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1" t="inlineStr">
        <is>
          <t>Sélaciens L prof</t>
        </is>
      </c>
      <c r="E333" t="n">
        <v>163.765772</v>
      </c>
      <c r="F333" t="n">
        <v>2984.356694</v>
      </c>
      <c r="G333" t="n">
        <v>2810.614697</v>
      </c>
      <c r="H333" t="n">
        <v>33755.937801</v>
      </c>
      <c r="I333" t="n">
        <v>124488.415541</v>
      </c>
      <c r="J333" t="n">
        <v>128866.935983</v>
      </c>
      <c r="K333" t="n">
        <v>64433.467991</v>
      </c>
      <c r="L333" t="n">
        <v>630806.17817</v>
      </c>
      <c r="M333" t="n">
        <v>630806.17817</v>
      </c>
      <c r="N333" t="n">
        <v>630806.17817</v>
      </c>
      <c r="O333" t="n">
        <v>51235.06282</v>
      </c>
      <c r="P333" t="n">
        <v>12871.977711</v>
      </c>
      <c r="Q333" t="n">
        <v>630806.17817</v>
      </c>
      <c r="R333" t="n">
        <v>-1411127.786749</v>
      </c>
      <c r="S333" t="n">
        <v>51235.06282</v>
      </c>
      <c r="T333" t="n">
        <v>51244.1029</v>
      </c>
      <c r="U333" t="n">
        <v>12871.977711</v>
      </c>
      <c r="V333" t="n">
        <v>-997488.464399</v>
      </c>
      <c r="W333" t="n">
        <v>58369.578627</v>
      </c>
      <c r="X333" t="n">
        <v>764649.1712</v>
      </c>
      <c r="Y333" t="n">
        <v>1503.40227</v>
      </c>
      <c r="Z333" t="n">
        <v>11832.438102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1" t="inlineStr">
        <is>
          <t>Bathy L pred</t>
        </is>
      </c>
      <c r="E334" t="n">
        <v>163.765772</v>
      </c>
      <c r="F334" t="n">
        <v>1106.358887</v>
      </c>
      <c r="G334" t="n">
        <v>1049.729226</v>
      </c>
      <c r="H334" t="n">
        <v>7084.212361</v>
      </c>
      <c r="I334" t="n">
        <v>3065.622048</v>
      </c>
      <c r="J334" t="n">
        <v>3130.312893</v>
      </c>
      <c r="K334" t="n">
        <v>2973.797249</v>
      </c>
      <c r="L334" t="n">
        <v>5058.397662</v>
      </c>
      <c r="M334" t="n">
        <v>5058.397662</v>
      </c>
      <c r="N334" t="n">
        <v>5058.397662</v>
      </c>
      <c r="O334" t="n">
        <v>2368.204623</v>
      </c>
      <c r="P334" t="n">
        <v>807.087555</v>
      </c>
      <c r="Q334" t="n">
        <v>5058.397662</v>
      </c>
      <c r="R334" t="n">
        <v>5058.397662</v>
      </c>
      <c r="S334" t="n">
        <v>2368.204623</v>
      </c>
      <c r="T334" t="n">
        <v>2368.613989</v>
      </c>
      <c r="U334" t="n">
        <v>807.087555</v>
      </c>
      <c r="V334" t="n">
        <v>-8011.455306</v>
      </c>
      <c r="W334" t="n">
        <v>2656.811608</v>
      </c>
      <c r="X334" t="n">
        <v>5385.068956</v>
      </c>
      <c r="Y334" t="n">
        <v>606.8075</v>
      </c>
      <c r="Z334" t="n">
        <v>2931.572844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1" t="inlineStr">
        <is>
          <t>Bathy L pred</t>
        </is>
      </c>
      <c r="E335" t="n">
        <v>163.765772</v>
      </c>
      <c r="F335" t="n">
        <v>1106.358887</v>
      </c>
      <c r="G335" t="n">
        <v>1049.729226</v>
      </c>
      <c r="H335" t="n">
        <v>7084.212361</v>
      </c>
      <c r="I335" t="n">
        <v>3065.622048</v>
      </c>
      <c r="J335" t="n">
        <v>3130.312893</v>
      </c>
      <c r="K335" t="n">
        <v>2973.797249</v>
      </c>
      <c r="L335" t="n">
        <v>5058.397662</v>
      </c>
      <c r="M335" t="n">
        <v>5058.397662</v>
      </c>
      <c r="N335" t="n">
        <v>5058.397662</v>
      </c>
      <c r="O335" t="n">
        <v>2368.204623</v>
      </c>
      <c r="P335" t="n">
        <v>807.087555</v>
      </c>
      <c r="Q335" t="n">
        <v>5058.397662</v>
      </c>
      <c r="R335" t="n">
        <v>5058.397662</v>
      </c>
      <c r="S335" t="n">
        <v>2368.204623</v>
      </c>
      <c r="T335" t="n">
        <v>2368.613989</v>
      </c>
      <c r="U335" t="n">
        <v>807.087555</v>
      </c>
      <c r="V335" t="n">
        <v>-8011.455306</v>
      </c>
      <c r="W335" t="n">
        <v>2656.811608</v>
      </c>
      <c r="X335" t="n">
        <v>5385.068956</v>
      </c>
      <c r="Y335" t="n">
        <v>606.8075</v>
      </c>
      <c r="Z335" t="n">
        <v>2931.572844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1" t="inlineStr">
        <is>
          <t>Dem M pred</t>
        </is>
      </c>
      <c r="E336" t="n">
        <v>163.765772</v>
      </c>
      <c r="F336" t="n">
        <v>865.196085</v>
      </c>
      <c r="G336" t="n">
        <v>822.424992</v>
      </c>
      <c r="H336" t="n">
        <v>5615.443398</v>
      </c>
      <c r="I336" t="n">
        <v>2545.974662</v>
      </c>
      <c r="J336" t="n">
        <v>2548.997979</v>
      </c>
      <c r="K336" t="n">
        <v>2421.54808</v>
      </c>
      <c r="L336" t="n">
        <v>3524.148314</v>
      </c>
      <c r="M336" t="n">
        <v>3524.148314</v>
      </c>
      <c r="N336" t="n">
        <v>3524.148314</v>
      </c>
      <c r="O336" t="n">
        <v>2342.099562</v>
      </c>
      <c r="P336" t="n">
        <v>966.982842</v>
      </c>
      <c r="Q336" t="n">
        <v>3524.148314</v>
      </c>
      <c r="R336" t="n">
        <v>3524.148314</v>
      </c>
      <c r="S336" t="n">
        <v>2342.099562</v>
      </c>
      <c r="T336" t="n">
        <v>2342.538543</v>
      </c>
      <c r="U336" t="n">
        <v>966.982842</v>
      </c>
      <c r="V336" t="n">
        <v>-10411.689834</v>
      </c>
      <c r="W336" t="n">
        <v>2575.180215</v>
      </c>
      <c r="X336" t="n">
        <v>3752.018969</v>
      </c>
      <c r="Y336" t="n">
        <v>484.640876</v>
      </c>
      <c r="Z336" t="n">
        <v>2412.043438</v>
      </c>
    </row>
    <row r="337" ht="21" customHeight="1">
      <c r="A337" t="inlineStr">
        <is>
          <t>Sebastidae</t>
        </is>
      </c>
      <c r="D337" s="11" t="inlineStr">
        <is>
          <t>Bathy L pred</t>
        </is>
      </c>
      <c r="E337" t="n">
        <v>163.765772</v>
      </c>
      <c r="F337" t="n">
        <v>1106.358887</v>
      </c>
      <c r="G337" t="n">
        <v>1049.729226</v>
      </c>
      <c r="H337" t="n">
        <v>7084.212361</v>
      </c>
      <c r="I337" t="n">
        <v>3065.622048</v>
      </c>
      <c r="J337" t="n">
        <v>3130.312893</v>
      </c>
      <c r="K337" t="n">
        <v>2973.797249</v>
      </c>
      <c r="L337" t="n">
        <v>5058.397662</v>
      </c>
      <c r="M337" t="n">
        <v>5058.397662</v>
      </c>
      <c r="N337" t="n">
        <v>5058.397662</v>
      </c>
      <c r="O337" t="n">
        <v>2368.204623</v>
      </c>
      <c r="P337" t="n">
        <v>807.087555</v>
      </c>
      <c r="Q337" t="n">
        <v>5058.397662</v>
      </c>
      <c r="R337" t="n">
        <v>5058.397662</v>
      </c>
      <c r="S337" t="n">
        <v>2368.204623</v>
      </c>
      <c r="T337" t="n">
        <v>2368.613989</v>
      </c>
      <c r="U337" t="n">
        <v>807.087555</v>
      </c>
      <c r="V337" t="n">
        <v>-8011.455306</v>
      </c>
      <c r="W337" t="n">
        <v>2656.811608</v>
      </c>
      <c r="X337" t="n">
        <v>5385.068956</v>
      </c>
      <c r="Y337" t="n">
        <v>606.8075</v>
      </c>
      <c r="Z337" t="n">
        <v>2931.572844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1" t="inlineStr">
        <is>
          <t>Dem M pred</t>
        </is>
      </c>
      <c r="E338" t="n">
        <v>163.765772</v>
      </c>
      <c r="F338" t="n">
        <v>865.196085</v>
      </c>
      <c r="G338" t="n">
        <v>822.424992</v>
      </c>
      <c r="H338" t="n">
        <v>5615.443398</v>
      </c>
      <c r="I338" t="n">
        <v>2545.974662</v>
      </c>
      <c r="J338" t="n">
        <v>2548.997979</v>
      </c>
      <c r="K338" t="n">
        <v>2421.54808</v>
      </c>
      <c r="L338" t="n">
        <v>3524.148314</v>
      </c>
      <c r="M338" t="n">
        <v>3524.148314</v>
      </c>
      <c r="N338" t="n">
        <v>3524.148314</v>
      </c>
      <c r="O338" t="n">
        <v>2342.099562</v>
      </c>
      <c r="P338" t="n">
        <v>966.982842</v>
      </c>
      <c r="Q338" t="n">
        <v>3524.148314</v>
      </c>
      <c r="R338" t="n">
        <v>3524.148314</v>
      </c>
      <c r="S338" t="n">
        <v>2342.099562</v>
      </c>
      <c r="T338" t="n">
        <v>2342.538543</v>
      </c>
      <c r="U338" t="n">
        <v>966.982842</v>
      </c>
      <c r="V338" t="n">
        <v>-10411.689834</v>
      </c>
      <c r="W338" t="n">
        <v>2575.180215</v>
      </c>
      <c r="X338" t="n">
        <v>3752.018969</v>
      </c>
      <c r="Y338" t="n">
        <v>484.640876</v>
      </c>
      <c r="Z338" t="n">
        <v>2412.043438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1" t="inlineStr">
        <is>
          <t>Côtier M inv</t>
        </is>
      </c>
      <c r="E339" t="n">
        <v>163.765772</v>
      </c>
      <c r="F339" t="n">
        <v>170.837609</v>
      </c>
      <c r="G339" t="n">
        <v>164.379174</v>
      </c>
      <c r="H339" t="n">
        <v>573.174129</v>
      </c>
      <c r="I339" t="n">
        <v>332.812451</v>
      </c>
      <c r="J339" t="n">
        <v>332.812451</v>
      </c>
      <c r="K339" t="n">
        <v>331.190423</v>
      </c>
      <c r="L339" t="n">
        <v>425.732264</v>
      </c>
      <c r="M339" t="n">
        <v>425.732264</v>
      </c>
      <c r="N339" t="n">
        <v>425.732264</v>
      </c>
      <c r="O339" t="n">
        <v>368.426453</v>
      </c>
      <c r="P339" t="n">
        <v>198.243136</v>
      </c>
      <c r="Q339" t="n">
        <v>425.732264</v>
      </c>
      <c r="R339" t="n">
        <v>425.732264</v>
      </c>
      <c r="S339" t="n">
        <v>368.426453</v>
      </c>
      <c r="T339" t="n">
        <v>368.498294</v>
      </c>
      <c r="U339" t="n">
        <v>198.243136</v>
      </c>
      <c r="V339" t="n">
        <v>-2197.047861</v>
      </c>
      <c r="W339" t="n">
        <v>402.613215</v>
      </c>
      <c r="X339" t="n">
        <v>447.451967</v>
      </c>
      <c r="Y339" t="n">
        <v>109.967259</v>
      </c>
      <c r="Z339" t="n">
        <v>314.242463</v>
      </c>
    </row>
    <row r="340" ht="21" customHeight="1">
      <c r="A340" t="inlineStr">
        <is>
          <t>Deania calceus</t>
        </is>
      </c>
      <c r="D340" s="11" t="inlineStr">
        <is>
          <t>Unresolved</t>
        </is>
      </c>
    </row>
    <row r="341" ht="21" customHeight="1">
      <c r="A341" t="inlineStr">
        <is>
          <t>Lamniformes</t>
        </is>
      </c>
      <c r="D341" s="11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1" t="inlineStr">
        <is>
          <t>Côtier M inv</t>
        </is>
      </c>
      <c r="E342" t="n">
        <v>163.765772</v>
      </c>
      <c r="F342" t="n">
        <v>170.837609</v>
      </c>
      <c r="G342" t="n">
        <v>164.379174</v>
      </c>
      <c r="H342" t="n">
        <v>573.174129</v>
      </c>
      <c r="I342" t="n">
        <v>332.812451</v>
      </c>
      <c r="J342" t="n">
        <v>332.812451</v>
      </c>
      <c r="K342" t="n">
        <v>331.190423</v>
      </c>
      <c r="L342" t="n">
        <v>425.732264</v>
      </c>
      <c r="M342" t="n">
        <v>425.732264</v>
      </c>
      <c r="N342" t="n">
        <v>425.732264</v>
      </c>
      <c r="O342" t="n">
        <v>368.426453</v>
      </c>
      <c r="P342" t="n">
        <v>198.243136</v>
      </c>
      <c r="Q342" t="n">
        <v>425.732264</v>
      </c>
      <c r="R342" t="n">
        <v>425.732264</v>
      </c>
      <c r="S342" t="n">
        <v>368.426453</v>
      </c>
      <c r="T342" t="n">
        <v>368.498294</v>
      </c>
      <c r="U342" t="n">
        <v>198.243136</v>
      </c>
      <c r="V342" t="n">
        <v>-2197.047861</v>
      </c>
      <c r="W342" t="n">
        <v>402.613215</v>
      </c>
      <c r="X342" t="n">
        <v>447.451967</v>
      </c>
      <c r="Y342" t="n">
        <v>109.967259</v>
      </c>
      <c r="Z342" t="n">
        <v>314.242463</v>
      </c>
    </row>
    <row r="343" ht="21" customHeight="1">
      <c r="A343" t="inlineStr">
        <is>
          <t>Carcharhinus longimanus</t>
        </is>
      </c>
      <c r="D343" s="11" t="inlineStr">
        <is>
          <t>Sélaciens L prof</t>
        </is>
      </c>
      <c r="E343" t="n">
        <v>163.765772</v>
      </c>
      <c r="F343" t="n">
        <v>2984.356694</v>
      </c>
      <c r="G343" t="n">
        <v>2810.614697</v>
      </c>
      <c r="H343" t="n">
        <v>33755.937801</v>
      </c>
      <c r="I343" t="n">
        <v>124488.415541</v>
      </c>
      <c r="J343" t="n">
        <v>128866.935983</v>
      </c>
      <c r="K343" t="n">
        <v>64433.467991</v>
      </c>
      <c r="L343" t="n">
        <v>630806.17817</v>
      </c>
      <c r="M343" t="n">
        <v>630806.17817</v>
      </c>
      <c r="N343" t="n">
        <v>630806.17817</v>
      </c>
      <c r="O343" t="n">
        <v>51235.06282</v>
      </c>
      <c r="P343" t="n">
        <v>12871.977711</v>
      </c>
      <c r="Q343" t="n">
        <v>630806.17817</v>
      </c>
      <c r="R343" t="n">
        <v>-1411127.786749</v>
      </c>
      <c r="S343" t="n">
        <v>51235.06282</v>
      </c>
      <c r="T343" t="n">
        <v>51244.1029</v>
      </c>
      <c r="U343" t="n">
        <v>12871.977711</v>
      </c>
      <c r="V343" t="n">
        <v>-997488.464399</v>
      </c>
      <c r="W343" t="n">
        <v>58369.578627</v>
      </c>
      <c r="X343" t="n">
        <v>764649.1712</v>
      </c>
      <c r="Y343" t="n">
        <v>1503.40227</v>
      </c>
      <c r="Z343" t="n">
        <v>11832.438102</v>
      </c>
    </row>
    <row r="344" ht="21" customHeight="1">
      <c r="A344" t="inlineStr">
        <is>
          <t>Centroscyllium fabricii</t>
        </is>
      </c>
      <c r="D344" s="11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1" t="inlineStr">
        <is>
          <t>Mulets</t>
        </is>
      </c>
      <c r="E345" t="n">
        <v>163.765772</v>
      </c>
      <c r="F345" t="n">
        <v>20.76151</v>
      </c>
      <c r="G345" t="n">
        <v>20.294765</v>
      </c>
      <c r="H345" t="n">
        <v>104.055417</v>
      </c>
      <c r="I345" t="n">
        <v>84.96705300000001</v>
      </c>
      <c r="J345" t="n">
        <v>84.96705300000001</v>
      </c>
      <c r="K345" t="n">
        <v>80.7187</v>
      </c>
      <c r="L345" t="n">
        <v>87.916766</v>
      </c>
      <c r="M345" t="n">
        <v>87.916766</v>
      </c>
      <c r="N345" t="n">
        <v>87.916766</v>
      </c>
      <c r="O345" t="n">
        <v>58.81521</v>
      </c>
      <c r="P345" t="n">
        <v>32.075058</v>
      </c>
      <c r="Q345" t="n">
        <v>87.916766</v>
      </c>
      <c r="R345" t="n">
        <v>87.916766</v>
      </c>
      <c r="S345" t="n">
        <v>58.81521</v>
      </c>
      <c r="T345" t="n">
        <v>58.820906</v>
      </c>
      <c r="U345" t="n">
        <v>32.075058</v>
      </c>
      <c r="V345" t="n">
        <v>-183.117525</v>
      </c>
      <c r="W345" t="n">
        <v>61.214848</v>
      </c>
      <c r="X345" t="n">
        <v>89.985946</v>
      </c>
      <c r="Y345" t="n">
        <v>16.009476</v>
      </c>
      <c r="Z345" t="n">
        <v>63.984768</v>
      </c>
    </row>
    <row r="346" ht="21" customHeight="1">
      <c r="A346" t="inlineStr">
        <is>
          <t>Alepisaurus ferox</t>
        </is>
      </c>
      <c r="D346" s="11" t="inlineStr">
        <is>
          <t>Unresolved</t>
        </is>
      </c>
    </row>
    <row r="347" ht="21" customHeight="1">
      <c r="A347" t="inlineStr">
        <is>
          <t>Dicentrarchus</t>
        </is>
      </c>
      <c r="D347" s="11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1" t="inlineStr">
        <is>
          <t>Unresolved</t>
        </is>
      </c>
    </row>
    <row r="349" ht="21" customHeight="1">
      <c r="A349" t="inlineStr">
        <is>
          <t>Aphanopus intermedius</t>
        </is>
      </c>
      <c r="D349" s="11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1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1" t="inlineStr">
        <is>
          <t>Dem M pred</t>
        </is>
      </c>
      <c r="E351" t="n">
        <v>163.765772</v>
      </c>
      <c r="F351" t="n">
        <v>865.196085</v>
      </c>
      <c r="G351" t="n">
        <v>822.424992</v>
      </c>
      <c r="H351" t="n">
        <v>5615.443398</v>
      </c>
      <c r="I351" t="n">
        <v>2545.974662</v>
      </c>
      <c r="J351" t="n">
        <v>2548.997979</v>
      </c>
      <c r="K351" t="n">
        <v>2421.54808</v>
      </c>
      <c r="L351" t="n">
        <v>3524.148314</v>
      </c>
      <c r="M351" t="n">
        <v>3524.148314</v>
      </c>
      <c r="N351" t="n">
        <v>3524.148314</v>
      </c>
      <c r="O351" t="n">
        <v>2342.099562</v>
      </c>
      <c r="P351" t="n">
        <v>966.982842</v>
      </c>
      <c r="Q351" t="n">
        <v>3524.148314</v>
      </c>
      <c r="R351" t="n">
        <v>3524.148314</v>
      </c>
      <c r="S351" t="n">
        <v>2342.099562</v>
      </c>
      <c r="T351" t="n">
        <v>2342.538543</v>
      </c>
      <c r="U351" t="n">
        <v>966.982842</v>
      </c>
      <c r="V351" t="n">
        <v>-10411.689834</v>
      </c>
      <c r="W351" t="n">
        <v>2575.180215</v>
      </c>
      <c r="X351" t="n">
        <v>3752.018969</v>
      </c>
      <c r="Y351" t="n">
        <v>484.640876</v>
      </c>
      <c r="Z351" t="n">
        <v>2412.043438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1" t="inlineStr">
        <is>
          <t>Côtier L pred</t>
        </is>
      </c>
      <c r="E352" t="n">
        <v>163.765772</v>
      </c>
      <c r="F352" t="n">
        <v>834.792702</v>
      </c>
      <c r="G352" t="n">
        <v>793.737434</v>
      </c>
      <c r="H352" t="n">
        <v>7076.924212</v>
      </c>
      <c r="I352" t="n">
        <v>5090.678261</v>
      </c>
      <c r="J352" t="n">
        <v>9568.277077999999</v>
      </c>
      <c r="K352" t="n">
        <v>8272.898352</v>
      </c>
      <c r="L352" t="n">
        <v>19279.552919</v>
      </c>
      <c r="M352" t="n">
        <v>19279.552919</v>
      </c>
      <c r="N352" t="n">
        <v>19279.552919</v>
      </c>
      <c r="O352" t="n">
        <v>6360.643117</v>
      </c>
      <c r="P352" t="n">
        <v>2029.258233</v>
      </c>
      <c r="Q352" t="n">
        <v>19279.552919</v>
      </c>
      <c r="R352" t="n">
        <v>-84755.37547899999</v>
      </c>
      <c r="S352" t="n">
        <v>6360.643117</v>
      </c>
      <c r="T352" t="n">
        <v>6361.79434</v>
      </c>
      <c r="U352" t="n">
        <v>2029.258233</v>
      </c>
      <c r="V352" t="n">
        <v>-469150.656344</v>
      </c>
      <c r="W352" t="n">
        <v>6996.073117</v>
      </c>
      <c r="X352" t="n">
        <v>20789.961322</v>
      </c>
      <c r="Y352" t="n">
        <v>469.046047</v>
      </c>
      <c r="Z352" t="n">
        <v>2908.693588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1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1" t="inlineStr">
        <is>
          <t>Unresolved</t>
        </is>
      </c>
    </row>
    <row r="355" ht="36" customHeight="1">
      <c r="A355" t="inlineStr">
        <is>
          <t>Squalus</t>
        </is>
      </c>
      <c r="D355" s="11" t="inlineStr">
        <is>
          <t>Sélaciens L prof | Sélaciens M prof</t>
        </is>
      </c>
      <c r="E355" t="n">
        <v>163.765772</v>
      </c>
      <c r="F355" t="n">
        <v>2943.265798</v>
      </c>
      <c r="G355" t="n">
        <v>2772.19544</v>
      </c>
      <c r="H355" t="n">
        <v>30340.285119</v>
      </c>
      <c r="I355" t="n">
        <v>106442.919509</v>
      </c>
      <c r="J355" t="n">
        <v>110084.878099</v>
      </c>
      <c r="K355" t="n">
        <v>55042.439049</v>
      </c>
      <c r="L355" t="n">
        <v>519043.253135</v>
      </c>
      <c r="M355" t="n">
        <v>519043.253135</v>
      </c>
      <c r="N355" t="n">
        <v>519043.253135</v>
      </c>
      <c r="O355" t="n">
        <v>43711.018547</v>
      </c>
      <c r="P355" t="n">
        <v>11190.496517</v>
      </c>
      <c r="Q355" t="n">
        <v>519043.253135</v>
      </c>
      <c r="R355" t="n">
        <v>-1134362.766943</v>
      </c>
      <c r="S355" t="n">
        <v>43711.018547</v>
      </c>
      <c r="T355" t="n">
        <v>43718.735429</v>
      </c>
      <c r="U355" t="n">
        <v>11190.496517</v>
      </c>
      <c r="V355" t="n">
        <v>-815589.494598</v>
      </c>
      <c r="W355" t="n">
        <v>49789.922446</v>
      </c>
      <c r="X355" t="n">
        <v>628099.446156</v>
      </c>
      <c r="Y355" t="n">
        <v>1484.415879</v>
      </c>
      <c r="Z355" t="n">
        <v>10771.910501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1" t="inlineStr">
        <is>
          <t>Unresolved</t>
        </is>
      </c>
    </row>
    <row r="357" ht="21" customHeight="1">
      <c r="A357" t="inlineStr">
        <is>
          <t>Geryon</t>
        </is>
      </c>
      <c r="D357" s="11" t="inlineStr">
        <is>
          <t>Crustacés</t>
        </is>
      </c>
      <c r="E357" t="n">
        <v>163.765772</v>
      </c>
      <c r="F357" t="n">
        <v>79.64922</v>
      </c>
      <c r="G357" t="n">
        <v>77.077782</v>
      </c>
      <c r="H357" t="n">
        <v>199.420396</v>
      </c>
      <c r="I357" t="n">
        <v>94.919134</v>
      </c>
      <c r="J357" t="n">
        <v>94.919134</v>
      </c>
      <c r="K357" t="n">
        <v>90.173177</v>
      </c>
      <c r="L357" t="n">
        <v>135.651174</v>
      </c>
      <c r="M357" t="n">
        <v>135.651174</v>
      </c>
      <c r="N357" t="n">
        <v>135.651174</v>
      </c>
      <c r="O357" t="n">
        <v>112.097094</v>
      </c>
      <c r="P357" t="n">
        <v>63.65447</v>
      </c>
      <c r="Q357" t="n">
        <v>135.651174</v>
      </c>
      <c r="R357" t="n">
        <v>135.651174</v>
      </c>
      <c r="S357" t="n">
        <v>112.097094</v>
      </c>
      <c r="T357" t="n">
        <v>112.118405</v>
      </c>
      <c r="U357" t="n">
        <v>63.65447</v>
      </c>
      <c r="V357" t="n">
        <v>-691.708697</v>
      </c>
      <c r="W357" t="n">
        <v>122.926325</v>
      </c>
      <c r="X357" t="n">
        <v>140.897505</v>
      </c>
      <c r="Y357" t="n">
        <v>54.73445</v>
      </c>
      <c r="Z357" t="n">
        <v>122.753568</v>
      </c>
    </row>
    <row r="358" ht="21" customHeight="1">
      <c r="A358" t="inlineStr">
        <is>
          <t>Lampris guttatus</t>
        </is>
      </c>
      <c r="D358" s="11" t="inlineStr">
        <is>
          <t>Unresolved</t>
        </is>
      </c>
    </row>
    <row r="359" ht="21" customHeight="1">
      <c r="A359" t="inlineStr">
        <is>
          <t>Carcharias taurus</t>
        </is>
      </c>
      <c r="D359" s="11" t="inlineStr">
        <is>
          <t>Unresolved</t>
        </is>
      </c>
    </row>
    <row r="360" ht="21" customHeight="1">
      <c r="A360" t="inlineStr">
        <is>
          <t>Chimaeriformes</t>
        </is>
      </c>
      <c r="D360" s="11" t="inlineStr">
        <is>
          <t>Unresolved</t>
        </is>
      </c>
    </row>
    <row r="361" ht="21" customHeight="1">
      <c r="A361" t="inlineStr">
        <is>
          <t>Scyliorhinidae</t>
        </is>
      </c>
      <c r="D361" s="11" t="inlineStr">
        <is>
          <t>Unresolved</t>
        </is>
      </c>
    </row>
    <row r="362" ht="21" customHeight="1">
      <c r="A362" t="inlineStr">
        <is>
          <t>Epigonus telescopus</t>
        </is>
      </c>
      <c r="D362" s="11" t="inlineStr">
        <is>
          <t>Bathy L pred</t>
        </is>
      </c>
      <c r="E362" t="n">
        <v>163.765772</v>
      </c>
      <c r="F362" t="n">
        <v>1106.358887</v>
      </c>
      <c r="G362" t="n">
        <v>1049.729226</v>
      </c>
      <c r="H362" t="n">
        <v>7084.212361</v>
      </c>
      <c r="I362" t="n">
        <v>3065.622048</v>
      </c>
      <c r="J362" t="n">
        <v>3130.312893</v>
      </c>
      <c r="K362" t="n">
        <v>2973.797249</v>
      </c>
      <c r="L362" t="n">
        <v>5058.397662</v>
      </c>
      <c r="M362" t="n">
        <v>5058.397662</v>
      </c>
      <c r="N362" t="n">
        <v>5058.397662</v>
      </c>
      <c r="O362" t="n">
        <v>2368.204623</v>
      </c>
      <c r="P362" t="n">
        <v>807.087555</v>
      </c>
      <c r="Q362" t="n">
        <v>5058.397662</v>
      </c>
      <c r="R362" t="n">
        <v>5058.397662</v>
      </c>
      <c r="S362" t="n">
        <v>2368.204623</v>
      </c>
      <c r="T362" t="n">
        <v>2368.613989</v>
      </c>
      <c r="U362" t="n">
        <v>807.087555</v>
      </c>
      <c r="V362" t="n">
        <v>-8011.455306</v>
      </c>
      <c r="W362" t="n">
        <v>2656.811608</v>
      </c>
      <c r="X362" t="n">
        <v>5385.068956</v>
      </c>
      <c r="Y362" t="n">
        <v>606.8075</v>
      </c>
      <c r="Z362" t="n">
        <v>2931.572844</v>
      </c>
    </row>
    <row r="363" ht="21" customHeight="1">
      <c r="A363" t="inlineStr">
        <is>
          <t>Bathytoshia centroura</t>
        </is>
      </c>
      <c r="D363" s="11" t="inlineStr">
        <is>
          <t>Sélaciens L côtiers</t>
        </is>
      </c>
      <c r="E363" t="n">
        <v>163.765772</v>
      </c>
      <c r="F363" t="n">
        <v>1149.132987</v>
      </c>
      <c r="G363" t="n">
        <v>1090.003899</v>
      </c>
      <c r="H363" t="n">
        <v>26127.270352</v>
      </c>
      <c r="I363" t="n">
        <v>60049.460833</v>
      </c>
      <c r="J363" t="n">
        <v>53915.740438</v>
      </c>
      <c r="K363" t="n">
        <v>48298.915435</v>
      </c>
      <c r="L363" t="n">
        <v>144842.06399</v>
      </c>
      <c r="M363" t="n">
        <v>144842.06399</v>
      </c>
      <c r="N363" t="n">
        <v>144842.06399</v>
      </c>
      <c r="O363" t="n">
        <v>27575.101402</v>
      </c>
      <c r="P363" t="n">
        <v>7327.065611</v>
      </c>
      <c r="Q363" t="n">
        <v>144842.06399</v>
      </c>
      <c r="R363" t="n">
        <v>-325137.025632</v>
      </c>
      <c r="S363" t="n">
        <v>27575.101402</v>
      </c>
      <c r="T363" t="n">
        <v>27580.015333</v>
      </c>
      <c r="U363" t="n">
        <v>7327.065611</v>
      </c>
      <c r="V363" t="n">
        <v>-736674.038746</v>
      </c>
      <c r="W363" t="n">
        <v>30898.384799</v>
      </c>
      <c r="X363" t="n">
        <v>163593.250874</v>
      </c>
      <c r="Y363" t="n">
        <v>628.222446</v>
      </c>
      <c r="Z363" t="n">
        <v>9214.946091</v>
      </c>
    </row>
    <row r="364" ht="21" customHeight="1">
      <c r="A364" t="inlineStr">
        <is>
          <t>Labridae</t>
        </is>
      </c>
      <c r="D364" s="11" t="inlineStr">
        <is>
          <t>Côtier M pred | Dem M inv</t>
        </is>
      </c>
      <c r="E364" t="n">
        <v>163.765772</v>
      </c>
      <c r="F364" t="n">
        <v>172.540605</v>
      </c>
      <c r="G364" t="n">
        <v>166.005275</v>
      </c>
      <c r="H364" t="n">
        <v>512.786511</v>
      </c>
      <c r="I364" t="n">
        <v>706.9671990000001</v>
      </c>
      <c r="J364" t="n">
        <v>706.96809</v>
      </c>
      <c r="K364" t="n">
        <v>671.619686</v>
      </c>
      <c r="L364" t="n">
        <v>891.48603</v>
      </c>
      <c r="M364" t="n">
        <v>891.48603</v>
      </c>
      <c r="N364" t="n">
        <v>891.48603</v>
      </c>
      <c r="O364" t="n">
        <v>736.1360100000001</v>
      </c>
      <c r="P364" t="n">
        <v>400.645571</v>
      </c>
      <c r="Q364" t="n">
        <v>891.48603</v>
      </c>
      <c r="R364" t="n">
        <v>818.158944</v>
      </c>
      <c r="S364" t="n">
        <v>736.1360100000001</v>
      </c>
      <c r="T364" t="n">
        <v>736.278728</v>
      </c>
      <c r="U364" t="n">
        <v>400.645571</v>
      </c>
      <c r="V364" t="n">
        <v>-4632.224403</v>
      </c>
      <c r="W364" t="n">
        <v>806.7327309999999</v>
      </c>
      <c r="X364" t="n">
        <v>946.992731</v>
      </c>
      <c r="Y364" t="n">
        <v>110.96793</v>
      </c>
      <c r="Z364" t="n">
        <v>284.535981</v>
      </c>
    </row>
    <row r="365" ht="21" customHeight="1">
      <c r="A365" t="inlineStr">
        <is>
          <t>Malacostraca</t>
        </is>
      </c>
      <c r="D365" s="11" t="inlineStr">
        <is>
          <t>Crustacés</t>
        </is>
      </c>
      <c r="E365" t="n">
        <v>163.765772</v>
      </c>
      <c r="F365" t="n">
        <v>79.64922</v>
      </c>
      <c r="G365" t="n">
        <v>77.077782</v>
      </c>
      <c r="H365" t="n">
        <v>199.420396</v>
      </c>
      <c r="I365" t="n">
        <v>94.919134</v>
      </c>
      <c r="J365" t="n">
        <v>94.919134</v>
      </c>
      <c r="K365" t="n">
        <v>90.173177</v>
      </c>
      <c r="L365" t="n">
        <v>135.651174</v>
      </c>
      <c r="M365" t="n">
        <v>135.651174</v>
      </c>
      <c r="N365" t="n">
        <v>135.651174</v>
      </c>
      <c r="O365" t="n">
        <v>112.097094</v>
      </c>
      <c r="P365" t="n">
        <v>63.65447</v>
      </c>
      <c r="Q365" t="n">
        <v>135.651174</v>
      </c>
      <c r="R365" t="n">
        <v>135.651174</v>
      </c>
      <c r="S365" t="n">
        <v>112.097094</v>
      </c>
      <c r="T365" t="n">
        <v>112.118405</v>
      </c>
      <c r="U365" t="n">
        <v>63.65447</v>
      </c>
      <c r="V365" t="n">
        <v>-691.708697</v>
      </c>
      <c r="W365" t="n">
        <v>122.926325</v>
      </c>
      <c r="X365" t="n">
        <v>140.897505</v>
      </c>
      <c r="Y365" t="n">
        <v>54.73445</v>
      </c>
      <c r="Z365" t="n">
        <v>122.753568</v>
      </c>
    </row>
    <row r="366" ht="21" customHeight="1">
      <c r="A366" t="inlineStr">
        <is>
          <t>Gymnothorax maderensis</t>
        </is>
      </c>
      <c r="D366" s="11" t="inlineStr">
        <is>
          <t>Côtier M pred</t>
        </is>
      </c>
      <c r="E366" t="n">
        <v>163.765772</v>
      </c>
      <c r="F366" t="n">
        <v>369.644464</v>
      </c>
      <c r="G366" t="n">
        <v>353.618246</v>
      </c>
      <c r="H366" t="n">
        <v>5618.010617</v>
      </c>
      <c r="I366" t="n">
        <v>4122.619469</v>
      </c>
      <c r="J366" t="n">
        <v>4125.781473</v>
      </c>
      <c r="K366" t="n">
        <v>3919.492399</v>
      </c>
      <c r="L366" t="n">
        <v>5709.562172</v>
      </c>
      <c r="M366" t="n">
        <v>5709.562172</v>
      </c>
      <c r="N366" t="n">
        <v>5709.562172</v>
      </c>
      <c r="O366" t="n">
        <v>3836.053273</v>
      </c>
      <c r="P366" t="n">
        <v>1443.787142</v>
      </c>
      <c r="Q366" t="n">
        <v>5709.562172</v>
      </c>
      <c r="R366" t="n">
        <v>-254548.970672</v>
      </c>
      <c r="S366" t="n">
        <v>3836.053273</v>
      </c>
      <c r="T366" t="n">
        <v>3836.744672</v>
      </c>
      <c r="U366" t="n">
        <v>1443.787142</v>
      </c>
      <c r="V366" t="n">
        <v>-776330.166223</v>
      </c>
      <c r="W366" t="n">
        <v>4226.450942</v>
      </c>
      <c r="X366" t="n">
        <v>5978.972399</v>
      </c>
      <c r="Y366" t="n">
        <v>222.709772</v>
      </c>
      <c r="Z366" t="n">
        <v>2268.13536</v>
      </c>
    </row>
    <row r="367" ht="21" customHeight="1">
      <c r="A367" t="inlineStr">
        <is>
          <t>Centroselachus crepidater</t>
        </is>
      </c>
      <c r="D367" s="11" t="inlineStr">
        <is>
          <t>Unresolved</t>
        </is>
      </c>
    </row>
    <row r="368" ht="21" customHeight="1">
      <c r="A368" t="inlineStr">
        <is>
          <t>Carcharhinus obscurus</t>
        </is>
      </c>
      <c r="D368" s="11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1" t="inlineStr">
        <is>
          <t>Côtier L pred</t>
        </is>
      </c>
      <c r="E369" t="n">
        <v>163.765772</v>
      </c>
      <c r="F369" t="n">
        <v>834.792702</v>
      </c>
      <c r="G369" t="n">
        <v>793.737434</v>
      </c>
      <c r="H369" t="n">
        <v>7076.924212</v>
      </c>
      <c r="I369" t="n">
        <v>5090.678261</v>
      </c>
      <c r="J369" t="n">
        <v>9568.277077999999</v>
      </c>
      <c r="K369" t="n">
        <v>8272.898352</v>
      </c>
      <c r="L369" t="n">
        <v>19279.552919</v>
      </c>
      <c r="M369" t="n">
        <v>19279.552919</v>
      </c>
      <c r="N369" t="n">
        <v>19279.552919</v>
      </c>
      <c r="O369" t="n">
        <v>6360.643117</v>
      </c>
      <c r="P369" t="n">
        <v>2029.258233</v>
      </c>
      <c r="Q369" t="n">
        <v>19279.552919</v>
      </c>
      <c r="R369" t="n">
        <v>-84755.37547899999</v>
      </c>
      <c r="S369" t="n">
        <v>6360.643117</v>
      </c>
      <c r="T369" t="n">
        <v>6361.79434</v>
      </c>
      <c r="U369" t="n">
        <v>2029.258233</v>
      </c>
      <c r="V369" t="n">
        <v>-469150.656344</v>
      </c>
      <c r="W369" t="n">
        <v>6996.073117</v>
      </c>
      <c r="X369" t="n">
        <v>20789.961322</v>
      </c>
      <c r="Y369" t="n">
        <v>469.046047</v>
      </c>
      <c r="Z369" t="n">
        <v>2908.693588</v>
      </c>
    </row>
    <row r="370" ht="21" customHeight="1">
      <c r="A370" t="inlineStr">
        <is>
          <t>Cetorhinus maximus</t>
        </is>
      </c>
      <c r="D370" s="11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1" t="inlineStr">
        <is>
          <t>Dem L pred</t>
        </is>
      </c>
      <c r="E371" t="n">
        <v>163.765772</v>
      </c>
      <c r="F371" t="n">
        <v>702.92427</v>
      </c>
      <c r="G371" t="n">
        <v>669.216325</v>
      </c>
      <c r="H371" t="n">
        <v>8905.433089</v>
      </c>
      <c r="I371" t="n">
        <v>6777.560073</v>
      </c>
      <c r="J371" t="n">
        <v>6838.476733</v>
      </c>
      <c r="K371" t="n">
        <v>5761.883976</v>
      </c>
      <c r="L371" t="n">
        <v>11046.457304</v>
      </c>
      <c r="M371" t="n">
        <v>11046.457304</v>
      </c>
      <c r="N371" t="n">
        <v>11046.457304</v>
      </c>
      <c r="O371" t="n">
        <v>5782.642595</v>
      </c>
      <c r="P371" t="n">
        <v>2043.771325</v>
      </c>
      <c r="Q371" t="n">
        <v>11046.457304</v>
      </c>
      <c r="R371" t="n">
        <v>11046.457304</v>
      </c>
      <c r="S371" t="n">
        <v>5782.642595</v>
      </c>
      <c r="T371" t="n">
        <v>5783.714073</v>
      </c>
      <c r="U371" t="n">
        <v>2043.771325</v>
      </c>
      <c r="V371" t="n">
        <v>-21764.358979</v>
      </c>
      <c r="W371" t="n">
        <v>6493.9392</v>
      </c>
      <c r="X371" t="n">
        <v>12062.969112</v>
      </c>
      <c r="Y371" t="n">
        <v>400.815207</v>
      </c>
      <c r="Z371" t="n">
        <v>3457.535342</v>
      </c>
    </row>
    <row r="372" ht="21" customHeight="1">
      <c r="A372" t="inlineStr">
        <is>
          <t>Oxynotus centrina</t>
        </is>
      </c>
      <c r="D372" s="11" t="inlineStr">
        <is>
          <t>Unresolved</t>
        </is>
      </c>
    </row>
    <row r="373" ht="21" customHeight="1">
      <c r="A373" t="inlineStr">
        <is>
          <t>Thunnus</t>
        </is>
      </c>
      <c r="D373" s="11" t="inlineStr">
        <is>
          <t>Thons majeurs</t>
        </is>
      </c>
      <c r="E373" t="n">
        <v>163.765772</v>
      </c>
      <c r="F373" t="n">
        <v>2736.422785</v>
      </c>
      <c r="G373" t="n">
        <v>2578.791074</v>
      </c>
      <c r="H373" t="n">
        <v>17894.302324</v>
      </c>
      <c r="I373" t="n">
        <v>8524.622238</v>
      </c>
      <c r="J373" t="n">
        <v>8877.051893</v>
      </c>
      <c r="K373" t="n">
        <v>4438.525947</v>
      </c>
      <c r="L373" t="n">
        <v>13559.408277</v>
      </c>
      <c r="M373" t="n">
        <v>13559.408277</v>
      </c>
      <c r="N373" t="n">
        <v>13559.408277</v>
      </c>
      <c r="O373" t="n">
        <v>3620.855517</v>
      </c>
      <c r="P373" t="n">
        <v>1183.588403</v>
      </c>
      <c r="Q373" t="n">
        <v>13559.408277</v>
      </c>
      <c r="R373" t="n">
        <v>-35792.676603</v>
      </c>
      <c r="S373" t="n">
        <v>3620.855517</v>
      </c>
      <c r="T373" t="n">
        <v>3621.492366</v>
      </c>
      <c r="U373" t="n">
        <v>1183.588403</v>
      </c>
      <c r="V373" t="n">
        <v>-69430.651774</v>
      </c>
      <c r="W373" t="n">
        <v>4014.185729</v>
      </c>
      <c r="X373" t="n">
        <v>14860.282888</v>
      </c>
      <c r="Y373" t="n">
        <v>1388.786767</v>
      </c>
      <c r="Z373" t="n">
        <v>6982.232434</v>
      </c>
    </row>
    <row r="374" ht="21" customHeight="1">
      <c r="A374" t="inlineStr">
        <is>
          <t>Etmopterus</t>
        </is>
      </c>
      <c r="D374" s="11" t="inlineStr">
        <is>
          <t>Sélaciens M prof</t>
        </is>
      </c>
      <c r="E374" t="n">
        <v>163.765772</v>
      </c>
      <c r="F374" t="n">
        <v>2768.40081</v>
      </c>
      <c r="G374" t="n">
        <v>2608.699784</v>
      </c>
      <c r="H374" t="n">
        <v>15804.752263</v>
      </c>
      <c r="I374" t="n">
        <v>29649.133706</v>
      </c>
      <c r="J374" t="n">
        <v>30156.605275</v>
      </c>
      <c r="K374" t="n">
        <v>15078.302637</v>
      </c>
      <c r="L374" t="n">
        <v>43428.833302</v>
      </c>
      <c r="M374" t="n">
        <v>43428.833302</v>
      </c>
      <c r="N374" t="n">
        <v>43428.833302</v>
      </c>
      <c r="O374" t="n">
        <v>11691.957211</v>
      </c>
      <c r="P374" t="n">
        <v>4034.843579</v>
      </c>
      <c r="Q374" t="n">
        <v>43428.833302</v>
      </c>
      <c r="R374" t="n">
        <v>43428.833302</v>
      </c>
      <c r="S374" t="n">
        <v>11691.957211</v>
      </c>
      <c r="T374" t="n">
        <v>11694.043139</v>
      </c>
      <c r="U374" t="n">
        <v>4034.843579</v>
      </c>
      <c r="V374" t="n">
        <v>-41506.560008</v>
      </c>
      <c r="W374" t="n">
        <v>13278.635761</v>
      </c>
      <c r="X374" t="n">
        <v>47003.18159</v>
      </c>
      <c r="Y374" t="n">
        <v>1403.618052</v>
      </c>
      <c r="Z374" t="n">
        <v>6258.766097</v>
      </c>
    </row>
    <row r="375" ht="21" customHeight="1">
      <c r="A375" t="inlineStr">
        <is>
          <t>Carcharhinus galapagensis</t>
        </is>
      </c>
      <c r="D375" s="11" t="inlineStr">
        <is>
          <t>Unresolved</t>
        </is>
      </c>
    </row>
    <row r="376" ht="21" customHeight="1">
      <c r="A376" t="inlineStr">
        <is>
          <t>Echinorhinus brucus</t>
        </is>
      </c>
      <c r="D376" s="11" t="inlineStr">
        <is>
          <t>Unresolved</t>
        </is>
      </c>
    </row>
    <row r="377" ht="21" customHeight="1">
      <c r="A377" t="inlineStr">
        <is>
          <t>Bramidae</t>
        </is>
      </c>
      <c r="D377" s="11" t="inlineStr">
        <is>
          <t>Unresolved</t>
        </is>
      </c>
    </row>
    <row r="378" ht="21" customHeight="1">
      <c r="A378" t="inlineStr">
        <is>
          <t>Carcharhinus brachyurus</t>
        </is>
      </c>
      <c r="D378" s="11" t="inlineStr">
        <is>
          <t>Unresolved</t>
        </is>
      </c>
    </row>
    <row r="379" ht="21" customHeight="1">
      <c r="A379" t="inlineStr">
        <is>
          <t>Somniosus rostratus</t>
        </is>
      </c>
      <c r="D379" s="11" t="inlineStr">
        <is>
          <t>Unresolved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t="inlineStr">
        <is>
          <t>SPPR_1986</t>
        </is>
      </c>
      <c r="B9" t="inlineStr">
        <is>
          <t>ok</t>
        </is>
      </c>
      <c r="C9" t="n">
        <v>76693375.66500001</v>
      </c>
      <c r="D9" t="n">
        <v>80082346.516</v>
      </c>
      <c r="E9" t="n">
        <v>81215212.78399999</v>
      </c>
      <c r="F9" t="n">
        <v>87230586.04700001</v>
      </c>
      <c r="G9" t="n">
        <v>89557526.859</v>
      </c>
      <c r="H9" t="n">
        <v>89131133.35699999</v>
      </c>
      <c r="I9" t="n">
        <v>101363440.83</v>
      </c>
      <c r="J9" t="n">
        <v>114577077.353</v>
      </c>
      <c r="K9" t="n">
        <v>116228223.64</v>
      </c>
      <c r="L9" t="n">
        <v>132597110.236</v>
      </c>
      <c r="M9" t="n">
        <v>136957037.049</v>
      </c>
      <c r="N9" t="n">
        <v>148409273.616</v>
      </c>
      <c r="O9" t="n">
        <v>160763497.172</v>
      </c>
      <c r="P9" t="n">
        <v>171305653.772</v>
      </c>
      <c r="Q9" t="n">
        <v>193652257.984</v>
      </c>
      <c r="R9" t="n">
        <v>195506710.143</v>
      </c>
      <c r="S9" t="n">
        <v>199213200.39</v>
      </c>
      <c r="T9" t="n">
        <v>195909240.187</v>
      </c>
      <c r="U9" t="n">
        <v>202875088.21</v>
      </c>
      <c r="V9" t="n">
        <v>219182180.739</v>
      </c>
      <c r="W9" t="n">
        <v>240018249.756</v>
      </c>
      <c r="X9" t="n">
        <v>276273768.229</v>
      </c>
      <c r="Y9" t="n">
        <v>293045754.61</v>
      </c>
      <c r="Z9" t="n">
        <v>286832809.08</v>
      </c>
      <c r="AA9" t="n">
        <v>307659091.291</v>
      </c>
      <c r="AB9" t="n">
        <v>326570517.484</v>
      </c>
      <c r="AC9" t="n">
        <v>344962264.77</v>
      </c>
      <c r="AD9" t="n">
        <v>383296848.674</v>
      </c>
      <c r="AE9" t="n">
        <v>392402923.731</v>
      </c>
      <c r="AF9" t="n">
        <v>364262541.325</v>
      </c>
      <c r="AG9" t="n">
        <v>422718219.253</v>
      </c>
      <c r="AH9" t="n">
        <v>434825780.277</v>
      </c>
      <c r="AI9" t="n">
        <v>428938459.893</v>
      </c>
      <c r="AJ9" t="n">
        <v>423359012.282</v>
      </c>
      <c r="AK9" t="n">
        <v>398121397.346</v>
      </c>
      <c r="AL9" t="n">
        <v>417465543.313</v>
      </c>
      <c r="AM9" t="n">
        <v>448964268.276</v>
      </c>
      <c r="AN9" t="n">
        <v>493498624.228</v>
      </c>
      <c r="AO9" t="n">
        <v>468930361.107</v>
      </c>
      <c r="AP9" t="n">
        <v>483194604.842</v>
      </c>
      <c r="AQ9" t="n">
        <v>483203153.743</v>
      </c>
      <c r="AR9" t="n">
        <v>461577548.485</v>
      </c>
      <c r="AS9" t="n">
        <v>449770104.614</v>
      </c>
      <c r="AT9" t="n">
        <v>450463808.728</v>
      </c>
      <c r="AU9" t="n">
        <v>442036669.714</v>
      </c>
      <c r="AV9" t="n">
        <v>456944198.339</v>
      </c>
      <c r="AW9" t="n">
        <v>487818897.922</v>
      </c>
      <c r="AX9" t="n">
        <v>505566087.04</v>
      </c>
      <c r="AY9" t="n">
        <v>514590055.506</v>
      </c>
      <c r="AZ9" t="n">
        <v>532161737.337</v>
      </c>
      <c r="BA9" t="n">
        <v>573013932.249</v>
      </c>
      <c r="BB9" t="n">
        <v>560380669.995</v>
      </c>
      <c r="BC9" t="n">
        <v>561559223.475</v>
      </c>
      <c r="BD9" t="n">
        <v>543044297.962</v>
      </c>
      <c r="BE9" t="n">
        <v>542671110.322</v>
      </c>
      <c r="BF9" t="n">
        <v>531565198.568</v>
      </c>
      <c r="BG9" t="n">
        <v>534113697.93</v>
      </c>
      <c r="BH9" t="n">
        <v>546299920.7309999</v>
      </c>
      <c r="BI9" t="n">
        <v>565863479.5880001</v>
      </c>
      <c r="BJ9" t="n">
        <v>549745266.967</v>
      </c>
      <c r="BK9" t="n">
        <v>589526380.342</v>
      </c>
      <c r="BL9" t="n">
        <v>608757725.428</v>
      </c>
      <c r="BM9" t="n">
        <v>546290586.901</v>
      </c>
      <c r="BN9" t="n">
        <v>582552245.772</v>
      </c>
      <c r="BO9" t="n">
        <v>616130059.9119999</v>
      </c>
      <c r="BP9" t="n">
        <v>648635883.452</v>
      </c>
      <c r="BQ9" t="n">
        <v>650412250.29</v>
      </c>
      <c r="BR9" t="n">
        <v>684400178.959</v>
      </c>
      <c r="BS9" t="n">
        <v>697036889.956</v>
      </c>
      <c r="BT9" t="n">
        <v>722057842.612</v>
      </c>
    </row>
    <row r="10">
      <c r="A10" t="inlineStr">
        <is>
          <t>SPPR_1995_TE0.1</t>
        </is>
      </c>
      <c r="B10" t="inlineStr">
        <is>
          <t>ok</t>
        </is>
      </c>
      <c r="C10" t="n">
        <v>155587464.48</v>
      </c>
      <c r="D10" t="n">
        <v>162642385.306</v>
      </c>
      <c r="E10" t="n">
        <v>167350751.349</v>
      </c>
      <c r="F10" t="n">
        <v>178593131.616</v>
      </c>
      <c r="G10" t="n">
        <v>182557332.024</v>
      </c>
      <c r="H10" t="n">
        <v>180535197.673</v>
      </c>
      <c r="I10" t="n">
        <v>210089623.849</v>
      </c>
      <c r="J10" t="n">
        <v>277341273.947</v>
      </c>
      <c r="K10" t="n">
        <v>301477756.187</v>
      </c>
      <c r="L10" t="n">
        <v>402084924.725</v>
      </c>
      <c r="M10" t="n">
        <v>449986814.188</v>
      </c>
      <c r="N10" t="n">
        <v>469345052.945</v>
      </c>
      <c r="O10" t="n">
        <v>548021168.0369999</v>
      </c>
      <c r="P10" t="n">
        <v>609704364.132</v>
      </c>
      <c r="Q10" t="n">
        <v>721162952.697</v>
      </c>
      <c r="R10" t="n">
        <v>778891286.414</v>
      </c>
      <c r="S10" t="n">
        <v>691673667.892</v>
      </c>
      <c r="T10" t="n">
        <v>603802675.238</v>
      </c>
      <c r="U10" t="n">
        <v>684935850.784</v>
      </c>
      <c r="V10" t="n">
        <v>722374694.072</v>
      </c>
      <c r="W10" t="n">
        <v>771084634.321</v>
      </c>
      <c r="X10" t="n">
        <v>898054013.665</v>
      </c>
      <c r="Y10" t="n">
        <v>919895483.223</v>
      </c>
      <c r="Z10" t="n">
        <v>882569950.702</v>
      </c>
      <c r="AA10" t="n">
        <v>1058330053.955</v>
      </c>
      <c r="AB10" t="n">
        <v>1015694815.126</v>
      </c>
      <c r="AC10" t="n">
        <v>1061257499.734</v>
      </c>
      <c r="AD10" t="n">
        <v>1192231889.576</v>
      </c>
      <c r="AE10" t="n">
        <v>1240196487.532</v>
      </c>
      <c r="AF10" t="n">
        <v>1183479443.91</v>
      </c>
      <c r="AG10" t="n">
        <v>1349547022.733</v>
      </c>
      <c r="AH10" t="n">
        <v>1361559805.842</v>
      </c>
      <c r="AI10" t="n">
        <v>1393349472.256</v>
      </c>
      <c r="AJ10" t="n">
        <v>1368597819.939</v>
      </c>
      <c r="AK10" t="n">
        <v>1052656678.604</v>
      </c>
      <c r="AL10" t="n">
        <v>1085351591.029</v>
      </c>
      <c r="AM10" t="n">
        <v>1204474688.179</v>
      </c>
      <c r="AN10" t="n">
        <v>1304941186.127</v>
      </c>
      <c r="AO10" t="n">
        <v>1277137647.853</v>
      </c>
      <c r="AP10" t="n">
        <v>1346494508.101</v>
      </c>
      <c r="AQ10" t="n">
        <v>1396728305.322</v>
      </c>
      <c r="AR10" t="n">
        <v>1388604109.544</v>
      </c>
      <c r="AS10" t="n">
        <v>1296668202.679</v>
      </c>
      <c r="AT10" t="n">
        <v>1383546372.31</v>
      </c>
      <c r="AU10" t="n">
        <v>1304426684.345</v>
      </c>
      <c r="AV10" t="n">
        <v>1293815408.159</v>
      </c>
      <c r="AW10" t="n">
        <v>1385270932.741</v>
      </c>
      <c r="AX10" t="n">
        <v>1458146349.542</v>
      </c>
      <c r="AY10" t="n">
        <v>1506742166.785</v>
      </c>
      <c r="AZ10" t="n">
        <v>1650492759.253</v>
      </c>
      <c r="BA10" t="n">
        <v>1679556154.617</v>
      </c>
      <c r="BB10" t="n">
        <v>1688610705.047</v>
      </c>
      <c r="BC10" t="n">
        <v>1622547311.7</v>
      </c>
      <c r="BD10" t="n">
        <v>1596121020.029</v>
      </c>
      <c r="BE10" t="n">
        <v>1645209153.373</v>
      </c>
      <c r="BF10" t="n">
        <v>1635979499.486</v>
      </c>
      <c r="BG10" t="n">
        <v>1544046220.608</v>
      </c>
      <c r="BH10" t="n">
        <v>1613766191.491</v>
      </c>
      <c r="BI10" t="n">
        <v>1718574867.901</v>
      </c>
      <c r="BJ10" t="n">
        <v>1708071939.018</v>
      </c>
      <c r="BK10" t="n">
        <v>1880478191.749</v>
      </c>
      <c r="BL10" t="n">
        <v>1937941261.426</v>
      </c>
      <c r="BM10" t="n">
        <v>1830020914.917</v>
      </c>
      <c r="BN10" t="n">
        <v>1880258901.332</v>
      </c>
      <c r="BO10" t="n">
        <v>1920258385.251</v>
      </c>
      <c r="BP10" t="n">
        <v>2122758565.586</v>
      </c>
      <c r="BQ10" t="n">
        <v>2200063900.54</v>
      </c>
      <c r="BR10" t="n">
        <v>2153405257.682</v>
      </c>
      <c r="BS10" t="n">
        <v>2116491599.205</v>
      </c>
      <c r="BT10" t="n">
        <v>2212004276.611</v>
      </c>
    </row>
    <row r="11">
      <c r="A11" t="inlineStr">
        <is>
          <t>SPPR_1995_TEmean</t>
        </is>
      </c>
      <c r="B11" t="inlineStr">
        <is>
          <t>ok</t>
        </is>
      </c>
      <c r="C11" t="n">
        <v>148156016.435</v>
      </c>
      <c r="D11" t="n">
        <v>154877634.284</v>
      </c>
      <c r="E11" t="n">
        <v>159357049.052</v>
      </c>
      <c r="F11" t="n">
        <v>170067023.069</v>
      </c>
      <c r="G11" t="n">
        <v>173854857.962</v>
      </c>
      <c r="H11" t="n">
        <v>171928016.428</v>
      </c>
      <c r="I11" t="n">
        <v>200057293.518</v>
      </c>
      <c r="J11" t="n">
        <v>263751993.619</v>
      </c>
      <c r="K11" t="n">
        <v>286448856.907</v>
      </c>
      <c r="L11" t="n">
        <v>381672238.859</v>
      </c>
      <c r="M11" t="n">
        <v>426870964.988</v>
      </c>
      <c r="N11" t="n">
        <v>445295153.819</v>
      </c>
      <c r="O11" t="n">
        <v>519648271.046</v>
      </c>
      <c r="P11" t="n">
        <v>577991563.493</v>
      </c>
      <c r="Q11" t="n">
        <v>683391200.7640001</v>
      </c>
      <c r="R11" t="n">
        <v>737844599.538</v>
      </c>
      <c r="S11" t="n">
        <v>655863924.258</v>
      </c>
      <c r="T11" t="n">
        <v>573117683.3380001</v>
      </c>
      <c r="U11" t="n">
        <v>649736924.285</v>
      </c>
      <c r="V11" t="n">
        <v>685389947.886</v>
      </c>
      <c r="W11" t="n">
        <v>731784281.554</v>
      </c>
      <c r="X11" t="n">
        <v>852185989.326</v>
      </c>
      <c r="Y11" t="n">
        <v>873028669.666</v>
      </c>
      <c r="Z11" t="n">
        <v>837773934.344</v>
      </c>
      <c r="AA11" t="n">
        <v>1003869809.652</v>
      </c>
      <c r="AB11" t="n">
        <v>963991409.49</v>
      </c>
      <c r="AC11" t="n">
        <v>1007512522.608</v>
      </c>
      <c r="AD11" t="n">
        <v>1131923397.106</v>
      </c>
      <c r="AE11" t="n">
        <v>1177043104.849</v>
      </c>
      <c r="AF11" t="n">
        <v>1123297505.251</v>
      </c>
      <c r="AG11" t="n">
        <v>1280825615.906</v>
      </c>
      <c r="AH11" t="n">
        <v>1292372754.046</v>
      </c>
      <c r="AI11" t="n">
        <v>1322336801.813</v>
      </c>
      <c r="AJ11" t="n">
        <v>1298994702.537</v>
      </c>
      <c r="AK11" t="n">
        <v>1001052938.582</v>
      </c>
      <c r="AL11" t="n">
        <v>1032207886.409</v>
      </c>
      <c r="AM11" t="n">
        <v>1145423050.839</v>
      </c>
      <c r="AN11" t="n">
        <v>1240855935.136</v>
      </c>
      <c r="AO11" t="n">
        <v>1214069593.376</v>
      </c>
      <c r="AP11" t="n">
        <v>1279875467.219</v>
      </c>
      <c r="AQ11" t="n">
        <v>1327248907.028</v>
      </c>
      <c r="AR11" t="n">
        <v>1318931260.532</v>
      </c>
      <c r="AS11" t="n">
        <v>1231838499.549</v>
      </c>
      <c r="AT11" t="n">
        <v>1313978749.43</v>
      </c>
      <c r="AU11" t="n">
        <v>1239398728.73</v>
      </c>
      <c r="AV11" t="n">
        <v>1229634602.336</v>
      </c>
      <c r="AW11" t="n">
        <v>1316223908.103</v>
      </c>
      <c r="AX11" t="n">
        <v>1385637485.69</v>
      </c>
      <c r="AY11" t="n">
        <v>1431719805.738</v>
      </c>
      <c r="AZ11" t="n">
        <v>1567475101.328</v>
      </c>
      <c r="BA11" t="n">
        <v>1596131162.512</v>
      </c>
      <c r="BB11" t="n">
        <v>1604345089.47</v>
      </c>
      <c r="BC11" t="n">
        <v>1542161895.795</v>
      </c>
      <c r="BD11" t="n">
        <v>1516648363.201</v>
      </c>
      <c r="BE11" t="n">
        <v>1562956101.83</v>
      </c>
      <c r="BF11" t="n">
        <v>1554232771.835</v>
      </c>
      <c r="BG11" t="n">
        <v>1467630657.525</v>
      </c>
      <c r="BH11" t="n">
        <v>1533691307.052</v>
      </c>
      <c r="BI11" t="n">
        <v>1632638798.34</v>
      </c>
      <c r="BJ11" t="n">
        <v>1622091762.152</v>
      </c>
      <c r="BK11" t="n">
        <v>1785727049.554</v>
      </c>
      <c r="BL11" t="n">
        <v>1840517346.372</v>
      </c>
      <c r="BM11" t="n">
        <v>1737000800.114</v>
      </c>
      <c r="BN11" t="n">
        <v>1785240512.282</v>
      </c>
      <c r="BO11" t="n">
        <v>1823926846.149</v>
      </c>
      <c r="BP11" t="n">
        <v>2016064067.783</v>
      </c>
      <c r="BQ11" t="n">
        <v>2089110340.441</v>
      </c>
      <c r="BR11" t="n">
        <v>2045798137.675</v>
      </c>
      <c r="BS11" t="n">
        <v>2011230509.702</v>
      </c>
      <c r="BT11" t="n">
        <v>2102096002.385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1213409410.5</v>
      </c>
      <c r="D12" t="n">
        <v>1264774504.103</v>
      </c>
      <c r="E12" t="n">
        <v>1286146588.228</v>
      </c>
      <c r="F12" t="n">
        <v>1366969507.637</v>
      </c>
      <c r="G12" t="n">
        <v>1386185543.271</v>
      </c>
      <c r="H12" t="n">
        <v>1364795783.105</v>
      </c>
      <c r="I12" t="n">
        <v>1599008262.239</v>
      </c>
      <c r="J12" t="n">
        <v>2003039649.615</v>
      </c>
      <c r="K12" t="n">
        <v>2188052510.752</v>
      </c>
      <c r="L12" t="n">
        <v>2881848371.308</v>
      </c>
      <c r="M12" t="n">
        <v>3189529481.682</v>
      </c>
      <c r="N12" t="n">
        <v>3282664424.136</v>
      </c>
      <c r="O12" t="n">
        <v>3794369505.347</v>
      </c>
      <c r="P12" t="n">
        <v>4232339271.29</v>
      </c>
      <c r="Q12" t="n">
        <v>5000528977.875</v>
      </c>
      <c r="R12" t="n">
        <v>5378205144.774</v>
      </c>
      <c r="S12" t="n">
        <v>4842471558.24</v>
      </c>
      <c r="T12" t="n">
        <v>4249801162.253</v>
      </c>
      <c r="U12" t="n">
        <v>4797020287.641</v>
      </c>
      <c r="V12" t="n">
        <v>5098352885.416</v>
      </c>
      <c r="W12" t="n">
        <v>5542418706.945</v>
      </c>
      <c r="X12" t="n">
        <v>6415269614.729</v>
      </c>
      <c r="Y12" t="n">
        <v>6547334455.937</v>
      </c>
      <c r="Z12" t="n">
        <v>6256027164.507</v>
      </c>
      <c r="AA12" t="n">
        <v>7479813120.947</v>
      </c>
      <c r="AB12" t="n">
        <v>7384717884.892</v>
      </c>
      <c r="AC12" t="n">
        <v>7579033322.012</v>
      </c>
      <c r="AD12" t="n">
        <v>8495488743.662</v>
      </c>
      <c r="AE12" t="n">
        <v>8685710837.165001</v>
      </c>
      <c r="AF12" t="n">
        <v>8347026144.58</v>
      </c>
      <c r="AG12" t="n">
        <v>9397664968.215</v>
      </c>
      <c r="AH12" t="n">
        <v>9387549809.723</v>
      </c>
      <c r="AI12" t="n">
        <v>9770905574.566999</v>
      </c>
      <c r="AJ12" t="n">
        <v>9599435977.421</v>
      </c>
      <c r="AK12" t="n">
        <v>7372357228.939</v>
      </c>
      <c r="AL12" t="n">
        <v>7658154253.687</v>
      </c>
      <c r="AM12" t="n">
        <v>8530625454.502</v>
      </c>
      <c r="AN12" t="n">
        <v>9181090463.756001</v>
      </c>
      <c r="AO12" t="n">
        <v>9066833130.388</v>
      </c>
      <c r="AP12" t="n">
        <v>9553066906.358999</v>
      </c>
      <c r="AQ12" t="n">
        <v>9942059834.978001</v>
      </c>
      <c r="AR12" t="n">
        <v>9704445657.365</v>
      </c>
      <c r="AS12" t="n">
        <v>9100385811.073</v>
      </c>
      <c r="AT12" t="n">
        <v>9788188284.326</v>
      </c>
      <c r="AU12" t="n">
        <v>9307377438.274</v>
      </c>
      <c r="AV12" t="n">
        <v>9072959110.589001</v>
      </c>
      <c r="AW12" t="n">
        <v>9789740749.454</v>
      </c>
      <c r="AX12" t="n">
        <v>10297496644.565</v>
      </c>
      <c r="AY12" t="n">
        <v>10606732141.757</v>
      </c>
      <c r="AZ12" t="n">
        <v>11851391658.867</v>
      </c>
      <c r="BA12" t="n">
        <v>11829043299.862</v>
      </c>
      <c r="BB12" t="n">
        <v>11906570790.636</v>
      </c>
      <c r="BC12" t="n">
        <v>11591316986.603</v>
      </c>
      <c r="BD12" t="n">
        <v>11318330597.372</v>
      </c>
      <c r="BE12" t="n">
        <v>11783176135.816</v>
      </c>
      <c r="BF12" t="n">
        <v>11789485836.962</v>
      </c>
      <c r="BG12" t="n">
        <v>11027187561.327</v>
      </c>
      <c r="BH12" t="n">
        <v>11604586901.589</v>
      </c>
      <c r="BI12" t="n">
        <v>12364600337.968</v>
      </c>
      <c r="BJ12" t="n">
        <v>12295530806.62</v>
      </c>
      <c r="BK12" t="n">
        <v>13970208639.447</v>
      </c>
      <c r="BL12" t="n">
        <v>14417971809.262</v>
      </c>
      <c r="BM12" t="n">
        <v>13897647374.802</v>
      </c>
      <c r="BN12" t="n">
        <v>14299149701.286</v>
      </c>
      <c r="BO12" t="n">
        <v>14562068802.705</v>
      </c>
      <c r="BP12" t="n">
        <v>16059869005.568</v>
      </c>
      <c r="BQ12" t="n">
        <v>16629758874.12</v>
      </c>
      <c r="BR12" t="n">
        <v>16199739857.168</v>
      </c>
      <c r="BS12" t="n">
        <v>15635205167.13</v>
      </c>
      <c r="BT12" t="n">
        <v>16500462004.798</v>
      </c>
    </row>
    <row r="13">
      <c r="A13" t="inlineStr">
        <is>
          <t>Ulanowicz_TE</t>
        </is>
      </c>
      <c r="B13" t="inlineStr">
        <is>
          <t>ok</t>
        </is>
      </c>
      <c r="C13" t="n">
        <v>1205617252.231</v>
      </c>
      <c r="D13" t="n">
        <v>1245477729.075</v>
      </c>
      <c r="E13" t="n">
        <v>1291661922.425</v>
      </c>
      <c r="F13" t="n">
        <v>1356271266.841</v>
      </c>
      <c r="G13" t="n">
        <v>1377134224.937</v>
      </c>
      <c r="H13" t="n">
        <v>1370926902.508</v>
      </c>
      <c r="I13" t="n">
        <v>1632511134.656</v>
      </c>
      <c r="J13" t="n">
        <v>1772473772.885</v>
      </c>
      <c r="K13" t="n">
        <v>1902345904.912</v>
      </c>
      <c r="L13" t="n">
        <v>2300578825.956</v>
      </c>
      <c r="M13" t="n">
        <v>2530740582.884</v>
      </c>
      <c r="N13" t="n">
        <v>2504631344.28</v>
      </c>
      <c r="O13" t="n">
        <v>2772511431.831</v>
      </c>
      <c r="P13" t="n">
        <v>3298481597.193</v>
      </c>
      <c r="Q13" t="n">
        <v>3648179121.673</v>
      </c>
      <c r="R13" t="n">
        <v>3916405374.813</v>
      </c>
      <c r="S13" t="n">
        <v>3853785760.009</v>
      </c>
      <c r="T13" t="n">
        <v>3291881777.676</v>
      </c>
      <c r="U13" t="n">
        <v>3625039965.94</v>
      </c>
      <c r="V13" t="n">
        <v>3885286428.287</v>
      </c>
      <c r="W13" t="n">
        <v>4308744966.914</v>
      </c>
      <c r="X13" t="n">
        <v>4864217427.205</v>
      </c>
      <c r="Y13" t="n">
        <v>5038132737.541</v>
      </c>
      <c r="Z13" t="n">
        <v>5028890077.123</v>
      </c>
      <c r="AA13" t="n">
        <v>5864826237.986</v>
      </c>
      <c r="AB13" t="n">
        <v>6915156796.915</v>
      </c>
      <c r="AC13" t="n">
        <v>6933812530.195</v>
      </c>
      <c r="AD13" t="n">
        <v>7209705521.22</v>
      </c>
      <c r="AE13" t="n">
        <v>7543770989.159</v>
      </c>
      <c r="AF13" t="n">
        <v>7467844629.163</v>
      </c>
      <c r="AG13" t="n">
        <v>8127256223.595</v>
      </c>
      <c r="AH13" t="n">
        <v>7359208651.576</v>
      </c>
      <c r="AI13" t="n">
        <v>8691024828.487</v>
      </c>
      <c r="AJ13" t="n">
        <v>8576380982.989</v>
      </c>
      <c r="AK13" t="n">
        <v>6787459318.331</v>
      </c>
      <c r="AL13" t="n">
        <v>7349539723.343</v>
      </c>
      <c r="AM13" t="n">
        <v>7538944554.63</v>
      </c>
      <c r="AN13" t="n">
        <v>8236972070.79</v>
      </c>
      <c r="AO13" t="n">
        <v>8160733150.16</v>
      </c>
      <c r="AP13" t="n">
        <v>7884211794.758</v>
      </c>
      <c r="AQ13" t="n">
        <v>8287851037.429</v>
      </c>
      <c r="AR13" t="n">
        <v>8053702322.012</v>
      </c>
      <c r="AS13" t="n">
        <v>7915205324.136</v>
      </c>
      <c r="AT13" t="n">
        <v>8708264500.392</v>
      </c>
      <c r="AU13" t="n">
        <v>8716327206.48</v>
      </c>
      <c r="AV13" t="n">
        <v>8066201760.339</v>
      </c>
      <c r="AW13" t="n">
        <v>9165083407.857</v>
      </c>
      <c r="AX13" t="n">
        <v>9991738281.577</v>
      </c>
      <c r="AY13" t="n">
        <v>9926718711.316</v>
      </c>
      <c r="AZ13" t="n">
        <v>11208194160.514</v>
      </c>
      <c r="BA13" t="n">
        <v>10618148010.129</v>
      </c>
      <c r="BB13" t="n">
        <v>10643449985.149</v>
      </c>
      <c r="BC13" t="n">
        <v>11005915207.261</v>
      </c>
      <c r="BD13" t="n">
        <v>10464634691.499</v>
      </c>
      <c r="BE13" t="n">
        <v>10991104491.494</v>
      </c>
      <c r="BF13" t="n">
        <v>11723651891.917</v>
      </c>
      <c r="BG13" t="n">
        <v>10390063822.719</v>
      </c>
      <c r="BH13" t="n">
        <v>11031161075.496</v>
      </c>
      <c r="BI13" t="n">
        <v>11997347723.654</v>
      </c>
      <c r="BJ13" t="n">
        <v>12450749543.152</v>
      </c>
      <c r="BK13" t="n">
        <v>14474456894.191</v>
      </c>
      <c r="BL13" t="n">
        <v>14261372583.858</v>
      </c>
      <c r="BM13" t="n">
        <v>14232968538.964</v>
      </c>
      <c r="BN13" t="n">
        <v>14669382985.781</v>
      </c>
      <c r="BO13" t="n">
        <v>14533127660.355</v>
      </c>
      <c r="BP13" t="n">
        <v>15673725356.893</v>
      </c>
      <c r="BQ13" t="n">
        <v>15733886036.399</v>
      </c>
      <c r="BR13" t="n">
        <v>14978301012.131</v>
      </c>
      <c r="BS13" t="n">
        <v>14009009754.319</v>
      </c>
      <c r="BT13" t="n">
        <v>14811928543.15</v>
      </c>
    </row>
    <row r="14">
      <c r="A14" t="inlineStr">
        <is>
          <t>EwE_TE_noEE</t>
        </is>
      </c>
      <c r="B14" t="inlineStr">
        <is>
          <t>ok</t>
        </is>
      </c>
      <c r="C14" t="n">
        <v>1450471257.175</v>
      </c>
      <c r="D14" t="n">
        <v>1500989675.427</v>
      </c>
      <c r="E14" t="n">
        <v>1554123526.839</v>
      </c>
      <c r="F14" t="n">
        <v>1633349197.748</v>
      </c>
      <c r="G14" t="n">
        <v>1661686625.02</v>
      </c>
      <c r="H14" t="n">
        <v>1642174726.958</v>
      </c>
      <c r="I14" t="n">
        <v>1950950356.509</v>
      </c>
      <c r="J14" t="n">
        <v>2132326756.837</v>
      </c>
      <c r="K14" t="n">
        <v>2269568011.115</v>
      </c>
      <c r="L14" t="n">
        <v>2730629647.247</v>
      </c>
      <c r="M14" t="n">
        <v>2968231577.646</v>
      </c>
      <c r="N14" t="n">
        <v>2958232659.898</v>
      </c>
      <c r="O14" t="n">
        <v>3242715228.946</v>
      </c>
      <c r="P14" t="n">
        <v>3817076117.084</v>
      </c>
      <c r="Q14" t="n">
        <v>4220897859.81</v>
      </c>
      <c r="R14" t="n">
        <v>4525336163.803</v>
      </c>
      <c r="S14" t="n">
        <v>4491892163.508</v>
      </c>
      <c r="T14" t="n">
        <v>3918186197.603</v>
      </c>
      <c r="U14" t="n">
        <v>4300731092.414</v>
      </c>
      <c r="V14" t="n">
        <v>4600827225.766</v>
      </c>
      <c r="W14" t="n">
        <v>5055678200.457</v>
      </c>
      <c r="X14" t="n">
        <v>5695598690.044</v>
      </c>
      <c r="Y14" t="n">
        <v>5888491622.165</v>
      </c>
      <c r="Z14" t="n">
        <v>5877125288.435</v>
      </c>
      <c r="AA14" t="n">
        <v>6793812891.363</v>
      </c>
      <c r="AB14" t="n">
        <v>7916320376.06</v>
      </c>
      <c r="AC14" t="n">
        <v>8103513222.313</v>
      </c>
      <c r="AD14" t="n">
        <v>8508591359.54</v>
      </c>
      <c r="AE14" t="n">
        <v>8800023821.24</v>
      </c>
      <c r="AF14" t="n">
        <v>8722909512.087</v>
      </c>
      <c r="AG14" t="n">
        <v>9584766359.263</v>
      </c>
      <c r="AH14" t="n">
        <v>8826601927.896</v>
      </c>
      <c r="AI14" t="n">
        <v>10256659214.861</v>
      </c>
      <c r="AJ14" t="n">
        <v>10141142143.871</v>
      </c>
      <c r="AK14" t="n">
        <v>8293318410.493</v>
      </c>
      <c r="AL14" t="n">
        <v>8920241908.224001</v>
      </c>
      <c r="AM14" t="n">
        <v>9335209906.659</v>
      </c>
      <c r="AN14" t="n">
        <v>10133868733.84</v>
      </c>
      <c r="AO14" t="n">
        <v>10002879549.31</v>
      </c>
      <c r="AP14" t="n">
        <v>9793586480.701</v>
      </c>
      <c r="AQ14" t="n">
        <v>10145017258.785</v>
      </c>
      <c r="AR14" t="n">
        <v>9706687597.423</v>
      </c>
      <c r="AS14" t="n">
        <v>9478024517.389</v>
      </c>
      <c r="AT14" t="n">
        <v>10388234085.212</v>
      </c>
      <c r="AU14" t="n">
        <v>10413954728.927</v>
      </c>
      <c r="AV14" t="n">
        <v>9734329300.333</v>
      </c>
      <c r="AW14" t="n">
        <v>10895743308.819</v>
      </c>
      <c r="AX14" t="n">
        <v>11872211563.732</v>
      </c>
      <c r="AY14" t="n">
        <v>11804220805.791</v>
      </c>
      <c r="AZ14" t="n">
        <v>13226689032.416</v>
      </c>
      <c r="BA14" t="n">
        <v>12753775098.348</v>
      </c>
      <c r="BB14" t="n">
        <v>12725690311.703</v>
      </c>
      <c r="BC14" t="n">
        <v>13165307553.267</v>
      </c>
      <c r="BD14" t="n">
        <v>12428921464.557</v>
      </c>
      <c r="BE14" t="n">
        <v>12984854571.739</v>
      </c>
      <c r="BF14" t="n">
        <v>13746536489.752</v>
      </c>
      <c r="BG14" t="n">
        <v>12279626636.222</v>
      </c>
      <c r="BH14" t="n">
        <v>13047306643.459</v>
      </c>
      <c r="BI14" t="n">
        <v>13965188136.554</v>
      </c>
      <c r="BJ14" t="n">
        <v>14320815668.051</v>
      </c>
      <c r="BK14" t="n">
        <v>16528119902.952</v>
      </c>
      <c r="BL14" t="n">
        <v>16597341799.96</v>
      </c>
      <c r="BM14" t="n">
        <v>16238387685.769</v>
      </c>
      <c r="BN14" t="n">
        <v>16956760471.059</v>
      </c>
      <c r="BO14" t="n">
        <v>16953304358.552</v>
      </c>
      <c r="BP14" t="n">
        <v>18297236900.005</v>
      </c>
      <c r="BQ14" t="n">
        <v>18407189657.391</v>
      </c>
      <c r="BR14" t="n">
        <v>17612863174.796</v>
      </c>
      <c r="BS14" t="n">
        <v>16605028218.966</v>
      </c>
      <c r="BT14" t="n">
        <v>17574307568.218</v>
      </c>
    </row>
    <row r="15">
      <c r="A15" t="inlineStr">
        <is>
          <t>EwE_TE_EE</t>
        </is>
      </c>
      <c r="B15" t="inlineStr">
        <is>
          <t>ok</t>
        </is>
      </c>
      <c r="C15" t="n">
        <v>1090814509.189</v>
      </c>
      <c r="D15" t="n">
        <v>1131599184.244</v>
      </c>
      <c r="E15" t="n">
        <v>1163210190.991</v>
      </c>
      <c r="F15" t="n">
        <v>1224883623.748</v>
      </c>
      <c r="G15" t="n">
        <v>1247456605.586</v>
      </c>
      <c r="H15" t="n">
        <v>1228783389.4</v>
      </c>
      <c r="I15" t="n">
        <v>1458772613.43</v>
      </c>
      <c r="J15" t="n">
        <v>1604731442.464</v>
      </c>
      <c r="K15" t="n">
        <v>1660794629.702</v>
      </c>
      <c r="L15" t="n">
        <v>1971315928.946</v>
      </c>
      <c r="M15" t="n">
        <v>2097089980.887</v>
      </c>
      <c r="N15" t="n">
        <v>2090143499.334</v>
      </c>
      <c r="O15" t="n">
        <v>2260068445.94</v>
      </c>
      <c r="P15" t="n">
        <v>2594762468.687</v>
      </c>
      <c r="Q15" t="n">
        <v>2871478135.228</v>
      </c>
      <c r="R15" t="n">
        <v>3044652855.647</v>
      </c>
      <c r="S15" t="n">
        <v>3078257282.024</v>
      </c>
      <c r="T15" t="n">
        <v>2807365008.277</v>
      </c>
      <c r="U15" t="n">
        <v>3039904779.327</v>
      </c>
      <c r="V15" t="n">
        <v>3265234707.68</v>
      </c>
      <c r="W15" t="n">
        <v>3695559554.146</v>
      </c>
      <c r="X15" t="n">
        <v>4174624875.625</v>
      </c>
      <c r="Y15" t="n">
        <v>4289995350.209</v>
      </c>
      <c r="Z15" t="n">
        <v>4266755760.166</v>
      </c>
      <c r="AA15" t="n">
        <v>4829574250.291</v>
      </c>
      <c r="AB15" t="n">
        <v>5497738173.502</v>
      </c>
      <c r="AC15" t="n">
        <v>5659365924.501</v>
      </c>
      <c r="AD15" t="n">
        <v>6073336290.609</v>
      </c>
      <c r="AE15" t="n">
        <v>6171683293.441</v>
      </c>
      <c r="AF15" t="n">
        <v>6101661842.469</v>
      </c>
      <c r="AG15" t="n">
        <v>6649342842.611</v>
      </c>
      <c r="AH15" t="n">
        <v>6312192922.54</v>
      </c>
      <c r="AI15" t="n">
        <v>7074988448.538</v>
      </c>
      <c r="AJ15" t="n">
        <v>6983285658.978</v>
      </c>
      <c r="AK15" t="n">
        <v>6004703880.652</v>
      </c>
      <c r="AL15" t="n">
        <v>6410641740.259</v>
      </c>
      <c r="AM15" t="n">
        <v>6878064622.219</v>
      </c>
      <c r="AN15" t="n">
        <v>7377555667.564</v>
      </c>
      <c r="AO15" t="n">
        <v>7245446984.938</v>
      </c>
      <c r="AP15" t="n">
        <v>7330821563.741</v>
      </c>
      <c r="AQ15" t="n">
        <v>7552509077.179</v>
      </c>
      <c r="AR15" t="n">
        <v>7066982166.313</v>
      </c>
      <c r="AS15" t="n">
        <v>6830633087.021</v>
      </c>
      <c r="AT15" t="n">
        <v>7386588521.127</v>
      </c>
      <c r="AU15" t="n">
        <v>7447060223.587</v>
      </c>
      <c r="AV15" t="n">
        <v>7089701270.77</v>
      </c>
      <c r="AW15" t="n">
        <v>7751712920.931</v>
      </c>
      <c r="AX15" t="n">
        <v>8420138772.232</v>
      </c>
      <c r="AY15" t="n">
        <v>8472212271.868</v>
      </c>
      <c r="AZ15" t="n">
        <v>9358816857.688</v>
      </c>
      <c r="BA15" t="n">
        <v>9301467958.209</v>
      </c>
      <c r="BB15" t="n">
        <v>9212469711.990999</v>
      </c>
      <c r="BC15" t="n">
        <v>9484626408.84</v>
      </c>
      <c r="BD15" t="n">
        <v>8950851870.923</v>
      </c>
      <c r="BE15" t="n">
        <v>9318112733.594</v>
      </c>
      <c r="BF15" t="n">
        <v>9671748112.554001</v>
      </c>
      <c r="BG15" t="n">
        <v>8899810849.219999</v>
      </c>
      <c r="BH15" t="n">
        <v>9407075235.663</v>
      </c>
      <c r="BI15" t="n">
        <v>9866190772.636999</v>
      </c>
      <c r="BJ15" t="n">
        <v>9869696944.136</v>
      </c>
      <c r="BK15" t="n">
        <v>11393154094.618</v>
      </c>
      <c r="BL15" t="n">
        <v>11654985759.107</v>
      </c>
      <c r="BM15" t="n">
        <v>11160067721.636</v>
      </c>
      <c r="BN15" t="n">
        <v>11755200185.711</v>
      </c>
      <c r="BO15" t="n">
        <v>11971844763.194</v>
      </c>
      <c r="BP15" t="n">
        <v>13034493914.001</v>
      </c>
      <c r="BQ15" t="n">
        <v>13132464271.018</v>
      </c>
      <c r="BR15" t="n">
        <v>12820686434.188</v>
      </c>
      <c r="BS15" t="n">
        <v>12248783865.046</v>
      </c>
      <c r="BT15" t="n">
        <v>12989492706.43</v>
      </c>
    </row>
    <row r="16">
      <c r="A16" s="18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4208935464.723</v>
      </c>
      <c r="D16" t="n">
        <v>4333653853.617</v>
      </c>
      <c r="E16" t="n">
        <v>4541159570.888</v>
      </c>
      <c r="F16" t="n">
        <v>4747444001.947</v>
      </c>
      <c r="G16" t="n">
        <v>4825076688.083</v>
      </c>
      <c r="H16" t="n">
        <v>4813985243.334</v>
      </c>
      <c r="I16" t="n">
        <v>5736671532.296</v>
      </c>
      <c r="J16" t="n">
        <v>5823739763.396</v>
      </c>
      <c r="K16" t="n">
        <v>6205552266.392</v>
      </c>
      <c r="L16" t="n">
        <v>7183449107.906</v>
      </c>
      <c r="M16" t="n">
        <v>7840167632.146</v>
      </c>
      <c r="N16" t="n">
        <v>7658192501.679</v>
      </c>
      <c r="O16" t="n">
        <v>8168847798.763</v>
      </c>
      <c r="P16" t="n">
        <v>10220840065.163</v>
      </c>
      <c r="Q16" t="n">
        <v>10754247318.115</v>
      </c>
      <c r="R16" t="n">
        <v>11549253159.293</v>
      </c>
      <c r="S16" t="n">
        <v>12195885588.098</v>
      </c>
      <c r="T16" t="n">
        <v>10246658135.202</v>
      </c>
      <c r="U16" t="n">
        <v>11085889648.077</v>
      </c>
      <c r="V16" t="n">
        <v>11972342823.375</v>
      </c>
      <c r="W16" t="n">
        <v>12835679621.619</v>
      </c>
      <c r="X16" t="n">
        <v>14148198894.754</v>
      </c>
      <c r="Y16" t="n">
        <v>14892184656.692</v>
      </c>
      <c r="Z16" t="n">
        <v>15282914068.382</v>
      </c>
      <c r="AA16" t="n">
        <v>17612832236.779</v>
      </c>
      <c r="AB16" t="n">
        <v>23188912388.647</v>
      </c>
      <c r="AC16" t="n">
        <v>23443327505.487</v>
      </c>
      <c r="AD16" t="n">
        <v>23385751736.027</v>
      </c>
      <c r="AE16" t="n">
        <v>24571629531.816</v>
      </c>
      <c r="AF16" t="n">
        <v>24927729767.494</v>
      </c>
      <c r="AG16" t="n">
        <v>27055600176.432</v>
      </c>
      <c r="AH16" t="n">
        <v>22937393049.79</v>
      </c>
      <c r="AI16" t="n">
        <v>29564376985.573</v>
      </c>
      <c r="AJ16" t="n">
        <v>29559528513.713</v>
      </c>
      <c r="AK16" t="n">
        <v>23891637285.037</v>
      </c>
      <c r="AL16" t="n">
        <v>26261445762.188</v>
      </c>
      <c r="AM16" t="n">
        <v>25943119903.237</v>
      </c>
      <c r="AN16" t="n">
        <v>28570655701.121</v>
      </c>
      <c r="AO16" t="n">
        <v>28292728377.78</v>
      </c>
      <c r="AP16" t="n">
        <v>25449843562.301</v>
      </c>
      <c r="AQ16" t="n">
        <v>26658703298.104</v>
      </c>
      <c r="AR16" t="n">
        <v>26022122430.131</v>
      </c>
      <c r="AS16" t="n">
        <v>26349406649.374</v>
      </c>
      <c r="AT16" t="n">
        <v>29496510304.199</v>
      </c>
      <c r="AU16" t="n">
        <v>30236809529.49</v>
      </c>
      <c r="AV16" t="n">
        <v>27223105607.731</v>
      </c>
      <c r="AW16" t="n">
        <v>31660148583.824</v>
      </c>
      <c r="AX16" t="n">
        <v>35330997345.577</v>
      </c>
      <c r="AY16" t="n">
        <v>34159977096.982</v>
      </c>
      <c r="AZ16" t="n">
        <v>38664861463.404</v>
      </c>
      <c r="BA16" t="n">
        <v>35802333404.289</v>
      </c>
      <c r="BB16" t="n">
        <v>35856892612.213</v>
      </c>
      <c r="BC16" t="n">
        <v>38487124453.994</v>
      </c>
      <c r="BD16" t="n">
        <v>35903783365.726</v>
      </c>
      <c r="BE16" t="n">
        <v>37624535886.786</v>
      </c>
      <c r="BF16" t="n">
        <v>41831163013.176</v>
      </c>
      <c r="BG16" t="n">
        <v>35762941731.305</v>
      </c>
      <c r="BH16" t="n">
        <v>38174207560.092</v>
      </c>
      <c r="BI16" t="n">
        <v>41830779392.847</v>
      </c>
      <c r="BJ16" t="n">
        <v>44415391913.688</v>
      </c>
      <c r="BK16" t="n">
        <v>52134959336.042</v>
      </c>
      <c r="BL16" t="n">
        <v>50576269194.772</v>
      </c>
      <c r="BM16" t="n">
        <v>51107886037.115</v>
      </c>
      <c r="BN16" t="n">
        <v>52871651596.351</v>
      </c>
      <c r="BO16" t="n">
        <v>51755563825.997</v>
      </c>
      <c r="BP16" t="n">
        <v>55002122937.935</v>
      </c>
      <c r="BQ16" t="n">
        <v>54649374982.953</v>
      </c>
      <c r="BR16" t="n">
        <v>51070510606.52</v>
      </c>
      <c r="BS16" t="n">
        <v>46825981627.787</v>
      </c>
      <c r="BT16" t="n">
        <v>49722207222.577</v>
      </c>
    </row>
    <row r="17">
      <c r="A17" s="18" t="inlineStr">
        <is>
          <t>new_TE_noEEfix</t>
        </is>
      </c>
      <c r="B17" s="9" t="inlineStr">
        <is>
          <t>IMPLAUSIBLE - up to 29x the trophic-chain estimate; the solve is near-singular for this model</t>
        </is>
      </c>
      <c r="C17" t="n">
        <v>4208935464.723</v>
      </c>
      <c r="D17" t="n">
        <v>4333653853.617</v>
      </c>
      <c r="E17" t="n">
        <v>4541159570.888</v>
      </c>
      <c r="F17" t="n">
        <v>4747444001.947</v>
      </c>
      <c r="G17" t="n">
        <v>4825076688.083</v>
      </c>
      <c r="H17" t="n">
        <v>4813985243.334</v>
      </c>
      <c r="I17" t="n">
        <v>5736671532.296</v>
      </c>
      <c r="J17" t="n">
        <v>5823739763.396</v>
      </c>
      <c r="K17" t="n">
        <v>6205552266.392</v>
      </c>
      <c r="L17" t="n">
        <v>7183449107.906</v>
      </c>
      <c r="M17" t="n">
        <v>7840167632.146</v>
      </c>
      <c r="N17" t="n">
        <v>7658192501.679</v>
      </c>
      <c r="O17" t="n">
        <v>8168847798.763</v>
      </c>
      <c r="P17" t="n">
        <v>10220840065.163</v>
      </c>
      <c r="Q17" t="n">
        <v>10754247318.115</v>
      </c>
      <c r="R17" t="n">
        <v>11549253159.293</v>
      </c>
      <c r="S17" t="n">
        <v>12195885588.098</v>
      </c>
      <c r="T17" t="n">
        <v>10246658135.202</v>
      </c>
      <c r="U17" t="n">
        <v>11085889648.077</v>
      </c>
      <c r="V17" t="n">
        <v>11972342823.375</v>
      </c>
      <c r="W17" t="n">
        <v>12835679621.619</v>
      </c>
      <c r="X17" t="n">
        <v>14148198894.754</v>
      </c>
      <c r="Y17" t="n">
        <v>14892184656.692</v>
      </c>
      <c r="Z17" t="n">
        <v>15282914068.382</v>
      </c>
      <c r="AA17" t="n">
        <v>17612832236.779</v>
      </c>
      <c r="AB17" t="n">
        <v>23188912388.647</v>
      </c>
      <c r="AC17" t="n">
        <v>23443327505.487</v>
      </c>
      <c r="AD17" t="n">
        <v>23385751736.027</v>
      </c>
      <c r="AE17" t="n">
        <v>24571629531.816</v>
      </c>
      <c r="AF17" t="n">
        <v>24927729767.494</v>
      </c>
      <c r="AG17" t="n">
        <v>27055600176.432</v>
      </c>
      <c r="AH17" t="n">
        <v>22937393049.79</v>
      </c>
      <c r="AI17" t="n">
        <v>29564376985.573</v>
      </c>
      <c r="AJ17" t="n">
        <v>29559528513.713</v>
      </c>
      <c r="AK17" t="n">
        <v>23891637285.037</v>
      </c>
      <c r="AL17" t="n">
        <v>26261445762.188</v>
      </c>
      <c r="AM17" t="n">
        <v>25943119903.237</v>
      </c>
      <c r="AN17" t="n">
        <v>28570655701.121</v>
      </c>
      <c r="AO17" t="n">
        <v>28292728377.78</v>
      </c>
      <c r="AP17" t="n">
        <v>25449843562.301</v>
      </c>
      <c r="AQ17" t="n">
        <v>26658703298.104</v>
      </c>
      <c r="AR17" t="n">
        <v>26022122430.131</v>
      </c>
      <c r="AS17" t="n">
        <v>26349406649.374</v>
      </c>
      <c r="AT17" t="n">
        <v>29496510304.199</v>
      </c>
      <c r="AU17" t="n">
        <v>30236809529.49</v>
      </c>
      <c r="AV17" t="n">
        <v>27223105607.731</v>
      </c>
      <c r="AW17" t="n">
        <v>31660148583.824</v>
      </c>
      <c r="AX17" t="n">
        <v>35330997345.577</v>
      </c>
      <c r="AY17" t="n">
        <v>34159977096.982</v>
      </c>
      <c r="AZ17" t="n">
        <v>38664861463.404</v>
      </c>
      <c r="BA17" t="n">
        <v>35802333404.289</v>
      </c>
      <c r="BB17" t="n">
        <v>35856892612.213</v>
      </c>
      <c r="BC17" t="n">
        <v>38487124453.994</v>
      </c>
      <c r="BD17" t="n">
        <v>35903783365.726</v>
      </c>
      <c r="BE17" t="n">
        <v>37624535886.786</v>
      </c>
      <c r="BF17" t="n">
        <v>41831163013.176</v>
      </c>
      <c r="BG17" t="n">
        <v>35762941731.305</v>
      </c>
      <c r="BH17" t="n">
        <v>38174207560.092</v>
      </c>
      <c r="BI17" t="n">
        <v>41830779392.847</v>
      </c>
      <c r="BJ17" t="n">
        <v>44415391913.688</v>
      </c>
      <c r="BK17" t="n">
        <v>52134959336.042</v>
      </c>
      <c r="BL17" t="n">
        <v>50576269194.772</v>
      </c>
      <c r="BM17" t="n">
        <v>51107886037.115</v>
      </c>
      <c r="BN17" t="n">
        <v>52871651596.351</v>
      </c>
      <c r="BO17" t="n">
        <v>51755563825.997</v>
      </c>
      <c r="BP17" t="n">
        <v>55002122937.935</v>
      </c>
      <c r="BQ17" t="n">
        <v>54649374982.953</v>
      </c>
      <c r="BR17" t="n">
        <v>51070510606.52</v>
      </c>
      <c r="BS17" t="n">
        <v>46825981627.787</v>
      </c>
      <c r="BT17" t="n">
        <v>49722207222.577</v>
      </c>
    </row>
    <row r="18">
      <c r="A18" s="18" t="inlineStr">
        <is>
          <t>new_TE_EEfix</t>
        </is>
      </c>
      <c r="B18" s="9" t="inlineStr">
        <is>
          <t>IMPLAUSIBLE - up to 29x the trophic-chain estimate; the solve is near-singular for this model</t>
        </is>
      </c>
      <c r="C18" t="n">
        <v>4208935464.723</v>
      </c>
      <c r="D18" t="n">
        <v>4333653853.617</v>
      </c>
      <c r="E18" t="n">
        <v>4541159570.888</v>
      </c>
      <c r="F18" t="n">
        <v>4747444001.947</v>
      </c>
      <c r="G18" t="n">
        <v>4825076688.083</v>
      </c>
      <c r="H18" t="n">
        <v>4813985243.334</v>
      </c>
      <c r="I18" t="n">
        <v>5736671532.296</v>
      </c>
      <c r="J18" t="n">
        <v>5823739763.396</v>
      </c>
      <c r="K18" t="n">
        <v>6205552266.392</v>
      </c>
      <c r="L18" t="n">
        <v>7183449107.906</v>
      </c>
      <c r="M18" t="n">
        <v>7840167632.146</v>
      </c>
      <c r="N18" t="n">
        <v>7658192501.679</v>
      </c>
      <c r="O18" t="n">
        <v>8168847798.763</v>
      </c>
      <c r="P18" t="n">
        <v>10220840065.163</v>
      </c>
      <c r="Q18" t="n">
        <v>10754247318.115</v>
      </c>
      <c r="R18" t="n">
        <v>11549253159.293</v>
      </c>
      <c r="S18" t="n">
        <v>12195885588.098</v>
      </c>
      <c r="T18" t="n">
        <v>10246658135.202</v>
      </c>
      <c r="U18" t="n">
        <v>11085889648.077</v>
      </c>
      <c r="V18" t="n">
        <v>11972342823.375</v>
      </c>
      <c r="W18" t="n">
        <v>12835679621.619</v>
      </c>
      <c r="X18" t="n">
        <v>14148198894.754</v>
      </c>
      <c r="Y18" t="n">
        <v>14892184656.692</v>
      </c>
      <c r="Z18" t="n">
        <v>15282914068.382</v>
      </c>
      <c r="AA18" t="n">
        <v>17612832236.779</v>
      </c>
      <c r="AB18" t="n">
        <v>23188912388.647</v>
      </c>
      <c r="AC18" t="n">
        <v>23443327505.487</v>
      </c>
      <c r="AD18" t="n">
        <v>23385751736.027</v>
      </c>
      <c r="AE18" t="n">
        <v>24571629531.816</v>
      </c>
      <c r="AF18" t="n">
        <v>24927729767.494</v>
      </c>
      <c r="AG18" t="n">
        <v>27055600176.432</v>
      </c>
      <c r="AH18" t="n">
        <v>22937393049.79</v>
      </c>
      <c r="AI18" t="n">
        <v>29564376985.573</v>
      </c>
      <c r="AJ18" t="n">
        <v>29559528513.713</v>
      </c>
      <c r="AK18" t="n">
        <v>23891637285.037</v>
      </c>
      <c r="AL18" t="n">
        <v>26261445762.188</v>
      </c>
      <c r="AM18" t="n">
        <v>25943119903.237</v>
      </c>
      <c r="AN18" t="n">
        <v>28570655701.121</v>
      </c>
      <c r="AO18" t="n">
        <v>28292728377.78</v>
      </c>
      <c r="AP18" t="n">
        <v>25449843562.301</v>
      </c>
      <c r="AQ18" t="n">
        <v>26658703298.104</v>
      </c>
      <c r="AR18" t="n">
        <v>26022122430.131</v>
      </c>
      <c r="AS18" t="n">
        <v>26349406649.374</v>
      </c>
      <c r="AT18" t="n">
        <v>29496510304.199</v>
      </c>
      <c r="AU18" t="n">
        <v>30236809529.49</v>
      </c>
      <c r="AV18" t="n">
        <v>27223105607.731</v>
      </c>
      <c r="AW18" t="n">
        <v>31660148583.824</v>
      </c>
      <c r="AX18" t="n">
        <v>35330997345.577</v>
      </c>
      <c r="AY18" t="n">
        <v>34159977096.982</v>
      </c>
      <c r="AZ18" t="n">
        <v>38664861463.404</v>
      </c>
      <c r="BA18" t="n">
        <v>35802333404.289</v>
      </c>
      <c r="BB18" t="n">
        <v>35856892612.213</v>
      </c>
      <c r="BC18" t="n">
        <v>38487124453.994</v>
      </c>
      <c r="BD18" t="n">
        <v>35903783365.726</v>
      </c>
      <c r="BE18" t="n">
        <v>37624535886.786</v>
      </c>
      <c r="BF18" t="n">
        <v>41831163013.176</v>
      </c>
      <c r="BG18" t="n">
        <v>35762941731.305</v>
      </c>
      <c r="BH18" t="n">
        <v>38174207560.092</v>
      </c>
      <c r="BI18" t="n">
        <v>41830779392.847</v>
      </c>
      <c r="BJ18" t="n">
        <v>44415391913.688</v>
      </c>
      <c r="BK18" t="n">
        <v>52134959336.042</v>
      </c>
      <c r="BL18" t="n">
        <v>50576269194.772</v>
      </c>
      <c r="BM18" t="n">
        <v>51107886037.115</v>
      </c>
      <c r="BN18" t="n">
        <v>52871651596.351</v>
      </c>
      <c r="BO18" t="n">
        <v>51755563825.997</v>
      </c>
      <c r="BP18" t="n">
        <v>55002122937.935</v>
      </c>
      <c r="BQ18" t="n">
        <v>54649374982.953</v>
      </c>
      <c r="BR18" t="n">
        <v>51070510606.52</v>
      </c>
      <c r="BS18" t="n">
        <v>46825981627.787</v>
      </c>
      <c r="BT18" t="n">
        <v>49722207222.577</v>
      </c>
    </row>
    <row r="19">
      <c r="A19" t="inlineStr">
        <is>
          <t>new_GE</t>
        </is>
      </c>
      <c r="B19" t="inlineStr">
        <is>
          <t>ok</t>
        </is>
      </c>
      <c r="C19" t="n">
        <v>884013040.071</v>
      </c>
      <c r="D19" t="n">
        <v>917908353.86</v>
      </c>
      <c r="E19" t="n">
        <v>944510070.286</v>
      </c>
      <c r="F19" t="n">
        <v>995946610.6849999</v>
      </c>
      <c r="G19" t="n">
        <v>1014747669.513</v>
      </c>
      <c r="H19" t="n">
        <v>998770456.133</v>
      </c>
      <c r="I19" t="n">
        <v>1180039886.311</v>
      </c>
      <c r="J19" t="n">
        <v>1317193079.168</v>
      </c>
      <c r="K19" t="n">
        <v>1356703753.117</v>
      </c>
      <c r="L19" t="n">
        <v>1605183655.19</v>
      </c>
      <c r="M19" t="n">
        <v>1705888212.133</v>
      </c>
      <c r="N19" t="n">
        <v>1714744518.332</v>
      </c>
      <c r="O19" t="n">
        <v>1858159939.73</v>
      </c>
      <c r="P19" t="n">
        <v>2130225253.642</v>
      </c>
      <c r="Q19" t="n">
        <v>2360823664.904</v>
      </c>
      <c r="R19" t="n">
        <v>2501628674.632</v>
      </c>
      <c r="S19" t="n">
        <v>2530068087.097</v>
      </c>
      <c r="T19" t="n">
        <v>2310828725.555</v>
      </c>
      <c r="U19" t="n">
        <v>2501977638.681</v>
      </c>
      <c r="V19" t="n">
        <v>2683093614.471</v>
      </c>
      <c r="W19" t="n">
        <v>2981740483.711</v>
      </c>
      <c r="X19" t="n">
        <v>3369579204.665</v>
      </c>
      <c r="Y19" t="n">
        <v>3465406305.915</v>
      </c>
      <c r="Z19" t="n">
        <v>3444672464.426</v>
      </c>
      <c r="AA19" t="n">
        <v>3896193919.735</v>
      </c>
      <c r="AB19" t="n">
        <v>4425766590.89</v>
      </c>
      <c r="AC19" t="n">
        <v>4593336048.898</v>
      </c>
      <c r="AD19" t="n">
        <v>4939987882.243</v>
      </c>
      <c r="AE19" t="n">
        <v>5009306678.203</v>
      </c>
      <c r="AF19" t="n">
        <v>4951405058.731</v>
      </c>
      <c r="AG19" t="n">
        <v>5423182607.751</v>
      </c>
      <c r="AH19" t="n">
        <v>5183535318.948</v>
      </c>
      <c r="AI19" t="n">
        <v>5776338134.002</v>
      </c>
      <c r="AJ19" t="n">
        <v>5728220776.9</v>
      </c>
      <c r="AK19" t="n">
        <v>4947720726.827</v>
      </c>
      <c r="AL19" t="n">
        <v>5270862026.265</v>
      </c>
      <c r="AM19" t="n">
        <v>5675357939.31</v>
      </c>
      <c r="AN19" t="n">
        <v>6075525416.005</v>
      </c>
      <c r="AO19" t="n">
        <v>5968930503.886</v>
      </c>
      <c r="AP19" t="n">
        <v>5999007456.059</v>
      </c>
      <c r="AQ19" t="n">
        <v>6159055527.426</v>
      </c>
      <c r="AR19" t="n">
        <v>5784700548.627</v>
      </c>
      <c r="AS19" t="n">
        <v>5600635552.044</v>
      </c>
      <c r="AT19" t="n">
        <v>6067871162.735</v>
      </c>
      <c r="AU19" t="n">
        <v>6097809405.136</v>
      </c>
      <c r="AV19" t="n">
        <v>5806287830.796</v>
      </c>
      <c r="AW19" t="n">
        <v>6323932680.593</v>
      </c>
      <c r="AX19" t="n">
        <v>6859044750.805</v>
      </c>
      <c r="AY19" t="n">
        <v>6866335104.857</v>
      </c>
      <c r="AZ19" t="n">
        <v>7568789606.25</v>
      </c>
      <c r="BA19" t="n">
        <v>7584710069.861</v>
      </c>
      <c r="BB19" t="n">
        <v>7523792294.038</v>
      </c>
      <c r="BC19" t="n">
        <v>7759979884.439</v>
      </c>
      <c r="BD19" t="n">
        <v>7311449380.595</v>
      </c>
      <c r="BE19" t="n">
        <v>7584477514.671</v>
      </c>
      <c r="BF19" t="n">
        <v>7873815598.299</v>
      </c>
      <c r="BG19" t="n">
        <v>7241226824.758</v>
      </c>
      <c r="BH19" t="n">
        <v>7647363135.842</v>
      </c>
      <c r="BI19" t="n">
        <v>8004892461.776</v>
      </c>
      <c r="BJ19" t="n">
        <v>7987132658.338</v>
      </c>
      <c r="BK19" t="n">
        <v>9187864225.216999</v>
      </c>
      <c r="BL19" t="n">
        <v>9452261873.069</v>
      </c>
      <c r="BM19" t="n">
        <v>9022023598.924</v>
      </c>
      <c r="BN19" t="n">
        <v>9511097519.822001</v>
      </c>
      <c r="BO19" t="n">
        <v>9711400808.055</v>
      </c>
      <c r="BP19" t="n">
        <v>10576356026.949</v>
      </c>
      <c r="BQ19" t="n">
        <v>10671481999.108</v>
      </c>
      <c r="BR19" t="n">
        <v>10428865311.022</v>
      </c>
      <c r="BS19" t="n">
        <v>9973919146.790001</v>
      </c>
      <c r="BT19" t="n">
        <v>10589794812.883</v>
      </c>
    </row>
    <row r="20">
      <c r="A20" t="inlineStr">
        <is>
          <t>new_WithEgestion</t>
        </is>
      </c>
      <c r="B20" t="inlineStr">
        <is>
          <t>ok</t>
        </is>
      </c>
      <c r="C20" t="n">
        <v>285898632.676</v>
      </c>
      <c r="D20" t="n">
        <v>297322945.684</v>
      </c>
      <c r="E20" t="n">
        <v>305874490.21</v>
      </c>
      <c r="F20" t="n">
        <v>323128695.744</v>
      </c>
      <c r="G20" t="n">
        <v>329824077.543</v>
      </c>
      <c r="H20" t="n">
        <v>323896078.706</v>
      </c>
      <c r="I20" t="n">
        <v>381663488.465</v>
      </c>
      <c r="J20" t="n">
        <v>432669982.725</v>
      </c>
      <c r="K20" t="n">
        <v>443369538.527</v>
      </c>
      <c r="L20" t="n">
        <v>526253741.895</v>
      </c>
      <c r="M20" t="n">
        <v>557414045.849</v>
      </c>
      <c r="N20" t="n">
        <v>564486393.602</v>
      </c>
      <c r="O20" t="n">
        <v>614412614.933</v>
      </c>
      <c r="P20" t="n">
        <v>695366495.9579999</v>
      </c>
      <c r="Q20" t="n">
        <v>774551867.418</v>
      </c>
      <c r="R20" t="n">
        <v>818441390.4170001</v>
      </c>
      <c r="S20" t="n">
        <v>823919588.026</v>
      </c>
      <c r="T20" t="n">
        <v>761823214.05</v>
      </c>
      <c r="U20" t="n">
        <v>824795169.7920001</v>
      </c>
      <c r="V20" t="n">
        <v>881883987.822</v>
      </c>
      <c r="W20" t="n">
        <v>976271186.6670001</v>
      </c>
      <c r="X20" t="n">
        <v>1106022890.647</v>
      </c>
      <c r="Y20" t="n">
        <v>1136971541.995</v>
      </c>
      <c r="Z20" t="n">
        <v>1128836311.741</v>
      </c>
      <c r="AA20" t="n">
        <v>1271100491.875</v>
      </c>
      <c r="AB20" t="n">
        <v>1413229614.461</v>
      </c>
      <c r="AC20" t="n">
        <v>1479757954.131</v>
      </c>
      <c r="AD20" t="n">
        <v>1607297721.008</v>
      </c>
      <c r="AE20" t="n">
        <v>1625140646.157</v>
      </c>
      <c r="AF20" t="n">
        <v>1598618470.246</v>
      </c>
      <c r="AG20" t="n">
        <v>1761960879.796</v>
      </c>
      <c r="AH20" t="n">
        <v>1717357737.926</v>
      </c>
      <c r="AI20" t="n">
        <v>1867848145.443</v>
      </c>
      <c r="AJ20" t="n">
        <v>1851008453.936</v>
      </c>
      <c r="AK20" t="n">
        <v>1624471694.388</v>
      </c>
      <c r="AL20" t="n">
        <v>1721397328.897</v>
      </c>
      <c r="AM20" t="n">
        <v>1874763748.084</v>
      </c>
      <c r="AN20" t="n">
        <v>2002600622.506</v>
      </c>
      <c r="AO20" t="n">
        <v>1959459964.396</v>
      </c>
      <c r="AP20" t="n">
        <v>1991886188.424</v>
      </c>
      <c r="AQ20" t="n">
        <v>2032496985.692</v>
      </c>
      <c r="AR20" t="n">
        <v>1902317028.049</v>
      </c>
      <c r="AS20" t="n">
        <v>1833536012.131</v>
      </c>
      <c r="AT20" t="n">
        <v>1975228371.218</v>
      </c>
      <c r="AU20" t="n">
        <v>1978202186.75</v>
      </c>
      <c r="AV20" t="n">
        <v>1902437890.643</v>
      </c>
      <c r="AW20" t="n">
        <v>2052062912.375</v>
      </c>
      <c r="AX20" t="n">
        <v>2215936594.6</v>
      </c>
      <c r="AY20" t="n">
        <v>2224679954.602</v>
      </c>
      <c r="AZ20" t="n">
        <v>2435802253.082</v>
      </c>
      <c r="BA20" t="n">
        <v>2478158062.989</v>
      </c>
      <c r="BB20" t="n">
        <v>2455528259.666</v>
      </c>
      <c r="BC20" t="n">
        <v>2518336927.91</v>
      </c>
      <c r="BD20" t="n">
        <v>2373638956.242</v>
      </c>
      <c r="BE20" t="n">
        <v>2452082818.819</v>
      </c>
      <c r="BF20" t="n">
        <v>2519291000.524</v>
      </c>
      <c r="BG20" t="n">
        <v>2344644420.679</v>
      </c>
      <c r="BH20" t="n">
        <v>2470081684.514</v>
      </c>
      <c r="BI20" t="n">
        <v>2566473113.377</v>
      </c>
      <c r="BJ20" t="n">
        <v>2537073250.124</v>
      </c>
      <c r="BK20" t="n">
        <v>2890210722.322</v>
      </c>
      <c r="BL20" t="n">
        <v>3006685048.728</v>
      </c>
      <c r="BM20" t="n">
        <v>2830532528.462</v>
      </c>
      <c r="BN20" t="n">
        <v>3002905004.538</v>
      </c>
      <c r="BO20" t="n">
        <v>3088873409.763</v>
      </c>
      <c r="BP20" t="n">
        <v>3370606509.029</v>
      </c>
      <c r="BQ20" t="n">
        <v>3406362268.239</v>
      </c>
      <c r="BR20" t="n">
        <v>3353747952.392</v>
      </c>
      <c r="BS20" t="n">
        <v>3235485735.841</v>
      </c>
      <c r="BT20" t="n">
        <v>3431582949.509</v>
      </c>
    </row>
    <row r="21">
      <c r="A21" s="18" t="inlineStr">
        <is>
          <t>sym_TE_asPP</t>
        </is>
      </c>
      <c r="B21" s="9" t="inlineStr">
        <is>
          <t>IMPLAUSIBLE - up to 29x the trophic-chain estimate; the solve is near-singular for this model</t>
        </is>
      </c>
      <c r="C21" t="n">
        <v>4208935464.723</v>
      </c>
      <c r="D21" t="n">
        <v>4333653853.617</v>
      </c>
      <c r="E21" t="n">
        <v>4541159570.888</v>
      </c>
      <c r="F21" t="n">
        <v>4747444001.947</v>
      </c>
      <c r="G21" t="n">
        <v>4825076688.083</v>
      </c>
      <c r="H21" t="n">
        <v>4813985243.334</v>
      </c>
      <c r="I21" t="n">
        <v>5736671532.296</v>
      </c>
      <c r="J21" t="n">
        <v>5823739763.396</v>
      </c>
      <c r="K21" t="n">
        <v>6205552266.392</v>
      </c>
      <c r="L21" t="n">
        <v>7183449107.906</v>
      </c>
      <c r="M21" t="n">
        <v>7840167632.146</v>
      </c>
      <c r="N21" t="n">
        <v>7658192501.679</v>
      </c>
      <c r="O21" t="n">
        <v>8168847798.763</v>
      </c>
      <c r="P21" t="n">
        <v>10220840065.163</v>
      </c>
      <c r="Q21" t="n">
        <v>10754247318.115</v>
      </c>
      <c r="R21" t="n">
        <v>11549253159.293</v>
      </c>
      <c r="S21" t="n">
        <v>12195885588.098</v>
      </c>
      <c r="T21" t="n">
        <v>10246658135.202</v>
      </c>
      <c r="U21" t="n">
        <v>11085889648.077</v>
      </c>
      <c r="V21" t="n">
        <v>11972342823.375</v>
      </c>
      <c r="W21" t="n">
        <v>12835679621.619</v>
      </c>
      <c r="X21" t="n">
        <v>14148198894.754</v>
      </c>
      <c r="Y21" t="n">
        <v>14892184656.692</v>
      </c>
      <c r="Z21" t="n">
        <v>15282914068.382</v>
      </c>
      <c r="AA21" t="n">
        <v>17612832236.779</v>
      </c>
      <c r="AB21" t="n">
        <v>23188912388.647</v>
      </c>
      <c r="AC21" t="n">
        <v>23443327505.487</v>
      </c>
      <c r="AD21" t="n">
        <v>23385751736.027</v>
      </c>
      <c r="AE21" t="n">
        <v>24571629531.816</v>
      </c>
      <c r="AF21" t="n">
        <v>24927729767.494</v>
      </c>
      <c r="AG21" t="n">
        <v>27055600176.432</v>
      </c>
      <c r="AH21" t="n">
        <v>22937393049.79</v>
      </c>
      <c r="AI21" t="n">
        <v>29564376985.573</v>
      </c>
      <c r="AJ21" t="n">
        <v>29559528513.713</v>
      </c>
      <c r="AK21" t="n">
        <v>23891637285.037</v>
      </c>
      <c r="AL21" t="n">
        <v>26261445762.188</v>
      </c>
      <c r="AM21" t="n">
        <v>25943119903.237</v>
      </c>
      <c r="AN21" t="n">
        <v>28570655701.121</v>
      </c>
      <c r="AO21" t="n">
        <v>28292728377.78</v>
      </c>
      <c r="AP21" t="n">
        <v>25449843562.301</v>
      </c>
      <c r="AQ21" t="n">
        <v>26658703298.104</v>
      </c>
      <c r="AR21" t="n">
        <v>26022122430.131</v>
      </c>
      <c r="AS21" t="n">
        <v>26349406649.374</v>
      </c>
      <c r="AT21" t="n">
        <v>29496510304.199</v>
      </c>
      <c r="AU21" t="n">
        <v>30236809529.49</v>
      </c>
      <c r="AV21" t="n">
        <v>27223105607.731</v>
      </c>
      <c r="AW21" t="n">
        <v>31660148583.824</v>
      </c>
      <c r="AX21" t="n">
        <v>35330997345.577</v>
      </c>
      <c r="AY21" t="n">
        <v>34159977096.982</v>
      </c>
      <c r="AZ21" t="n">
        <v>38664861463.404</v>
      </c>
      <c r="BA21" t="n">
        <v>35802333404.289</v>
      </c>
      <c r="BB21" t="n">
        <v>35856892612.213</v>
      </c>
      <c r="BC21" t="n">
        <v>38487124453.994</v>
      </c>
      <c r="BD21" t="n">
        <v>35903783365.726</v>
      </c>
      <c r="BE21" t="n">
        <v>37624535886.786</v>
      </c>
      <c r="BF21" t="n">
        <v>41831163013.176</v>
      </c>
      <c r="BG21" t="n">
        <v>35762941731.305</v>
      </c>
      <c r="BH21" t="n">
        <v>38174207560.092</v>
      </c>
      <c r="BI21" t="n">
        <v>41830779392.847</v>
      </c>
      <c r="BJ21" t="n">
        <v>44415391913.688</v>
      </c>
      <c r="BK21" t="n">
        <v>52134959336.042</v>
      </c>
      <c r="BL21" t="n">
        <v>50576269194.772</v>
      </c>
      <c r="BM21" t="n">
        <v>51107886037.115</v>
      </c>
      <c r="BN21" t="n">
        <v>52871651596.351</v>
      </c>
      <c r="BO21" t="n">
        <v>51755563825.997</v>
      </c>
      <c r="BP21" t="n">
        <v>55002122937.935</v>
      </c>
      <c r="BQ21" t="n">
        <v>54649374982.953</v>
      </c>
      <c r="BR21" t="n">
        <v>51070510606.52</v>
      </c>
      <c r="BS21" t="n">
        <v>46825981627.787</v>
      </c>
      <c r="BT21" t="n">
        <v>49722207222.577</v>
      </c>
    </row>
    <row r="22">
      <c r="A22" s="18" t="inlineStr">
        <is>
          <t>sym_TE_asDC</t>
        </is>
      </c>
      <c r="B22" s="9" t="inlineStr">
        <is>
          <t>DIVERGED - negative SPPR in a source-model group</t>
        </is>
      </c>
      <c r="C22" t="n">
        <v>-12548809353.701</v>
      </c>
      <c r="D22" t="n">
        <v>-12949423329.104</v>
      </c>
      <c r="E22" t="n">
        <v>-13442891424.34</v>
      </c>
      <c r="F22" t="n">
        <v>-14066666616.613</v>
      </c>
      <c r="G22" t="n">
        <v>-14266044108.21</v>
      </c>
      <c r="H22" t="n">
        <v>-14201522539.736</v>
      </c>
      <c r="I22" t="n">
        <v>-16691437559.448</v>
      </c>
      <c r="J22" t="n">
        <v>-18144349006.855</v>
      </c>
      <c r="K22" t="n">
        <v>-18245318001.403</v>
      </c>
      <c r="L22" t="n">
        <v>-20568980086.461</v>
      </c>
      <c r="M22" t="n">
        <v>-22082515795.518</v>
      </c>
      <c r="N22" t="n">
        <v>-21847541320.524</v>
      </c>
      <c r="O22" t="n">
        <v>-23079519134.025</v>
      </c>
      <c r="P22" t="n">
        <v>-28048726438.388</v>
      </c>
      <c r="Q22" t="n">
        <v>-30110470635.637</v>
      </c>
      <c r="R22" t="n">
        <v>-32271027842.004</v>
      </c>
      <c r="S22" t="n">
        <v>-33874557954.779</v>
      </c>
      <c r="T22" t="n">
        <v>-29709931158.22</v>
      </c>
      <c r="U22" t="n">
        <v>-31778649093.489</v>
      </c>
      <c r="V22" t="n">
        <v>-34021428811.62</v>
      </c>
      <c r="W22" t="n">
        <v>-37209952094.387</v>
      </c>
      <c r="X22" t="n">
        <v>-42469782586.589</v>
      </c>
      <c r="Y22" t="n">
        <v>-43198371511.661</v>
      </c>
      <c r="Z22" t="n">
        <v>-43740351299.624</v>
      </c>
      <c r="AA22" t="n">
        <v>-49290782717.678</v>
      </c>
      <c r="AB22" t="n">
        <v>-61854867948.541</v>
      </c>
      <c r="AC22" t="n">
        <v>-64369846552.737</v>
      </c>
      <c r="AD22" t="n">
        <v>-66060022714.357</v>
      </c>
      <c r="AE22" t="n">
        <v>-68373336927.866</v>
      </c>
      <c r="AF22" t="n">
        <v>-68829712155.412</v>
      </c>
      <c r="AG22" t="n">
        <v>-73981984584.608</v>
      </c>
      <c r="AH22" t="n">
        <v>-66145370603.887</v>
      </c>
      <c r="AI22" t="n">
        <v>-81398029056.41299</v>
      </c>
      <c r="AJ22" t="n">
        <v>-81632123396.196</v>
      </c>
      <c r="AK22" t="n">
        <v>-68865763063.358</v>
      </c>
      <c r="AL22" t="n">
        <v>-75156032683.88901</v>
      </c>
      <c r="AM22" t="n">
        <v>-76145226377.67799</v>
      </c>
      <c r="AN22" t="n">
        <v>-83651721688.933</v>
      </c>
      <c r="AO22" t="n">
        <v>-85747336285.65199</v>
      </c>
      <c r="AP22" t="n">
        <v>-76490670068.966</v>
      </c>
      <c r="AQ22" t="n">
        <v>-77300621969.39999</v>
      </c>
      <c r="AR22" t="n">
        <v>-76893538038.93401</v>
      </c>
      <c r="AS22" t="n">
        <v>-78995890176.793</v>
      </c>
      <c r="AT22" t="n">
        <v>-84264205452.895</v>
      </c>
      <c r="AU22" t="n">
        <v>-87378971769.47501</v>
      </c>
      <c r="AV22" t="n">
        <v>-80317238687.353</v>
      </c>
      <c r="AW22" t="n">
        <v>-91263540028.79601</v>
      </c>
      <c r="AX22" t="n">
        <v>-101961762699.439</v>
      </c>
      <c r="AY22" t="n">
        <v>-99205257788.817</v>
      </c>
      <c r="AZ22" t="n">
        <v>-110527773922.749</v>
      </c>
      <c r="BA22" t="n">
        <v>-105740309523.583</v>
      </c>
      <c r="BB22" t="n">
        <v>-105398534699.287</v>
      </c>
      <c r="BC22" t="n">
        <v>-112953270958.609</v>
      </c>
      <c r="BD22" t="n">
        <v>-107103517119.388</v>
      </c>
      <c r="BE22" t="n">
        <v>-110728129539.015</v>
      </c>
      <c r="BF22" t="n">
        <v>-119708105194.226</v>
      </c>
      <c r="BG22" t="n">
        <v>-106254796575.111</v>
      </c>
      <c r="BH22" t="n">
        <v>-112914963446.501</v>
      </c>
      <c r="BI22" t="n">
        <v>-121361609510.315</v>
      </c>
      <c r="BJ22" t="n">
        <v>-125538708782.572</v>
      </c>
      <c r="BK22" t="n">
        <v>-146118086071.837</v>
      </c>
      <c r="BL22" t="n">
        <v>-146106985890.026</v>
      </c>
      <c r="BM22" t="n">
        <v>-145916854793.855</v>
      </c>
      <c r="BN22" t="n">
        <v>-151484978383.464</v>
      </c>
      <c r="BO22" t="n">
        <v>-153139147214.183</v>
      </c>
      <c r="BP22" t="n">
        <v>-165351264694.86</v>
      </c>
      <c r="BQ22" t="n">
        <v>-168427971283.667</v>
      </c>
      <c r="BR22" t="n">
        <v>-168572485172.502</v>
      </c>
      <c r="BS22" t="n">
        <v>-159355769839.057</v>
      </c>
      <c r="BT22" t="n">
        <v>-166818623925.759</v>
      </c>
    </row>
    <row r="23">
      <c r="A23" t="inlineStr">
        <is>
          <t>sym_GE_asPP</t>
        </is>
      </c>
      <c r="B23" t="inlineStr">
        <is>
          <t>ok</t>
        </is>
      </c>
      <c r="C23" t="n">
        <v>884013040.071</v>
      </c>
      <c r="D23" t="n">
        <v>917908353.86</v>
      </c>
      <c r="E23" t="n">
        <v>944510070.286</v>
      </c>
      <c r="F23" t="n">
        <v>995946610.6849999</v>
      </c>
      <c r="G23" t="n">
        <v>1014747669.513</v>
      </c>
      <c r="H23" t="n">
        <v>998770456.133</v>
      </c>
      <c r="I23" t="n">
        <v>1180039886.311</v>
      </c>
      <c r="J23" t="n">
        <v>1317193079.168</v>
      </c>
      <c r="K23" t="n">
        <v>1356703753.117</v>
      </c>
      <c r="L23" t="n">
        <v>1605183655.19</v>
      </c>
      <c r="M23" t="n">
        <v>1705888212.133</v>
      </c>
      <c r="N23" t="n">
        <v>1714744518.332</v>
      </c>
      <c r="O23" t="n">
        <v>1858159939.73</v>
      </c>
      <c r="P23" t="n">
        <v>2130225253.642</v>
      </c>
      <c r="Q23" t="n">
        <v>2360823664.904</v>
      </c>
      <c r="R23" t="n">
        <v>2501628674.632</v>
      </c>
      <c r="S23" t="n">
        <v>2530068087.097</v>
      </c>
      <c r="T23" t="n">
        <v>2310828725.555</v>
      </c>
      <c r="U23" t="n">
        <v>2501977638.681</v>
      </c>
      <c r="V23" t="n">
        <v>2683093614.471</v>
      </c>
      <c r="W23" t="n">
        <v>2981740483.711</v>
      </c>
      <c r="X23" t="n">
        <v>3369579204.665</v>
      </c>
      <c r="Y23" t="n">
        <v>3465406305.915</v>
      </c>
      <c r="Z23" t="n">
        <v>3444672464.426</v>
      </c>
      <c r="AA23" t="n">
        <v>3896193919.735</v>
      </c>
      <c r="AB23" t="n">
        <v>4425766590.89</v>
      </c>
      <c r="AC23" t="n">
        <v>4593336048.898</v>
      </c>
      <c r="AD23" t="n">
        <v>4939987882.243</v>
      </c>
      <c r="AE23" t="n">
        <v>5009306678.203</v>
      </c>
      <c r="AF23" t="n">
        <v>4951405058.731</v>
      </c>
      <c r="AG23" t="n">
        <v>5423182607.751</v>
      </c>
      <c r="AH23" t="n">
        <v>5183535318.948</v>
      </c>
      <c r="AI23" t="n">
        <v>5776338134.002</v>
      </c>
      <c r="AJ23" t="n">
        <v>5728220776.9</v>
      </c>
      <c r="AK23" t="n">
        <v>4947720726.827</v>
      </c>
      <c r="AL23" t="n">
        <v>5270862026.265</v>
      </c>
      <c r="AM23" t="n">
        <v>5675357939.31</v>
      </c>
      <c r="AN23" t="n">
        <v>6075525416.005</v>
      </c>
      <c r="AO23" t="n">
        <v>5968930503.886</v>
      </c>
      <c r="AP23" t="n">
        <v>5999007456.059</v>
      </c>
      <c r="AQ23" t="n">
        <v>6159055527.426</v>
      </c>
      <c r="AR23" t="n">
        <v>5784700548.627</v>
      </c>
      <c r="AS23" t="n">
        <v>5600635552.044</v>
      </c>
      <c r="AT23" t="n">
        <v>6067871162.735</v>
      </c>
      <c r="AU23" t="n">
        <v>6097809405.136</v>
      </c>
      <c r="AV23" t="n">
        <v>5806287830.796</v>
      </c>
      <c r="AW23" t="n">
        <v>6323932680.593</v>
      </c>
      <c r="AX23" t="n">
        <v>6859044750.805</v>
      </c>
      <c r="AY23" t="n">
        <v>6866335104.857</v>
      </c>
      <c r="AZ23" t="n">
        <v>7568789606.25</v>
      </c>
      <c r="BA23" t="n">
        <v>7584710069.861</v>
      </c>
      <c r="BB23" t="n">
        <v>7523792294.038</v>
      </c>
      <c r="BC23" t="n">
        <v>7759979884.439</v>
      </c>
      <c r="BD23" t="n">
        <v>7311449380.595</v>
      </c>
      <c r="BE23" t="n">
        <v>7584477514.671</v>
      </c>
      <c r="BF23" t="n">
        <v>7873815598.299</v>
      </c>
      <c r="BG23" t="n">
        <v>7241226824.758</v>
      </c>
      <c r="BH23" t="n">
        <v>7647363135.842</v>
      </c>
      <c r="BI23" t="n">
        <v>8004892461.776</v>
      </c>
      <c r="BJ23" t="n">
        <v>7987132658.338</v>
      </c>
      <c r="BK23" t="n">
        <v>9187864225.216999</v>
      </c>
      <c r="BL23" t="n">
        <v>9452261873.069</v>
      </c>
      <c r="BM23" t="n">
        <v>9022023598.924</v>
      </c>
      <c r="BN23" t="n">
        <v>9511097519.822001</v>
      </c>
      <c r="BO23" t="n">
        <v>9711400808.055</v>
      </c>
      <c r="BP23" t="n">
        <v>10576356026.949</v>
      </c>
      <c r="BQ23" t="n">
        <v>10671481999.108</v>
      </c>
      <c r="BR23" t="n">
        <v>10428865311.022</v>
      </c>
      <c r="BS23" t="n">
        <v>9973919146.790001</v>
      </c>
      <c r="BT23" t="n">
        <v>10589794812.883</v>
      </c>
    </row>
    <row r="24">
      <c r="A24" t="inlineStr">
        <is>
          <t>sym_GE_asDC</t>
        </is>
      </c>
      <c r="B24" t="inlineStr">
        <is>
          <t>ok</t>
        </is>
      </c>
      <c r="C24" t="n">
        <v>884171522.544</v>
      </c>
      <c r="D24" t="n">
        <v>918072933.402</v>
      </c>
      <c r="E24" t="n">
        <v>944679494.903</v>
      </c>
      <c r="F24" t="n">
        <v>996125244.7460001</v>
      </c>
      <c r="G24" t="n">
        <v>1014929746.196</v>
      </c>
      <c r="H24" t="n">
        <v>998949557.753</v>
      </c>
      <c r="I24" t="n">
        <v>1180251574.115</v>
      </c>
      <c r="J24" t="n">
        <v>1317428882.892</v>
      </c>
      <c r="K24" t="n">
        <v>1356947047.338</v>
      </c>
      <c r="L24" t="n">
        <v>1605471413.52</v>
      </c>
      <c r="M24" t="n">
        <v>1706193788.559</v>
      </c>
      <c r="N24" t="n">
        <v>1715051537.981</v>
      </c>
      <c r="O24" t="n">
        <v>1858492586.848</v>
      </c>
      <c r="P24" t="n">
        <v>2130606351.116</v>
      </c>
      <c r="Q24" t="n">
        <v>2361245846.183</v>
      </c>
      <c r="R24" t="n">
        <v>2502076018.083</v>
      </c>
      <c r="S24" t="n">
        <v>2530520990.587</v>
      </c>
      <c r="T24" t="n">
        <v>2311242940.915</v>
      </c>
      <c r="U24" t="n">
        <v>2502426203.722</v>
      </c>
      <c r="V24" t="n">
        <v>2683574364.813</v>
      </c>
      <c r="W24" t="n">
        <v>2982274712.134</v>
      </c>
      <c r="X24" t="n">
        <v>3370182775.789</v>
      </c>
      <c r="Y24" t="n">
        <v>3466026803.128</v>
      </c>
      <c r="Z24" t="n">
        <v>3445289841.447</v>
      </c>
      <c r="AA24" t="n">
        <v>3896891532.197</v>
      </c>
      <c r="AB24" t="n">
        <v>4426558616.367</v>
      </c>
      <c r="AC24" t="n">
        <v>4594159079.762</v>
      </c>
      <c r="AD24" t="n">
        <v>4940873388.911</v>
      </c>
      <c r="AE24" t="n">
        <v>5010204354.379</v>
      </c>
      <c r="AF24" t="n">
        <v>4952292670.742</v>
      </c>
      <c r="AG24" t="n">
        <v>5424154631.979</v>
      </c>
      <c r="AH24" t="n">
        <v>5184466060.351</v>
      </c>
      <c r="AI24" t="n">
        <v>5777373505.572</v>
      </c>
      <c r="AJ24" t="n">
        <v>5729247500.749</v>
      </c>
      <c r="AK24" t="n">
        <v>4948610588.826</v>
      </c>
      <c r="AL24" t="n">
        <v>5271809622.565</v>
      </c>
      <c r="AM24" t="n">
        <v>5676379615.196</v>
      </c>
      <c r="AN24" t="n">
        <v>6076617912.852</v>
      </c>
      <c r="AO24" t="n">
        <v>5970003968.763</v>
      </c>
      <c r="AP24" t="n">
        <v>6000087643.188</v>
      </c>
      <c r="AQ24" t="n">
        <v>6160163483.149</v>
      </c>
      <c r="AR24" t="n">
        <v>5785739633.924</v>
      </c>
      <c r="AS24" t="n">
        <v>5601641178.9</v>
      </c>
      <c r="AT24" t="n">
        <v>6068960767.282</v>
      </c>
      <c r="AU24" t="n">
        <v>6098904970.793</v>
      </c>
      <c r="AV24" t="n">
        <v>5807331495.768</v>
      </c>
      <c r="AW24" t="n">
        <v>6325068041.683</v>
      </c>
      <c r="AX24" t="n">
        <v>6860276147.315</v>
      </c>
      <c r="AY24" t="n">
        <v>6867567512.708</v>
      </c>
      <c r="AZ24" t="n">
        <v>7570147841.997</v>
      </c>
      <c r="BA24" t="n">
        <v>7586073549.554</v>
      </c>
      <c r="BB24" t="n">
        <v>7525144600.484</v>
      </c>
      <c r="BC24" t="n">
        <v>7761374883.562</v>
      </c>
      <c r="BD24" t="n">
        <v>7312762797.02</v>
      </c>
      <c r="BE24" t="n">
        <v>7585839413.095</v>
      </c>
      <c r="BF24" t="n">
        <v>7875228417.472</v>
      </c>
      <c r="BG24" t="n">
        <v>7242526965.786</v>
      </c>
      <c r="BH24" t="n">
        <v>7648736187.074</v>
      </c>
      <c r="BI24" t="n">
        <v>8006327617.564</v>
      </c>
      <c r="BJ24" t="n">
        <v>7988563174.119</v>
      </c>
      <c r="BK24" t="n">
        <v>9189508215.407</v>
      </c>
      <c r="BL24" t="n">
        <v>9453956720.919001</v>
      </c>
      <c r="BM24" t="n">
        <v>9023638351.045</v>
      </c>
      <c r="BN24" t="n">
        <v>9512802155.636</v>
      </c>
      <c r="BO24" t="n">
        <v>9713142875.565001</v>
      </c>
      <c r="BP24" t="n">
        <v>10578253977.036</v>
      </c>
      <c r="BQ24" t="n">
        <v>10673396851.054</v>
      </c>
      <c r="BR24" t="n">
        <v>10430737588.334</v>
      </c>
      <c r="BS24" t="n">
        <v>9975710828.976999</v>
      </c>
      <c r="BT24" t="n">
        <v>10591697344.551</v>
      </c>
    </row>
    <row r="25">
      <c r="A25" t="inlineStr">
        <is>
          <t>sym_WithEgestion_asPP</t>
        </is>
      </c>
      <c r="B25" t="inlineStr">
        <is>
          <t>ok</t>
        </is>
      </c>
      <c r="C25" t="n">
        <v>285898632.676</v>
      </c>
      <c r="D25" t="n">
        <v>297322945.684</v>
      </c>
      <c r="E25" t="n">
        <v>305874490.21</v>
      </c>
      <c r="F25" t="n">
        <v>323128695.744</v>
      </c>
      <c r="G25" t="n">
        <v>329824077.543</v>
      </c>
      <c r="H25" t="n">
        <v>323896078.706</v>
      </c>
      <c r="I25" t="n">
        <v>381663488.465</v>
      </c>
      <c r="J25" t="n">
        <v>432669982.725</v>
      </c>
      <c r="K25" t="n">
        <v>443369538.527</v>
      </c>
      <c r="L25" t="n">
        <v>526253741.895</v>
      </c>
      <c r="M25" t="n">
        <v>557414045.849</v>
      </c>
      <c r="N25" t="n">
        <v>564486393.602</v>
      </c>
      <c r="O25" t="n">
        <v>614412614.933</v>
      </c>
      <c r="P25" t="n">
        <v>695366495.9579999</v>
      </c>
      <c r="Q25" t="n">
        <v>774551867.418</v>
      </c>
      <c r="R25" t="n">
        <v>818441390.4170001</v>
      </c>
      <c r="S25" t="n">
        <v>823919588.026</v>
      </c>
      <c r="T25" t="n">
        <v>761823214.05</v>
      </c>
      <c r="U25" t="n">
        <v>824795169.7920001</v>
      </c>
      <c r="V25" t="n">
        <v>881883987.822</v>
      </c>
      <c r="W25" t="n">
        <v>976271186.6670001</v>
      </c>
      <c r="X25" t="n">
        <v>1106022890.647</v>
      </c>
      <c r="Y25" t="n">
        <v>1136971541.995</v>
      </c>
      <c r="Z25" t="n">
        <v>1128836311.741</v>
      </c>
      <c r="AA25" t="n">
        <v>1271100491.875</v>
      </c>
      <c r="AB25" t="n">
        <v>1413229614.461</v>
      </c>
      <c r="AC25" t="n">
        <v>1479757954.131</v>
      </c>
      <c r="AD25" t="n">
        <v>1607297721.008</v>
      </c>
      <c r="AE25" t="n">
        <v>1625140646.157</v>
      </c>
      <c r="AF25" t="n">
        <v>1598618470.246</v>
      </c>
      <c r="AG25" t="n">
        <v>1761960879.796</v>
      </c>
      <c r="AH25" t="n">
        <v>1717357737.926</v>
      </c>
      <c r="AI25" t="n">
        <v>1867848145.443</v>
      </c>
      <c r="AJ25" t="n">
        <v>1851008453.936</v>
      </c>
      <c r="AK25" t="n">
        <v>1624471694.388</v>
      </c>
      <c r="AL25" t="n">
        <v>1721397328.897</v>
      </c>
      <c r="AM25" t="n">
        <v>1874763748.084</v>
      </c>
      <c r="AN25" t="n">
        <v>2002600622.506</v>
      </c>
      <c r="AO25" t="n">
        <v>1959459964.396</v>
      </c>
      <c r="AP25" t="n">
        <v>1991886188.424</v>
      </c>
      <c r="AQ25" t="n">
        <v>2032496985.692</v>
      </c>
      <c r="AR25" t="n">
        <v>1902317028.049</v>
      </c>
      <c r="AS25" t="n">
        <v>1833536012.131</v>
      </c>
      <c r="AT25" t="n">
        <v>1975228371.218</v>
      </c>
      <c r="AU25" t="n">
        <v>1978202186.75</v>
      </c>
      <c r="AV25" t="n">
        <v>1902437890.643</v>
      </c>
      <c r="AW25" t="n">
        <v>2052062912.375</v>
      </c>
      <c r="AX25" t="n">
        <v>2215936594.6</v>
      </c>
      <c r="AY25" t="n">
        <v>2224679954.602</v>
      </c>
      <c r="AZ25" t="n">
        <v>2435802253.082</v>
      </c>
      <c r="BA25" t="n">
        <v>2478158062.989</v>
      </c>
      <c r="BB25" t="n">
        <v>2455528259.666</v>
      </c>
      <c r="BC25" t="n">
        <v>2518336927.91</v>
      </c>
      <c r="BD25" t="n">
        <v>2373638956.242</v>
      </c>
      <c r="BE25" t="n">
        <v>2452082818.819</v>
      </c>
      <c r="BF25" t="n">
        <v>2519291000.524</v>
      </c>
      <c r="BG25" t="n">
        <v>2344644420.679</v>
      </c>
      <c r="BH25" t="n">
        <v>2470081684.514</v>
      </c>
      <c r="BI25" t="n">
        <v>2566473113.377</v>
      </c>
      <c r="BJ25" t="n">
        <v>2537073250.124</v>
      </c>
      <c r="BK25" t="n">
        <v>2890210722.322</v>
      </c>
      <c r="BL25" t="n">
        <v>3006685048.728</v>
      </c>
      <c r="BM25" t="n">
        <v>2830532528.462</v>
      </c>
      <c r="BN25" t="n">
        <v>3002905004.538</v>
      </c>
      <c r="BO25" t="n">
        <v>3088873409.763</v>
      </c>
      <c r="BP25" t="n">
        <v>3370606509.029</v>
      </c>
      <c r="BQ25" t="n">
        <v>3406362268.239</v>
      </c>
      <c r="BR25" t="n">
        <v>3353747952.392</v>
      </c>
      <c r="BS25" t="n">
        <v>3235485735.841</v>
      </c>
      <c r="BT25" t="n">
        <v>3431582949.509</v>
      </c>
    </row>
    <row r="26">
      <c r="A26" s="18" t="inlineStr">
        <is>
          <t>sym_WithEgestion_asDC</t>
        </is>
      </c>
      <c r="B26" s="9" t="inlineStr">
        <is>
          <t>DIVERGED - negative SPPR in a source-model group</t>
        </is>
      </c>
      <c r="C26" t="n">
        <v>-40969769053.627</v>
      </c>
      <c r="D26" t="n">
        <v>-42610465842.659</v>
      </c>
      <c r="E26" t="n">
        <v>-43716327696.057</v>
      </c>
      <c r="F26" t="n">
        <v>-46078473121.689</v>
      </c>
      <c r="G26" t="n">
        <v>-47053832999.127</v>
      </c>
      <c r="H26" t="n">
        <v>-46148654619.318</v>
      </c>
      <c r="I26" t="n">
        <v>-53809896385.868</v>
      </c>
      <c r="J26" t="n">
        <v>-60624228428.405</v>
      </c>
      <c r="K26" t="n">
        <v>-60603972243.623</v>
      </c>
      <c r="L26" t="n">
        <v>-68950703467.35899</v>
      </c>
      <c r="M26" t="n">
        <v>-70964781747.49699</v>
      </c>
      <c r="N26" t="n">
        <v>-72301826311.752</v>
      </c>
      <c r="O26" t="n">
        <v>-75824688217.446</v>
      </c>
      <c r="P26" t="n">
        <v>-84367177192.32201</v>
      </c>
      <c r="Q26" t="n">
        <v>-93536940547.145</v>
      </c>
      <c r="R26" t="n">
        <v>-98731591060.689</v>
      </c>
      <c r="S26" t="n">
        <v>-102746952638.615</v>
      </c>
      <c r="T26" t="n">
        <v>-99748481124.73399</v>
      </c>
      <c r="U26" t="n">
        <v>-105943525569.132</v>
      </c>
      <c r="V26" t="n">
        <v>-112874454798.143</v>
      </c>
      <c r="W26" t="n">
        <v>-126997518087.889</v>
      </c>
      <c r="X26" t="n">
        <v>-146766583222.683</v>
      </c>
      <c r="Y26" t="n">
        <v>-146777815911.738</v>
      </c>
      <c r="Z26" t="n">
        <v>-145275236886.32</v>
      </c>
      <c r="AA26" t="n">
        <v>-158357222414.589</v>
      </c>
      <c r="AB26" t="n">
        <v>-172936724844.396</v>
      </c>
      <c r="AC26" t="n">
        <v>-189670733503.235</v>
      </c>
      <c r="AD26" t="n">
        <v>-209805137780.262</v>
      </c>
      <c r="AE26" t="n">
        <v>-207726349894.662</v>
      </c>
      <c r="AF26" t="n">
        <v>-205093906899.383</v>
      </c>
      <c r="AG26" t="n">
        <v>-222905880885.444</v>
      </c>
      <c r="AH26" t="n">
        <v>-223678207829.252</v>
      </c>
      <c r="AI26" t="n">
        <v>-240620130499.067</v>
      </c>
      <c r="AJ26" t="n">
        <v>-240140167603.545</v>
      </c>
      <c r="AK26" t="n">
        <v>-225878449273.948</v>
      </c>
      <c r="AL26" t="n">
        <v>-239996894338.462</v>
      </c>
      <c r="AM26" t="n">
        <v>-264563500807.599</v>
      </c>
      <c r="AN26" t="n">
        <v>-279708097817.074</v>
      </c>
      <c r="AO26" t="n">
        <v>-281880269941.281</v>
      </c>
      <c r="AP26" t="n">
        <v>-283490521593.352</v>
      </c>
      <c r="AQ26" t="n">
        <v>-279002775128.083</v>
      </c>
      <c r="AR26" t="n">
        <v>-263362850624.691</v>
      </c>
      <c r="AS26" t="n">
        <v>-259124918718.909</v>
      </c>
      <c r="AT26" t="n">
        <v>-269495648872.129</v>
      </c>
      <c r="AU26" t="n">
        <v>-277062415786.405</v>
      </c>
      <c r="AV26" t="n">
        <v>-268315177161.05</v>
      </c>
      <c r="AW26" t="n">
        <v>-282654507105.669</v>
      </c>
      <c r="AX26" t="n">
        <v>-305552567705.329</v>
      </c>
      <c r="AY26" t="n">
        <v>-307197828774.764</v>
      </c>
      <c r="AZ26" t="n">
        <v>-331375737854.548</v>
      </c>
      <c r="BA26" t="n">
        <v>-348310665116.057</v>
      </c>
      <c r="BB26" t="n">
        <v>-342594003248.522</v>
      </c>
      <c r="BC26" t="n">
        <v>-355083546211.089</v>
      </c>
      <c r="BD26" t="n">
        <v>-335622561815.318</v>
      </c>
      <c r="BE26" t="n">
        <v>-343404142419.908</v>
      </c>
      <c r="BF26" t="n">
        <v>-347239212223.09</v>
      </c>
      <c r="BG26" t="n">
        <v>-330985556413.816</v>
      </c>
      <c r="BH26" t="n">
        <v>-347702908809.729</v>
      </c>
      <c r="BI26" t="n">
        <v>-352165846477.527</v>
      </c>
      <c r="BJ26" t="n">
        <v>-339574964717.414</v>
      </c>
      <c r="BK26" t="n">
        <v>-387574197849.873</v>
      </c>
      <c r="BL26" t="n">
        <v>-413298344844.08</v>
      </c>
      <c r="BM26" t="n">
        <v>-384265466665.506</v>
      </c>
      <c r="BN26" t="n">
        <v>-408074939932.658</v>
      </c>
      <c r="BO26" t="n">
        <v>-434309318098.35</v>
      </c>
      <c r="BP26" t="n">
        <v>-482780799185.277</v>
      </c>
      <c r="BQ26" t="n">
        <v>-499681307819.925</v>
      </c>
      <c r="BR26" t="n">
        <v>-518939725497.116</v>
      </c>
      <c r="BS26" t="n">
        <v>-509613996504.57</v>
      </c>
      <c r="BT26" t="n">
        <v>-535868421070.891</v>
      </c>
    </row>
    <row r="27">
      <c r="A27" t="inlineStr">
        <is>
          <t>MC_new_GE</t>
        </is>
      </c>
      <c r="B27" t="inlineStr">
        <is>
          <t>ok</t>
        </is>
      </c>
      <c r="C27" t="n">
        <v>983854787.671</v>
      </c>
      <c r="D27" t="n">
        <v>1021452282.508</v>
      </c>
      <c r="E27" t="n">
        <v>1051353241.602</v>
      </c>
      <c r="F27" t="n">
        <v>1108469375.273</v>
      </c>
      <c r="G27" t="n">
        <v>1129306508.313</v>
      </c>
      <c r="H27" t="n">
        <v>1111894137.491</v>
      </c>
      <c r="I27" t="n">
        <v>1313836466.384</v>
      </c>
      <c r="J27" t="n">
        <v>1465130203.321</v>
      </c>
      <c r="K27" t="n">
        <v>1509160302.292</v>
      </c>
      <c r="L27" t="n">
        <v>1784417043.794</v>
      </c>
      <c r="M27" t="n">
        <v>1897157617.023</v>
      </c>
      <c r="N27" t="n">
        <v>1906134437.57</v>
      </c>
      <c r="O27" t="n">
        <v>2065169786.747</v>
      </c>
      <c r="P27" t="n">
        <v>2370832966.781</v>
      </c>
      <c r="Q27" t="n">
        <v>2625433743.897</v>
      </c>
      <c r="R27" t="n">
        <v>2782444863.209</v>
      </c>
      <c r="S27" t="n">
        <v>2816103796.637</v>
      </c>
      <c r="T27" t="n">
        <v>2568786109.738</v>
      </c>
      <c r="U27" t="n">
        <v>2781042933.579</v>
      </c>
      <c r="V27" t="n">
        <v>2982894787.803</v>
      </c>
      <c r="W27" t="n">
        <v>3314077799.291</v>
      </c>
      <c r="X27" t="n">
        <v>3744132983.601</v>
      </c>
      <c r="Y27" t="n">
        <v>3851531585.88</v>
      </c>
      <c r="Z27" t="n">
        <v>3830010176.969</v>
      </c>
      <c r="AA27" t="n">
        <v>4333204225.144</v>
      </c>
      <c r="AB27" t="n">
        <v>4934650445.97</v>
      </c>
      <c r="AC27" t="n">
        <v>5117300919.039</v>
      </c>
      <c r="AD27" t="n">
        <v>5497145317.982</v>
      </c>
      <c r="AE27" t="n">
        <v>5577261147.956</v>
      </c>
      <c r="AF27" t="n">
        <v>5515113276.789</v>
      </c>
      <c r="AG27" t="n">
        <v>6037028657.73</v>
      </c>
      <c r="AH27" t="n">
        <v>5759685752.609</v>
      </c>
      <c r="AI27" t="n">
        <v>6432779001.48</v>
      </c>
      <c r="AJ27" t="n">
        <v>6380459286.766</v>
      </c>
      <c r="AK27" t="n">
        <v>5504260007.794</v>
      </c>
      <c r="AL27" t="n">
        <v>5867130482.472</v>
      </c>
      <c r="AM27" t="n">
        <v>6308511631.844</v>
      </c>
      <c r="AN27" t="n">
        <v>6754931773.369</v>
      </c>
      <c r="AO27" t="n">
        <v>6637950402.418</v>
      </c>
      <c r="AP27" t="n">
        <v>6661060050.821</v>
      </c>
      <c r="AQ27" t="n">
        <v>6842813917.851</v>
      </c>
      <c r="AR27" t="n">
        <v>6431162600.532</v>
      </c>
      <c r="AS27" t="n">
        <v>6230886187.598</v>
      </c>
      <c r="AT27" t="n">
        <v>6755562760.149</v>
      </c>
      <c r="AU27" t="n">
        <v>6790807242.009</v>
      </c>
      <c r="AV27" t="n">
        <v>6459158734.948</v>
      </c>
      <c r="AW27" t="n">
        <v>7041839193.381</v>
      </c>
      <c r="AX27" t="n">
        <v>7640569222.088</v>
      </c>
      <c r="AY27" t="n">
        <v>7644218511.041</v>
      </c>
      <c r="AZ27" t="n">
        <v>8430213372.053</v>
      </c>
      <c r="BA27" t="n">
        <v>8438783482.694</v>
      </c>
      <c r="BB27" t="n">
        <v>8372866531.008</v>
      </c>
      <c r="BC27" t="n">
        <v>8641491151.795</v>
      </c>
      <c r="BD27" t="n">
        <v>8141324083.976</v>
      </c>
      <c r="BE27" t="n">
        <v>8447589754.87</v>
      </c>
      <c r="BF27" t="n">
        <v>8779846640.356001</v>
      </c>
      <c r="BG27" t="n">
        <v>8064894147.155</v>
      </c>
      <c r="BH27" t="n">
        <v>8518237827.128</v>
      </c>
      <c r="BI27" t="n">
        <v>8923986826.934999</v>
      </c>
      <c r="BJ27" t="n">
        <v>8912829635.16</v>
      </c>
      <c r="BK27" t="n">
        <v>10258631657.574</v>
      </c>
      <c r="BL27" t="n">
        <v>10541362988.002</v>
      </c>
      <c r="BM27" t="n">
        <v>10074067399.945</v>
      </c>
      <c r="BN27" t="n">
        <v>10613362375.674</v>
      </c>
      <c r="BO27" t="n">
        <v>10829115072.86</v>
      </c>
      <c r="BP27" t="n">
        <v>11791008288.432</v>
      </c>
      <c r="BQ27" t="n">
        <v>11893463420.865</v>
      </c>
      <c r="BR27" t="n">
        <v>11614919065.23</v>
      </c>
      <c r="BS27" t="n">
        <v>11100031463.82</v>
      </c>
      <c r="BT27" t="n">
        <v>11786499373.469</v>
      </c>
    </row>
    <row r="28">
      <c r="A28" s="18" t="inlineStr">
        <is>
          <t>MC_new_TE_EEfix</t>
        </is>
      </c>
      <c r="B28" s="9" t="inlineStr">
        <is>
          <t>IMPLAUSIBLE - up to 34x the trophic-chain estimate; the solve is near-singular for this model</t>
        </is>
      </c>
      <c r="C28" t="n">
        <v>4868246615.873</v>
      </c>
      <c r="D28" t="n">
        <v>5009591852.81</v>
      </c>
      <c r="E28" t="n">
        <v>5256456242.734</v>
      </c>
      <c r="F28" t="n">
        <v>5492282658.928</v>
      </c>
      <c r="G28" t="n">
        <v>5580572232.986</v>
      </c>
      <c r="H28" t="n">
        <v>5574057658.984</v>
      </c>
      <c r="I28" t="n">
        <v>6643256138.919</v>
      </c>
      <c r="J28" t="n">
        <v>6695988587.106</v>
      </c>
      <c r="K28" t="n">
        <v>7145443053.139</v>
      </c>
      <c r="L28" t="n">
        <v>8242681611.774</v>
      </c>
      <c r="M28" t="n">
        <v>9010891873.26</v>
      </c>
      <c r="N28" t="n">
        <v>8785464298.542</v>
      </c>
      <c r="O28" t="n">
        <v>9353304697.305</v>
      </c>
      <c r="P28" t="n">
        <v>11789087853.814</v>
      </c>
      <c r="Q28" t="n">
        <v>12344797564.127</v>
      </c>
      <c r="R28" t="n">
        <v>13264864931.335</v>
      </c>
      <c r="S28" t="n">
        <v>14079518755.431</v>
      </c>
      <c r="T28" t="n">
        <v>11759050585.592</v>
      </c>
      <c r="U28" t="n">
        <v>12712146891.695</v>
      </c>
      <c r="V28" t="n">
        <v>13740370579.421</v>
      </c>
      <c r="W28" t="n">
        <v>14667276408.149</v>
      </c>
      <c r="X28" t="n">
        <v>16127100507.181</v>
      </c>
      <c r="Y28" t="n">
        <v>17014197939.853</v>
      </c>
      <c r="Z28" t="n">
        <v>17512839571.926</v>
      </c>
      <c r="AA28" t="n">
        <v>20200638946.719</v>
      </c>
      <c r="AB28" t="n">
        <v>26941409671.226</v>
      </c>
      <c r="AC28" t="n">
        <v>27194598487.205</v>
      </c>
      <c r="AD28" t="n">
        <v>26970206388.194</v>
      </c>
      <c r="AE28" t="n">
        <v>28404912066.218</v>
      </c>
      <c r="AF28" t="n">
        <v>28881141675.266</v>
      </c>
      <c r="AG28" t="n">
        <v>31319876910.216</v>
      </c>
      <c r="AH28" t="n">
        <v>26301543657.646</v>
      </c>
      <c r="AI28" t="n">
        <v>34297731841.386</v>
      </c>
      <c r="AJ28" t="n">
        <v>34333957666.688</v>
      </c>
      <c r="AK28" t="n">
        <v>27646533515.816</v>
      </c>
      <c r="AL28" t="n">
        <v>30457413807.28</v>
      </c>
      <c r="AM28" t="n">
        <v>29891183033.148</v>
      </c>
      <c r="AN28" t="n">
        <v>32980937202.525</v>
      </c>
      <c r="AO28" t="n">
        <v>32678687501.31</v>
      </c>
      <c r="AP28" t="n">
        <v>29081854037.012</v>
      </c>
      <c r="AQ28" t="n">
        <v>30519655794.523</v>
      </c>
      <c r="AR28" t="n">
        <v>29893266835.132</v>
      </c>
      <c r="AS28" t="n">
        <v>30397336963.081</v>
      </c>
      <c r="AT28" t="n">
        <v>34122138252.433</v>
      </c>
      <c r="AU28" t="n">
        <v>35035551905.888</v>
      </c>
      <c r="AV28" t="n">
        <v>31402034111.391</v>
      </c>
      <c r="AW28" t="n">
        <v>36693677195.344</v>
      </c>
      <c r="AX28" t="n">
        <v>41043425210.446</v>
      </c>
      <c r="AY28" t="n">
        <v>39561120930.512</v>
      </c>
      <c r="AZ28" t="n">
        <v>44852013030.124</v>
      </c>
      <c r="BA28" t="n">
        <v>41308263119.293</v>
      </c>
      <c r="BB28" t="n">
        <v>41406666046.729</v>
      </c>
      <c r="BC28" t="n">
        <v>44607853438.922</v>
      </c>
      <c r="BD28" t="n">
        <v>41572910115.192</v>
      </c>
      <c r="BE28" t="n">
        <v>43585534223.829</v>
      </c>
      <c r="BF28" t="n">
        <v>48720637238.039</v>
      </c>
      <c r="BG28" t="n">
        <v>41437377539.224</v>
      </c>
      <c r="BH28" t="n">
        <v>44260011780.903</v>
      </c>
      <c r="BI28" t="n">
        <v>48656685147.126</v>
      </c>
      <c r="BJ28" t="n">
        <v>51870223278.722</v>
      </c>
      <c r="BK28" t="n">
        <v>60988444508.36</v>
      </c>
      <c r="BL28" t="n">
        <v>58934167646.492</v>
      </c>
      <c r="BM28" t="n">
        <v>59788624359.926</v>
      </c>
      <c r="BN28" t="n">
        <v>61767034693.155</v>
      </c>
      <c r="BO28" t="n">
        <v>60309971590.932</v>
      </c>
      <c r="BP28" t="n">
        <v>63987955955.674</v>
      </c>
      <c r="BQ28" t="n">
        <v>63509634329.613</v>
      </c>
      <c r="BR28" t="n">
        <v>59172442899.503</v>
      </c>
      <c r="BS28" t="n">
        <v>54071611733.261</v>
      </c>
      <c r="BT28" t="n">
        <v>57438396460.85</v>
      </c>
    </row>
    <row r="29">
      <c r="A29" t="inlineStr">
        <is>
          <t>SPPR_1995_TEmean_catch</t>
        </is>
      </c>
      <c r="B29" t="inlineStr">
        <is>
          <t>ok</t>
        </is>
      </c>
      <c r="C29" t="n">
        <v>89236802.09999999</v>
      </c>
      <c r="D29" t="n">
        <v>93306474.45200001</v>
      </c>
      <c r="E29" t="n">
        <v>95973113.684</v>
      </c>
      <c r="F29" t="n">
        <v>102455954.992</v>
      </c>
      <c r="G29" t="n">
        <v>104816075.562</v>
      </c>
      <c r="H29" t="n">
        <v>103648661.308</v>
      </c>
      <c r="I29" t="n">
        <v>120503059.017</v>
      </c>
      <c r="J29" t="n">
        <v>156717736.989</v>
      </c>
      <c r="K29" t="n">
        <v>168663240.586</v>
      </c>
      <c r="L29" t="n">
        <v>222413528.002</v>
      </c>
      <c r="M29" t="n">
        <v>247099325.683</v>
      </c>
      <c r="N29" t="n">
        <v>258166399.945</v>
      </c>
      <c r="O29" t="n">
        <v>299492122.485</v>
      </c>
      <c r="P29" t="n">
        <v>332210251.992</v>
      </c>
      <c r="Q29" t="n">
        <v>391208889.455</v>
      </c>
      <c r="R29" t="n">
        <v>420810595.165</v>
      </c>
      <c r="S29" t="n">
        <v>377968936.175</v>
      </c>
      <c r="T29" t="n">
        <v>333789742.382</v>
      </c>
      <c r="U29" t="n">
        <v>376000170.637</v>
      </c>
      <c r="V29" t="n">
        <v>397473069.43</v>
      </c>
      <c r="W29" t="n">
        <v>425458398.371</v>
      </c>
      <c r="X29" t="n">
        <v>494890184.319</v>
      </c>
      <c r="Y29" t="n">
        <v>507756327.362</v>
      </c>
      <c r="Z29" t="n">
        <v>488290472.981</v>
      </c>
      <c r="AA29" t="n">
        <v>580490134.501</v>
      </c>
      <c r="AB29" t="n">
        <v>560977100.299</v>
      </c>
      <c r="AC29" t="n">
        <v>587973531.046</v>
      </c>
      <c r="AD29" t="n">
        <v>660907760.118</v>
      </c>
      <c r="AE29" t="n">
        <v>684810568.78</v>
      </c>
      <c r="AF29" t="n">
        <v>653919019.709</v>
      </c>
      <c r="AG29" t="n">
        <v>745158813.655</v>
      </c>
      <c r="AH29" t="n">
        <v>752808027.572</v>
      </c>
      <c r="AI29" t="n">
        <v>768896197.459</v>
      </c>
      <c r="AJ29" t="n">
        <v>756170848.183</v>
      </c>
      <c r="AK29" t="n">
        <v>594514689.2589999</v>
      </c>
      <c r="AL29" t="n">
        <v>613444997.689</v>
      </c>
      <c r="AM29" t="n">
        <v>680201962.141</v>
      </c>
      <c r="AN29" t="n">
        <v>736312105.916</v>
      </c>
      <c r="AO29" t="n">
        <v>718271185.402</v>
      </c>
      <c r="AP29" t="n">
        <v>756377084.978</v>
      </c>
      <c r="AQ29" t="n">
        <v>782037312.71</v>
      </c>
      <c r="AR29" t="n">
        <v>773502088.5549999</v>
      </c>
      <c r="AS29" t="n">
        <v>723902102.373</v>
      </c>
      <c r="AT29" t="n">
        <v>769664168.74</v>
      </c>
      <c r="AU29" t="n">
        <v>729366586.045</v>
      </c>
      <c r="AV29" t="n">
        <v>725627411.709</v>
      </c>
      <c r="AW29" t="n">
        <v>774829672.692</v>
      </c>
      <c r="AX29" t="n">
        <v>816597884.222</v>
      </c>
      <c r="AY29" t="n">
        <v>843136780.83</v>
      </c>
      <c r="AZ29" t="n">
        <v>918002957.8609999</v>
      </c>
      <c r="BA29" t="n">
        <v>941134530.631</v>
      </c>
      <c r="BB29" t="n">
        <v>943565517.911</v>
      </c>
      <c r="BC29" t="n">
        <v>910542702.691</v>
      </c>
      <c r="BD29" t="n">
        <v>893076424.631</v>
      </c>
      <c r="BE29" t="n">
        <v>918266365.9630001</v>
      </c>
      <c r="BF29" t="n">
        <v>913337990.386</v>
      </c>
      <c r="BG29" t="n">
        <v>866953513.318</v>
      </c>
      <c r="BH29" t="n">
        <v>904688608.436</v>
      </c>
      <c r="BI29" t="n">
        <v>959131700.604</v>
      </c>
      <c r="BJ29" t="n">
        <v>949534293.932</v>
      </c>
      <c r="BK29" t="n">
        <v>1044642604.24</v>
      </c>
      <c r="BL29" t="n">
        <v>1077997455.869</v>
      </c>
      <c r="BM29" t="n">
        <v>1011162973.771</v>
      </c>
      <c r="BN29" t="n">
        <v>1042686917.577</v>
      </c>
      <c r="BO29" t="n">
        <v>1069564011.995</v>
      </c>
      <c r="BP29" t="n">
        <v>1180763852.841</v>
      </c>
      <c r="BQ29" t="n">
        <v>1221210554.112</v>
      </c>
      <c r="BR29" t="n">
        <v>1201976755.774</v>
      </c>
      <c r="BS29" t="n">
        <v>1184796838.81</v>
      </c>
      <c r="BT29" t="n">
        <v>1238869931.962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498851558.668</v>
      </c>
      <c r="D30" t="n">
        <v>520363409.229</v>
      </c>
      <c r="E30" t="n">
        <v>529872420.701</v>
      </c>
      <c r="F30" t="n">
        <v>563769915.442</v>
      </c>
      <c r="G30" t="n">
        <v>572759885.798</v>
      </c>
      <c r="H30" t="n">
        <v>563934181.5369999</v>
      </c>
      <c r="I30" t="n">
        <v>659675780.915</v>
      </c>
      <c r="J30" t="n">
        <v>826612915.512</v>
      </c>
      <c r="K30" t="n">
        <v>896307681.268</v>
      </c>
      <c r="L30" t="n">
        <v>1177409475.816</v>
      </c>
      <c r="M30" t="n">
        <v>1297974979.148</v>
      </c>
      <c r="N30" t="n">
        <v>1340327603.442</v>
      </c>
      <c r="O30" t="n">
        <v>1545057046.522</v>
      </c>
      <c r="P30" t="n">
        <v>1717537704.134</v>
      </c>
      <c r="Q30" t="n">
        <v>2024737229.31</v>
      </c>
      <c r="R30" t="n">
        <v>2172726134.41</v>
      </c>
      <c r="S30" t="n">
        <v>1966283130.006</v>
      </c>
      <c r="T30" t="n">
        <v>1739157013.763</v>
      </c>
      <c r="U30" t="n">
        <v>1955339690.202</v>
      </c>
      <c r="V30" t="n">
        <v>2079774938.739</v>
      </c>
      <c r="W30" t="n">
        <v>2258037020.626</v>
      </c>
      <c r="X30" t="n">
        <v>2613858375.25</v>
      </c>
      <c r="Y30" t="n">
        <v>2672123175.346</v>
      </c>
      <c r="Z30" t="n">
        <v>2556708460.543</v>
      </c>
      <c r="AA30" t="n">
        <v>3041999639.063</v>
      </c>
      <c r="AB30" t="n">
        <v>2996175946.458</v>
      </c>
      <c r="AC30" t="n">
        <v>3091110202.257</v>
      </c>
      <c r="AD30" t="n">
        <v>3473167982.077</v>
      </c>
      <c r="AE30" t="n">
        <v>3545431983.317</v>
      </c>
      <c r="AF30" t="n">
        <v>3403597395.88</v>
      </c>
      <c r="AG30" t="n">
        <v>3842833683.741</v>
      </c>
      <c r="AH30" t="n">
        <v>3851745613.887</v>
      </c>
      <c r="AI30" t="n">
        <v>3988035619.66</v>
      </c>
      <c r="AJ30" t="n">
        <v>3921256071.966</v>
      </c>
      <c r="AK30" t="n">
        <v>3059015816.285</v>
      </c>
      <c r="AL30" t="n">
        <v>3173709031.177</v>
      </c>
      <c r="AM30" t="n">
        <v>3535626603.635</v>
      </c>
      <c r="AN30" t="n">
        <v>3808898292.501</v>
      </c>
      <c r="AO30" t="n">
        <v>3745957129.042</v>
      </c>
      <c r="AP30" t="n">
        <v>3950914648.05</v>
      </c>
      <c r="AQ30" t="n">
        <v>4097565256.634</v>
      </c>
      <c r="AR30" t="n">
        <v>3995345101.595</v>
      </c>
      <c r="AS30" t="n">
        <v>3746550877.889</v>
      </c>
      <c r="AT30" t="n">
        <v>4013076002.587</v>
      </c>
      <c r="AU30" t="n">
        <v>3821233271.247</v>
      </c>
      <c r="AV30" t="n">
        <v>3745979174.655</v>
      </c>
      <c r="AW30" t="n">
        <v>4028192260.859</v>
      </c>
      <c r="AX30" t="n">
        <v>4238050126.923</v>
      </c>
      <c r="AY30" t="n">
        <v>4366689420.624</v>
      </c>
      <c r="AZ30" t="n">
        <v>4843219271.283</v>
      </c>
      <c r="BA30" t="n">
        <v>4877004089.309</v>
      </c>
      <c r="BB30" t="n">
        <v>4897806199.004</v>
      </c>
      <c r="BC30" t="n">
        <v>4767656120.053</v>
      </c>
      <c r="BD30" t="n">
        <v>4651835796.553</v>
      </c>
      <c r="BE30" t="n">
        <v>4826481983.772</v>
      </c>
      <c r="BF30" t="n">
        <v>4820018159.481</v>
      </c>
      <c r="BG30" t="n">
        <v>4535501749.206</v>
      </c>
      <c r="BH30" t="n">
        <v>4762815436.228</v>
      </c>
      <c r="BI30" t="n">
        <v>5055330350.804</v>
      </c>
      <c r="BJ30" t="n">
        <v>5010636628.449</v>
      </c>
      <c r="BK30" t="n">
        <v>5660725567.542</v>
      </c>
      <c r="BL30" t="n">
        <v>5853334124.442</v>
      </c>
      <c r="BM30" t="n">
        <v>5594228920.727</v>
      </c>
      <c r="BN30" t="n">
        <v>5771494811.542</v>
      </c>
      <c r="BO30" t="n">
        <v>5898664020.398</v>
      </c>
      <c r="BP30" t="n">
        <v>6501214068.873</v>
      </c>
      <c r="BQ30" t="n">
        <v>6728754972.901</v>
      </c>
      <c r="BR30" t="n">
        <v>6583319012.095</v>
      </c>
      <c r="BS30" t="n">
        <v>6385790606.999</v>
      </c>
      <c r="BT30" t="n">
        <v>6730880532.971</v>
      </c>
    </row>
    <row r="32">
      <c r="A32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3">
      <c r="A33" s="18" t="inlineStr">
        <is>
          <t>7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97.05</v>
      </c>
      <c r="D35" t="n">
        <v>97.09999999999999</v>
      </c>
      <c r="E35" t="n">
        <v>97.06</v>
      </c>
      <c r="F35" t="n">
        <v>97.18000000000001</v>
      </c>
      <c r="G35" t="n">
        <v>97.72</v>
      </c>
      <c r="H35" t="n">
        <v>97.64</v>
      </c>
      <c r="I35" t="n">
        <v>98.16</v>
      </c>
      <c r="J35" t="n">
        <v>98.16</v>
      </c>
      <c r="K35" t="n">
        <v>98.54000000000001</v>
      </c>
      <c r="L35" t="n">
        <v>98.63</v>
      </c>
      <c r="M35" t="n">
        <v>98.37</v>
      </c>
      <c r="N35" t="n">
        <v>98.31999999999999</v>
      </c>
      <c r="O35" t="n">
        <v>98.34</v>
      </c>
      <c r="P35" t="n">
        <v>98.14</v>
      </c>
      <c r="Q35" t="n">
        <v>98.23</v>
      </c>
      <c r="R35" t="n">
        <v>97.83</v>
      </c>
      <c r="S35" t="n">
        <v>97.68000000000001</v>
      </c>
      <c r="T35" t="n">
        <v>98.33</v>
      </c>
      <c r="U35" t="n">
        <v>98.34</v>
      </c>
      <c r="V35" t="n">
        <v>98.37</v>
      </c>
      <c r="W35" t="n">
        <v>98.86</v>
      </c>
      <c r="X35" t="n">
        <v>98.97</v>
      </c>
      <c r="Y35" t="n">
        <v>99.02</v>
      </c>
      <c r="Z35" t="n">
        <v>99.02</v>
      </c>
      <c r="AA35" t="n">
        <v>99.08</v>
      </c>
      <c r="AB35" t="n">
        <v>99.19</v>
      </c>
      <c r="AC35" t="n">
        <v>99.33</v>
      </c>
      <c r="AD35" t="n">
        <v>99.2</v>
      </c>
      <c r="AE35" t="n">
        <v>99.11</v>
      </c>
      <c r="AF35" t="n">
        <v>99.15000000000001</v>
      </c>
      <c r="AG35" t="n">
        <v>99.28</v>
      </c>
      <c r="AH35" t="n">
        <v>99.27</v>
      </c>
      <c r="AI35" t="n">
        <v>99.23999999999999</v>
      </c>
      <c r="AJ35" t="n">
        <v>99.09</v>
      </c>
      <c r="AK35" t="n">
        <v>98.98</v>
      </c>
      <c r="AL35" t="n">
        <v>98.91</v>
      </c>
      <c r="AM35" t="n">
        <v>98.89</v>
      </c>
      <c r="AN35" t="n">
        <v>98.78</v>
      </c>
      <c r="AO35" t="n">
        <v>98.45999999999999</v>
      </c>
      <c r="AP35" t="n">
        <v>98.45</v>
      </c>
      <c r="AQ35" t="n">
        <v>98.22</v>
      </c>
      <c r="AR35" t="n">
        <v>98.05</v>
      </c>
      <c r="AS35" t="n">
        <v>98.01000000000001</v>
      </c>
      <c r="AT35" t="n">
        <v>98.01000000000001</v>
      </c>
      <c r="AU35" t="n">
        <v>98.02</v>
      </c>
      <c r="AV35" t="n">
        <v>98.26000000000001</v>
      </c>
      <c r="AW35" t="n">
        <v>98.33</v>
      </c>
      <c r="AX35" t="n">
        <v>98.42</v>
      </c>
      <c r="AY35" t="n">
        <v>98.42</v>
      </c>
      <c r="AZ35" t="n">
        <v>98.38</v>
      </c>
      <c r="BA35" t="n">
        <v>98.37</v>
      </c>
      <c r="BB35" t="n">
        <v>98.40000000000001</v>
      </c>
      <c r="BC35" t="n">
        <v>98.31999999999999</v>
      </c>
      <c r="BD35" t="n">
        <v>98.22</v>
      </c>
      <c r="BE35" t="n">
        <v>98.13</v>
      </c>
      <c r="BF35" t="n">
        <v>98.34</v>
      </c>
      <c r="BG35" t="n">
        <v>98.8</v>
      </c>
      <c r="BH35" t="n">
        <v>98.81999999999999</v>
      </c>
      <c r="BI35" t="n">
        <v>98.61</v>
      </c>
      <c r="BJ35" t="n">
        <v>98.87</v>
      </c>
      <c r="BK35" t="n">
        <v>98.86</v>
      </c>
      <c r="BL35" t="n">
        <v>98.65000000000001</v>
      </c>
      <c r="BM35" t="n">
        <v>98.53</v>
      </c>
      <c r="BN35" t="n">
        <v>98.66</v>
      </c>
      <c r="BO35" t="n">
        <v>98.70999999999999</v>
      </c>
      <c r="BP35" t="n">
        <v>98.68000000000001</v>
      </c>
      <c r="BQ35" t="n">
        <v>98.59</v>
      </c>
      <c r="BR35" t="n">
        <v>98.59</v>
      </c>
      <c r="BS35" t="n">
        <v>98.70999999999999</v>
      </c>
      <c r="BT35" t="n">
        <v>98.66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  <c r="Y4" s="19" t="inlineStr">
        <is>
          <t>SPPR_1995_TEmean_catch</t>
        </is>
      </c>
      <c r="Z4" s="19" t="inlineStr">
        <is>
          <t>Ulanowicz_globalTEmean_catch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Côtier L pred | Côtier M pred | Côtier M inv | Côtier S pred | Côtier S inv | Dem L pred | Dem L inv | Dem M pred | Dem M inv | Dem S pred | Dem S inv</t>
        </is>
      </c>
      <c r="H5" t="n">
        <v>2018.695561</v>
      </c>
      <c r="I5" t="n">
        <v>1211.444176</v>
      </c>
      <c r="J5" t="n">
        <v>1938.458457</v>
      </c>
      <c r="K5" t="n">
        <v>1690.422181</v>
      </c>
      <c r="L5" t="n">
        <v>5569.671963</v>
      </c>
      <c r="M5" t="n">
        <v>4489.530498</v>
      </c>
      <c r="N5" t="n">
        <v>4489.530498</v>
      </c>
      <c r="O5" t="n">
        <v>831.906964</v>
      </c>
      <c r="P5" t="n">
        <v>190.310804</v>
      </c>
      <c r="Q5" t="n">
        <v>4489.530498</v>
      </c>
      <c r="R5" t="n">
        <v>-17357.039238</v>
      </c>
      <c r="S5" t="n">
        <v>831.906964</v>
      </c>
      <c r="T5" t="n">
        <v>831.906964</v>
      </c>
      <c r="U5" t="n">
        <v>190.310804</v>
      </c>
      <c r="V5" t="n">
        <v>3365.041061</v>
      </c>
      <c r="W5" t="n">
        <v>883.912743</v>
      </c>
      <c r="X5" t="n">
        <v>4837.598062</v>
      </c>
      <c r="Z5" t="n">
        <v>826.939089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1" t="inlineStr">
        <is>
          <t>Ethmalose</t>
        </is>
      </c>
      <c r="H6" t="n">
        <v>52.80134</v>
      </c>
      <c r="I6" t="n">
        <v>62.491057</v>
      </c>
      <c r="J6" t="n">
        <v>62.491057</v>
      </c>
      <c r="K6" t="n">
        <v>59.366504</v>
      </c>
      <c r="L6" t="n">
        <v>91.491097</v>
      </c>
      <c r="M6" t="n">
        <v>76.866697</v>
      </c>
      <c r="N6" t="n">
        <v>76.866697</v>
      </c>
      <c r="O6" t="n">
        <v>38.286389</v>
      </c>
      <c r="P6" t="n">
        <v>18.444217</v>
      </c>
      <c r="Q6" t="n">
        <v>76.866697</v>
      </c>
      <c r="R6" t="n">
        <v>76.866697</v>
      </c>
      <c r="S6" t="n">
        <v>38.286389</v>
      </c>
      <c r="T6" t="n">
        <v>38.286389</v>
      </c>
      <c r="U6" t="n">
        <v>18.444217</v>
      </c>
      <c r="V6" t="n">
        <v>18.444217</v>
      </c>
      <c r="W6" t="n">
        <v>39.204155</v>
      </c>
      <c r="X6" t="n">
        <v>80.231335</v>
      </c>
      <c r="Z6" t="n">
        <v>36.036883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1" t="inlineStr">
        <is>
          <t>Côtier pel S inv</t>
        </is>
      </c>
      <c r="H7" t="n">
        <v>251.2254</v>
      </c>
      <c r="I7" t="n">
        <v>86.158743</v>
      </c>
      <c r="J7" t="n">
        <v>86.33787599999999</v>
      </c>
      <c r="K7" t="n">
        <v>78.06480500000001</v>
      </c>
      <c r="L7" t="n">
        <v>182.678518</v>
      </c>
      <c r="M7" t="n">
        <v>153.800234</v>
      </c>
      <c r="N7" t="n">
        <v>153.800234</v>
      </c>
      <c r="O7" t="n">
        <v>58.393946</v>
      </c>
      <c r="P7" t="n">
        <v>20.547657</v>
      </c>
      <c r="Q7" t="n">
        <v>153.800234</v>
      </c>
      <c r="R7" t="n">
        <v>153.800234</v>
      </c>
      <c r="S7" t="n">
        <v>58.393946</v>
      </c>
      <c r="T7" t="n">
        <v>58.393946</v>
      </c>
      <c r="U7" t="n">
        <v>20.547657</v>
      </c>
      <c r="V7" t="n">
        <v>20.547657</v>
      </c>
      <c r="W7" t="n">
        <v>61.340777</v>
      </c>
      <c r="X7" t="n">
        <v>159.509648</v>
      </c>
      <c r="Z7" t="n">
        <v>140.139628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1" t="inlineStr">
        <is>
          <t>Côtier pel S inv</t>
        </is>
      </c>
      <c r="H8" t="n">
        <v>251.2254</v>
      </c>
      <c r="I8" t="n">
        <v>86.158743</v>
      </c>
      <c r="J8" t="n">
        <v>86.33787599999999</v>
      </c>
      <c r="K8" t="n">
        <v>78.06480500000001</v>
      </c>
      <c r="L8" t="n">
        <v>182.678518</v>
      </c>
      <c r="M8" t="n">
        <v>153.800234</v>
      </c>
      <c r="N8" t="n">
        <v>153.800234</v>
      </c>
      <c r="O8" t="n">
        <v>58.393946</v>
      </c>
      <c r="P8" t="n">
        <v>20.547657</v>
      </c>
      <c r="Q8" t="n">
        <v>153.800234</v>
      </c>
      <c r="R8" t="n">
        <v>153.800234</v>
      </c>
      <c r="S8" t="n">
        <v>58.393946</v>
      </c>
      <c r="T8" t="n">
        <v>58.393946</v>
      </c>
      <c r="U8" t="n">
        <v>20.547657</v>
      </c>
      <c r="V8" t="n">
        <v>20.547657</v>
      </c>
      <c r="W8" t="n">
        <v>61.340777</v>
      </c>
      <c r="X8" t="n">
        <v>159.509648</v>
      </c>
      <c r="Z8" t="n">
        <v>140.139628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1" t="inlineStr">
        <is>
          <t>Bars</t>
        </is>
      </c>
      <c r="H9" t="n">
        <v>2420.68509</v>
      </c>
      <c r="I9" t="n">
        <v>897.711817</v>
      </c>
      <c r="J9" t="n">
        <v>1099.747345</v>
      </c>
      <c r="K9" t="n">
        <v>1031.677092</v>
      </c>
      <c r="L9" t="n">
        <v>2935.662355</v>
      </c>
      <c r="M9" t="n">
        <v>2345.11119</v>
      </c>
      <c r="N9" t="n">
        <v>2345.11119</v>
      </c>
      <c r="O9" t="n">
        <v>683.1533010000001</v>
      </c>
      <c r="P9" t="n">
        <v>169.349669</v>
      </c>
      <c r="Q9" t="n">
        <v>2345.11119</v>
      </c>
      <c r="R9" t="n">
        <v>-11446.729421</v>
      </c>
      <c r="S9" t="n">
        <v>683.1533010000001</v>
      </c>
      <c r="T9" t="n">
        <v>683.1533010000001</v>
      </c>
      <c r="U9" t="n">
        <v>169.349669</v>
      </c>
      <c r="V9" t="n">
        <v>3691.544063</v>
      </c>
      <c r="W9" t="n">
        <v>736.9540909999999</v>
      </c>
      <c r="X9" t="n">
        <v>2463.064614</v>
      </c>
      <c r="Z9" t="n">
        <v>1058.131619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1" t="inlineStr">
        <is>
          <t>Côtier pel S inv</t>
        </is>
      </c>
      <c r="H10" t="n">
        <v>251.2254</v>
      </c>
      <c r="I10" t="n">
        <v>86.158743</v>
      </c>
      <c r="J10" t="n">
        <v>86.33787599999999</v>
      </c>
      <c r="K10" t="n">
        <v>78.06480500000001</v>
      </c>
      <c r="L10" t="n">
        <v>182.678518</v>
      </c>
      <c r="M10" t="n">
        <v>153.800234</v>
      </c>
      <c r="N10" t="n">
        <v>153.800234</v>
      </c>
      <c r="O10" t="n">
        <v>58.393946</v>
      </c>
      <c r="P10" t="n">
        <v>20.547657</v>
      </c>
      <c r="Q10" t="n">
        <v>153.800234</v>
      </c>
      <c r="R10" t="n">
        <v>153.800234</v>
      </c>
      <c r="S10" t="n">
        <v>58.393946</v>
      </c>
      <c r="T10" t="n">
        <v>58.393946</v>
      </c>
      <c r="U10" t="n">
        <v>20.547657</v>
      </c>
      <c r="V10" t="n">
        <v>20.547657</v>
      </c>
      <c r="W10" t="n">
        <v>61.340777</v>
      </c>
      <c r="X10" t="n">
        <v>159.509648</v>
      </c>
      <c r="Z10" t="n">
        <v>140.139628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1" t="inlineStr">
        <is>
          <t>Céphalopodes</t>
        </is>
      </c>
      <c r="H11" t="n">
        <v>2209.641323</v>
      </c>
      <c r="I11" t="n">
        <v>533.937243</v>
      </c>
      <c r="J11" t="n">
        <v>533.937243</v>
      </c>
      <c r="K11" t="n">
        <v>507.240381</v>
      </c>
      <c r="L11" t="n">
        <v>1169.060818</v>
      </c>
      <c r="M11" t="n">
        <v>955.905028</v>
      </c>
      <c r="N11" t="n">
        <v>955.905028</v>
      </c>
      <c r="O11" t="n">
        <v>259.897575</v>
      </c>
      <c r="P11" t="n">
        <v>71.4718</v>
      </c>
      <c r="Q11" t="n">
        <v>955.905028</v>
      </c>
      <c r="R11" t="n">
        <v>955.905028</v>
      </c>
      <c r="S11" t="n">
        <v>259.897575</v>
      </c>
      <c r="T11" t="n">
        <v>259.897575</v>
      </c>
      <c r="U11" t="n">
        <v>71.4718</v>
      </c>
      <c r="V11" t="n">
        <v>71.4718</v>
      </c>
      <c r="W11" t="n">
        <v>275.401339</v>
      </c>
      <c r="X11" t="n">
        <v>1017.651066</v>
      </c>
      <c r="Z11" t="n">
        <v>1022.837477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1" t="inlineStr">
        <is>
          <t>Côtier S inv</t>
        </is>
      </c>
      <c r="H12" t="n">
        <v>269.022913</v>
      </c>
      <c r="I12" t="n">
        <v>143.357993</v>
      </c>
      <c r="J12" t="n">
        <v>143.744849</v>
      </c>
      <c r="K12" t="n">
        <v>140.09455</v>
      </c>
      <c r="L12" t="n">
        <v>302.43669</v>
      </c>
      <c r="M12" t="n">
        <v>237.484146</v>
      </c>
      <c r="N12" t="n">
        <v>237.484146</v>
      </c>
      <c r="O12" t="n">
        <v>92.381467</v>
      </c>
      <c r="P12" t="n">
        <v>32.138237</v>
      </c>
      <c r="Q12" t="n">
        <v>237.484146</v>
      </c>
      <c r="R12" t="n">
        <v>237.484146</v>
      </c>
      <c r="S12" t="n">
        <v>92.381467</v>
      </c>
      <c r="T12" t="n">
        <v>92.381467</v>
      </c>
      <c r="U12" t="n">
        <v>32.138237</v>
      </c>
      <c r="V12" t="n">
        <v>32.138237</v>
      </c>
      <c r="W12" t="n">
        <v>96.991221</v>
      </c>
      <c r="X12" t="n">
        <v>248.321196</v>
      </c>
      <c r="Z12" t="n">
        <v>141.325989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1" t="inlineStr">
        <is>
          <t>Pel S inv</t>
        </is>
      </c>
      <c r="H13" t="n">
        <v>486.973945</v>
      </c>
      <c r="I13" t="n">
        <v>190.933723</v>
      </c>
      <c r="J13" t="n">
        <v>197.863454</v>
      </c>
      <c r="K13" t="n">
        <v>195.467703</v>
      </c>
      <c r="L13" t="n">
        <v>317.630823</v>
      </c>
      <c r="M13" t="n">
        <v>278.455011</v>
      </c>
      <c r="N13" t="n">
        <v>278.455011</v>
      </c>
      <c r="O13" t="n">
        <v>69.74158</v>
      </c>
      <c r="P13" t="n">
        <v>25.530568</v>
      </c>
      <c r="Q13" t="n">
        <v>278.455011</v>
      </c>
      <c r="R13" t="n">
        <v>278.455011</v>
      </c>
      <c r="S13" t="n">
        <v>69.74158</v>
      </c>
      <c r="T13" t="n">
        <v>69.74158</v>
      </c>
      <c r="U13" t="n">
        <v>25.530568</v>
      </c>
      <c r="V13" t="n">
        <v>25.530568</v>
      </c>
      <c r="W13" t="n">
        <v>71.895017</v>
      </c>
      <c r="X13" t="n">
        <v>297.198143</v>
      </c>
      <c r="Z13" t="n">
        <v>263.293957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1" t="inlineStr">
        <is>
          <t>Côtier pel S inv</t>
        </is>
      </c>
      <c r="H14" t="n">
        <v>251.2254</v>
      </c>
      <c r="I14" t="n">
        <v>86.158743</v>
      </c>
      <c r="J14" t="n">
        <v>86.33787599999999</v>
      </c>
      <c r="K14" t="n">
        <v>78.06480500000001</v>
      </c>
      <c r="L14" t="n">
        <v>182.678518</v>
      </c>
      <c r="M14" t="n">
        <v>153.800234</v>
      </c>
      <c r="N14" t="n">
        <v>153.800234</v>
      </c>
      <c r="O14" t="n">
        <v>58.393946</v>
      </c>
      <c r="P14" t="n">
        <v>20.547657</v>
      </c>
      <c r="Q14" t="n">
        <v>153.800234</v>
      </c>
      <c r="R14" t="n">
        <v>153.800234</v>
      </c>
      <c r="S14" t="n">
        <v>58.393946</v>
      </c>
      <c r="T14" t="n">
        <v>58.393946</v>
      </c>
      <c r="U14" t="n">
        <v>20.547657</v>
      </c>
      <c r="V14" t="n">
        <v>20.547657</v>
      </c>
      <c r="W14" t="n">
        <v>61.340777</v>
      </c>
      <c r="X14" t="n">
        <v>159.509648</v>
      </c>
      <c r="Z14" t="n">
        <v>140.139628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1" t="inlineStr">
        <is>
          <t>Thons majeurs</t>
        </is>
      </c>
      <c r="H15" t="n">
        <v>13661.710452</v>
      </c>
      <c r="I15" t="n">
        <v>5828.690682</v>
      </c>
      <c r="J15" t="n">
        <v>6055.352519</v>
      </c>
      <c r="K15" t="n">
        <v>3027.67626</v>
      </c>
      <c r="L15" t="n">
        <v>13559.408277</v>
      </c>
      <c r="M15" t="n">
        <v>11074.090097</v>
      </c>
      <c r="N15" t="n">
        <v>11074.090097</v>
      </c>
      <c r="O15" t="n">
        <v>1497.448606</v>
      </c>
      <c r="P15" t="n">
        <v>329.433681</v>
      </c>
      <c r="Q15" t="n">
        <v>11074.090097</v>
      </c>
      <c r="R15" t="n">
        <v>-31133.885537</v>
      </c>
      <c r="S15" t="n">
        <v>1497.448606</v>
      </c>
      <c r="T15" t="n">
        <v>1497.448606</v>
      </c>
      <c r="U15" t="n">
        <v>329.433681</v>
      </c>
      <c r="V15" t="n">
        <v>2167.379541</v>
      </c>
      <c r="W15" t="n">
        <v>1598.647747</v>
      </c>
      <c r="X15" t="n">
        <v>12125.414105</v>
      </c>
      <c r="Z15" t="n">
        <v>5199.941547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1" t="inlineStr">
        <is>
          <t>Thons majeurs</t>
        </is>
      </c>
      <c r="H16" t="n">
        <v>13661.710452</v>
      </c>
      <c r="I16" t="n">
        <v>5828.690682</v>
      </c>
      <c r="J16" t="n">
        <v>6055.352519</v>
      </c>
      <c r="K16" t="n">
        <v>3027.67626</v>
      </c>
      <c r="L16" t="n">
        <v>13559.408277</v>
      </c>
      <c r="M16" t="n">
        <v>11074.090097</v>
      </c>
      <c r="N16" t="n">
        <v>11074.090097</v>
      </c>
      <c r="O16" t="n">
        <v>1497.448606</v>
      </c>
      <c r="P16" t="n">
        <v>329.433681</v>
      </c>
      <c r="Q16" t="n">
        <v>11074.090097</v>
      </c>
      <c r="R16" t="n">
        <v>-31133.885537</v>
      </c>
      <c r="S16" t="n">
        <v>1497.448606</v>
      </c>
      <c r="T16" t="n">
        <v>1497.448606</v>
      </c>
      <c r="U16" t="n">
        <v>329.433681</v>
      </c>
      <c r="V16" t="n">
        <v>2167.379541</v>
      </c>
      <c r="W16" t="n">
        <v>1598.647747</v>
      </c>
      <c r="X16" t="n">
        <v>12125.414105</v>
      </c>
      <c r="Z16" t="n">
        <v>5199.941547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1" t="inlineStr">
        <is>
          <t>Petit capitaine</t>
        </is>
      </c>
      <c r="H17" t="n">
        <v>1224.050099</v>
      </c>
      <c r="I17" t="n">
        <v>463.177576</v>
      </c>
      <c r="J17" t="n">
        <v>463.308354</v>
      </c>
      <c r="K17" t="n">
        <v>428.92655</v>
      </c>
      <c r="L17" t="n">
        <v>1044.06999</v>
      </c>
      <c r="M17" t="n">
        <v>816.737824</v>
      </c>
      <c r="N17" t="n">
        <v>816.737824</v>
      </c>
      <c r="O17" t="n">
        <v>294.886296</v>
      </c>
      <c r="P17" t="n">
        <v>86.760212</v>
      </c>
      <c r="Q17" t="n">
        <v>816.737824</v>
      </c>
      <c r="R17" t="n">
        <v>816.737824</v>
      </c>
      <c r="S17" t="n">
        <v>294.886296</v>
      </c>
      <c r="T17" t="n">
        <v>294.886296</v>
      </c>
      <c r="U17" t="n">
        <v>86.760212</v>
      </c>
      <c r="V17" t="n">
        <v>86.760212</v>
      </c>
      <c r="W17" t="n">
        <v>314.781624</v>
      </c>
      <c r="X17" t="n">
        <v>840.219883</v>
      </c>
      <c r="Z17" t="n">
        <v>601.95215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1" t="inlineStr">
        <is>
          <t>Bars</t>
        </is>
      </c>
      <c r="H18" t="n">
        <v>2420.68509</v>
      </c>
      <c r="I18" t="n">
        <v>897.711817</v>
      </c>
      <c r="J18" t="n">
        <v>1099.747345</v>
      </c>
      <c r="K18" t="n">
        <v>1031.677092</v>
      </c>
      <c r="L18" t="n">
        <v>2935.662355</v>
      </c>
      <c r="M18" t="n">
        <v>2345.11119</v>
      </c>
      <c r="N18" t="n">
        <v>2345.11119</v>
      </c>
      <c r="O18" t="n">
        <v>683.1533010000001</v>
      </c>
      <c r="P18" t="n">
        <v>169.349669</v>
      </c>
      <c r="Q18" t="n">
        <v>2345.11119</v>
      </c>
      <c r="R18" t="n">
        <v>-11446.729421</v>
      </c>
      <c r="S18" t="n">
        <v>683.1533010000001</v>
      </c>
      <c r="T18" t="n">
        <v>683.1533010000001</v>
      </c>
      <c r="U18" t="n">
        <v>169.349669</v>
      </c>
      <c r="V18" t="n">
        <v>3691.544063</v>
      </c>
      <c r="W18" t="n">
        <v>736.9540909999999</v>
      </c>
      <c r="X18" t="n">
        <v>2463.064614</v>
      </c>
      <c r="Z18" t="n">
        <v>1058.131619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1" t="inlineStr">
        <is>
          <t>Côtier pel L pred</t>
        </is>
      </c>
      <c r="H19" t="n">
        <v>8886.574375</v>
      </c>
      <c r="I19" t="n">
        <v>4351.939949</v>
      </c>
      <c r="J19" t="n">
        <v>5186.075589</v>
      </c>
      <c r="K19" t="n">
        <v>4970.359012</v>
      </c>
      <c r="L19" t="n">
        <v>14096.783373</v>
      </c>
      <c r="M19" t="n">
        <v>11411.07684</v>
      </c>
      <c r="N19" t="n">
        <v>11411.07684</v>
      </c>
      <c r="O19" t="n">
        <v>2474.877467</v>
      </c>
      <c r="P19" t="n">
        <v>525.626343</v>
      </c>
      <c r="Q19" t="n">
        <v>11411.07684</v>
      </c>
      <c r="R19" t="n">
        <v>-50759.157349</v>
      </c>
      <c r="S19" t="n">
        <v>2474.877467</v>
      </c>
      <c r="T19" t="n">
        <v>2474.877467</v>
      </c>
      <c r="U19" t="n">
        <v>525.626343</v>
      </c>
      <c r="V19" t="n">
        <v>8846.789624999999</v>
      </c>
      <c r="W19" t="n">
        <v>2645.523944</v>
      </c>
      <c r="X19" t="n">
        <v>12354.973824</v>
      </c>
      <c r="Z19" t="n">
        <v>3330.282942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1" t="inlineStr">
        <is>
          <t>Côtier pel S inv | Ethmalose</t>
        </is>
      </c>
      <c r="H20" t="n">
        <v>172.090341</v>
      </c>
      <c r="I20" t="n">
        <v>76.71964699999999</v>
      </c>
      <c r="J20" t="n">
        <v>76.827338</v>
      </c>
      <c r="K20" t="n">
        <v>70.60758800000001</v>
      </c>
      <c r="L20" t="n">
        <v>146.311346</v>
      </c>
      <c r="M20" t="n">
        <v>123.117765</v>
      </c>
      <c r="N20" t="n">
        <v>123.117765</v>
      </c>
      <c r="O20" t="n">
        <v>50.374693</v>
      </c>
      <c r="P20" t="n">
        <v>19.708767</v>
      </c>
      <c r="Q20" t="n">
        <v>123.117765</v>
      </c>
      <c r="R20" t="n">
        <v>123.117765</v>
      </c>
      <c r="S20" t="n">
        <v>50.374693</v>
      </c>
      <c r="T20" t="n">
        <v>50.374693</v>
      </c>
      <c r="U20" t="n">
        <v>19.708767</v>
      </c>
      <c r="V20" t="n">
        <v>19.708767</v>
      </c>
      <c r="W20" t="n">
        <v>52.512297</v>
      </c>
      <c r="X20" t="n">
        <v>127.892041</v>
      </c>
      <c r="Z20" t="n">
        <v>98.621595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1" t="inlineStr">
        <is>
          <t>Côtier M pred | Côtier pel L pred | Pel L pred | Pel S inv</t>
        </is>
      </c>
      <c r="H21" t="n">
        <v>5384.790302</v>
      </c>
      <c r="I21" t="n">
        <v>2619.970453</v>
      </c>
      <c r="J21" t="n">
        <v>3106.356747</v>
      </c>
      <c r="K21" t="n">
        <v>2979.360661</v>
      </c>
      <c r="L21" t="n">
        <v>8349.33361</v>
      </c>
      <c r="M21" t="n">
        <v>6768.550247</v>
      </c>
      <c r="N21" t="n">
        <v>6768.550247</v>
      </c>
      <c r="O21" t="n">
        <v>1474.162598</v>
      </c>
      <c r="P21" t="n">
        <v>317.944089</v>
      </c>
      <c r="Q21" t="n">
        <v>6768.550247</v>
      </c>
      <c r="R21" t="n">
        <v>-29856.559909</v>
      </c>
      <c r="S21" t="n">
        <v>1474.162598</v>
      </c>
      <c r="T21" t="n">
        <v>1474.162598</v>
      </c>
      <c r="U21" t="n">
        <v>317.944089</v>
      </c>
      <c r="V21" t="n">
        <v>5183.653697</v>
      </c>
      <c r="W21" t="n">
        <v>1574.829017</v>
      </c>
      <c r="X21" t="n">
        <v>7326.264802</v>
      </c>
      <c r="Z21" t="n">
        <v>2053.335432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1" t="inlineStr">
        <is>
          <t>Côtier L pred</t>
        </is>
      </c>
      <c r="H22" t="n">
        <v>5244.468733</v>
      </c>
      <c r="I22" t="n">
        <v>3323.212634</v>
      </c>
      <c r="J22" t="n">
        <v>6358.646185</v>
      </c>
      <c r="K22" t="n">
        <v>5497.795802</v>
      </c>
      <c r="L22" t="n">
        <v>19279.552919</v>
      </c>
      <c r="M22" t="n">
        <v>15594.90803</v>
      </c>
      <c r="N22" t="n">
        <v>15594.90803</v>
      </c>
      <c r="O22" t="n">
        <v>2522.190001</v>
      </c>
      <c r="P22" t="n">
        <v>528.917324</v>
      </c>
      <c r="Q22" t="n">
        <v>15594.90803</v>
      </c>
      <c r="R22" t="n">
        <v>-75829.94378099999</v>
      </c>
      <c r="S22" t="n">
        <v>2522.190001</v>
      </c>
      <c r="T22" t="n">
        <v>2522.190001</v>
      </c>
      <c r="U22" t="n">
        <v>528.917324</v>
      </c>
      <c r="V22" t="n">
        <v>13815.167153</v>
      </c>
      <c r="W22" t="n">
        <v>2674.282783</v>
      </c>
      <c r="X22" t="n">
        <v>16812.298301</v>
      </c>
      <c r="Z22" t="n">
        <v>2083.221444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1" t="inlineStr">
        <is>
          <t>Bars | Côtier L pred | Côtier S pred | Dem L pred | Dem L inv</t>
        </is>
      </c>
      <c r="H23" t="n">
        <v>3362.131664</v>
      </c>
      <c r="I23" t="n">
        <v>1648.75886</v>
      </c>
      <c r="J23" t="n">
        <v>2520.90999</v>
      </c>
      <c r="K23" t="n">
        <v>2229.307714</v>
      </c>
      <c r="L23" t="n">
        <v>7226.233082</v>
      </c>
      <c r="M23" t="n">
        <v>5821.356778</v>
      </c>
      <c r="N23" t="n">
        <v>5821.356778</v>
      </c>
      <c r="O23" t="n">
        <v>1186.948224</v>
      </c>
      <c r="P23" t="n">
        <v>269.035519</v>
      </c>
      <c r="Q23" t="n">
        <v>5821.356778</v>
      </c>
      <c r="R23" t="n">
        <v>-25408.332288</v>
      </c>
      <c r="S23" t="n">
        <v>1186.948224</v>
      </c>
      <c r="T23" t="n">
        <v>1186.948224</v>
      </c>
      <c r="U23" t="n">
        <v>269.035519</v>
      </c>
      <c r="V23" t="n">
        <v>5795.800011</v>
      </c>
      <c r="W23" t="n">
        <v>1269.185903</v>
      </c>
      <c r="X23" t="n">
        <v>6237.306004</v>
      </c>
      <c r="Z23" t="n">
        <v>1394.6668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1" t="inlineStr">
        <is>
          <t>Côtier pel L pred</t>
        </is>
      </c>
      <c r="H24" t="n">
        <v>8886.574375</v>
      </c>
      <c r="I24" t="n">
        <v>4351.939949</v>
      </c>
      <c r="J24" t="n">
        <v>5186.075589</v>
      </c>
      <c r="K24" t="n">
        <v>4970.359012</v>
      </c>
      <c r="L24" t="n">
        <v>14096.783373</v>
      </c>
      <c r="M24" t="n">
        <v>11411.07684</v>
      </c>
      <c r="N24" t="n">
        <v>11411.07684</v>
      </c>
      <c r="O24" t="n">
        <v>2474.877467</v>
      </c>
      <c r="P24" t="n">
        <v>525.626343</v>
      </c>
      <c r="Q24" t="n">
        <v>11411.07684</v>
      </c>
      <c r="R24" t="n">
        <v>-50759.157349</v>
      </c>
      <c r="S24" t="n">
        <v>2474.877467</v>
      </c>
      <c r="T24" t="n">
        <v>2474.877467</v>
      </c>
      <c r="U24" t="n">
        <v>525.626343</v>
      </c>
      <c r="V24" t="n">
        <v>8846.789624999999</v>
      </c>
      <c r="W24" t="n">
        <v>2645.523944</v>
      </c>
      <c r="X24" t="n">
        <v>12354.973824</v>
      </c>
      <c r="Z24" t="n">
        <v>3330.282942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1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1" t="inlineStr">
        <is>
          <t>Céphalopodes</t>
        </is>
      </c>
      <c r="H26" t="n">
        <v>2209.641323</v>
      </c>
      <c r="I26" t="n">
        <v>533.937243</v>
      </c>
      <c r="J26" t="n">
        <v>533.937243</v>
      </c>
      <c r="K26" t="n">
        <v>507.240381</v>
      </c>
      <c r="L26" t="n">
        <v>1169.060818</v>
      </c>
      <c r="M26" t="n">
        <v>955.905028</v>
      </c>
      <c r="N26" t="n">
        <v>955.905028</v>
      </c>
      <c r="O26" t="n">
        <v>259.897575</v>
      </c>
      <c r="P26" t="n">
        <v>71.4718</v>
      </c>
      <c r="Q26" t="n">
        <v>955.905028</v>
      </c>
      <c r="R26" t="n">
        <v>955.905028</v>
      </c>
      <c r="S26" t="n">
        <v>259.897575</v>
      </c>
      <c r="T26" t="n">
        <v>259.897575</v>
      </c>
      <c r="U26" t="n">
        <v>71.4718</v>
      </c>
      <c r="V26" t="n">
        <v>71.4718</v>
      </c>
      <c r="W26" t="n">
        <v>275.401339</v>
      </c>
      <c r="X26" t="n">
        <v>1017.651066</v>
      </c>
      <c r="Z26" t="n">
        <v>1022.837477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1" t="inlineStr">
        <is>
          <t>Côtier pel S inv | Ethmalose</t>
        </is>
      </c>
      <c r="H27" t="n">
        <v>172.090341</v>
      </c>
      <c r="I27" t="n">
        <v>76.71964699999999</v>
      </c>
      <c r="J27" t="n">
        <v>76.827338</v>
      </c>
      <c r="K27" t="n">
        <v>70.60758800000001</v>
      </c>
      <c r="L27" t="n">
        <v>146.311346</v>
      </c>
      <c r="M27" t="n">
        <v>123.117765</v>
      </c>
      <c r="N27" t="n">
        <v>123.117765</v>
      </c>
      <c r="O27" t="n">
        <v>50.374693</v>
      </c>
      <c r="P27" t="n">
        <v>19.708767</v>
      </c>
      <c r="Q27" t="n">
        <v>123.117765</v>
      </c>
      <c r="R27" t="n">
        <v>123.117765</v>
      </c>
      <c r="S27" t="n">
        <v>50.374693</v>
      </c>
      <c r="T27" t="n">
        <v>50.374693</v>
      </c>
      <c r="U27" t="n">
        <v>19.708767</v>
      </c>
      <c r="V27" t="n">
        <v>19.708767</v>
      </c>
      <c r="W27" t="n">
        <v>52.512297</v>
      </c>
      <c r="X27" t="n">
        <v>127.892041</v>
      </c>
      <c r="Z27" t="n">
        <v>98.621595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1" t="inlineStr">
        <is>
          <t>Thons majeurs | Thons mineurs | Pel S inv</t>
        </is>
      </c>
      <c r="H28" t="n">
        <v>7766.740026</v>
      </c>
      <c r="I28" t="n">
        <v>3152.003822</v>
      </c>
      <c r="J28" t="n">
        <v>3265.090544</v>
      </c>
      <c r="K28" t="n">
        <v>1693.116551</v>
      </c>
      <c r="L28" t="n">
        <v>7208.83273</v>
      </c>
      <c r="M28" t="n">
        <v>5896.636067</v>
      </c>
      <c r="N28" t="n">
        <v>5896.636067</v>
      </c>
      <c r="O28" t="n">
        <v>828.601755</v>
      </c>
      <c r="P28" t="n">
        <v>188.916712</v>
      </c>
      <c r="Q28" t="n">
        <v>5896.636067</v>
      </c>
      <c r="R28" t="n">
        <v>-14066.486656</v>
      </c>
      <c r="S28" t="n">
        <v>828.601755</v>
      </c>
      <c r="T28" t="n">
        <v>828.601755</v>
      </c>
      <c r="U28" t="n">
        <v>188.916712</v>
      </c>
      <c r="V28" t="n">
        <v>1058.210683</v>
      </c>
      <c r="W28" t="n">
        <v>883.005539</v>
      </c>
      <c r="X28" t="n">
        <v>6435.518148</v>
      </c>
      <c r="Z28" t="n">
        <v>3015.64249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1" t="inlineStr">
        <is>
          <t>Sélaciens L prof | Sélaciens L côtiers | Sélaciens M prof | Sélaciens M côtiers</t>
        </is>
      </c>
      <c r="H29" t="n">
        <v>22678.222507</v>
      </c>
      <c r="I29" t="n">
        <v>69409.89028599999</v>
      </c>
      <c r="J29" t="n">
        <v>70929.426362</v>
      </c>
      <c r="K29" t="n">
        <v>36747.136381</v>
      </c>
      <c r="L29" t="n">
        <v>481963.79536</v>
      </c>
      <c r="M29" t="n">
        <v>393067.068189</v>
      </c>
      <c r="N29" t="n">
        <v>393067.068189</v>
      </c>
      <c r="O29" t="n">
        <v>17269.240896</v>
      </c>
      <c r="P29" t="n">
        <v>2983.185741</v>
      </c>
      <c r="Q29" t="n">
        <v>393067.068189</v>
      </c>
      <c r="R29" t="n">
        <v>-918440.342301</v>
      </c>
      <c r="S29" t="n">
        <v>17269.240896</v>
      </c>
      <c r="T29" t="n">
        <v>17269.240896</v>
      </c>
      <c r="U29" t="n">
        <v>2983.185741</v>
      </c>
      <c r="V29" t="n">
        <v>25335.424876</v>
      </c>
      <c r="W29" t="n">
        <v>18937.636187</v>
      </c>
      <c r="X29" t="n">
        <v>474348.977392</v>
      </c>
      <c r="Z29" t="n">
        <v>7840.330409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1" t="inlineStr">
        <is>
          <t>Gros capitaine</t>
        </is>
      </c>
      <c r="H30" t="n">
        <v>6576.017499</v>
      </c>
      <c r="I30" t="n">
        <v>2190.960534</v>
      </c>
      <c r="J30" t="n">
        <v>2192.353252</v>
      </c>
      <c r="K30" t="n">
        <v>2168.902088</v>
      </c>
      <c r="L30" t="n">
        <v>4619.694564</v>
      </c>
      <c r="M30" t="n">
        <v>3678.582349</v>
      </c>
      <c r="N30" t="n">
        <v>3678.582349</v>
      </c>
      <c r="O30" t="n">
        <v>1291.927848</v>
      </c>
      <c r="P30" t="n">
        <v>296.919047</v>
      </c>
      <c r="Q30" t="n">
        <v>3678.582349</v>
      </c>
      <c r="R30" t="n">
        <v>-412316.019679</v>
      </c>
      <c r="S30" t="n">
        <v>1291.927848</v>
      </c>
      <c r="T30" t="n">
        <v>1291.927848</v>
      </c>
      <c r="U30" t="n">
        <v>296.919047</v>
      </c>
      <c r="V30" t="n">
        <v>44887.413822</v>
      </c>
      <c r="W30" t="n">
        <v>1356.920837</v>
      </c>
      <c r="X30" t="n">
        <v>3943.075354</v>
      </c>
      <c r="Z30" t="n">
        <v>2479.254501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1" t="inlineStr">
        <is>
          <t>Thons majeurs</t>
        </is>
      </c>
      <c r="H31" t="n">
        <v>13661.710452</v>
      </c>
      <c r="I31" t="n">
        <v>5828.690682</v>
      </c>
      <c r="J31" t="n">
        <v>6055.352519</v>
      </c>
      <c r="K31" t="n">
        <v>3027.67626</v>
      </c>
      <c r="L31" t="n">
        <v>13559.408277</v>
      </c>
      <c r="M31" t="n">
        <v>11074.090097</v>
      </c>
      <c r="N31" t="n">
        <v>11074.090097</v>
      </c>
      <c r="O31" t="n">
        <v>1497.448606</v>
      </c>
      <c r="P31" t="n">
        <v>329.433681</v>
      </c>
      <c r="Q31" t="n">
        <v>11074.090097</v>
      </c>
      <c r="R31" t="n">
        <v>-31133.885537</v>
      </c>
      <c r="S31" t="n">
        <v>1497.448606</v>
      </c>
      <c r="T31" t="n">
        <v>1497.448606</v>
      </c>
      <c r="U31" t="n">
        <v>329.433681</v>
      </c>
      <c r="V31" t="n">
        <v>2167.379541</v>
      </c>
      <c r="W31" t="n">
        <v>1598.647747</v>
      </c>
      <c r="X31" t="n">
        <v>12125.414105</v>
      </c>
      <c r="Z31" t="n">
        <v>5199.941547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1" t="inlineStr">
        <is>
          <t>Dem M inv | Mulets</t>
        </is>
      </c>
      <c r="H32" t="n">
        <v>337.035449</v>
      </c>
      <c r="I32" t="n">
        <v>399.618997</v>
      </c>
      <c r="J32" t="n">
        <v>399.618997</v>
      </c>
      <c r="K32" t="n">
        <v>379.638047</v>
      </c>
      <c r="L32" t="n">
        <v>831.334602</v>
      </c>
      <c r="M32" t="n">
        <v>643.098602</v>
      </c>
      <c r="N32" t="n">
        <v>643.098602</v>
      </c>
      <c r="O32" t="n">
        <v>243.792094</v>
      </c>
      <c r="P32" t="n">
        <v>83.513676</v>
      </c>
      <c r="Q32" t="n">
        <v>643.098602</v>
      </c>
      <c r="R32" t="n">
        <v>643.098602</v>
      </c>
      <c r="S32" t="n">
        <v>243.792094</v>
      </c>
      <c r="T32" t="n">
        <v>243.792094</v>
      </c>
      <c r="U32" t="n">
        <v>83.513676</v>
      </c>
      <c r="V32" t="n">
        <v>83.513676</v>
      </c>
      <c r="W32" t="n">
        <v>257.592964</v>
      </c>
      <c r="X32" t="n">
        <v>682.6196629999999</v>
      </c>
      <c r="Z32" t="n">
        <v>179.633277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1" t="inlineStr">
        <is>
          <t>Gros capitaine | Petit capitaine | Capitaine royal</t>
        </is>
      </c>
      <c r="H33" t="n">
        <v>2646.715741</v>
      </c>
      <c r="I33" t="n">
        <v>936.7720870000001</v>
      </c>
      <c r="J33" t="n">
        <v>937.2869909999999</v>
      </c>
      <c r="K33" t="n">
        <v>905.723937</v>
      </c>
      <c r="L33" t="n">
        <v>2017.380482</v>
      </c>
      <c r="M33" t="n">
        <v>1597.204105</v>
      </c>
      <c r="N33" t="n">
        <v>1597.204105</v>
      </c>
      <c r="O33" t="n">
        <v>569.4027589999999</v>
      </c>
      <c r="P33" t="n">
        <v>146.185321</v>
      </c>
      <c r="Q33" t="n">
        <v>1597.204105</v>
      </c>
      <c r="R33" t="n">
        <v>-133292.534829</v>
      </c>
      <c r="S33" t="n">
        <v>569.4027589999999</v>
      </c>
      <c r="T33" t="n">
        <v>569.4027589999999</v>
      </c>
      <c r="U33" t="n">
        <v>146.185321</v>
      </c>
      <c r="V33" t="n">
        <v>16473.956626</v>
      </c>
      <c r="W33" t="n">
        <v>601.623594</v>
      </c>
      <c r="X33" t="n">
        <v>1686.87305</v>
      </c>
      <c r="Z33" t="n">
        <v>1104.512661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1" t="inlineStr">
        <is>
          <t>Dem M inv</t>
        </is>
      </c>
      <c r="H34" t="n">
        <v>356.610478</v>
      </c>
      <c r="I34" t="n">
        <v>425.640743</v>
      </c>
      <c r="J34" t="n">
        <v>425.640743</v>
      </c>
      <c r="K34" t="n">
        <v>404.358706</v>
      </c>
      <c r="L34" t="n">
        <v>890.128168</v>
      </c>
      <c r="M34" t="n">
        <v>687.593135</v>
      </c>
      <c r="N34" t="n">
        <v>687.593135</v>
      </c>
      <c r="O34" t="n">
        <v>259.92301</v>
      </c>
      <c r="P34" t="n">
        <v>88.683295</v>
      </c>
      <c r="Q34" t="n">
        <v>687.593135</v>
      </c>
      <c r="R34" t="n">
        <v>687.593135</v>
      </c>
      <c r="S34" t="n">
        <v>259.92301</v>
      </c>
      <c r="T34" t="n">
        <v>259.92301</v>
      </c>
      <c r="U34" t="n">
        <v>88.683295</v>
      </c>
      <c r="V34" t="n">
        <v>88.683295</v>
      </c>
      <c r="W34" t="n">
        <v>274.743506</v>
      </c>
      <c r="X34" t="n">
        <v>730.09327</v>
      </c>
      <c r="Z34" t="n">
        <v>189.532809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1" t="inlineStr">
        <is>
          <t>Crustacés</t>
        </is>
      </c>
      <c r="H35" t="n">
        <v>141.860536</v>
      </c>
      <c r="I35" t="n">
        <v>58.609575</v>
      </c>
      <c r="J35" t="n">
        <v>58.609575</v>
      </c>
      <c r="K35" t="n">
        <v>55.679096</v>
      </c>
      <c r="L35" t="n">
        <v>135.651174</v>
      </c>
      <c r="M35" t="n">
        <v>105.8609</v>
      </c>
      <c r="N35" t="n">
        <v>105.8609</v>
      </c>
      <c r="O35" t="n">
        <v>41.041785</v>
      </c>
      <c r="P35" t="n">
        <v>14.761781</v>
      </c>
      <c r="Q35" t="n">
        <v>105.8609</v>
      </c>
      <c r="R35" t="n">
        <v>105.8609</v>
      </c>
      <c r="S35" t="n">
        <v>41.041785</v>
      </c>
      <c r="T35" t="n">
        <v>41.041785</v>
      </c>
      <c r="U35" t="n">
        <v>14.761781</v>
      </c>
      <c r="V35" t="n">
        <v>14.761781</v>
      </c>
      <c r="W35" t="n">
        <v>43.387398</v>
      </c>
      <c r="X35" t="n">
        <v>109.873168</v>
      </c>
      <c r="Z35" t="n">
        <v>83.9318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1" t="inlineStr">
        <is>
          <t>Côtier M inv | Côtier S inv | Dem M inv</t>
        </is>
      </c>
      <c r="H36" t="n">
        <v>335.633993</v>
      </c>
      <c r="I36" t="n">
        <v>228.593824</v>
      </c>
      <c r="J36" t="n">
        <v>228.752402</v>
      </c>
      <c r="K36" t="n">
        <v>221.9932</v>
      </c>
      <c r="L36" t="n">
        <v>482.424975</v>
      </c>
      <c r="M36" t="n">
        <v>373.933345</v>
      </c>
      <c r="N36" t="n">
        <v>373.933345</v>
      </c>
      <c r="O36" t="n">
        <v>144.181843</v>
      </c>
      <c r="P36" t="n">
        <v>49.168926</v>
      </c>
      <c r="Q36" t="n">
        <v>373.933345</v>
      </c>
      <c r="R36" t="n">
        <v>373.933345</v>
      </c>
      <c r="S36" t="n">
        <v>144.181843</v>
      </c>
      <c r="T36" t="n">
        <v>144.181843</v>
      </c>
      <c r="U36" t="n">
        <v>49.168926</v>
      </c>
      <c r="V36" t="n">
        <v>49.168926</v>
      </c>
      <c r="W36" t="n">
        <v>151.989949</v>
      </c>
      <c r="X36" t="n">
        <v>394.171289</v>
      </c>
      <c r="Z36" t="n">
        <v>176.588364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1" t="inlineStr">
        <is>
          <t>Côtier M inv</t>
        </is>
      </c>
      <c r="H37" t="n">
        <v>398.168364</v>
      </c>
      <c r="I37" t="n">
        <v>199.191645</v>
      </c>
      <c r="J37" t="n">
        <v>199.191645</v>
      </c>
      <c r="K37" t="n">
        <v>198.220844</v>
      </c>
      <c r="L37" t="n">
        <v>425.732264</v>
      </c>
      <c r="M37" t="n">
        <v>328.010307</v>
      </c>
      <c r="N37" t="n">
        <v>328.010307</v>
      </c>
      <c r="O37" t="n">
        <v>128.891308</v>
      </c>
      <c r="P37" t="n">
        <v>43.202194</v>
      </c>
      <c r="Q37" t="n">
        <v>328.010307</v>
      </c>
      <c r="R37" t="n">
        <v>328.010307</v>
      </c>
      <c r="S37" t="n">
        <v>128.891308</v>
      </c>
      <c r="T37" t="n">
        <v>128.891308</v>
      </c>
      <c r="U37" t="n">
        <v>43.202194</v>
      </c>
      <c r="V37" t="n">
        <v>43.202194</v>
      </c>
      <c r="W37" t="n">
        <v>135.841405</v>
      </c>
      <c r="X37" t="n">
        <v>344.665099</v>
      </c>
      <c r="Z37" t="n">
        <v>208.50974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1" t="inlineStr">
        <is>
          <t>Côtier pel S inv</t>
        </is>
      </c>
      <c r="H38" t="n">
        <v>251.2254</v>
      </c>
      <c r="I38" t="n">
        <v>86.158743</v>
      </c>
      <c r="J38" t="n">
        <v>86.33787599999999</v>
      </c>
      <c r="K38" t="n">
        <v>78.06480500000001</v>
      </c>
      <c r="L38" t="n">
        <v>182.678518</v>
      </c>
      <c r="M38" t="n">
        <v>153.800234</v>
      </c>
      <c r="N38" t="n">
        <v>153.800234</v>
      </c>
      <c r="O38" t="n">
        <v>58.393946</v>
      </c>
      <c r="P38" t="n">
        <v>20.547657</v>
      </c>
      <c r="Q38" t="n">
        <v>153.800234</v>
      </c>
      <c r="R38" t="n">
        <v>153.800234</v>
      </c>
      <c r="S38" t="n">
        <v>58.393946</v>
      </c>
      <c r="T38" t="n">
        <v>58.393946</v>
      </c>
      <c r="U38" t="n">
        <v>20.547657</v>
      </c>
      <c r="V38" t="n">
        <v>20.547657</v>
      </c>
      <c r="W38" t="n">
        <v>61.340777</v>
      </c>
      <c r="X38" t="n">
        <v>159.509648</v>
      </c>
      <c r="Z38" t="n">
        <v>140.139628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1" t="inlineStr">
        <is>
          <t>Côtier L pred</t>
        </is>
      </c>
      <c r="H39" t="n">
        <v>5244.468733</v>
      </c>
      <c r="I39" t="n">
        <v>3323.212634</v>
      </c>
      <c r="J39" t="n">
        <v>6358.646185</v>
      </c>
      <c r="K39" t="n">
        <v>5497.795802</v>
      </c>
      <c r="L39" t="n">
        <v>19279.552919</v>
      </c>
      <c r="M39" t="n">
        <v>15594.90803</v>
      </c>
      <c r="N39" t="n">
        <v>15594.90803</v>
      </c>
      <c r="O39" t="n">
        <v>2522.190001</v>
      </c>
      <c r="P39" t="n">
        <v>528.917324</v>
      </c>
      <c r="Q39" t="n">
        <v>15594.90803</v>
      </c>
      <c r="R39" t="n">
        <v>-75829.94378099999</v>
      </c>
      <c r="S39" t="n">
        <v>2522.190001</v>
      </c>
      <c r="T39" t="n">
        <v>2522.190001</v>
      </c>
      <c r="U39" t="n">
        <v>528.917324</v>
      </c>
      <c r="V39" t="n">
        <v>13815.167153</v>
      </c>
      <c r="W39" t="n">
        <v>2674.282783</v>
      </c>
      <c r="X39" t="n">
        <v>16812.298301</v>
      </c>
      <c r="Z39" t="n">
        <v>2083.221444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1" t="inlineStr">
        <is>
          <t>Côtier M inv</t>
        </is>
      </c>
      <c r="H40" t="n">
        <v>398.168364</v>
      </c>
      <c r="I40" t="n">
        <v>199.191645</v>
      </c>
      <c r="J40" t="n">
        <v>199.191645</v>
      </c>
      <c r="K40" t="n">
        <v>198.220844</v>
      </c>
      <c r="L40" t="n">
        <v>425.732264</v>
      </c>
      <c r="M40" t="n">
        <v>328.010307</v>
      </c>
      <c r="N40" t="n">
        <v>328.010307</v>
      </c>
      <c r="O40" t="n">
        <v>128.891308</v>
      </c>
      <c r="P40" t="n">
        <v>43.202194</v>
      </c>
      <c r="Q40" t="n">
        <v>328.010307</v>
      </c>
      <c r="R40" t="n">
        <v>328.010307</v>
      </c>
      <c r="S40" t="n">
        <v>128.891308</v>
      </c>
      <c r="T40" t="n">
        <v>128.891308</v>
      </c>
      <c r="U40" t="n">
        <v>43.202194</v>
      </c>
      <c r="V40" t="n">
        <v>43.202194</v>
      </c>
      <c r="W40" t="n">
        <v>135.841405</v>
      </c>
      <c r="X40" t="n">
        <v>344.665099</v>
      </c>
      <c r="Z40" t="n">
        <v>208.50974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1" t="inlineStr">
        <is>
          <t>Côtier pel L pred</t>
        </is>
      </c>
      <c r="H41" t="n">
        <v>8886.574375</v>
      </c>
      <c r="I41" t="n">
        <v>4351.939949</v>
      </c>
      <c r="J41" t="n">
        <v>5186.075589</v>
      </c>
      <c r="K41" t="n">
        <v>4970.359012</v>
      </c>
      <c r="L41" t="n">
        <v>14096.783373</v>
      </c>
      <c r="M41" t="n">
        <v>11411.07684</v>
      </c>
      <c r="N41" t="n">
        <v>11411.07684</v>
      </c>
      <c r="O41" t="n">
        <v>2474.877467</v>
      </c>
      <c r="P41" t="n">
        <v>525.626343</v>
      </c>
      <c r="Q41" t="n">
        <v>11411.07684</v>
      </c>
      <c r="R41" t="n">
        <v>-50759.157349</v>
      </c>
      <c r="S41" t="n">
        <v>2474.877467</v>
      </c>
      <c r="T41" t="n">
        <v>2474.877467</v>
      </c>
      <c r="U41" t="n">
        <v>525.626343</v>
      </c>
      <c r="V41" t="n">
        <v>8846.789624999999</v>
      </c>
      <c r="W41" t="n">
        <v>2645.523944</v>
      </c>
      <c r="X41" t="n">
        <v>12354.973824</v>
      </c>
      <c r="Z41" t="n">
        <v>3330.282942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1" t="inlineStr">
        <is>
          <t>Côtier L pred | Côtier M pred | Disques | Côtier M inv | Côtier S pred | Côtier S inv | Dem L pred | Dem L inv | Dem M pred | Dem M inv | Dem S pred | Dem S inv</t>
        </is>
      </c>
      <c r="H42" t="n">
        <v>1988.235156</v>
      </c>
      <c r="I42" t="n">
        <v>1196.049004</v>
      </c>
      <c r="J42" t="n">
        <v>1907.543803</v>
      </c>
      <c r="K42" t="n">
        <v>1663.558187</v>
      </c>
      <c r="L42" t="n">
        <v>5472.108329</v>
      </c>
      <c r="M42" t="n">
        <v>4410.620134</v>
      </c>
      <c r="N42" t="n">
        <v>4410.620134</v>
      </c>
      <c r="O42" t="n">
        <v>820.158842</v>
      </c>
      <c r="P42" t="n">
        <v>188.195228</v>
      </c>
      <c r="Q42" t="n">
        <v>4410.620134</v>
      </c>
      <c r="R42" t="n">
        <v>-16969.593613</v>
      </c>
      <c r="S42" t="n">
        <v>820.158842</v>
      </c>
      <c r="T42" t="n">
        <v>820.158842</v>
      </c>
      <c r="U42" t="n">
        <v>188.195228</v>
      </c>
      <c r="V42" t="n">
        <v>3295.154915</v>
      </c>
      <c r="W42" t="n">
        <v>871.407311</v>
      </c>
      <c r="X42" t="n">
        <v>4751.786852</v>
      </c>
      <c r="Z42" t="n">
        <v>815.856733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1" t="inlineStr">
        <is>
          <t>Côtier pel L pred</t>
        </is>
      </c>
      <c r="H43" t="n">
        <v>8886.574375</v>
      </c>
      <c r="I43" t="n">
        <v>4351.939949</v>
      </c>
      <c r="J43" t="n">
        <v>5186.075589</v>
      </c>
      <c r="K43" t="n">
        <v>4970.359012</v>
      </c>
      <c r="L43" t="n">
        <v>14096.783373</v>
      </c>
      <c r="M43" t="n">
        <v>11411.07684</v>
      </c>
      <c r="N43" t="n">
        <v>11411.07684</v>
      </c>
      <c r="O43" t="n">
        <v>2474.877467</v>
      </c>
      <c r="P43" t="n">
        <v>525.626343</v>
      </c>
      <c r="Q43" t="n">
        <v>11411.07684</v>
      </c>
      <c r="R43" t="n">
        <v>-50759.157349</v>
      </c>
      <c r="S43" t="n">
        <v>2474.877467</v>
      </c>
      <c r="T43" t="n">
        <v>2474.877467</v>
      </c>
      <c r="U43" t="n">
        <v>525.626343</v>
      </c>
      <c r="V43" t="n">
        <v>8846.789624999999</v>
      </c>
      <c r="W43" t="n">
        <v>2645.523944</v>
      </c>
      <c r="X43" t="n">
        <v>12354.973824</v>
      </c>
      <c r="Z43" t="n">
        <v>3330.282942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1" t="inlineStr">
        <is>
          <t>Thons majeurs | Thons mineurs | Pel S inv | Côtier L pred | Bathy L pred</t>
        </is>
      </c>
      <c r="H44" t="n">
        <v>7286.815065</v>
      </c>
      <c r="I44" t="n">
        <v>3183.588326</v>
      </c>
      <c r="J44" t="n">
        <v>3850.369772</v>
      </c>
      <c r="K44" t="n">
        <v>2414.391566</v>
      </c>
      <c r="L44" t="n">
        <v>9494.28334</v>
      </c>
      <c r="M44" t="n">
        <v>7732.886371</v>
      </c>
      <c r="N44" t="n">
        <v>7732.886371</v>
      </c>
      <c r="O44" t="n">
        <v>1149.668495</v>
      </c>
      <c r="P44" t="n">
        <v>253.383751</v>
      </c>
      <c r="Q44" t="n">
        <v>7732.886371</v>
      </c>
      <c r="R44" t="n">
        <v>-25754.528889</v>
      </c>
      <c r="S44" t="n">
        <v>1149.668495</v>
      </c>
      <c r="T44" t="n">
        <v>1149.668495</v>
      </c>
      <c r="U44" t="n">
        <v>253.383751</v>
      </c>
      <c r="V44" t="n">
        <v>3474.826976</v>
      </c>
      <c r="W44" t="n">
        <v>1222.60595</v>
      </c>
      <c r="X44" t="n">
        <v>8400.103593</v>
      </c>
      <c r="Z44" t="n">
        <v>2838.264914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1" t="inlineStr">
        <is>
          <t>Côtier pel S inv</t>
        </is>
      </c>
      <c r="H45" t="n">
        <v>251.2254</v>
      </c>
      <c r="I45" t="n">
        <v>86.158743</v>
      </c>
      <c r="J45" t="n">
        <v>86.33787599999999</v>
      </c>
      <c r="K45" t="n">
        <v>78.06480500000001</v>
      </c>
      <c r="L45" t="n">
        <v>182.678518</v>
      </c>
      <c r="M45" t="n">
        <v>153.800234</v>
      </c>
      <c r="N45" t="n">
        <v>153.800234</v>
      </c>
      <c r="O45" t="n">
        <v>58.393946</v>
      </c>
      <c r="P45" t="n">
        <v>20.547657</v>
      </c>
      <c r="Q45" t="n">
        <v>153.800234</v>
      </c>
      <c r="R45" t="n">
        <v>153.800234</v>
      </c>
      <c r="S45" t="n">
        <v>58.393946</v>
      </c>
      <c r="T45" t="n">
        <v>58.393946</v>
      </c>
      <c r="U45" t="n">
        <v>20.547657</v>
      </c>
      <c r="V45" t="n">
        <v>20.547657</v>
      </c>
      <c r="W45" t="n">
        <v>61.340777</v>
      </c>
      <c r="X45" t="n">
        <v>159.509648</v>
      </c>
      <c r="Z45" t="n">
        <v>140.139628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1" t="inlineStr">
        <is>
          <t>Thons mineurs</t>
        </is>
      </c>
      <c r="H46" t="n">
        <v>7097.856681</v>
      </c>
      <c r="I46" t="n">
        <v>2048.262999</v>
      </c>
      <c r="J46" t="n">
        <v>2069.254323</v>
      </c>
      <c r="K46" t="n">
        <v>1192.284062</v>
      </c>
      <c r="L46" t="n">
        <v>4278.6736</v>
      </c>
      <c r="M46" t="n">
        <v>3507.683496</v>
      </c>
      <c r="N46" t="n">
        <v>3507.683496</v>
      </c>
      <c r="O46" t="n">
        <v>596.825099</v>
      </c>
      <c r="P46" t="n">
        <v>149.418326</v>
      </c>
      <c r="Q46" t="n">
        <v>3507.683496</v>
      </c>
      <c r="R46" t="n">
        <v>3507.683496</v>
      </c>
      <c r="S46" t="n">
        <v>596.825099</v>
      </c>
      <c r="T46" t="n">
        <v>596.825099</v>
      </c>
      <c r="U46" t="n">
        <v>149.418326</v>
      </c>
      <c r="V46" t="n">
        <v>149.418326</v>
      </c>
      <c r="W46" t="n">
        <v>633.055208</v>
      </c>
      <c r="X46" t="n">
        <v>3726.667282</v>
      </c>
      <c r="Z46" t="n">
        <v>2895.403089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1" t="inlineStr">
        <is>
          <t>Côtier M inv</t>
        </is>
      </c>
      <c r="H47" t="n">
        <v>398.168364</v>
      </c>
      <c r="I47" t="n">
        <v>199.191645</v>
      </c>
      <c r="J47" t="n">
        <v>199.191645</v>
      </c>
      <c r="K47" t="n">
        <v>198.220844</v>
      </c>
      <c r="L47" t="n">
        <v>425.732264</v>
      </c>
      <c r="M47" t="n">
        <v>328.010307</v>
      </c>
      <c r="N47" t="n">
        <v>328.010307</v>
      </c>
      <c r="O47" t="n">
        <v>128.891308</v>
      </c>
      <c r="P47" t="n">
        <v>43.202194</v>
      </c>
      <c r="Q47" t="n">
        <v>328.010307</v>
      </c>
      <c r="R47" t="n">
        <v>328.010307</v>
      </c>
      <c r="S47" t="n">
        <v>128.891308</v>
      </c>
      <c r="T47" t="n">
        <v>128.891308</v>
      </c>
      <c r="U47" t="n">
        <v>43.202194</v>
      </c>
      <c r="V47" t="n">
        <v>43.202194</v>
      </c>
      <c r="W47" t="n">
        <v>135.841405</v>
      </c>
      <c r="X47" t="n">
        <v>344.665099</v>
      </c>
      <c r="Z47" t="n">
        <v>208.50974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1" t="inlineStr">
        <is>
          <t>Côtier L pred | Dem M pred</t>
        </is>
      </c>
      <c r="H48" t="n">
        <v>5193.307016</v>
      </c>
      <c r="I48" t="n">
        <v>3243.453498</v>
      </c>
      <c r="J48" t="n">
        <v>6136.208719</v>
      </c>
      <c r="K48" t="n">
        <v>5312.015988</v>
      </c>
      <c r="L48" t="n">
        <v>18538.508267</v>
      </c>
      <c r="M48" t="n">
        <v>14993.009852</v>
      </c>
      <c r="N48" t="n">
        <v>14993.009852</v>
      </c>
      <c r="O48" t="n">
        <v>2444.877064</v>
      </c>
      <c r="P48" t="n">
        <v>514.880107</v>
      </c>
      <c r="Q48" t="n">
        <v>14993.009852</v>
      </c>
      <c r="R48" t="n">
        <v>-72131.736741</v>
      </c>
      <c r="S48" t="n">
        <v>2444.877064</v>
      </c>
      <c r="T48" t="n">
        <v>2444.877064</v>
      </c>
      <c r="U48" t="n">
        <v>514.880107</v>
      </c>
      <c r="V48" t="n">
        <v>13176.220285</v>
      </c>
      <c r="W48" t="n">
        <v>2592.320765</v>
      </c>
      <c r="X48" t="n">
        <v>16161.617446</v>
      </c>
      <c r="Z48" t="n">
        <v>2066.119813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1" t="inlineStr">
        <is>
          <t>Crustacés</t>
        </is>
      </c>
      <c r="H49" t="n">
        <v>141.860536</v>
      </c>
      <c r="I49" t="n">
        <v>58.609575</v>
      </c>
      <c r="J49" t="n">
        <v>58.609575</v>
      </c>
      <c r="K49" t="n">
        <v>55.679096</v>
      </c>
      <c r="L49" t="n">
        <v>135.651174</v>
      </c>
      <c r="M49" t="n">
        <v>105.8609</v>
      </c>
      <c r="N49" t="n">
        <v>105.8609</v>
      </c>
      <c r="O49" t="n">
        <v>41.041785</v>
      </c>
      <c r="P49" t="n">
        <v>14.761781</v>
      </c>
      <c r="Q49" t="n">
        <v>105.8609</v>
      </c>
      <c r="R49" t="n">
        <v>105.8609</v>
      </c>
      <c r="S49" t="n">
        <v>41.041785</v>
      </c>
      <c r="T49" t="n">
        <v>41.041785</v>
      </c>
      <c r="U49" t="n">
        <v>14.761781</v>
      </c>
      <c r="V49" t="n">
        <v>14.761781</v>
      </c>
      <c r="W49" t="n">
        <v>43.387398</v>
      </c>
      <c r="X49" t="n">
        <v>109.873168</v>
      </c>
      <c r="Z49" t="n">
        <v>83.9318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1" t="inlineStr">
        <is>
          <t>Crustacés</t>
        </is>
      </c>
      <c r="H50" t="n">
        <v>141.860536</v>
      </c>
      <c r="I50" t="n">
        <v>58.609575</v>
      </c>
      <c r="J50" t="n">
        <v>58.609575</v>
      </c>
      <c r="K50" t="n">
        <v>55.679096</v>
      </c>
      <c r="L50" t="n">
        <v>135.651174</v>
      </c>
      <c r="M50" t="n">
        <v>105.8609</v>
      </c>
      <c r="N50" t="n">
        <v>105.8609</v>
      </c>
      <c r="O50" t="n">
        <v>41.041785</v>
      </c>
      <c r="P50" t="n">
        <v>14.761781</v>
      </c>
      <c r="Q50" t="n">
        <v>105.8609</v>
      </c>
      <c r="R50" t="n">
        <v>105.8609</v>
      </c>
      <c r="S50" t="n">
        <v>41.041785</v>
      </c>
      <c r="T50" t="n">
        <v>41.041785</v>
      </c>
      <c r="U50" t="n">
        <v>14.761781</v>
      </c>
      <c r="V50" t="n">
        <v>14.761781</v>
      </c>
      <c r="W50" t="n">
        <v>43.387398</v>
      </c>
      <c r="X50" t="n">
        <v>109.873168</v>
      </c>
      <c r="Z50" t="n">
        <v>83.9318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1" t="inlineStr">
        <is>
          <t>Côtier L pred | Côtier M inv | Côtier S inv | Dem L inv | Dem L pred | Dem M inv | Dem M pred | Mulets</t>
        </is>
      </c>
      <c r="H51" t="n">
        <v>1907.794009</v>
      </c>
      <c r="I51" t="n">
        <v>1216.993389</v>
      </c>
      <c r="J51" t="n">
        <v>1974.149457</v>
      </c>
      <c r="K51" t="n">
        <v>1720.27712</v>
      </c>
      <c r="L51" t="n">
        <v>5704.194176</v>
      </c>
      <c r="M51" t="n">
        <v>4597.775581</v>
      </c>
      <c r="N51" t="n">
        <v>4597.775581</v>
      </c>
      <c r="O51" t="n">
        <v>843.812328</v>
      </c>
      <c r="P51" t="n">
        <v>192.366683</v>
      </c>
      <c r="Q51" t="n">
        <v>4597.775581</v>
      </c>
      <c r="R51" t="n">
        <v>-18145.862225</v>
      </c>
      <c r="S51" t="n">
        <v>843.812328</v>
      </c>
      <c r="T51" t="n">
        <v>843.812328</v>
      </c>
      <c r="U51" t="n">
        <v>192.366683</v>
      </c>
      <c r="V51" t="n">
        <v>3497.569239</v>
      </c>
      <c r="W51" t="n">
        <v>896.516017</v>
      </c>
      <c r="X51" t="n">
        <v>4955.701584</v>
      </c>
      <c r="Z51" t="n">
        <v>781.285088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1" t="inlineStr">
        <is>
          <t>Pel S inv</t>
        </is>
      </c>
      <c r="H52" t="n">
        <v>486.973945</v>
      </c>
      <c r="I52" t="n">
        <v>190.933723</v>
      </c>
      <c r="J52" t="n">
        <v>197.863454</v>
      </c>
      <c r="K52" t="n">
        <v>195.467703</v>
      </c>
      <c r="L52" t="n">
        <v>317.630823</v>
      </c>
      <c r="M52" t="n">
        <v>278.455011</v>
      </c>
      <c r="N52" t="n">
        <v>278.455011</v>
      </c>
      <c r="O52" t="n">
        <v>69.74158</v>
      </c>
      <c r="P52" t="n">
        <v>25.530568</v>
      </c>
      <c r="Q52" t="n">
        <v>278.455011</v>
      </c>
      <c r="R52" t="n">
        <v>278.455011</v>
      </c>
      <c r="S52" t="n">
        <v>69.74158</v>
      </c>
      <c r="T52" t="n">
        <v>69.74158</v>
      </c>
      <c r="U52" t="n">
        <v>25.530568</v>
      </c>
      <c r="V52" t="n">
        <v>25.530568</v>
      </c>
      <c r="W52" t="n">
        <v>71.895017</v>
      </c>
      <c r="X52" t="n">
        <v>297.198143</v>
      </c>
      <c r="Z52" t="n">
        <v>263.293957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1" t="inlineStr">
        <is>
          <t>Crustacés</t>
        </is>
      </c>
      <c r="H53" t="n">
        <v>141.860536</v>
      </c>
      <c r="I53" t="n">
        <v>58.609575</v>
      </c>
      <c r="J53" t="n">
        <v>58.609575</v>
      </c>
      <c r="K53" t="n">
        <v>55.679096</v>
      </c>
      <c r="L53" t="n">
        <v>135.651174</v>
      </c>
      <c r="M53" t="n">
        <v>105.8609</v>
      </c>
      <c r="N53" t="n">
        <v>105.8609</v>
      </c>
      <c r="O53" t="n">
        <v>41.041785</v>
      </c>
      <c r="P53" t="n">
        <v>14.761781</v>
      </c>
      <c r="Q53" t="n">
        <v>105.8609</v>
      </c>
      <c r="R53" t="n">
        <v>105.8609</v>
      </c>
      <c r="S53" t="n">
        <v>41.041785</v>
      </c>
      <c r="T53" t="n">
        <v>41.041785</v>
      </c>
      <c r="U53" t="n">
        <v>14.761781</v>
      </c>
      <c r="V53" t="n">
        <v>14.761781</v>
      </c>
      <c r="W53" t="n">
        <v>43.387398</v>
      </c>
      <c r="X53" t="n">
        <v>109.873168</v>
      </c>
      <c r="Z53" t="n">
        <v>83.9318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1" t="inlineStr">
        <is>
          <t>Côtier M inv</t>
        </is>
      </c>
      <c r="H54" t="n">
        <v>398.168364</v>
      </c>
      <c r="I54" t="n">
        <v>199.191645</v>
      </c>
      <c r="J54" t="n">
        <v>199.191645</v>
      </c>
      <c r="K54" t="n">
        <v>198.220844</v>
      </c>
      <c r="L54" t="n">
        <v>425.732264</v>
      </c>
      <c r="M54" t="n">
        <v>328.010307</v>
      </c>
      <c r="N54" t="n">
        <v>328.010307</v>
      </c>
      <c r="O54" t="n">
        <v>128.891308</v>
      </c>
      <c r="P54" t="n">
        <v>43.202194</v>
      </c>
      <c r="Q54" t="n">
        <v>328.010307</v>
      </c>
      <c r="R54" t="n">
        <v>328.010307</v>
      </c>
      <c r="S54" t="n">
        <v>128.891308</v>
      </c>
      <c r="T54" t="n">
        <v>128.891308</v>
      </c>
      <c r="U54" t="n">
        <v>43.202194</v>
      </c>
      <c r="V54" t="n">
        <v>43.202194</v>
      </c>
      <c r="W54" t="n">
        <v>135.841405</v>
      </c>
      <c r="X54" t="n">
        <v>344.665099</v>
      </c>
      <c r="Z54" t="n">
        <v>208.50974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1" t="inlineStr">
        <is>
          <t>Côtier pel L pred</t>
        </is>
      </c>
      <c r="H55" t="n">
        <v>8886.574375</v>
      </c>
      <c r="I55" t="n">
        <v>4351.939949</v>
      </c>
      <c r="J55" t="n">
        <v>5186.075589</v>
      </c>
      <c r="K55" t="n">
        <v>4970.359012</v>
      </c>
      <c r="L55" t="n">
        <v>14096.783373</v>
      </c>
      <c r="M55" t="n">
        <v>11411.07684</v>
      </c>
      <c r="N55" t="n">
        <v>11411.07684</v>
      </c>
      <c r="O55" t="n">
        <v>2474.877467</v>
      </c>
      <c r="P55" t="n">
        <v>525.626343</v>
      </c>
      <c r="Q55" t="n">
        <v>11411.07684</v>
      </c>
      <c r="R55" t="n">
        <v>-50759.157349</v>
      </c>
      <c r="S55" t="n">
        <v>2474.877467</v>
      </c>
      <c r="T55" t="n">
        <v>2474.877467</v>
      </c>
      <c r="U55" t="n">
        <v>525.626343</v>
      </c>
      <c r="V55" t="n">
        <v>8846.789624999999</v>
      </c>
      <c r="W55" t="n">
        <v>2645.523944</v>
      </c>
      <c r="X55" t="n">
        <v>12354.973824</v>
      </c>
      <c r="Z55" t="n">
        <v>3330.282942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1" t="inlineStr">
        <is>
          <t>Thons mineurs</t>
        </is>
      </c>
      <c r="H56" t="n">
        <v>7097.856681</v>
      </c>
      <c r="I56" t="n">
        <v>2048.262999</v>
      </c>
      <c r="J56" t="n">
        <v>2069.254323</v>
      </c>
      <c r="K56" t="n">
        <v>1192.284062</v>
      </c>
      <c r="L56" t="n">
        <v>4278.6736</v>
      </c>
      <c r="M56" t="n">
        <v>3507.683496</v>
      </c>
      <c r="N56" t="n">
        <v>3507.683496</v>
      </c>
      <c r="O56" t="n">
        <v>596.825099</v>
      </c>
      <c r="P56" t="n">
        <v>149.418326</v>
      </c>
      <c r="Q56" t="n">
        <v>3507.683496</v>
      </c>
      <c r="R56" t="n">
        <v>3507.683496</v>
      </c>
      <c r="S56" t="n">
        <v>596.825099</v>
      </c>
      <c r="T56" t="n">
        <v>596.825099</v>
      </c>
      <c r="U56" t="n">
        <v>149.418326</v>
      </c>
      <c r="V56" t="n">
        <v>149.418326</v>
      </c>
      <c r="W56" t="n">
        <v>633.055208</v>
      </c>
      <c r="X56" t="n">
        <v>3726.667282</v>
      </c>
      <c r="Z56" t="n">
        <v>2895.403089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1" t="inlineStr">
        <is>
          <t>Sélaciens L côtiers | Sélaciens M côtiers</t>
        </is>
      </c>
      <c r="H57" t="n">
        <v>18963.281429</v>
      </c>
      <c r="I57" t="n">
        <v>38866.639201</v>
      </c>
      <c r="J57" t="n">
        <v>34135.390732</v>
      </c>
      <c r="K57" t="n">
        <v>30276.649229</v>
      </c>
      <c r="L57" t="n">
        <v>137124.985345</v>
      </c>
      <c r="M57" t="n">
        <v>111680.969443</v>
      </c>
      <c r="N57" t="n">
        <v>111680.969443</v>
      </c>
      <c r="O57" t="n">
        <v>10648.955601</v>
      </c>
      <c r="P57" t="n">
        <v>1892.576101</v>
      </c>
      <c r="Q57" t="n">
        <v>111680.969443</v>
      </c>
      <c r="R57" t="n">
        <v>-272265.072434</v>
      </c>
      <c r="S57" t="n">
        <v>10648.955601</v>
      </c>
      <c r="T57" t="n">
        <v>10648.955601</v>
      </c>
      <c r="U57" t="n">
        <v>1892.576101</v>
      </c>
      <c r="V57" t="n">
        <v>21951.685141</v>
      </c>
      <c r="W57" t="n">
        <v>11493.442214</v>
      </c>
      <c r="X57" t="n">
        <v>125990.52972</v>
      </c>
      <c r="Z57" t="n">
        <v>6510.226275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1" t="inlineStr">
        <is>
          <t>Côtier S pred</t>
        </is>
      </c>
      <c r="H58" t="n">
        <v>3699.936691</v>
      </c>
      <c r="I58" t="n">
        <v>857.017702</v>
      </c>
      <c r="J58" t="n">
        <v>857.42359</v>
      </c>
      <c r="K58" t="n">
        <v>772.552422</v>
      </c>
      <c r="L58" t="n">
        <v>1835.839539</v>
      </c>
      <c r="M58" t="n">
        <v>1486.079117</v>
      </c>
      <c r="N58" t="n">
        <v>1486.079117</v>
      </c>
      <c r="O58" t="n">
        <v>433.878127</v>
      </c>
      <c r="P58" t="n">
        <v>113.683417</v>
      </c>
      <c r="Q58" t="n">
        <v>1486.079117</v>
      </c>
      <c r="R58" t="n">
        <v>1486.079117</v>
      </c>
      <c r="S58" t="n">
        <v>433.878127</v>
      </c>
      <c r="T58" t="n">
        <v>433.878127</v>
      </c>
      <c r="U58" t="n">
        <v>113.683417</v>
      </c>
      <c r="V58" t="n">
        <v>113.683417</v>
      </c>
      <c r="W58" t="n">
        <v>461.537577</v>
      </c>
      <c r="X58" t="n">
        <v>1572.808567</v>
      </c>
      <c r="Z58" t="n">
        <v>1523.664607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1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1" t="inlineStr">
        <is>
          <t>Bars</t>
        </is>
      </c>
      <c r="H60" t="n">
        <v>2420.68509</v>
      </c>
      <c r="I60" t="n">
        <v>897.711817</v>
      </c>
      <c r="J60" t="n">
        <v>1099.747345</v>
      </c>
      <c r="K60" t="n">
        <v>1031.677092</v>
      </c>
      <c r="L60" t="n">
        <v>2935.662355</v>
      </c>
      <c r="M60" t="n">
        <v>2345.11119</v>
      </c>
      <c r="N60" t="n">
        <v>2345.11119</v>
      </c>
      <c r="O60" t="n">
        <v>683.1533010000001</v>
      </c>
      <c r="P60" t="n">
        <v>169.349669</v>
      </c>
      <c r="Q60" t="n">
        <v>2345.11119</v>
      </c>
      <c r="R60" t="n">
        <v>-11446.729421</v>
      </c>
      <c r="S60" t="n">
        <v>683.1533010000001</v>
      </c>
      <c r="T60" t="n">
        <v>683.1533010000001</v>
      </c>
      <c r="U60" t="n">
        <v>169.349669</v>
      </c>
      <c r="V60" t="n">
        <v>3691.544063</v>
      </c>
      <c r="W60" t="n">
        <v>736.9540909999999</v>
      </c>
      <c r="X60" t="n">
        <v>2463.064614</v>
      </c>
      <c r="Z60" t="n">
        <v>1058.131619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1" t="inlineStr">
        <is>
          <t>Crustacés</t>
        </is>
      </c>
      <c r="H61" t="n">
        <v>141.860536</v>
      </c>
      <c r="I61" t="n">
        <v>58.609575</v>
      </c>
      <c r="J61" t="n">
        <v>58.609575</v>
      </c>
      <c r="K61" t="n">
        <v>55.679096</v>
      </c>
      <c r="L61" t="n">
        <v>135.651174</v>
      </c>
      <c r="M61" t="n">
        <v>105.8609</v>
      </c>
      <c r="N61" t="n">
        <v>105.8609</v>
      </c>
      <c r="O61" t="n">
        <v>41.041785</v>
      </c>
      <c r="P61" t="n">
        <v>14.761781</v>
      </c>
      <c r="Q61" t="n">
        <v>105.8609</v>
      </c>
      <c r="R61" t="n">
        <v>105.8609</v>
      </c>
      <c r="S61" t="n">
        <v>41.041785</v>
      </c>
      <c r="T61" t="n">
        <v>41.041785</v>
      </c>
      <c r="U61" t="n">
        <v>14.761781</v>
      </c>
      <c r="V61" t="n">
        <v>14.761781</v>
      </c>
      <c r="W61" t="n">
        <v>43.387398</v>
      </c>
      <c r="X61" t="n">
        <v>109.873168</v>
      </c>
      <c r="Z61" t="n">
        <v>83.9318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1" t="inlineStr">
        <is>
          <t>Côtier pel L pred</t>
        </is>
      </c>
      <c r="H62" t="n">
        <v>8886.574375</v>
      </c>
      <c r="I62" t="n">
        <v>4351.939949</v>
      </c>
      <c r="J62" t="n">
        <v>5186.075589</v>
      </c>
      <c r="K62" t="n">
        <v>4970.359012</v>
      </c>
      <c r="L62" t="n">
        <v>14096.783373</v>
      </c>
      <c r="M62" t="n">
        <v>11411.07684</v>
      </c>
      <c r="N62" t="n">
        <v>11411.07684</v>
      </c>
      <c r="O62" t="n">
        <v>2474.877467</v>
      </c>
      <c r="P62" t="n">
        <v>525.626343</v>
      </c>
      <c r="Q62" t="n">
        <v>11411.07684</v>
      </c>
      <c r="R62" t="n">
        <v>-50759.157349</v>
      </c>
      <c r="S62" t="n">
        <v>2474.877467</v>
      </c>
      <c r="T62" t="n">
        <v>2474.877467</v>
      </c>
      <c r="U62" t="n">
        <v>525.626343</v>
      </c>
      <c r="V62" t="n">
        <v>8846.789624999999</v>
      </c>
      <c r="W62" t="n">
        <v>2645.523944</v>
      </c>
      <c r="X62" t="n">
        <v>12354.973824</v>
      </c>
      <c r="Z62" t="n">
        <v>3330.282942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1" t="inlineStr">
        <is>
          <t>Côtier pel L pred | Côtier pel S inv | Pel L pred | Pel S inv</t>
        </is>
      </c>
      <c r="H63" t="n">
        <v>1928.996552</v>
      </c>
      <c r="I63" t="n">
        <v>914.25848</v>
      </c>
      <c r="J63" t="n">
        <v>1073.347214</v>
      </c>
      <c r="K63" t="n">
        <v>1026.273181</v>
      </c>
      <c r="L63" t="n">
        <v>2851.74623</v>
      </c>
      <c r="M63" t="n">
        <v>2315.667362</v>
      </c>
      <c r="N63" t="n">
        <v>2315.667362</v>
      </c>
      <c r="O63" t="n">
        <v>521.094939</v>
      </c>
      <c r="P63" t="n">
        <v>117.741795</v>
      </c>
      <c r="Q63" t="n">
        <v>2315.667362</v>
      </c>
      <c r="R63" t="n">
        <v>-9651.502973000001</v>
      </c>
      <c r="S63" t="n">
        <v>521.094939</v>
      </c>
      <c r="T63" t="n">
        <v>521.094939</v>
      </c>
      <c r="U63" t="n">
        <v>117.741795</v>
      </c>
      <c r="V63" t="n">
        <v>1707.599277</v>
      </c>
      <c r="W63" t="n">
        <v>555.978557</v>
      </c>
      <c r="X63" t="n">
        <v>2501.7884</v>
      </c>
      <c r="Z63" t="n">
        <v>765.417142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1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1" t="inlineStr">
        <is>
          <t>Capitaine royal</t>
        </is>
      </c>
      <c r="H65" t="n">
        <v>1549.349161</v>
      </c>
      <c r="I65" t="n">
        <v>688.308089</v>
      </c>
      <c r="J65" t="n">
        <v>688.924043</v>
      </c>
      <c r="K65" t="n">
        <v>654.477841</v>
      </c>
      <c r="L65" t="n">
        <v>1453.018194</v>
      </c>
      <c r="M65" t="n">
        <v>1156.2333</v>
      </c>
      <c r="N65" t="n">
        <v>1156.2333</v>
      </c>
      <c r="O65" t="n">
        <v>435.05622</v>
      </c>
      <c r="P65" t="n">
        <v>129.412245</v>
      </c>
      <c r="Q65" t="n">
        <v>1156.2333</v>
      </c>
      <c r="R65" t="n">
        <v>-228127.204927</v>
      </c>
      <c r="S65" t="n">
        <v>435.05622</v>
      </c>
      <c r="T65" t="n">
        <v>435.05622</v>
      </c>
      <c r="U65" t="n">
        <v>129.412245</v>
      </c>
      <c r="V65" t="n">
        <v>40389.801575</v>
      </c>
      <c r="W65" t="n">
        <v>460.525661</v>
      </c>
      <c r="X65" t="n">
        <v>1212.16393</v>
      </c>
      <c r="Z65" t="n">
        <v>745.713203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1" t="inlineStr">
        <is>
          <t>Côtier pel L pred</t>
        </is>
      </c>
      <c r="H66" t="n">
        <v>8886.574375</v>
      </c>
      <c r="I66" t="n">
        <v>4351.939949</v>
      </c>
      <c r="J66" t="n">
        <v>5186.075589</v>
      </c>
      <c r="K66" t="n">
        <v>4970.359012</v>
      </c>
      <c r="L66" t="n">
        <v>14096.783373</v>
      </c>
      <c r="M66" t="n">
        <v>11411.07684</v>
      </c>
      <c r="N66" t="n">
        <v>11411.07684</v>
      </c>
      <c r="O66" t="n">
        <v>2474.877467</v>
      </c>
      <c r="P66" t="n">
        <v>525.626343</v>
      </c>
      <c r="Q66" t="n">
        <v>11411.07684</v>
      </c>
      <c r="R66" t="n">
        <v>-50759.157349</v>
      </c>
      <c r="S66" t="n">
        <v>2474.877467</v>
      </c>
      <c r="T66" t="n">
        <v>2474.877467</v>
      </c>
      <c r="U66" t="n">
        <v>525.626343</v>
      </c>
      <c r="V66" t="n">
        <v>8846.789624999999</v>
      </c>
      <c r="W66" t="n">
        <v>2645.523944</v>
      </c>
      <c r="X66" t="n">
        <v>12354.973824</v>
      </c>
      <c r="Z66" t="n">
        <v>3330.282942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1" t="inlineStr">
        <is>
          <t>Mâchoiron</t>
        </is>
      </c>
      <c r="H67" t="n">
        <v>1654.813794</v>
      </c>
      <c r="I67" t="n">
        <v>773.879065</v>
      </c>
      <c r="J67" t="n">
        <v>774.2457010000001</v>
      </c>
      <c r="K67" t="n">
        <v>742.5754910000001</v>
      </c>
      <c r="L67" t="n">
        <v>1664.229551</v>
      </c>
      <c r="M67" t="n">
        <v>1309.963241</v>
      </c>
      <c r="N67" t="n">
        <v>1309.963241</v>
      </c>
      <c r="O67" t="n">
        <v>477.101291</v>
      </c>
      <c r="P67" t="n">
        <v>134.689842</v>
      </c>
      <c r="Q67" t="n">
        <v>1309.963241</v>
      </c>
      <c r="R67" t="n">
        <v>4640.040116</v>
      </c>
      <c r="S67" t="n">
        <v>477.101291</v>
      </c>
      <c r="T67" t="n">
        <v>477.101291</v>
      </c>
      <c r="U67" t="n">
        <v>134.689842</v>
      </c>
      <c r="V67" t="n">
        <v>12817.279415</v>
      </c>
      <c r="W67" t="n">
        <v>506.207133</v>
      </c>
      <c r="X67" t="n">
        <v>1370.742427</v>
      </c>
      <c r="Z67" t="n">
        <v>729.657726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1" t="inlineStr">
        <is>
          <t>Pel S inv</t>
        </is>
      </c>
      <c r="H68" t="n">
        <v>486.973945</v>
      </c>
      <c r="I68" t="n">
        <v>190.933723</v>
      </c>
      <c r="J68" t="n">
        <v>197.863454</v>
      </c>
      <c r="K68" t="n">
        <v>195.467703</v>
      </c>
      <c r="L68" t="n">
        <v>317.630823</v>
      </c>
      <c r="M68" t="n">
        <v>278.455011</v>
      </c>
      <c r="N68" t="n">
        <v>278.455011</v>
      </c>
      <c r="O68" t="n">
        <v>69.74158</v>
      </c>
      <c r="P68" t="n">
        <v>25.530568</v>
      </c>
      <c r="Q68" t="n">
        <v>278.455011</v>
      </c>
      <c r="R68" t="n">
        <v>278.455011</v>
      </c>
      <c r="S68" t="n">
        <v>69.74158</v>
      </c>
      <c r="T68" t="n">
        <v>69.74158</v>
      </c>
      <c r="U68" t="n">
        <v>25.530568</v>
      </c>
      <c r="V68" t="n">
        <v>25.530568</v>
      </c>
      <c r="W68" t="n">
        <v>71.895017</v>
      </c>
      <c r="X68" t="n">
        <v>297.198143</v>
      </c>
      <c r="Z68" t="n">
        <v>263.293957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1" t="inlineStr">
        <is>
          <t>Dem M inv</t>
        </is>
      </c>
      <c r="H69" t="n">
        <v>356.610478</v>
      </c>
      <c r="I69" t="n">
        <v>425.640743</v>
      </c>
      <c r="J69" t="n">
        <v>425.640743</v>
      </c>
      <c r="K69" t="n">
        <v>404.358706</v>
      </c>
      <c r="L69" t="n">
        <v>890.128168</v>
      </c>
      <c r="M69" t="n">
        <v>687.593135</v>
      </c>
      <c r="N69" t="n">
        <v>687.593135</v>
      </c>
      <c r="O69" t="n">
        <v>259.92301</v>
      </c>
      <c r="P69" t="n">
        <v>88.683295</v>
      </c>
      <c r="Q69" t="n">
        <v>687.593135</v>
      </c>
      <c r="R69" t="n">
        <v>687.593135</v>
      </c>
      <c r="S69" t="n">
        <v>259.92301</v>
      </c>
      <c r="T69" t="n">
        <v>259.92301</v>
      </c>
      <c r="U69" t="n">
        <v>88.683295</v>
      </c>
      <c r="V69" t="n">
        <v>88.683295</v>
      </c>
      <c r="W69" t="n">
        <v>274.743506</v>
      </c>
      <c r="X69" t="n">
        <v>730.09327</v>
      </c>
      <c r="Z69" t="n">
        <v>189.532809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1" t="inlineStr">
        <is>
          <t>Dem L pred</t>
        </is>
      </c>
      <c r="H70" t="n">
        <v>6647.368802</v>
      </c>
      <c r="I70" t="n">
        <v>4415.463105</v>
      </c>
      <c r="J70" t="n">
        <v>4454.682261</v>
      </c>
      <c r="K70" t="n">
        <v>3753.374229</v>
      </c>
      <c r="L70" t="n">
        <v>11046.457304</v>
      </c>
      <c r="M70" t="n">
        <v>8839.250757</v>
      </c>
      <c r="N70" t="n">
        <v>8839.250757</v>
      </c>
      <c r="O70" t="n">
        <v>2210.08062</v>
      </c>
      <c r="P70" t="n">
        <v>502.733116</v>
      </c>
      <c r="Q70" t="n">
        <v>8839.250757</v>
      </c>
      <c r="R70" t="n">
        <v>8839.250757</v>
      </c>
      <c r="S70" t="n">
        <v>2210.08062</v>
      </c>
      <c r="T70" t="n">
        <v>2210.08062</v>
      </c>
      <c r="U70" t="n">
        <v>502.733116</v>
      </c>
      <c r="V70" t="n">
        <v>502.733116</v>
      </c>
      <c r="W70" t="n">
        <v>2393.190154</v>
      </c>
      <c r="X70" t="n">
        <v>9644.19414</v>
      </c>
      <c r="Z70" t="n">
        <v>2496.813504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1" t="inlineStr">
        <is>
          <t>Côtier M inv</t>
        </is>
      </c>
      <c r="H71" t="n">
        <v>398.168364</v>
      </c>
      <c r="I71" t="n">
        <v>199.191645</v>
      </c>
      <c r="J71" t="n">
        <v>199.191645</v>
      </c>
      <c r="K71" t="n">
        <v>198.220844</v>
      </c>
      <c r="L71" t="n">
        <v>425.732264</v>
      </c>
      <c r="M71" t="n">
        <v>328.010307</v>
      </c>
      <c r="N71" t="n">
        <v>328.010307</v>
      </c>
      <c r="O71" t="n">
        <v>128.891308</v>
      </c>
      <c r="P71" t="n">
        <v>43.202194</v>
      </c>
      <c r="Q71" t="n">
        <v>328.010307</v>
      </c>
      <c r="R71" t="n">
        <v>328.010307</v>
      </c>
      <c r="S71" t="n">
        <v>128.891308</v>
      </c>
      <c r="T71" t="n">
        <v>128.891308</v>
      </c>
      <c r="U71" t="n">
        <v>43.202194</v>
      </c>
      <c r="V71" t="n">
        <v>43.202194</v>
      </c>
      <c r="W71" t="n">
        <v>135.841405</v>
      </c>
      <c r="X71" t="n">
        <v>344.665099</v>
      </c>
      <c r="Z71" t="n">
        <v>208.50974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1" t="inlineStr">
        <is>
          <t>Thons mineurs</t>
        </is>
      </c>
      <c r="H72" t="n">
        <v>7097.856681</v>
      </c>
      <c r="I72" t="n">
        <v>2048.262999</v>
      </c>
      <c r="J72" t="n">
        <v>2069.254323</v>
      </c>
      <c r="K72" t="n">
        <v>1192.284062</v>
      </c>
      <c r="L72" t="n">
        <v>4278.6736</v>
      </c>
      <c r="M72" t="n">
        <v>3507.683496</v>
      </c>
      <c r="N72" t="n">
        <v>3507.683496</v>
      </c>
      <c r="O72" t="n">
        <v>596.825099</v>
      </c>
      <c r="P72" t="n">
        <v>149.418326</v>
      </c>
      <c r="Q72" t="n">
        <v>3507.683496</v>
      </c>
      <c r="R72" t="n">
        <v>3507.683496</v>
      </c>
      <c r="S72" t="n">
        <v>596.825099</v>
      </c>
      <c r="T72" t="n">
        <v>596.825099</v>
      </c>
      <c r="U72" t="n">
        <v>149.418326</v>
      </c>
      <c r="V72" t="n">
        <v>149.418326</v>
      </c>
      <c r="W72" t="n">
        <v>633.055208</v>
      </c>
      <c r="X72" t="n">
        <v>3726.667282</v>
      </c>
      <c r="Z72" t="n">
        <v>2895.403089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1" t="inlineStr">
        <is>
          <t>Côtier pel L pred</t>
        </is>
      </c>
      <c r="H73" t="n">
        <v>8886.574375</v>
      </c>
      <c r="I73" t="n">
        <v>4351.939949</v>
      </c>
      <c r="J73" t="n">
        <v>5186.075589</v>
      </c>
      <c r="K73" t="n">
        <v>4970.359012</v>
      </c>
      <c r="L73" t="n">
        <v>14096.783373</v>
      </c>
      <c r="M73" t="n">
        <v>11411.07684</v>
      </c>
      <c r="N73" t="n">
        <v>11411.07684</v>
      </c>
      <c r="O73" t="n">
        <v>2474.877467</v>
      </c>
      <c r="P73" t="n">
        <v>525.626343</v>
      </c>
      <c r="Q73" t="n">
        <v>11411.07684</v>
      </c>
      <c r="R73" t="n">
        <v>-50759.157349</v>
      </c>
      <c r="S73" t="n">
        <v>2474.877467</v>
      </c>
      <c r="T73" t="n">
        <v>2474.877467</v>
      </c>
      <c r="U73" t="n">
        <v>525.626343</v>
      </c>
      <c r="V73" t="n">
        <v>8846.789624999999</v>
      </c>
      <c r="W73" t="n">
        <v>2645.523944</v>
      </c>
      <c r="X73" t="n">
        <v>12354.973824</v>
      </c>
      <c r="Z73" t="n">
        <v>3330.282942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1" t="inlineStr">
        <is>
          <t>Bars</t>
        </is>
      </c>
      <c r="H74" t="n">
        <v>2420.68509</v>
      </c>
      <c r="I74" t="n">
        <v>897.711817</v>
      </c>
      <c r="J74" t="n">
        <v>1099.747345</v>
      </c>
      <c r="K74" t="n">
        <v>1031.677092</v>
      </c>
      <c r="L74" t="n">
        <v>2935.662355</v>
      </c>
      <c r="M74" t="n">
        <v>2345.11119</v>
      </c>
      <c r="N74" t="n">
        <v>2345.11119</v>
      </c>
      <c r="O74" t="n">
        <v>683.1533010000001</v>
      </c>
      <c r="P74" t="n">
        <v>169.349669</v>
      </c>
      <c r="Q74" t="n">
        <v>2345.11119</v>
      </c>
      <c r="R74" t="n">
        <v>-11446.729421</v>
      </c>
      <c r="S74" t="n">
        <v>683.1533010000001</v>
      </c>
      <c r="T74" t="n">
        <v>683.1533010000001</v>
      </c>
      <c r="U74" t="n">
        <v>169.349669</v>
      </c>
      <c r="V74" t="n">
        <v>3691.544063</v>
      </c>
      <c r="W74" t="n">
        <v>736.9540909999999</v>
      </c>
      <c r="X74" t="n">
        <v>2463.064614</v>
      </c>
      <c r="Z74" t="n">
        <v>1058.131619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1" t="inlineStr">
        <is>
          <t>Céphalopodes</t>
        </is>
      </c>
      <c r="H75" t="n">
        <v>2209.641323</v>
      </c>
      <c r="I75" t="n">
        <v>533.937243</v>
      </c>
      <c r="J75" t="n">
        <v>533.937243</v>
      </c>
      <c r="K75" t="n">
        <v>507.240381</v>
      </c>
      <c r="L75" t="n">
        <v>1169.060818</v>
      </c>
      <c r="M75" t="n">
        <v>955.905028</v>
      </c>
      <c r="N75" t="n">
        <v>955.905028</v>
      </c>
      <c r="O75" t="n">
        <v>259.897575</v>
      </c>
      <c r="P75" t="n">
        <v>71.4718</v>
      </c>
      <c r="Q75" t="n">
        <v>955.905028</v>
      </c>
      <c r="R75" t="n">
        <v>955.905028</v>
      </c>
      <c r="S75" t="n">
        <v>259.897575</v>
      </c>
      <c r="T75" t="n">
        <v>259.897575</v>
      </c>
      <c r="U75" t="n">
        <v>71.4718</v>
      </c>
      <c r="V75" t="n">
        <v>71.4718</v>
      </c>
      <c r="W75" t="n">
        <v>275.401339</v>
      </c>
      <c r="X75" t="n">
        <v>1017.651066</v>
      </c>
      <c r="Z75" t="n">
        <v>1022.837477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1" t="inlineStr">
        <is>
          <t>Côtier L pred</t>
        </is>
      </c>
      <c r="H76" t="n">
        <v>5244.468733</v>
      </c>
      <c r="I76" t="n">
        <v>3323.212634</v>
      </c>
      <c r="J76" t="n">
        <v>6358.646185</v>
      </c>
      <c r="K76" t="n">
        <v>5497.795802</v>
      </c>
      <c r="L76" t="n">
        <v>19279.552919</v>
      </c>
      <c r="M76" t="n">
        <v>15594.90803</v>
      </c>
      <c r="N76" t="n">
        <v>15594.90803</v>
      </c>
      <c r="O76" t="n">
        <v>2522.190001</v>
      </c>
      <c r="P76" t="n">
        <v>528.917324</v>
      </c>
      <c r="Q76" t="n">
        <v>15594.90803</v>
      </c>
      <c r="R76" t="n">
        <v>-75829.94378099999</v>
      </c>
      <c r="S76" t="n">
        <v>2522.190001</v>
      </c>
      <c r="T76" t="n">
        <v>2522.190001</v>
      </c>
      <c r="U76" t="n">
        <v>528.917324</v>
      </c>
      <c r="V76" t="n">
        <v>13815.167153</v>
      </c>
      <c r="W76" t="n">
        <v>2674.282783</v>
      </c>
      <c r="X76" t="n">
        <v>16812.298301</v>
      </c>
      <c r="Z76" t="n">
        <v>2083.221444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1" t="inlineStr">
        <is>
          <t>Disques</t>
        </is>
      </c>
      <c r="H77" t="n">
        <v>591.76983</v>
      </c>
      <c r="I77" t="n">
        <v>490.253282</v>
      </c>
      <c r="J77" t="n">
        <v>490.253282</v>
      </c>
      <c r="K77" t="n">
        <v>431.971254</v>
      </c>
      <c r="L77" t="n">
        <v>999.277695</v>
      </c>
      <c r="M77" t="n">
        <v>792.953604</v>
      </c>
      <c r="N77" t="n">
        <v>792.953604</v>
      </c>
      <c r="O77" t="n">
        <v>281.563075</v>
      </c>
      <c r="P77" t="n">
        <v>91.20610000000001</v>
      </c>
      <c r="Q77" t="n">
        <v>792.953604</v>
      </c>
      <c r="R77" t="n">
        <v>792.953604</v>
      </c>
      <c r="S77" t="n">
        <v>281.563075</v>
      </c>
      <c r="T77" t="n">
        <v>281.563075</v>
      </c>
      <c r="U77" t="n">
        <v>91.20610000000001</v>
      </c>
      <c r="V77" t="n">
        <v>91.20610000000001</v>
      </c>
      <c r="W77" t="n">
        <v>298.092456</v>
      </c>
      <c r="X77" t="n">
        <v>817.749244</v>
      </c>
      <c r="Z77" t="n">
        <v>307.78316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1" t="inlineStr">
        <is>
          <t>Pel S inv</t>
        </is>
      </c>
      <c r="H78" t="n">
        <v>486.973945</v>
      </c>
      <c r="I78" t="n">
        <v>190.933723</v>
      </c>
      <c r="J78" t="n">
        <v>197.863454</v>
      </c>
      <c r="K78" t="n">
        <v>195.467703</v>
      </c>
      <c r="L78" t="n">
        <v>317.630823</v>
      </c>
      <c r="M78" t="n">
        <v>278.455011</v>
      </c>
      <c r="N78" t="n">
        <v>278.455011</v>
      </c>
      <c r="O78" t="n">
        <v>69.74158</v>
      </c>
      <c r="P78" t="n">
        <v>25.530568</v>
      </c>
      <c r="Q78" t="n">
        <v>278.455011</v>
      </c>
      <c r="R78" t="n">
        <v>278.455011</v>
      </c>
      <c r="S78" t="n">
        <v>69.74158</v>
      </c>
      <c r="T78" t="n">
        <v>69.74158</v>
      </c>
      <c r="U78" t="n">
        <v>25.530568</v>
      </c>
      <c r="V78" t="n">
        <v>25.530568</v>
      </c>
      <c r="W78" t="n">
        <v>71.895017</v>
      </c>
      <c r="X78" t="n">
        <v>297.198143</v>
      </c>
      <c r="Z78" t="n">
        <v>263.293957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1" t="inlineStr">
        <is>
          <t>Côtier L pred | Dem L pred</t>
        </is>
      </c>
      <c r="H79" t="n">
        <v>5473.645526</v>
      </c>
      <c r="I79" t="n">
        <v>3501.641922</v>
      </c>
      <c r="J79" t="n">
        <v>6047.615944</v>
      </c>
      <c r="K79" t="n">
        <v>5212.82829</v>
      </c>
      <c r="L79" t="n">
        <v>17934.600066</v>
      </c>
      <c r="M79" t="n">
        <v>14491.30849</v>
      </c>
      <c r="N79" t="n">
        <v>14491.30849</v>
      </c>
      <c r="O79" t="n">
        <v>2471.204027</v>
      </c>
      <c r="P79" t="n">
        <v>524.63989</v>
      </c>
      <c r="Q79" t="n">
        <v>14491.30849</v>
      </c>
      <c r="R79" t="n">
        <v>-61998.442224</v>
      </c>
      <c r="S79" t="n">
        <v>2471.204027</v>
      </c>
      <c r="T79" t="n">
        <v>2471.204027</v>
      </c>
      <c r="U79" t="n">
        <v>524.63989</v>
      </c>
      <c r="V79" t="n">
        <v>11640.457058</v>
      </c>
      <c r="W79" t="n">
        <v>2628.363684</v>
      </c>
      <c r="X79" t="n">
        <v>15641.321721</v>
      </c>
      <c r="Z79" t="n">
        <v>2150.785559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1" t="inlineStr">
        <is>
          <t>Pel S inv</t>
        </is>
      </c>
      <c r="H80" t="n">
        <v>486.973945</v>
      </c>
      <c r="I80" t="n">
        <v>190.933723</v>
      </c>
      <c r="J80" t="n">
        <v>197.863454</v>
      </c>
      <c r="K80" t="n">
        <v>195.467703</v>
      </c>
      <c r="L80" t="n">
        <v>317.630823</v>
      </c>
      <c r="M80" t="n">
        <v>278.455011</v>
      </c>
      <c r="N80" t="n">
        <v>278.455011</v>
      </c>
      <c r="O80" t="n">
        <v>69.74158</v>
      </c>
      <c r="P80" t="n">
        <v>25.530568</v>
      </c>
      <c r="Q80" t="n">
        <v>278.455011</v>
      </c>
      <c r="R80" t="n">
        <v>278.455011</v>
      </c>
      <c r="S80" t="n">
        <v>69.74158</v>
      </c>
      <c r="T80" t="n">
        <v>69.74158</v>
      </c>
      <c r="U80" t="n">
        <v>25.530568</v>
      </c>
      <c r="V80" t="n">
        <v>25.530568</v>
      </c>
      <c r="W80" t="n">
        <v>71.895017</v>
      </c>
      <c r="X80" t="n">
        <v>297.198143</v>
      </c>
      <c r="Z80" t="n">
        <v>263.293957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1" t="inlineStr">
        <is>
          <t>Côtier L pred</t>
        </is>
      </c>
      <c r="H81" t="n">
        <v>5244.468733</v>
      </c>
      <c r="I81" t="n">
        <v>3323.212634</v>
      </c>
      <c r="J81" t="n">
        <v>6358.646185</v>
      </c>
      <c r="K81" t="n">
        <v>5497.795802</v>
      </c>
      <c r="L81" t="n">
        <v>19279.552919</v>
      </c>
      <c r="M81" t="n">
        <v>15594.90803</v>
      </c>
      <c r="N81" t="n">
        <v>15594.90803</v>
      </c>
      <c r="O81" t="n">
        <v>2522.190001</v>
      </c>
      <c r="P81" t="n">
        <v>528.917324</v>
      </c>
      <c r="Q81" t="n">
        <v>15594.90803</v>
      </c>
      <c r="R81" t="n">
        <v>-75829.94378099999</v>
      </c>
      <c r="S81" t="n">
        <v>2522.190001</v>
      </c>
      <c r="T81" t="n">
        <v>2522.190001</v>
      </c>
      <c r="U81" t="n">
        <v>528.917324</v>
      </c>
      <c r="V81" t="n">
        <v>13815.167153</v>
      </c>
      <c r="W81" t="n">
        <v>2674.282783</v>
      </c>
      <c r="X81" t="n">
        <v>16812.298301</v>
      </c>
      <c r="Z81" t="n">
        <v>2083.221444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1" t="inlineStr">
        <is>
          <t>Côtier pel L pred</t>
        </is>
      </c>
      <c r="H82" t="n">
        <v>8886.574375</v>
      </c>
      <c r="I82" t="n">
        <v>4351.939949</v>
      </c>
      <c r="J82" t="n">
        <v>5186.075589</v>
      </c>
      <c r="K82" t="n">
        <v>4970.359012</v>
      </c>
      <c r="L82" t="n">
        <v>14096.783373</v>
      </c>
      <c r="M82" t="n">
        <v>11411.07684</v>
      </c>
      <c r="N82" t="n">
        <v>11411.07684</v>
      </c>
      <c r="O82" t="n">
        <v>2474.877467</v>
      </c>
      <c r="P82" t="n">
        <v>525.626343</v>
      </c>
      <c r="Q82" t="n">
        <v>11411.07684</v>
      </c>
      <c r="R82" t="n">
        <v>-50759.157349</v>
      </c>
      <c r="S82" t="n">
        <v>2474.877467</v>
      </c>
      <c r="T82" t="n">
        <v>2474.877467</v>
      </c>
      <c r="U82" t="n">
        <v>525.626343</v>
      </c>
      <c r="V82" t="n">
        <v>8846.789624999999</v>
      </c>
      <c r="W82" t="n">
        <v>2645.523944</v>
      </c>
      <c r="X82" t="n">
        <v>12354.973824</v>
      </c>
      <c r="Z82" t="n">
        <v>3330.282942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1" t="inlineStr">
        <is>
          <t>Sélaciens L prof | Sélaciens M prof</t>
        </is>
      </c>
      <c r="H83" t="n">
        <v>23077.678707</v>
      </c>
      <c r="I83" t="n">
        <v>72694.11223499999</v>
      </c>
      <c r="J83" t="n">
        <v>74885.77596899999</v>
      </c>
      <c r="K83" t="n">
        <v>37442.887985</v>
      </c>
      <c r="L83" t="n">
        <v>519043.253135</v>
      </c>
      <c r="M83" t="n">
        <v>423323.65087</v>
      </c>
      <c r="N83" t="n">
        <v>423323.65087</v>
      </c>
      <c r="O83" t="n">
        <v>17981.099834</v>
      </c>
      <c r="P83" t="n">
        <v>3100.455644</v>
      </c>
      <c r="Q83" t="n">
        <v>423323.65087</v>
      </c>
      <c r="R83" t="n">
        <v>-987921.583792</v>
      </c>
      <c r="S83" t="n">
        <v>17981.099834</v>
      </c>
      <c r="T83" t="n">
        <v>17981.099834</v>
      </c>
      <c r="U83" t="n">
        <v>3100.455644</v>
      </c>
      <c r="V83" t="n">
        <v>25699.268014</v>
      </c>
      <c r="W83" t="n">
        <v>19738.087494</v>
      </c>
      <c r="X83" t="n">
        <v>511806.89099</v>
      </c>
      <c r="Z83" t="n">
        <v>7983.35242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1" t="inlineStr">
        <is>
          <t>Thons mineurs</t>
        </is>
      </c>
      <c r="H84" t="n">
        <v>7097.856681</v>
      </c>
      <c r="I84" t="n">
        <v>2048.262999</v>
      </c>
      <c r="J84" t="n">
        <v>2069.254323</v>
      </c>
      <c r="K84" t="n">
        <v>1192.284062</v>
      </c>
      <c r="L84" t="n">
        <v>4278.6736</v>
      </c>
      <c r="M84" t="n">
        <v>3507.683496</v>
      </c>
      <c r="N84" t="n">
        <v>3507.683496</v>
      </c>
      <c r="O84" t="n">
        <v>596.825099</v>
      </c>
      <c r="P84" t="n">
        <v>149.418326</v>
      </c>
      <c r="Q84" t="n">
        <v>3507.683496</v>
      </c>
      <c r="R84" t="n">
        <v>3507.683496</v>
      </c>
      <c r="S84" t="n">
        <v>596.825099</v>
      </c>
      <c r="T84" t="n">
        <v>596.825099</v>
      </c>
      <c r="U84" t="n">
        <v>149.418326</v>
      </c>
      <c r="V84" t="n">
        <v>149.418326</v>
      </c>
      <c r="W84" t="n">
        <v>633.055208</v>
      </c>
      <c r="X84" t="n">
        <v>3726.667282</v>
      </c>
      <c r="Z84" t="n">
        <v>2895.403089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1" t="inlineStr">
        <is>
          <t>Dem M inv</t>
        </is>
      </c>
      <c r="H85" t="n">
        <v>356.610478</v>
      </c>
      <c r="I85" t="n">
        <v>425.640743</v>
      </c>
      <c r="J85" t="n">
        <v>425.640743</v>
      </c>
      <c r="K85" t="n">
        <v>404.358706</v>
      </c>
      <c r="L85" t="n">
        <v>890.128168</v>
      </c>
      <c r="M85" t="n">
        <v>687.593135</v>
      </c>
      <c r="N85" t="n">
        <v>687.593135</v>
      </c>
      <c r="O85" t="n">
        <v>259.92301</v>
      </c>
      <c r="P85" t="n">
        <v>88.683295</v>
      </c>
      <c r="Q85" t="n">
        <v>687.593135</v>
      </c>
      <c r="R85" t="n">
        <v>687.593135</v>
      </c>
      <c r="S85" t="n">
        <v>259.92301</v>
      </c>
      <c r="T85" t="n">
        <v>259.92301</v>
      </c>
      <c r="U85" t="n">
        <v>88.683295</v>
      </c>
      <c r="V85" t="n">
        <v>88.683295</v>
      </c>
      <c r="W85" t="n">
        <v>274.743506</v>
      </c>
      <c r="X85" t="n">
        <v>730.09327</v>
      </c>
      <c r="Z85" t="n">
        <v>189.532809</v>
      </c>
    </row>
    <row r="86" ht="21" customHeight="1">
      <c r="A86" t="inlineStr">
        <is>
          <t>Nematopalaemon hastatus</t>
        </is>
      </c>
      <c r="D86" s="11" t="inlineStr">
        <is>
          <t>Crustacés</t>
        </is>
      </c>
      <c r="H86" t="n">
        <v>141.860536</v>
      </c>
      <c r="I86" t="n">
        <v>58.609575</v>
      </c>
      <c r="J86" t="n">
        <v>58.609575</v>
      </c>
      <c r="K86" t="n">
        <v>55.679096</v>
      </c>
      <c r="L86" t="n">
        <v>135.651174</v>
      </c>
      <c r="M86" t="n">
        <v>105.8609</v>
      </c>
      <c r="N86" t="n">
        <v>105.8609</v>
      </c>
      <c r="O86" t="n">
        <v>41.041785</v>
      </c>
      <c r="P86" t="n">
        <v>14.761781</v>
      </c>
      <c r="Q86" t="n">
        <v>105.8609</v>
      </c>
      <c r="R86" t="n">
        <v>105.8609</v>
      </c>
      <c r="S86" t="n">
        <v>41.041785</v>
      </c>
      <c r="T86" t="n">
        <v>41.041785</v>
      </c>
      <c r="U86" t="n">
        <v>14.761781</v>
      </c>
      <c r="V86" t="n">
        <v>14.761781</v>
      </c>
      <c r="W86" t="n">
        <v>43.387398</v>
      </c>
      <c r="X86" t="n">
        <v>109.873168</v>
      </c>
      <c r="Z86" t="n">
        <v>83.9318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1" t="inlineStr">
        <is>
          <t>Côtier pel L pred</t>
        </is>
      </c>
      <c r="H87" t="n">
        <v>8886.574375</v>
      </c>
      <c r="I87" t="n">
        <v>4351.939949</v>
      </c>
      <c r="J87" t="n">
        <v>5186.075589</v>
      </c>
      <c r="K87" t="n">
        <v>4970.359012</v>
      </c>
      <c r="L87" t="n">
        <v>14096.783373</v>
      </c>
      <c r="M87" t="n">
        <v>11411.07684</v>
      </c>
      <c r="N87" t="n">
        <v>11411.07684</v>
      </c>
      <c r="O87" t="n">
        <v>2474.877467</v>
      </c>
      <c r="P87" t="n">
        <v>525.626343</v>
      </c>
      <c r="Q87" t="n">
        <v>11411.07684</v>
      </c>
      <c r="R87" t="n">
        <v>-50759.157349</v>
      </c>
      <c r="S87" t="n">
        <v>2474.877467</v>
      </c>
      <c r="T87" t="n">
        <v>2474.877467</v>
      </c>
      <c r="U87" t="n">
        <v>525.626343</v>
      </c>
      <c r="V87" t="n">
        <v>8846.789624999999</v>
      </c>
      <c r="W87" t="n">
        <v>2645.523944</v>
      </c>
      <c r="X87" t="n">
        <v>12354.973824</v>
      </c>
      <c r="Z87" t="n">
        <v>3330.282942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1" t="inlineStr">
        <is>
          <t>Côtier pel L pred</t>
        </is>
      </c>
      <c r="H88" t="n">
        <v>8886.574375</v>
      </c>
      <c r="I88" t="n">
        <v>4351.939949</v>
      </c>
      <c r="J88" t="n">
        <v>5186.075589</v>
      </c>
      <c r="K88" t="n">
        <v>4970.359012</v>
      </c>
      <c r="L88" t="n">
        <v>14096.783373</v>
      </c>
      <c r="M88" t="n">
        <v>11411.07684</v>
      </c>
      <c r="N88" t="n">
        <v>11411.07684</v>
      </c>
      <c r="O88" t="n">
        <v>2474.877467</v>
      </c>
      <c r="P88" t="n">
        <v>525.626343</v>
      </c>
      <c r="Q88" t="n">
        <v>11411.07684</v>
      </c>
      <c r="R88" t="n">
        <v>-50759.157349</v>
      </c>
      <c r="S88" t="n">
        <v>2474.877467</v>
      </c>
      <c r="T88" t="n">
        <v>2474.877467</v>
      </c>
      <c r="U88" t="n">
        <v>525.626343</v>
      </c>
      <c r="V88" t="n">
        <v>8846.789624999999</v>
      </c>
      <c r="W88" t="n">
        <v>2645.523944</v>
      </c>
      <c r="X88" t="n">
        <v>12354.973824</v>
      </c>
      <c r="Z88" t="n">
        <v>3330.282942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1" t="inlineStr">
        <is>
          <t>Dem M inv</t>
        </is>
      </c>
      <c r="H89" t="n">
        <v>356.610478</v>
      </c>
      <c r="I89" t="n">
        <v>425.640743</v>
      </c>
      <c r="J89" t="n">
        <v>425.640743</v>
      </c>
      <c r="K89" t="n">
        <v>404.358706</v>
      </c>
      <c r="L89" t="n">
        <v>890.128168</v>
      </c>
      <c r="M89" t="n">
        <v>687.593135</v>
      </c>
      <c r="N89" t="n">
        <v>687.593135</v>
      </c>
      <c r="O89" t="n">
        <v>259.92301</v>
      </c>
      <c r="P89" t="n">
        <v>88.683295</v>
      </c>
      <c r="Q89" t="n">
        <v>687.593135</v>
      </c>
      <c r="R89" t="n">
        <v>687.593135</v>
      </c>
      <c r="S89" t="n">
        <v>259.92301</v>
      </c>
      <c r="T89" t="n">
        <v>259.92301</v>
      </c>
      <c r="U89" t="n">
        <v>88.683295</v>
      </c>
      <c r="V89" t="n">
        <v>88.683295</v>
      </c>
      <c r="W89" t="n">
        <v>274.743506</v>
      </c>
      <c r="X89" t="n">
        <v>730.09327</v>
      </c>
      <c r="Z89" t="n">
        <v>189.532809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1" t="inlineStr">
        <is>
          <t>Dem M inv</t>
        </is>
      </c>
      <c r="H90" t="n">
        <v>356.610478</v>
      </c>
      <c r="I90" t="n">
        <v>425.640743</v>
      </c>
      <c r="J90" t="n">
        <v>425.640743</v>
      </c>
      <c r="K90" t="n">
        <v>404.358706</v>
      </c>
      <c r="L90" t="n">
        <v>890.128168</v>
      </c>
      <c r="M90" t="n">
        <v>687.593135</v>
      </c>
      <c r="N90" t="n">
        <v>687.593135</v>
      </c>
      <c r="O90" t="n">
        <v>259.92301</v>
      </c>
      <c r="P90" t="n">
        <v>88.683295</v>
      </c>
      <c r="Q90" t="n">
        <v>687.593135</v>
      </c>
      <c r="R90" t="n">
        <v>687.593135</v>
      </c>
      <c r="S90" t="n">
        <v>259.92301</v>
      </c>
      <c r="T90" t="n">
        <v>259.92301</v>
      </c>
      <c r="U90" t="n">
        <v>88.683295</v>
      </c>
      <c r="V90" t="n">
        <v>88.683295</v>
      </c>
      <c r="W90" t="n">
        <v>274.743506</v>
      </c>
      <c r="X90" t="n">
        <v>730.09327</v>
      </c>
      <c r="Z90" t="n">
        <v>189.532809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1" t="inlineStr">
        <is>
          <t>Sélaciens L prof</t>
        </is>
      </c>
      <c r="H91" t="n">
        <v>25677.887496</v>
      </c>
      <c r="I91" t="n">
        <v>85025.569393</v>
      </c>
      <c r="J91" t="n">
        <v>87655.49026999999</v>
      </c>
      <c r="K91" t="n">
        <v>43827.745135</v>
      </c>
      <c r="L91" t="n">
        <v>630806.17817</v>
      </c>
      <c r="M91" t="n">
        <v>514481.410387</v>
      </c>
      <c r="N91" t="n">
        <v>514481.410387</v>
      </c>
      <c r="O91" t="n">
        <v>21093.289073</v>
      </c>
      <c r="P91" t="n">
        <v>3573.574556</v>
      </c>
      <c r="Q91" t="n">
        <v>514481.410387</v>
      </c>
      <c r="R91" t="n">
        <v>-1228387.275522</v>
      </c>
      <c r="S91" t="n">
        <v>21093.289073</v>
      </c>
      <c r="T91" t="n">
        <v>21093.289073</v>
      </c>
      <c r="U91" t="n">
        <v>3573.574556</v>
      </c>
      <c r="V91" t="n">
        <v>31482.800712</v>
      </c>
      <c r="W91" t="n">
        <v>23157.185683</v>
      </c>
      <c r="X91" t="n">
        <v>623084.058893</v>
      </c>
      <c r="Z91" t="n">
        <v>8771.288941999999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1" t="inlineStr">
        <is>
          <t>Thons majeurs</t>
        </is>
      </c>
      <c r="H92" t="n">
        <v>13661.710452</v>
      </c>
      <c r="I92" t="n">
        <v>5828.690682</v>
      </c>
      <c r="J92" t="n">
        <v>6055.352519</v>
      </c>
      <c r="K92" t="n">
        <v>3027.67626</v>
      </c>
      <c r="L92" t="n">
        <v>13559.408277</v>
      </c>
      <c r="M92" t="n">
        <v>11074.090097</v>
      </c>
      <c r="N92" t="n">
        <v>11074.090097</v>
      </c>
      <c r="O92" t="n">
        <v>1497.448606</v>
      </c>
      <c r="P92" t="n">
        <v>329.433681</v>
      </c>
      <c r="Q92" t="n">
        <v>11074.090097</v>
      </c>
      <c r="R92" t="n">
        <v>-31133.885537</v>
      </c>
      <c r="S92" t="n">
        <v>1497.448606</v>
      </c>
      <c r="T92" t="n">
        <v>1497.448606</v>
      </c>
      <c r="U92" t="n">
        <v>329.433681</v>
      </c>
      <c r="V92" t="n">
        <v>2167.379541</v>
      </c>
      <c r="W92" t="n">
        <v>1598.647747</v>
      </c>
      <c r="X92" t="n">
        <v>12125.414105</v>
      </c>
      <c r="Z92" t="n">
        <v>5199.941547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1" t="inlineStr">
        <is>
          <t>Thons majeurs</t>
        </is>
      </c>
      <c r="H93" t="n">
        <v>13661.710452</v>
      </c>
      <c r="I93" t="n">
        <v>5828.690682</v>
      </c>
      <c r="J93" t="n">
        <v>6055.352519</v>
      </c>
      <c r="K93" t="n">
        <v>3027.67626</v>
      </c>
      <c r="L93" t="n">
        <v>13559.408277</v>
      </c>
      <c r="M93" t="n">
        <v>11074.090097</v>
      </c>
      <c r="N93" t="n">
        <v>11074.090097</v>
      </c>
      <c r="O93" t="n">
        <v>1497.448606</v>
      </c>
      <c r="P93" t="n">
        <v>329.433681</v>
      </c>
      <c r="Q93" t="n">
        <v>11074.090097</v>
      </c>
      <c r="R93" t="n">
        <v>-31133.885537</v>
      </c>
      <c r="S93" t="n">
        <v>1497.448606</v>
      </c>
      <c r="T93" t="n">
        <v>1497.448606</v>
      </c>
      <c r="U93" t="n">
        <v>329.433681</v>
      </c>
      <c r="V93" t="n">
        <v>2167.379541</v>
      </c>
      <c r="W93" t="n">
        <v>1598.647747</v>
      </c>
      <c r="X93" t="n">
        <v>12125.414105</v>
      </c>
      <c r="Z93" t="n">
        <v>5199.941547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1" t="inlineStr">
        <is>
          <t>Céphalopodes</t>
        </is>
      </c>
      <c r="H94" t="n">
        <v>2209.641323</v>
      </c>
      <c r="I94" t="n">
        <v>533.937243</v>
      </c>
      <c r="J94" t="n">
        <v>533.937243</v>
      </c>
      <c r="K94" t="n">
        <v>507.240381</v>
      </c>
      <c r="L94" t="n">
        <v>1169.060818</v>
      </c>
      <c r="M94" t="n">
        <v>955.905028</v>
      </c>
      <c r="N94" t="n">
        <v>955.905028</v>
      </c>
      <c r="O94" t="n">
        <v>259.897575</v>
      </c>
      <c r="P94" t="n">
        <v>71.4718</v>
      </c>
      <c r="Q94" t="n">
        <v>955.905028</v>
      </c>
      <c r="R94" t="n">
        <v>955.905028</v>
      </c>
      <c r="S94" t="n">
        <v>259.897575</v>
      </c>
      <c r="T94" t="n">
        <v>259.897575</v>
      </c>
      <c r="U94" t="n">
        <v>71.4718</v>
      </c>
      <c r="V94" t="n">
        <v>71.4718</v>
      </c>
      <c r="W94" t="n">
        <v>275.401339</v>
      </c>
      <c r="X94" t="n">
        <v>1017.651066</v>
      </c>
      <c r="Z94" t="n">
        <v>1022.837477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1" t="inlineStr">
        <is>
          <t>Céphalopodes</t>
        </is>
      </c>
      <c r="H95" t="n">
        <v>2209.641323</v>
      </c>
      <c r="I95" t="n">
        <v>533.937243</v>
      </c>
      <c r="J95" t="n">
        <v>533.937243</v>
      </c>
      <c r="K95" t="n">
        <v>507.240381</v>
      </c>
      <c r="L95" t="n">
        <v>1169.060818</v>
      </c>
      <c r="M95" t="n">
        <v>955.905028</v>
      </c>
      <c r="N95" t="n">
        <v>955.905028</v>
      </c>
      <c r="O95" t="n">
        <v>259.897575</v>
      </c>
      <c r="P95" t="n">
        <v>71.4718</v>
      </c>
      <c r="Q95" t="n">
        <v>955.905028</v>
      </c>
      <c r="R95" t="n">
        <v>955.905028</v>
      </c>
      <c r="S95" t="n">
        <v>259.897575</v>
      </c>
      <c r="T95" t="n">
        <v>259.897575</v>
      </c>
      <c r="U95" t="n">
        <v>71.4718</v>
      </c>
      <c r="V95" t="n">
        <v>71.4718</v>
      </c>
      <c r="W95" t="n">
        <v>275.401339</v>
      </c>
      <c r="X95" t="n">
        <v>1017.651066</v>
      </c>
      <c r="Z95" t="n">
        <v>1022.837477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1" t="inlineStr">
        <is>
          <t>Thons mineurs</t>
        </is>
      </c>
      <c r="H96" t="n">
        <v>7097.856681</v>
      </c>
      <c r="I96" t="n">
        <v>2048.262999</v>
      </c>
      <c r="J96" t="n">
        <v>2069.254323</v>
      </c>
      <c r="K96" t="n">
        <v>1192.284062</v>
      </c>
      <c r="L96" t="n">
        <v>4278.6736</v>
      </c>
      <c r="M96" t="n">
        <v>3507.683496</v>
      </c>
      <c r="N96" t="n">
        <v>3507.683496</v>
      </c>
      <c r="O96" t="n">
        <v>596.825099</v>
      </c>
      <c r="P96" t="n">
        <v>149.418326</v>
      </c>
      <c r="Q96" t="n">
        <v>3507.683496</v>
      </c>
      <c r="R96" t="n">
        <v>3507.683496</v>
      </c>
      <c r="S96" t="n">
        <v>596.825099</v>
      </c>
      <c r="T96" t="n">
        <v>596.825099</v>
      </c>
      <c r="U96" t="n">
        <v>149.418326</v>
      </c>
      <c r="V96" t="n">
        <v>149.418326</v>
      </c>
      <c r="W96" t="n">
        <v>633.055208</v>
      </c>
      <c r="X96" t="n">
        <v>3726.667282</v>
      </c>
      <c r="Z96" t="n">
        <v>2895.403089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1" t="inlineStr">
        <is>
          <t>Sélaciens L prof | Sélaciens M prof</t>
        </is>
      </c>
      <c r="H97" t="n">
        <v>23077.678707</v>
      </c>
      <c r="I97" t="n">
        <v>72694.11223499999</v>
      </c>
      <c r="J97" t="n">
        <v>74885.77596899999</v>
      </c>
      <c r="K97" t="n">
        <v>37442.887985</v>
      </c>
      <c r="L97" t="n">
        <v>519043.253135</v>
      </c>
      <c r="M97" t="n">
        <v>423323.65087</v>
      </c>
      <c r="N97" t="n">
        <v>423323.65087</v>
      </c>
      <c r="O97" t="n">
        <v>17981.099834</v>
      </c>
      <c r="P97" t="n">
        <v>3100.455644</v>
      </c>
      <c r="Q97" t="n">
        <v>423323.65087</v>
      </c>
      <c r="R97" t="n">
        <v>-987921.583792</v>
      </c>
      <c r="S97" t="n">
        <v>17981.099834</v>
      </c>
      <c r="T97" t="n">
        <v>17981.099834</v>
      </c>
      <c r="U97" t="n">
        <v>3100.455644</v>
      </c>
      <c r="V97" t="n">
        <v>25699.268014</v>
      </c>
      <c r="W97" t="n">
        <v>19738.087494</v>
      </c>
      <c r="X97" t="n">
        <v>511806.89099</v>
      </c>
      <c r="Z97" t="n">
        <v>7983.35242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1" t="inlineStr">
        <is>
          <t>Côtier S inv</t>
        </is>
      </c>
      <c r="H98" t="n">
        <v>269.022913</v>
      </c>
      <c r="I98" t="n">
        <v>143.357993</v>
      </c>
      <c r="J98" t="n">
        <v>143.744849</v>
      </c>
      <c r="K98" t="n">
        <v>140.09455</v>
      </c>
      <c r="L98" t="n">
        <v>302.43669</v>
      </c>
      <c r="M98" t="n">
        <v>237.484146</v>
      </c>
      <c r="N98" t="n">
        <v>237.484146</v>
      </c>
      <c r="O98" t="n">
        <v>92.381467</v>
      </c>
      <c r="P98" t="n">
        <v>32.138237</v>
      </c>
      <c r="Q98" t="n">
        <v>237.484146</v>
      </c>
      <c r="R98" t="n">
        <v>237.484146</v>
      </c>
      <c r="S98" t="n">
        <v>92.381467</v>
      </c>
      <c r="T98" t="n">
        <v>92.381467</v>
      </c>
      <c r="U98" t="n">
        <v>32.138237</v>
      </c>
      <c r="V98" t="n">
        <v>32.138237</v>
      </c>
      <c r="W98" t="n">
        <v>96.991221</v>
      </c>
      <c r="X98" t="n">
        <v>248.321196</v>
      </c>
      <c r="Z98" t="n">
        <v>141.325989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1" t="inlineStr">
        <is>
          <t>Côtier S pred</t>
        </is>
      </c>
      <c r="H99" t="n">
        <v>3699.936691</v>
      </c>
      <c r="I99" t="n">
        <v>857.017702</v>
      </c>
      <c r="J99" t="n">
        <v>857.42359</v>
      </c>
      <c r="K99" t="n">
        <v>772.552422</v>
      </c>
      <c r="L99" t="n">
        <v>1835.839539</v>
      </c>
      <c r="M99" t="n">
        <v>1486.079117</v>
      </c>
      <c r="N99" t="n">
        <v>1486.079117</v>
      </c>
      <c r="O99" t="n">
        <v>433.878127</v>
      </c>
      <c r="P99" t="n">
        <v>113.683417</v>
      </c>
      <c r="Q99" t="n">
        <v>1486.079117</v>
      </c>
      <c r="R99" t="n">
        <v>1486.079117</v>
      </c>
      <c r="S99" t="n">
        <v>433.878127</v>
      </c>
      <c r="T99" t="n">
        <v>433.878127</v>
      </c>
      <c r="U99" t="n">
        <v>113.683417</v>
      </c>
      <c r="V99" t="n">
        <v>113.683417</v>
      </c>
      <c r="W99" t="n">
        <v>461.537577</v>
      </c>
      <c r="X99" t="n">
        <v>1572.808567</v>
      </c>
      <c r="Z99" t="n">
        <v>1523.664607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1" t="inlineStr">
        <is>
          <t>Crustacés</t>
        </is>
      </c>
      <c r="H100" t="n">
        <v>141.860536</v>
      </c>
      <c r="I100" t="n">
        <v>58.609575</v>
      </c>
      <c r="J100" t="n">
        <v>58.609575</v>
      </c>
      <c r="K100" t="n">
        <v>55.679096</v>
      </c>
      <c r="L100" t="n">
        <v>135.651174</v>
      </c>
      <c r="M100" t="n">
        <v>105.8609</v>
      </c>
      <c r="N100" t="n">
        <v>105.8609</v>
      </c>
      <c r="O100" t="n">
        <v>41.041785</v>
      </c>
      <c r="P100" t="n">
        <v>14.761781</v>
      </c>
      <c r="Q100" t="n">
        <v>105.8609</v>
      </c>
      <c r="R100" t="n">
        <v>105.8609</v>
      </c>
      <c r="S100" t="n">
        <v>41.041785</v>
      </c>
      <c r="T100" t="n">
        <v>41.041785</v>
      </c>
      <c r="U100" t="n">
        <v>14.761781</v>
      </c>
      <c r="V100" t="n">
        <v>14.761781</v>
      </c>
      <c r="W100" t="n">
        <v>43.387398</v>
      </c>
      <c r="X100" t="n">
        <v>109.873168</v>
      </c>
      <c r="Z100" t="n">
        <v>83.9318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1" t="inlineStr">
        <is>
          <t>Céphalopodes</t>
        </is>
      </c>
      <c r="H101" t="n">
        <v>2209.641323</v>
      </c>
      <c r="I101" t="n">
        <v>533.937243</v>
      </c>
      <c r="J101" t="n">
        <v>533.937243</v>
      </c>
      <c r="K101" t="n">
        <v>507.240381</v>
      </c>
      <c r="L101" t="n">
        <v>1169.060818</v>
      </c>
      <c r="M101" t="n">
        <v>955.905028</v>
      </c>
      <c r="N101" t="n">
        <v>955.905028</v>
      </c>
      <c r="O101" t="n">
        <v>259.897575</v>
      </c>
      <c r="P101" t="n">
        <v>71.4718</v>
      </c>
      <c r="Q101" t="n">
        <v>955.905028</v>
      </c>
      <c r="R101" t="n">
        <v>955.905028</v>
      </c>
      <c r="S101" t="n">
        <v>259.897575</v>
      </c>
      <c r="T101" t="n">
        <v>259.897575</v>
      </c>
      <c r="U101" t="n">
        <v>71.4718</v>
      </c>
      <c r="V101" t="n">
        <v>71.4718</v>
      </c>
      <c r="W101" t="n">
        <v>275.401339</v>
      </c>
      <c r="X101" t="n">
        <v>1017.651066</v>
      </c>
      <c r="Z101" t="n">
        <v>1022.837477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1" t="inlineStr">
        <is>
          <t>Côtier L pred</t>
        </is>
      </c>
      <c r="H102" t="n">
        <v>5244.468733</v>
      </c>
      <c r="I102" t="n">
        <v>3323.212634</v>
      </c>
      <c r="J102" t="n">
        <v>6358.646185</v>
      </c>
      <c r="K102" t="n">
        <v>5497.795802</v>
      </c>
      <c r="L102" t="n">
        <v>19279.552919</v>
      </c>
      <c r="M102" t="n">
        <v>15594.90803</v>
      </c>
      <c r="N102" t="n">
        <v>15594.90803</v>
      </c>
      <c r="O102" t="n">
        <v>2522.190001</v>
      </c>
      <c r="P102" t="n">
        <v>528.917324</v>
      </c>
      <c r="Q102" t="n">
        <v>15594.90803</v>
      </c>
      <c r="R102" t="n">
        <v>-75829.94378099999</v>
      </c>
      <c r="S102" t="n">
        <v>2522.190001</v>
      </c>
      <c r="T102" t="n">
        <v>2522.190001</v>
      </c>
      <c r="U102" t="n">
        <v>528.917324</v>
      </c>
      <c r="V102" t="n">
        <v>13815.167153</v>
      </c>
      <c r="W102" t="n">
        <v>2674.282783</v>
      </c>
      <c r="X102" t="n">
        <v>16812.298301</v>
      </c>
      <c r="Z102" t="n">
        <v>2083.221444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1" t="inlineStr">
        <is>
          <t>Côtier L pred | Côtier M inv | Côtier S pred | Côtier S inv | Dem L pred | Dem S pred | Dem S inv</t>
        </is>
      </c>
      <c r="H103" t="n">
        <v>2297.400761</v>
      </c>
      <c r="I103" t="n">
        <v>1353.343247</v>
      </c>
      <c r="J103" t="n">
        <v>2226.036848</v>
      </c>
      <c r="K103" t="n">
        <v>1933.335793</v>
      </c>
      <c r="L103" t="n">
        <v>6473.071141</v>
      </c>
      <c r="M103" t="n">
        <v>5223.803516</v>
      </c>
      <c r="N103" t="n">
        <v>5223.803516</v>
      </c>
      <c r="O103" t="n">
        <v>938.6206570000001</v>
      </c>
      <c r="P103" t="n">
        <v>208.981423</v>
      </c>
      <c r="Q103" t="n">
        <v>5223.803516</v>
      </c>
      <c r="R103" t="n">
        <v>-20990.44515</v>
      </c>
      <c r="S103" t="n">
        <v>938.6206570000001</v>
      </c>
      <c r="T103" t="n">
        <v>938.6206570000001</v>
      </c>
      <c r="U103" t="n">
        <v>208.981423</v>
      </c>
      <c r="V103" t="n">
        <v>4018.547968</v>
      </c>
      <c r="W103" t="n">
        <v>997.567534</v>
      </c>
      <c r="X103" t="n">
        <v>5631.298673</v>
      </c>
      <c r="Z103" t="n">
        <v>932.784804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1" t="inlineStr">
        <is>
          <t>Côtier pel L pred</t>
        </is>
      </c>
      <c r="H104" t="n">
        <v>8886.574375</v>
      </c>
      <c r="I104" t="n">
        <v>4351.939949</v>
      </c>
      <c r="J104" t="n">
        <v>5186.075589</v>
      </c>
      <c r="K104" t="n">
        <v>4970.359012</v>
      </c>
      <c r="L104" t="n">
        <v>14096.783373</v>
      </c>
      <c r="M104" t="n">
        <v>11411.07684</v>
      </c>
      <c r="N104" t="n">
        <v>11411.07684</v>
      </c>
      <c r="O104" t="n">
        <v>2474.877467</v>
      </c>
      <c r="P104" t="n">
        <v>525.626343</v>
      </c>
      <c r="Q104" t="n">
        <v>11411.07684</v>
      </c>
      <c r="R104" t="n">
        <v>-50759.157349</v>
      </c>
      <c r="S104" t="n">
        <v>2474.877467</v>
      </c>
      <c r="T104" t="n">
        <v>2474.877467</v>
      </c>
      <c r="U104" t="n">
        <v>525.626343</v>
      </c>
      <c r="V104" t="n">
        <v>8846.789624999999</v>
      </c>
      <c r="W104" t="n">
        <v>2645.523944</v>
      </c>
      <c r="X104" t="n">
        <v>12354.973824</v>
      </c>
      <c r="Z104" t="n">
        <v>3330.282942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1" t="inlineStr">
        <is>
          <t>Sélaciens L prof | Sélaciens L côtiers | Sélaciens M prof | Sélaciens M côtiers</t>
        </is>
      </c>
      <c r="H105" t="n">
        <v>22678.222507</v>
      </c>
      <c r="I105" t="n">
        <v>69409.89028599999</v>
      </c>
      <c r="J105" t="n">
        <v>70929.426362</v>
      </c>
      <c r="K105" t="n">
        <v>36747.136381</v>
      </c>
      <c r="L105" t="n">
        <v>481963.79536</v>
      </c>
      <c r="M105" t="n">
        <v>393067.068189</v>
      </c>
      <c r="N105" t="n">
        <v>393067.068189</v>
      </c>
      <c r="O105" t="n">
        <v>17269.240896</v>
      </c>
      <c r="P105" t="n">
        <v>2983.185741</v>
      </c>
      <c r="Q105" t="n">
        <v>393067.068189</v>
      </c>
      <c r="R105" t="n">
        <v>-918440.342301</v>
      </c>
      <c r="S105" t="n">
        <v>17269.240896</v>
      </c>
      <c r="T105" t="n">
        <v>17269.240896</v>
      </c>
      <c r="U105" t="n">
        <v>2983.185741</v>
      </c>
      <c r="V105" t="n">
        <v>25335.424876</v>
      </c>
      <c r="W105" t="n">
        <v>18937.636187</v>
      </c>
      <c r="X105" t="n">
        <v>474348.977392</v>
      </c>
      <c r="Z105" t="n">
        <v>7840.330409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1" t="inlineStr">
        <is>
          <t>Thons mineurs</t>
        </is>
      </c>
      <c r="H106" t="n">
        <v>7097.856681</v>
      </c>
      <c r="I106" t="n">
        <v>2048.262999</v>
      </c>
      <c r="J106" t="n">
        <v>2069.254323</v>
      </c>
      <c r="K106" t="n">
        <v>1192.284062</v>
      </c>
      <c r="L106" t="n">
        <v>4278.6736</v>
      </c>
      <c r="M106" t="n">
        <v>3507.683496</v>
      </c>
      <c r="N106" t="n">
        <v>3507.683496</v>
      </c>
      <c r="O106" t="n">
        <v>596.825099</v>
      </c>
      <c r="P106" t="n">
        <v>149.418326</v>
      </c>
      <c r="Q106" t="n">
        <v>3507.683496</v>
      </c>
      <c r="R106" t="n">
        <v>3507.683496</v>
      </c>
      <c r="S106" t="n">
        <v>596.825099</v>
      </c>
      <c r="T106" t="n">
        <v>596.825099</v>
      </c>
      <c r="U106" t="n">
        <v>149.418326</v>
      </c>
      <c r="V106" t="n">
        <v>149.418326</v>
      </c>
      <c r="W106" t="n">
        <v>633.055208</v>
      </c>
      <c r="X106" t="n">
        <v>3726.667282</v>
      </c>
      <c r="Z106" t="n">
        <v>2895.403089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1" t="inlineStr">
        <is>
          <t>Pel S inv</t>
        </is>
      </c>
      <c r="H107" t="n">
        <v>486.973945</v>
      </c>
      <c r="I107" t="n">
        <v>190.933723</v>
      </c>
      <c r="J107" t="n">
        <v>197.863454</v>
      </c>
      <c r="K107" t="n">
        <v>195.467703</v>
      </c>
      <c r="L107" t="n">
        <v>317.630823</v>
      </c>
      <c r="M107" t="n">
        <v>278.455011</v>
      </c>
      <c r="N107" t="n">
        <v>278.455011</v>
      </c>
      <c r="O107" t="n">
        <v>69.74158</v>
      </c>
      <c r="P107" t="n">
        <v>25.530568</v>
      </c>
      <c r="Q107" t="n">
        <v>278.455011</v>
      </c>
      <c r="R107" t="n">
        <v>278.455011</v>
      </c>
      <c r="S107" t="n">
        <v>69.74158</v>
      </c>
      <c r="T107" t="n">
        <v>69.74158</v>
      </c>
      <c r="U107" t="n">
        <v>25.530568</v>
      </c>
      <c r="V107" t="n">
        <v>25.530568</v>
      </c>
      <c r="W107" t="n">
        <v>71.895017</v>
      </c>
      <c r="X107" t="n">
        <v>297.198143</v>
      </c>
      <c r="Z107" t="n">
        <v>263.293957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1" t="inlineStr">
        <is>
          <t>Benthos</t>
        </is>
      </c>
      <c r="H108" t="n">
        <v>13.33676</v>
      </c>
      <c r="I108" t="n">
        <v>21.686003</v>
      </c>
      <c r="J108" t="n">
        <v>21.686003</v>
      </c>
      <c r="K108" t="n">
        <v>16.041667</v>
      </c>
      <c r="L108" t="n">
        <v>46.572283</v>
      </c>
      <c r="M108" t="n">
        <v>34.72623</v>
      </c>
      <c r="N108" t="n">
        <v>34.72623</v>
      </c>
      <c r="O108" t="n">
        <v>13.557692</v>
      </c>
      <c r="P108" t="n">
        <v>6.214286</v>
      </c>
      <c r="Q108" t="n">
        <v>34.72623</v>
      </c>
      <c r="R108" t="n">
        <v>34.72623</v>
      </c>
      <c r="S108" t="n">
        <v>13.557692</v>
      </c>
      <c r="T108" t="n">
        <v>13.557692</v>
      </c>
      <c r="U108" t="n">
        <v>6.214286</v>
      </c>
      <c r="V108" t="n">
        <v>6.214286</v>
      </c>
      <c r="W108" t="n">
        <v>14.069646</v>
      </c>
      <c r="X108" t="n">
        <v>35.953371</v>
      </c>
      <c r="Z108" t="n">
        <v>9.344255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1" t="inlineStr">
        <is>
          <t>Côtier L pred</t>
        </is>
      </c>
      <c r="H109" t="n">
        <v>5244.468733</v>
      </c>
      <c r="I109" t="n">
        <v>3323.212634</v>
      </c>
      <c r="J109" t="n">
        <v>6358.646185</v>
      </c>
      <c r="K109" t="n">
        <v>5497.795802</v>
      </c>
      <c r="L109" t="n">
        <v>19279.552919</v>
      </c>
      <c r="M109" t="n">
        <v>15594.90803</v>
      </c>
      <c r="N109" t="n">
        <v>15594.90803</v>
      </c>
      <c r="O109" t="n">
        <v>2522.190001</v>
      </c>
      <c r="P109" t="n">
        <v>528.917324</v>
      </c>
      <c r="Q109" t="n">
        <v>15594.90803</v>
      </c>
      <c r="R109" t="n">
        <v>-75829.94378099999</v>
      </c>
      <c r="S109" t="n">
        <v>2522.190001</v>
      </c>
      <c r="T109" t="n">
        <v>2522.190001</v>
      </c>
      <c r="U109" t="n">
        <v>528.917324</v>
      </c>
      <c r="V109" t="n">
        <v>13815.167153</v>
      </c>
      <c r="W109" t="n">
        <v>2674.282783</v>
      </c>
      <c r="X109" t="n">
        <v>16812.298301</v>
      </c>
      <c r="Z109" t="n">
        <v>2083.221444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Mulets</t>
        </is>
      </c>
      <c r="H110" t="n">
        <v>89.51813900000001</v>
      </c>
      <c r="I110" t="n">
        <v>70.585874</v>
      </c>
      <c r="J110" t="n">
        <v>70.585874</v>
      </c>
      <c r="K110" t="n">
        <v>67.05658</v>
      </c>
      <c r="L110" t="n">
        <v>87.916766</v>
      </c>
      <c r="M110" t="n">
        <v>80.485525</v>
      </c>
      <c r="N110" t="n">
        <v>80.485525</v>
      </c>
      <c r="O110" t="n">
        <v>39.824022</v>
      </c>
      <c r="P110" t="n">
        <v>18.146203</v>
      </c>
      <c r="Q110" t="n">
        <v>80.485525</v>
      </c>
      <c r="R110" t="n">
        <v>80.485525</v>
      </c>
      <c r="S110" t="n">
        <v>39.824022</v>
      </c>
      <c r="T110" t="n">
        <v>39.824022</v>
      </c>
      <c r="U110" t="n">
        <v>18.146203</v>
      </c>
      <c r="V110" t="n">
        <v>18.146203</v>
      </c>
      <c r="W110" t="n">
        <v>40.732178</v>
      </c>
      <c r="X110" t="n">
        <v>82.337551</v>
      </c>
      <c r="Z110" t="n">
        <v>54.458212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1" t="inlineStr">
        <is>
          <t>Céphalopodes</t>
        </is>
      </c>
      <c r="H111" t="n">
        <v>2209.641323</v>
      </c>
      <c r="I111" t="n">
        <v>533.937243</v>
      </c>
      <c r="J111" t="n">
        <v>533.937243</v>
      </c>
      <c r="K111" t="n">
        <v>507.240381</v>
      </c>
      <c r="L111" t="n">
        <v>1169.060818</v>
      </c>
      <c r="M111" t="n">
        <v>955.905028</v>
      </c>
      <c r="N111" t="n">
        <v>955.905028</v>
      </c>
      <c r="O111" t="n">
        <v>259.897575</v>
      </c>
      <c r="P111" t="n">
        <v>71.4718</v>
      </c>
      <c r="Q111" t="n">
        <v>955.905028</v>
      </c>
      <c r="R111" t="n">
        <v>955.905028</v>
      </c>
      <c r="S111" t="n">
        <v>259.897575</v>
      </c>
      <c r="T111" t="n">
        <v>259.897575</v>
      </c>
      <c r="U111" t="n">
        <v>71.4718</v>
      </c>
      <c r="V111" t="n">
        <v>71.4718</v>
      </c>
      <c r="W111" t="n">
        <v>275.401339</v>
      </c>
      <c r="X111" t="n">
        <v>1017.651066</v>
      </c>
      <c r="Z111" t="n">
        <v>1022.837477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1" t="inlineStr">
        <is>
          <t>Benthos</t>
        </is>
      </c>
      <c r="H112" t="n">
        <v>13.33676</v>
      </c>
      <c r="I112" t="n">
        <v>21.686003</v>
      </c>
      <c r="J112" t="n">
        <v>21.686003</v>
      </c>
      <c r="K112" t="n">
        <v>16.041667</v>
      </c>
      <c r="L112" t="n">
        <v>46.572283</v>
      </c>
      <c r="M112" t="n">
        <v>34.72623</v>
      </c>
      <c r="N112" t="n">
        <v>34.72623</v>
      </c>
      <c r="O112" t="n">
        <v>13.557692</v>
      </c>
      <c r="P112" t="n">
        <v>6.214286</v>
      </c>
      <c r="Q112" t="n">
        <v>34.72623</v>
      </c>
      <c r="R112" t="n">
        <v>34.72623</v>
      </c>
      <c r="S112" t="n">
        <v>13.557692</v>
      </c>
      <c r="T112" t="n">
        <v>13.557692</v>
      </c>
      <c r="U112" t="n">
        <v>6.214286</v>
      </c>
      <c r="V112" t="n">
        <v>6.214286</v>
      </c>
      <c r="W112" t="n">
        <v>14.069646</v>
      </c>
      <c r="X112" t="n">
        <v>35.953371</v>
      </c>
      <c r="Z112" t="n">
        <v>9.344255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1" t="inlineStr">
        <is>
          <t>Benthos</t>
        </is>
      </c>
      <c r="H113" t="n">
        <v>13.33676</v>
      </c>
      <c r="I113" t="n">
        <v>21.686003</v>
      </c>
      <c r="J113" t="n">
        <v>21.686003</v>
      </c>
      <c r="K113" t="n">
        <v>16.041667</v>
      </c>
      <c r="L113" t="n">
        <v>46.572283</v>
      </c>
      <c r="M113" t="n">
        <v>34.72623</v>
      </c>
      <c r="N113" t="n">
        <v>34.72623</v>
      </c>
      <c r="O113" t="n">
        <v>13.557692</v>
      </c>
      <c r="P113" t="n">
        <v>6.214286</v>
      </c>
      <c r="Q113" t="n">
        <v>34.72623</v>
      </c>
      <c r="R113" t="n">
        <v>34.72623</v>
      </c>
      <c r="S113" t="n">
        <v>13.557692</v>
      </c>
      <c r="T113" t="n">
        <v>13.557692</v>
      </c>
      <c r="U113" t="n">
        <v>6.214286</v>
      </c>
      <c r="V113" t="n">
        <v>6.214286</v>
      </c>
      <c r="W113" t="n">
        <v>14.069646</v>
      </c>
      <c r="X113" t="n">
        <v>35.953371</v>
      </c>
      <c r="Z113" t="n">
        <v>9.344255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1" t="inlineStr">
        <is>
          <t>Thons majeurs</t>
        </is>
      </c>
      <c r="H114" t="n">
        <v>13661.710452</v>
      </c>
      <c r="I114" t="n">
        <v>5828.690682</v>
      </c>
      <c r="J114" t="n">
        <v>6055.352519</v>
      </c>
      <c r="K114" t="n">
        <v>3027.67626</v>
      </c>
      <c r="L114" t="n">
        <v>13559.408277</v>
      </c>
      <c r="M114" t="n">
        <v>11074.090097</v>
      </c>
      <c r="N114" t="n">
        <v>11074.090097</v>
      </c>
      <c r="O114" t="n">
        <v>1497.448606</v>
      </c>
      <c r="P114" t="n">
        <v>329.433681</v>
      </c>
      <c r="Q114" t="n">
        <v>11074.090097</v>
      </c>
      <c r="R114" t="n">
        <v>-31133.885537</v>
      </c>
      <c r="S114" t="n">
        <v>1497.448606</v>
      </c>
      <c r="T114" t="n">
        <v>1497.448606</v>
      </c>
      <c r="U114" t="n">
        <v>329.433681</v>
      </c>
      <c r="V114" t="n">
        <v>2167.379541</v>
      </c>
      <c r="W114" t="n">
        <v>1598.647747</v>
      </c>
      <c r="X114" t="n">
        <v>12125.414105</v>
      </c>
      <c r="Z114" t="n">
        <v>5199.941547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1" t="inlineStr">
        <is>
          <t>Céphalopodes</t>
        </is>
      </c>
      <c r="H115" t="n">
        <v>2209.641323</v>
      </c>
      <c r="I115" t="n">
        <v>533.937243</v>
      </c>
      <c r="J115" t="n">
        <v>533.937243</v>
      </c>
      <c r="K115" t="n">
        <v>507.240381</v>
      </c>
      <c r="L115" t="n">
        <v>1169.060818</v>
      </c>
      <c r="M115" t="n">
        <v>955.905028</v>
      </c>
      <c r="N115" t="n">
        <v>955.905028</v>
      </c>
      <c r="O115" t="n">
        <v>259.897575</v>
      </c>
      <c r="P115" t="n">
        <v>71.4718</v>
      </c>
      <c r="Q115" t="n">
        <v>955.905028</v>
      </c>
      <c r="R115" t="n">
        <v>955.905028</v>
      </c>
      <c r="S115" t="n">
        <v>259.897575</v>
      </c>
      <c r="T115" t="n">
        <v>259.897575</v>
      </c>
      <c r="U115" t="n">
        <v>71.4718</v>
      </c>
      <c r="V115" t="n">
        <v>71.4718</v>
      </c>
      <c r="W115" t="n">
        <v>275.401339</v>
      </c>
      <c r="X115" t="n">
        <v>1017.651066</v>
      </c>
      <c r="Z115" t="n">
        <v>1022.837477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1" t="inlineStr">
        <is>
          <t>Thons mineurs</t>
        </is>
      </c>
      <c r="H116" t="n">
        <v>7097.856681</v>
      </c>
      <c r="I116" t="n">
        <v>2048.262999</v>
      </c>
      <c r="J116" t="n">
        <v>2069.254323</v>
      </c>
      <c r="K116" t="n">
        <v>1192.284062</v>
      </c>
      <c r="L116" t="n">
        <v>4278.6736</v>
      </c>
      <c r="M116" t="n">
        <v>3507.683496</v>
      </c>
      <c r="N116" t="n">
        <v>3507.683496</v>
      </c>
      <c r="O116" t="n">
        <v>596.825099</v>
      </c>
      <c r="P116" t="n">
        <v>149.418326</v>
      </c>
      <c r="Q116" t="n">
        <v>3507.683496</v>
      </c>
      <c r="R116" t="n">
        <v>3507.683496</v>
      </c>
      <c r="S116" t="n">
        <v>596.825099</v>
      </c>
      <c r="T116" t="n">
        <v>596.825099</v>
      </c>
      <c r="U116" t="n">
        <v>149.418326</v>
      </c>
      <c r="V116" t="n">
        <v>149.418326</v>
      </c>
      <c r="W116" t="n">
        <v>633.055208</v>
      </c>
      <c r="X116" t="n">
        <v>3726.667282</v>
      </c>
      <c r="Z116" t="n">
        <v>2895.403089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1" t="inlineStr">
        <is>
          <t>Dem M inv</t>
        </is>
      </c>
      <c r="H117" t="n">
        <v>356.610478</v>
      </c>
      <c r="I117" t="n">
        <v>425.640743</v>
      </c>
      <c r="J117" t="n">
        <v>425.640743</v>
      </c>
      <c r="K117" t="n">
        <v>404.358706</v>
      </c>
      <c r="L117" t="n">
        <v>890.128168</v>
      </c>
      <c r="M117" t="n">
        <v>687.593135</v>
      </c>
      <c r="N117" t="n">
        <v>687.593135</v>
      </c>
      <c r="O117" t="n">
        <v>259.92301</v>
      </c>
      <c r="P117" t="n">
        <v>88.683295</v>
      </c>
      <c r="Q117" t="n">
        <v>687.593135</v>
      </c>
      <c r="R117" t="n">
        <v>687.593135</v>
      </c>
      <c r="S117" t="n">
        <v>259.92301</v>
      </c>
      <c r="T117" t="n">
        <v>259.92301</v>
      </c>
      <c r="U117" t="n">
        <v>88.683295</v>
      </c>
      <c r="V117" t="n">
        <v>88.683295</v>
      </c>
      <c r="W117" t="n">
        <v>274.743506</v>
      </c>
      <c r="X117" t="n">
        <v>730.09327</v>
      </c>
      <c r="Z117" t="n">
        <v>189.532809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1" t="inlineStr">
        <is>
          <t>Côtier M inv</t>
        </is>
      </c>
      <c r="H118" t="n">
        <v>398.168364</v>
      </c>
      <c r="I118" t="n">
        <v>199.191645</v>
      </c>
      <c r="J118" t="n">
        <v>199.191645</v>
      </c>
      <c r="K118" t="n">
        <v>198.220844</v>
      </c>
      <c r="L118" t="n">
        <v>425.732264</v>
      </c>
      <c r="M118" t="n">
        <v>328.010307</v>
      </c>
      <c r="N118" t="n">
        <v>328.010307</v>
      </c>
      <c r="O118" t="n">
        <v>128.891308</v>
      </c>
      <c r="P118" t="n">
        <v>43.202194</v>
      </c>
      <c r="Q118" t="n">
        <v>328.010307</v>
      </c>
      <c r="R118" t="n">
        <v>328.010307</v>
      </c>
      <c r="S118" t="n">
        <v>128.891308</v>
      </c>
      <c r="T118" t="n">
        <v>128.891308</v>
      </c>
      <c r="U118" t="n">
        <v>43.202194</v>
      </c>
      <c r="V118" t="n">
        <v>43.202194</v>
      </c>
      <c r="W118" t="n">
        <v>135.841405</v>
      </c>
      <c r="X118" t="n">
        <v>344.665099</v>
      </c>
      <c r="Z118" t="n">
        <v>208.50974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1" t="inlineStr">
        <is>
          <t>Céphalopodes | Benthos</t>
        </is>
      </c>
      <c r="H119" t="n">
        <v>2058.764192</v>
      </c>
      <c r="I119" t="n">
        <v>498.74768</v>
      </c>
      <c r="J119" t="n">
        <v>498.74768</v>
      </c>
      <c r="K119" t="n">
        <v>473.49704</v>
      </c>
      <c r="L119" t="n">
        <v>1091.950451</v>
      </c>
      <c r="M119" t="n">
        <v>892.623816</v>
      </c>
      <c r="N119" t="n">
        <v>892.623816</v>
      </c>
      <c r="O119" t="n">
        <v>242.975033</v>
      </c>
      <c r="P119" t="n">
        <v>66.988876</v>
      </c>
      <c r="Q119" t="n">
        <v>892.623816</v>
      </c>
      <c r="R119" t="n">
        <v>892.623816</v>
      </c>
      <c r="S119" t="n">
        <v>242.975033</v>
      </c>
      <c r="T119" t="n">
        <v>242.975033</v>
      </c>
      <c r="U119" t="n">
        <v>66.988876</v>
      </c>
      <c r="V119" t="n">
        <v>66.988876</v>
      </c>
      <c r="W119" t="n">
        <v>257.448921</v>
      </c>
      <c r="X119" t="n">
        <v>950.212454</v>
      </c>
      <c r="Z119" t="n">
        <v>953.214642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1" t="inlineStr">
        <is>
          <t>Pel S inv</t>
        </is>
      </c>
      <c r="H120" t="n">
        <v>486.973945</v>
      </c>
      <c r="I120" t="n">
        <v>190.933723</v>
      </c>
      <c r="J120" t="n">
        <v>197.863454</v>
      </c>
      <c r="K120" t="n">
        <v>195.467703</v>
      </c>
      <c r="L120" t="n">
        <v>317.630823</v>
      </c>
      <c r="M120" t="n">
        <v>278.455011</v>
      </c>
      <c r="N120" t="n">
        <v>278.455011</v>
      </c>
      <c r="O120" t="n">
        <v>69.74158</v>
      </c>
      <c r="P120" t="n">
        <v>25.530568</v>
      </c>
      <c r="Q120" t="n">
        <v>278.455011</v>
      </c>
      <c r="R120" t="n">
        <v>278.455011</v>
      </c>
      <c r="S120" t="n">
        <v>69.74158</v>
      </c>
      <c r="T120" t="n">
        <v>69.74158</v>
      </c>
      <c r="U120" t="n">
        <v>25.530568</v>
      </c>
      <c r="V120" t="n">
        <v>25.530568</v>
      </c>
      <c r="W120" t="n">
        <v>71.895017</v>
      </c>
      <c r="X120" t="n">
        <v>297.198143</v>
      </c>
      <c r="Z120" t="n">
        <v>263.293957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1" t="inlineStr">
        <is>
          <t>Crustacés</t>
        </is>
      </c>
      <c r="H121" t="n">
        <v>141.860536</v>
      </c>
      <c r="I121" t="n">
        <v>58.609575</v>
      </c>
      <c r="J121" t="n">
        <v>58.609575</v>
      </c>
      <c r="K121" t="n">
        <v>55.679096</v>
      </c>
      <c r="L121" t="n">
        <v>135.651174</v>
      </c>
      <c r="M121" t="n">
        <v>105.8609</v>
      </c>
      <c r="N121" t="n">
        <v>105.8609</v>
      </c>
      <c r="O121" t="n">
        <v>41.041785</v>
      </c>
      <c r="P121" t="n">
        <v>14.761781</v>
      </c>
      <c r="Q121" t="n">
        <v>105.8609</v>
      </c>
      <c r="R121" t="n">
        <v>105.8609</v>
      </c>
      <c r="S121" t="n">
        <v>41.041785</v>
      </c>
      <c r="T121" t="n">
        <v>41.041785</v>
      </c>
      <c r="U121" t="n">
        <v>14.761781</v>
      </c>
      <c r="V121" t="n">
        <v>14.761781</v>
      </c>
      <c r="W121" t="n">
        <v>43.387398</v>
      </c>
      <c r="X121" t="n">
        <v>109.873168</v>
      </c>
      <c r="Z121" t="n">
        <v>83.9318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1" t="inlineStr">
        <is>
          <t>Sélaciens L prof | Sélaciens M prof</t>
        </is>
      </c>
      <c r="H122" t="n">
        <v>23077.678707</v>
      </c>
      <c r="I122" t="n">
        <v>72694.11223499999</v>
      </c>
      <c r="J122" t="n">
        <v>74885.77596899999</v>
      </c>
      <c r="K122" t="n">
        <v>37442.887985</v>
      </c>
      <c r="L122" t="n">
        <v>519043.253135</v>
      </c>
      <c r="M122" t="n">
        <v>423323.65087</v>
      </c>
      <c r="N122" t="n">
        <v>423323.65087</v>
      </c>
      <c r="O122" t="n">
        <v>17981.099834</v>
      </c>
      <c r="P122" t="n">
        <v>3100.455644</v>
      </c>
      <c r="Q122" t="n">
        <v>423323.65087</v>
      </c>
      <c r="R122" t="n">
        <v>-987921.583792</v>
      </c>
      <c r="S122" t="n">
        <v>17981.099834</v>
      </c>
      <c r="T122" t="n">
        <v>17981.099834</v>
      </c>
      <c r="U122" t="n">
        <v>3100.455644</v>
      </c>
      <c r="V122" t="n">
        <v>25699.268014</v>
      </c>
      <c r="W122" t="n">
        <v>19738.087494</v>
      </c>
      <c r="X122" t="n">
        <v>511806.89099</v>
      </c>
      <c r="Z122" t="n">
        <v>7983.35242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1" t="inlineStr">
        <is>
          <t>Thons majeurs</t>
        </is>
      </c>
      <c r="H123" t="n">
        <v>13661.710452</v>
      </c>
      <c r="I123" t="n">
        <v>5828.690682</v>
      </c>
      <c r="J123" t="n">
        <v>6055.352519</v>
      </c>
      <c r="K123" t="n">
        <v>3027.67626</v>
      </c>
      <c r="L123" t="n">
        <v>13559.408277</v>
      </c>
      <c r="M123" t="n">
        <v>11074.090097</v>
      </c>
      <c r="N123" t="n">
        <v>11074.090097</v>
      </c>
      <c r="O123" t="n">
        <v>1497.448606</v>
      </c>
      <c r="P123" t="n">
        <v>329.433681</v>
      </c>
      <c r="Q123" t="n">
        <v>11074.090097</v>
      </c>
      <c r="R123" t="n">
        <v>-31133.885537</v>
      </c>
      <c r="S123" t="n">
        <v>1497.448606</v>
      </c>
      <c r="T123" t="n">
        <v>1497.448606</v>
      </c>
      <c r="U123" t="n">
        <v>329.433681</v>
      </c>
      <c r="V123" t="n">
        <v>2167.379541</v>
      </c>
      <c r="W123" t="n">
        <v>1598.647747</v>
      </c>
      <c r="X123" t="n">
        <v>12125.414105</v>
      </c>
      <c r="Z123" t="n">
        <v>5199.941547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1" t="inlineStr">
        <is>
          <t>Dem L pred</t>
        </is>
      </c>
      <c r="H124" t="n">
        <v>6647.368802</v>
      </c>
      <c r="I124" t="n">
        <v>4415.463105</v>
      </c>
      <c r="J124" t="n">
        <v>4454.682261</v>
      </c>
      <c r="K124" t="n">
        <v>3753.374229</v>
      </c>
      <c r="L124" t="n">
        <v>11046.457304</v>
      </c>
      <c r="M124" t="n">
        <v>8839.250757</v>
      </c>
      <c r="N124" t="n">
        <v>8839.250757</v>
      </c>
      <c r="O124" t="n">
        <v>2210.08062</v>
      </c>
      <c r="P124" t="n">
        <v>502.733116</v>
      </c>
      <c r="Q124" t="n">
        <v>8839.250757</v>
      </c>
      <c r="R124" t="n">
        <v>8839.250757</v>
      </c>
      <c r="S124" t="n">
        <v>2210.08062</v>
      </c>
      <c r="T124" t="n">
        <v>2210.08062</v>
      </c>
      <c r="U124" t="n">
        <v>502.733116</v>
      </c>
      <c r="V124" t="n">
        <v>502.733116</v>
      </c>
      <c r="W124" t="n">
        <v>2393.190154</v>
      </c>
      <c r="X124" t="n">
        <v>9644.19414</v>
      </c>
      <c r="Z124" t="n">
        <v>2496.813504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1" t="inlineStr">
        <is>
          <t>Sélaciens M prof</t>
        </is>
      </c>
      <c r="H125" t="n">
        <v>12012.320545</v>
      </c>
      <c r="I125" t="n">
        <v>20216.791692</v>
      </c>
      <c r="J125" t="n">
        <v>20543.42356</v>
      </c>
      <c r="K125" t="n">
        <v>10271.71178</v>
      </c>
      <c r="L125" t="n">
        <v>43428.833302</v>
      </c>
      <c r="M125" t="n">
        <v>35395.857353</v>
      </c>
      <c r="N125" t="n">
        <v>35395.857353</v>
      </c>
      <c r="O125" t="n">
        <v>4736.975459</v>
      </c>
      <c r="P125" t="n">
        <v>1087.067247</v>
      </c>
      <c r="Q125" t="n">
        <v>35395.857353</v>
      </c>
      <c r="R125" t="n">
        <v>35395.857353</v>
      </c>
      <c r="S125" t="n">
        <v>4736.975459</v>
      </c>
      <c r="T125" t="n">
        <v>4736.975459</v>
      </c>
      <c r="U125" t="n">
        <v>1087.067247</v>
      </c>
      <c r="V125" t="n">
        <v>1087.067247</v>
      </c>
      <c r="W125" t="n">
        <v>5187.892058</v>
      </c>
      <c r="X125" t="n">
        <v>38259.642329</v>
      </c>
      <c r="Z125" t="n">
        <v>4630.237138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1" t="inlineStr">
        <is>
          <t>Dem L inv</t>
        </is>
      </c>
      <c r="H126" t="n">
        <v>415.128225</v>
      </c>
      <c r="I126" t="n">
        <v>220.343997</v>
      </c>
      <c r="J126" t="n">
        <v>220.343997</v>
      </c>
      <c r="K126" t="n">
        <v>209.326797</v>
      </c>
      <c r="L126" t="n">
        <v>481.097618</v>
      </c>
      <c r="M126" t="n">
        <v>371.896033</v>
      </c>
      <c r="N126" t="n">
        <v>371.896033</v>
      </c>
      <c r="O126" t="n">
        <v>140.023712</v>
      </c>
      <c r="P126" t="n">
        <v>45.241816</v>
      </c>
      <c r="Q126" t="n">
        <v>371.896033</v>
      </c>
      <c r="R126" t="n">
        <v>371.896033</v>
      </c>
      <c r="S126" t="n">
        <v>140.023712</v>
      </c>
      <c r="T126" t="n">
        <v>140.023712</v>
      </c>
      <c r="U126" t="n">
        <v>45.241816</v>
      </c>
      <c r="V126" t="n">
        <v>45.241816</v>
      </c>
      <c r="W126" t="n">
        <v>149.956525</v>
      </c>
      <c r="X126" t="n">
        <v>395.119252</v>
      </c>
      <c r="Z126" t="n">
        <v>213.151858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1" t="inlineStr">
        <is>
          <t>Thons majeurs</t>
        </is>
      </c>
      <c r="H127" t="n">
        <v>13661.710452</v>
      </c>
      <c r="I127" t="n">
        <v>5828.690682</v>
      </c>
      <c r="J127" t="n">
        <v>6055.352519</v>
      </c>
      <c r="K127" t="n">
        <v>3027.67626</v>
      </c>
      <c r="L127" t="n">
        <v>13559.408277</v>
      </c>
      <c r="M127" t="n">
        <v>11074.090097</v>
      </c>
      <c r="N127" t="n">
        <v>11074.090097</v>
      </c>
      <c r="O127" t="n">
        <v>1497.448606</v>
      </c>
      <c r="P127" t="n">
        <v>329.433681</v>
      </c>
      <c r="Q127" t="n">
        <v>11074.090097</v>
      </c>
      <c r="R127" t="n">
        <v>-31133.885537</v>
      </c>
      <c r="S127" t="n">
        <v>1497.448606</v>
      </c>
      <c r="T127" t="n">
        <v>1497.448606</v>
      </c>
      <c r="U127" t="n">
        <v>329.433681</v>
      </c>
      <c r="V127" t="n">
        <v>2167.379541</v>
      </c>
      <c r="W127" t="n">
        <v>1598.647747</v>
      </c>
      <c r="X127" t="n">
        <v>12125.414105</v>
      </c>
      <c r="Z127" t="n">
        <v>5199.941547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1" t="inlineStr">
        <is>
          <t>Dem M pred</t>
        </is>
      </c>
      <c r="H128" t="n">
        <v>4156.715712</v>
      </c>
      <c r="I128" t="n">
        <v>1627.447794</v>
      </c>
      <c r="J128" t="n">
        <v>1629.386931</v>
      </c>
      <c r="K128" t="n">
        <v>1547.917585</v>
      </c>
      <c r="L128" t="n">
        <v>3524.148314</v>
      </c>
      <c r="M128" t="n">
        <v>2797.906815</v>
      </c>
      <c r="N128" t="n">
        <v>2797.906815</v>
      </c>
      <c r="O128" t="n">
        <v>878.433987</v>
      </c>
      <c r="P128" t="n">
        <v>230.471022</v>
      </c>
      <c r="Q128" t="n">
        <v>2797.906815</v>
      </c>
      <c r="R128" t="n">
        <v>2797.906815</v>
      </c>
      <c r="S128" t="n">
        <v>878.433987</v>
      </c>
      <c r="T128" t="n">
        <v>878.433987</v>
      </c>
      <c r="U128" t="n">
        <v>230.471022</v>
      </c>
      <c r="V128" t="n">
        <v>230.471022</v>
      </c>
      <c r="W128" t="n">
        <v>931.682324</v>
      </c>
      <c r="X128" t="n">
        <v>2978.125002</v>
      </c>
      <c r="Z128" t="n">
        <v>1719.622412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1" t="inlineStr">
        <is>
          <t>Pel S inv</t>
        </is>
      </c>
      <c r="H129" t="n">
        <v>486.973945</v>
      </c>
      <c r="I129" t="n">
        <v>190.933723</v>
      </c>
      <c r="J129" t="n">
        <v>197.863454</v>
      </c>
      <c r="K129" t="n">
        <v>195.467703</v>
      </c>
      <c r="L129" t="n">
        <v>317.630823</v>
      </c>
      <c r="M129" t="n">
        <v>278.455011</v>
      </c>
      <c r="N129" t="n">
        <v>278.455011</v>
      </c>
      <c r="O129" t="n">
        <v>69.74158</v>
      </c>
      <c r="P129" t="n">
        <v>25.530568</v>
      </c>
      <c r="Q129" t="n">
        <v>278.455011</v>
      </c>
      <c r="R129" t="n">
        <v>278.455011</v>
      </c>
      <c r="S129" t="n">
        <v>69.74158</v>
      </c>
      <c r="T129" t="n">
        <v>69.74158</v>
      </c>
      <c r="U129" t="n">
        <v>25.530568</v>
      </c>
      <c r="V129" t="n">
        <v>25.530568</v>
      </c>
      <c r="W129" t="n">
        <v>71.895017</v>
      </c>
      <c r="X129" t="n">
        <v>297.198143</v>
      </c>
      <c r="Z129" t="n">
        <v>263.293957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1" t="inlineStr">
        <is>
          <t>Pel L pred</t>
        </is>
      </c>
      <c r="H130" t="n">
        <v>3931.194334</v>
      </c>
      <c r="I130" t="n">
        <v>2174.355127</v>
      </c>
      <c r="J130" t="n">
        <v>2227.613295</v>
      </c>
      <c r="K130" t="n">
        <v>2116.23263</v>
      </c>
      <c r="L130" t="n">
        <v>5671.221213</v>
      </c>
      <c r="M130" t="n">
        <v>4708.492365</v>
      </c>
      <c r="N130" t="n">
        <v>4708.492365</v>
      </c>
      <c r="O130" t="n">
        <v>1256.374177</v>
      </c>
      <c r="P130" t="n">
        <v>312.251371</v>
      </c>
      <c r="Q130" t="n">
        <v>4708.492365</v>
      </c>
      <c r="R130" t="n">
        <v>-58015.203039</v>
      </c>
      <c r="S130" t="n">
        <v>1256.374177</v>
      </c>
      <c r="T130" t="n">
        <v>1256.374177</v>
      </c>
      <c r="U130" t="n">
        <v>312.251371</v>
      </c>
      <c r="V130" t="n">
        <v>4998.085196</v>
      </c>
      <c r="W130" t="n">
        <v>1354.495716</v>
      </c>
      <c r="X130" t="n">
        <v>5057.925719</v>
      </c>
      <c r="Z130" t="n">
        <v>1691.840323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1" t="inlineStr">
        <is>
          <t>Côtier M inv | Côtier S inv</t>
        </is>
      </c>
      <c r="H131" t="n">
        <v>329.336102</v>
      </c>
      <c r="I131" t="n">
        <v>169.433287</v>
      </c>
      <c r="J131" t="n">
        <v>169.639474</v>
      </c>
      <c r="K131" t="n">
        <v>167.240548</v>
      </c>
      <c r="L131" t="n">
        <v>360.017884</v>
      </c>
      <c r="M131" t="n">
        <v>279.761449</v>
      </c>
      <c r="N131" t="n">
        <v>279.761449</v>
      </c>
      <c r="O131" t="n">
        <v>109.432203</v>
      </c>
      <c r="P131" t="n">
        <v>37.305299</v>
      </c>
      <c r="Q131" t="n">
        <v>279.761449</v>
      </c>
      <c r="R131" t="n">
        <v>279.761449</v>
      </c>
      <c r="S131" t="n">
        <v>109.432203</v>
      </c>
      <c r="T131" t="n">
        <v>109.432203</v>
      </c>
      <c r="U131" t="n">
        <v>37.305299</v>
      </c>
      <c r="V131" t="n">
        <v>37.305299</v>
      </c>
      <c r="W131" t="n">
        <v>115.134938</v>
      </c>
      <c r="X131" t="n">
        <v>293.315487</v>
      </c>
      <c r="Z131" t="n">
        <v>172.701978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1" t="inlineStr">
        <is>
          <t>Pel S inv</t>
        </is>
      </c>
      <c r="H132" t="n">
        <v>486.973945</v>
      </c>
      <c r="I132" t="n">
        <v>190.933723</v>
      </c>
      <c r="J132" t="n">
        <v>197.863454</v>
      </c>
      <c r="K132" t="n">
        <v>195.467703</v>
      </c>
      <c r="L132" t="n">
        <v>317.630823</v>
      </c>
      <c r="M132" t="n">
        <v>278.455011</v>
      </c>
      <c r="N132" t="n">
        <v>278.455011</v>
      </c>
      <c r="O132" t="n">
        <v>69.74158</v>
      </c>
      <c r="P132" t="n">
        <v>25.530568</v>
      </c>
      <c r="Q132" t="n">
        <v>278.455011</v>
      </c>
      <c r="R132" t="n">
        <v>278.455011</v>
      </c>
      <c r="S132" t="n">
        <v>69.74158</v>
      </c>
      <c r="T132" t="n">
        <v>69.74158</v>
      </c>
      <c r="U132" t="n">
        <v>25.530568</v>
      </c>
      <c r="V132" t="n">
        <v>25.530568</v>
      </c>
      <c r="W132" t="n">
        <v>71.895017</v>
      </c>
      <c r="X132" t="n">
        <v>297.198143</v>
      </c>
      <c r="Z132" t="n">
        <v>263.293957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1" t="inlineStr">
        <is>
          <t>Thons mineurs</t>
        </is>
      </c>
      <c r="H133" t="n">
        <v>7097.856681</v>
      </c>
      <c r="I133" t="n">
        <v>2048.262999</v>
      </c>
      <c r="J133" t="n">
        <v>2069.254323</v>
      </c>
      <c r="K133" t="n">
        <v>1192.284062</v>
      </c>
      <c r="L133" t="n">
        <v>4278.6736</v>
      </c>
      <c r="M133" t="n">
        <v>3507.683496</v>
      </c>
      <c r="N133" t="n">
        <v>3507.683496</v>
      </c>
      <c r="O133" t="n">
        <v>596.825099</v>
      </c>
      <c r="P133" t="n">
        <v>149.418326</v>
      </c>
      <c r="Q133" t="n">
        <v>3507.683496</v>
      </c>
      <c r="R133" t="n">
        <v>3507.683496</v>
      </c>
      <c r="S133" t="n">
        <v>596.825099</v>
      </c>
      <c r="T133" t="n">
        <v>596.825099</v>
      </c>
      <c r="U133" t="n">
        <v>149.418326</v>
      </c>
      <c r="V133" t="n">
        <v>149.418326</v>
      </c>
      <c r="W133" t="n">
        <v>633.055208</v>
      </c>
      <c r="X133" t="n">
        <v>3726.667282</v>
      </c>
      <c r="Z133" t="n">
        <v>2895.403089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1" t="inlineStr">
        <is>
          <t>Dem M pred</t>
        </is>
      </c>
      <c r="H134" t="n">
        <v>4156.715712</v>
      </c>
      <c r="I134" t="n">
        <v>1627.447794</v>
      </c>
      <c r="J134" t="n">
        <v>1629.386931</v>
      </c>
      <c r="K134" t="n">
        <v>1547.917585</v>
      </c>
      <c r="L134" t="n">
        <v>3524.148314</v>
      </c>
      <c r="M134" t="n">
        <v>2797.906815</v>
      </c>
      <c r="N134" t="n">
        <v>2797.906815</v>
      </c>
      <c r="O134" t="n">
        <v>878.433987</v>
      </c>
      <c r="P134" t="n">
        <v>230.471022</v>
      </c>
      <c r="Q134" t="n">
        <v>2797.906815</v>
      </c>
      <c r="R134" t="n">
        <v>2797.906815</v>
      </c>
      <c r="S134" t="n">
        <v>878.433987</v>
      </c>
      <c r="T134" t="n">
        <v>878.433987</v>
      </c>
      <c r="U134" t="n">
        <v>230.471022</v>
      </c>
      <c r="V134" t="n">
        <v>230.471022</v>
      </c>
      <c r="W134" t="n">
        <v>931.682324</v>
      </c>
      <c r="X134" t="n">
        <v>2978.125002</v>
      </c>
      <c r="Z134" t="n">
        <v>1719.622412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1" t="inlineStr">
        <is>
          <t>Sélaciens L prof</t>
        </is>
      </c>
      <c r="H135" t="n">
        <v>25677.887496</v>
      </c>
      <c r="I135" t="n">
        <v>85025.569393</v>
      </c>
      <c r="J135" t="n">
        <v>87655.49026999999</v>
      </c>
      <c r="K135" t="n">
        <v>43827.745135</v>
      </c>
      <c r="L135" t="n">
        <v>630806.17817</v>
      </c>
      <c r="M135" t="n">
        <v>514481.410387</v>
      </c>
      <c r="N135" t="n">
        <v>514481.410387</v>
      </c>
      <c r="O135" t="n">
        <v>21093.289073</v>
      </c>
      <c r="P135" t="n">
        <v>3573.574556</v>
      </c>
      <c r="Q135" t="n">
        <v>514481.410387</v>
      </c>
      <c r="R135" t="n">
        <v>-1228387.275522</v>
      </c>
      <c r="S135" t="n">
        <v>21093.289073</v>
      </c>
      <c r="T135" t="n">
        <v>21093.289073</v>
      </c>
      <c r="U135" t="n">
        <v>3573.574556</v>
      </c>
      <c r="V135" t="n">
        <v>31482.800712</v>
      </c>
      <c r="W135" t="n">
        <v>23157.185683</v>
      </c>
      <c r="X135" t="n">
        <v>623084.058893</v>
      </c>
      <c r="Z135" t="n">
        <v>8771.288941999999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1" t="inlineStr">
        <is>
          <t>Céphalopodes</t>
        </is>
      </c>
      <c r="H136" t="n">
        <v>2209.641323</v>
      </c>
      <c r="I136" t="n">
        <v>533.937243</v>
      </c>
      <c r="J136" t="n">
        <v>533.937243</v>
      </c>
      <c r="K136" t="n">
        <v>507.240381</v>
      </c>
      <c r="L136" t="n">
        <v>1169.060818</v>
      </c>
      <c r="M136" t="n">
        <v>955.905028</v>
      </c>
      <c r="N136" t="n">
        <v>955.905028</v>
      </c>
      <c r="O136" t="n">
        <v>259.897575</v>
      </c>
      <c r="P136" t="n">
        <v>71.4718</v>
      </c>
      <c r="Q136" t="n">
        <v>955.905028</v>
      </c>
      <c r="R136" t="n">
        <v>955.905028</v>
      </c>
      <c r="S136" t="n">
        <v>259.897575</v>
      </c>
      <c r="T136" t="n">
        <v>259.897575</v>
      </c>
      <c r="U136" t="n">
        <v>71.4718</v>
      </c>
      <c r="V136" t="n">
        <v>71.4718</v>
      </c>
      <c r="W136" t="n">
        <v>275.401339</v>
      </c>
      <c r="X136" t="n">
        <v>1017.651066</v>
      </c>
      <c r="Z136" t="n">
        <v>1022.837477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1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1" t="inlineStr">
        <is>
          <t>Sélaciens L côtiers | Sélaciens L prof</t>
        </is>
      </c>
      <c r="H138" t="n">
        <v>25016.808306</v>
      </c>
      <c r="I138" t="n">
        <v>80150.248387</v>
      </c>
      <c r="J138" t="n">
        <v>81924.32805</v>
      </c>
      <c r="K138" t="n">
        <v>42522.659787</v>
      </c>
      <c r="L138" t="n">
        <v>577175.629756</v>
      </c>
      <c r="M138" t="n">
        <v>470723.113659</v>
      </c>
      <c r="N138" t="n">
        <v>470723.113659</v>
      </c>
      <c r="O138" t="n">
        <v>20000.469569</v>
      </c>
      <c r="P138" t="n">
        <v>3397.730674</v>
      </c>
      <c r="Q138" t="n">
        <v>470723.113659</v>
      </c>
      <c r="R138" t="n">
        <v>-1124181.323627</v>
      </c>
      <c r="S138" t="n">
        <v>20000.469569</v>
      </c>
      <c r="T138" t="n">
        <v>20000.469569</v>
      </c>
      <c r="U138" t="n">
        <v>3397.730674</v>
      </c>
      <c r="V138" t="n">
        <v>30538.968348</v>
      </c>
      <c r="W138" t="n">
        <v>21934.579962</v>
      </c>
      <c r="X138" t="n">
        <v>569015.873293</v>
      </c>
      <c r="Z138" t="n">
        <v>8547.085381999999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1" t="inlineStr">
        <is>
          <t>Côtier pel L pred</t>
        </is>
      </c>
      <c r="H139" t="n">
        <v>8886.574375</v>
      </c>
      <c r="I139" t="n">
        <v>4351.939949</v>
      </c>
      <c r="J139" t="n">
        <v>5186.075589</v>
      </c>
      <c r="K139" t="n">
        <v>4970.359012</v>
      </c>
      <c r="L139" t="n">
        <v>14096.783373</v>
      </c>
      <c r="M139" t="n">
        <v>11411.07684</v>
      </c>
      <c r="N139" t="n">
        <v>11411.07684</v>
      </c>
      <c r="O139" t="n">
        <v>2474.877467</v>
      </c>
      <c r="P139" t="n">
        <v>525.626343</v>
      </c>
      <c r="Q139" t="n">
        <v>11411.07684</v>
      </c>
      <c r="R139" t="n">
        <v>-50759.157349</v>
      </c>
      <c r="S139" t="n">
        <v>2474.877467</v>
      </c>
      <c r="T139" t="n">
        <v>2474.877467</v>
      </c>
      <c r="U139" t="n">
        <v>525.626343</v>
      </c>
      <c r="V139" t="n">
        <v>8846.789624999999</v>
      </c>
      <c r="W139" t="n">
        <v>2645.523944</v>
      </c>
      <c r="X139" t="n">
        <v>12354.973824</v>
      </c>
      <c r="Z139" t="n">
        <v>3330.282942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1" t="inlineStr">
        <is>
          <t>Bars</t>
        </is>
      </c>
      <c r="H140" t="n">
        <v>2420.68509</v>
      </c>
      <c r="I140" t="n">
        <v>897.711817</v>
      </c>
      <c r="J140" t="n">
        <v>1099.747345</v>
      </c>
      <c r="K140" t="n">
        <v>1031.677092</v>
      </c>
      <c r="L140" t="n">
        <v>2935.662355</v>
      </c>
      <c r="M140" t="n">
        <v>2345.11119</v>
      </c>
      <c r="N140" t="n">
        <v>2345.11119</v>
      </c>
      <c r="O140" t="n">
        <v>683.1533010000001</v>
      </c>
      <c r="P140" t="n">
        <v>169.349669</v>
      </c>
      <c r="Q140" t="n">
        <v>2345.11119</v>
      </c>
      <c r="R140" t="n">
        <v>-11446.729421</v>
      </c>
      <c r="S140" t="n">
        <v>683.1533010000001</v>
      </c>
      <c r="T140" t="n">
        <v>683.1533010000001</v>
      </c>
      <c r="U140" t="n">
        <v>169.349669</v>
      </c>
      <c r="V140" t="n">
        <v>3691.544063</v>
      </c>
      <c r="W140" t="n">
        <v>736.9540909999999</v>
      </c>
      <c r="X140" t="n">
        <v>2463.064614</v>
      </c>
      <c r="Z140" t="n">
        <v>1058.131619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1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1" t="inlineStr">
        <is>
          <t>Crustacés</t>
        </is>
      </c>
      <c r="H142" t="n">
        <v>141.860536</v>
      </c>
      <c r="I142" t="n">
        <v>58.609575</v>
      </c>
      <c r="J142" t="n">
        <v>58.609575</v>
      </c>
      <c r="K142" t="n">
        <v>55.679096</v>
      </c>
      <c r="L142" t="n">
        <v>135.651174</v>
      </c>
      <c r="M142" t="n">
        <v>105.8609</v>
      </c>
      <c r="N142" t="n">
        <v>105.8609</v>
      </c>
      <c r="O142" t="n">
        <v>41.041785</v>
      </c>
      <c r="P142" t="n">
        <v>14.761781</v>
      </c>
      <c r="Q142" t="n">
        <v>105.8609</v>
      </c>
      <c r="R142" t="n">
        <v>105.8609</v>
      </c>
      <c r="S142" t="n">
        <v>41.041785</v>
      </c>
      <c r="T142" t="n">
        <v>41.041785</v>
      </c>
      <c r="U142" t="n">
        <v>14.761781</v>
      </c>
      <c r="V142" t="n">
        <v>14.761781</v>
      </c>
      <c r="W142" t="n">
        <v>43.387398</v>
      </c>
      <c r="X142" t="n">
        <v>109.873168</v>
      </c>
      <c r="Z142" t="n">
        <v>83.9318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1" t="inlineStr">
        <is>
          <t>Crustacés</t>
        </is>
      </c>
      <c r="H143" t="n">
        <v>141.860536</v>
      </c>
      <c r="I143" t="n">
        <v>58.609575</v>
      </c>
      <c r="J143" t="n">
        <v>58.609575</v>
      </c>
      <c r="K143" t="n">
        <v>55.679096</v>
      </c>
      <c r="L143" t="n">
        <v>135.651174</v>
      </c>
      <c r="M143" t="n">
        <v>105.8609</v>
      </c>
      <c r="N143" t="n">
        <v>105.8609</v>
      </c>
      <c r="O143" t="n">
        <v>41.041785</v>
      </c>
      <c r="P143" t="n">
        <v>14.761781</v>
      </c>
      <c r="Q143" t="n">
        <v>105.8609</v>
      </c>
      <c r="R143" t="n">
        <v>105.8609</v>
      </c>
      <c r="S143" t="n">
        <v>41.041785</v>
      </c>
      <c r="T143" t="n">
        <v>41.041785</v>
      </c>
      <c r="U143" t="n">
        <v>14.761781</v>
      </c>
      <c r="V143" t="n">
        <v>14.761781</v>
      </c>
      <c r="W143" t="n">
        <v>43.387398</v>
      </c>
      <c r="X143" t="n">
        <v>109.873168</v>
      </c>
      <c r="Z143" t="n">
        <v>83.9318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1" t="inlineStr">
        <is>
          <t>Benthos</t>
        </is>
      </c>
      <c r="H144" t="n">
        <v>13.33676</v>
      </c>
      <c r="I144" t="n">
        <v>21.686003</v>
      </c>
      <c r="J144" t="n">
        <v>21.686003</v>
      </c>
      <c r="K144" t="n">
        <v>16.041667</v>
      </c>
      <c r="L144" t="n">
        <v>46.572283</v>
      </c>
      <c r="M144" t="n">
        <v>34.72623</v>
      </c>
      <c r="N144" t="n">
        <v>34.72623</v>
      </c>
      <c r="O144" t="n">
        <v>13.557692</v>
      </c>
      <c r="P144" t="n">
        <v>6.214286</v>
      </c>
      <c r="Q144" t="n">
        <v>34.72623</v>
      </c>
      <c r="R144" t="n">
        <v>34.72623</v>
      </c>
      <c r="S144" t="n">
        <v>13.557692</v>
      </c>
      <c r="T144" t="n">
        <v>13.557692</v>
      </c>
      <c r="U144" t="n">
        <v>6.214286</v>
      </c>
      <c r="V144" t="n">
        <v>6.214286</v>
      </c>
      <c r="W144" t="n">
        <v>14.069646</v>
      </c>
      <c r="X144" t="n">
        <v>35.953371</v>
      </c>
      <c r="Z144" t="n">
        <v>9.344255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1" t="inlineStr">
        <is>
          <t>Côtier pel L pred</t>
        </is>
      </c>
      <c r="H145" t="n">
        <v>8886.574375</v>
      </c>
      <c r="I145" t="n">
        <v>4351.939949</v>
      </c>
      <c r="J145" t="n">
        <v>5186.075589</v>
      </c>
      <c r="K145" t="n">
        <v>4970.359012</v>
      </c>
      <c r="L145" t="n">
        <v>14096.783373</v>
      </c>
      <c r="M145" t="n">
        <v>11411.07684</v>
      </c>
      <c r="N145" t="n">
        <v>11411.07684</v>
      </c>
      <c r="O145" t="n">
        <v>2474.877467</v>
      </c>
      <c r="P145" t="n">
        <v>525.626343</v>
      </c>
      <c r="Q145" t="n">
        <v>11411.07684</v>
      </c>
      <c r="R145" t="n">
        <v>-50759.157349</v>
      </c>
      <c r="S145" t="n">
        <v>2474.877467</v>
      </c>
      <c r="T145" t="n">
        <v>2474.877467</v>
      </c>
      <c r="U145" t="n">
        <v>525.626343</v>
      </c>
      <c r="V145" t="n">
        <v>8846.789624999999</v>
      </c>
      <c r="W145" t="n">
        <v>2645.523944</v>
      </c>
      <c r="X145" t="n">
        <v>12354.973824</v>
      </c>
      <c r="Z145" t="n">
        <v>3330.282942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1" t="inlineStr">
        <is>
          <t>Dem L pred</t>
        </is>
      </c>
      <c r="H146" t="n">
        <v>6647.368802</v>
      </c>
      <c r="I146" t="n">
        <v>4415.463105</v>
      </c>
      <c r="J146" t="n">
        <v>4454.682261</v>
      </c>
      <c r="K146" t="n">
        <v>3753.374229</v>
      </c>
      <c r="L146" t="n">
        <v>11046.457304</v>
      </c>
      <c r="M146" t="n">
        <v>8839.250757</v>
      </c>
      <c r="N146" t="n">
        <v>8839.250757</v>
      </c>
      <c r="O146" t="n">
        <v>2210.08062</v>
      </c>
      <c r="P146" t="n">
        <v>502.733116</v>
      </c>
      <c r="Q146" t="n">
        <v>8839.250757</v>
      </c>
      <c r="R146" t="n">
        <v>8839.250757</v>
      </c>
      <c r="S146" t="n">
        <v>2210.08062</v>
      </c>
      <c r="T146" t="n">
        <v>2210.08062</v>
      </c>
      <c r="U146" t="n">
        <v>502.733116</v>
      </c>
      <c r="V146" t="n">
        <v>502.733116</v>
      </c>
      <c r="W146" t="n">
        <v>2393.190154</v>
      </c>
      <c r="X146" t="n">
        <v>9644.19414</v>
      </c>
      <c r="Z146" t="n">
        <v>2496.813504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1" t="inlineStr">
        <is>
          <t>Benthos</t>
        </is>
      </c>
      <c r="H147" t="n">
        <v>13.33676</v>
      </c>
      <c r="I147" t="n">
        <v>21.686003</v>
      </c>
      <c r="J147" t="n">
        <v>21.686003</v>
      </c>
      <c r="K147" t="n">
        <v>16.041667</v>
      </c>
      <c r="L147" t="n">
        <v>46.572283</v>
      </c>
      <c r="M147" t="n">
        <v>34.72623</v>
      </c>
      <c r="N147" t="n">
        <v>34.72623</v>
      </c>
      <c r="O147" t="n">
        <v>13.557692</v>
      </c>
      <c r="P147" t="n">
        <v>6.214286</v>
      </c>
      <c r="Q147" t="n">
        <v>34.72623</v>
      </c>
      <c r="R147" t="n">
        <v>34.72623</v>
      </c>
      <c r="S147" t="n">
        <v>13.557692</v>
      </c>
      <c r="T147" t="n">
        <v>13.557692</v>
      </c>
      <c r="U147" t="n">
        <v>6.214286</v>
      </c>
      <c r="V147" t="n">
        <v>6.214286</v>
      </c>
      <c r="W147" t="n">
        <v>14.069646</v>
      </c>
      <c r="X147" t="n">
        <v>35.953371</v>
      </c>
      <c r="Z147" t="n">
        <v>9.344255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1" t="inlineStr">
        <is>
          <t>Dem M inv | Mulets</t>
        </is>
      </c>
      <c r="H148" t="n">
        <v>337.035449</v>
      </c>
      <c r="I148" t="n">
        <v>399.618997</v>
      </c>
      <c r="J148" t="n">
        <v>399.618997</v>
      </c>
      <c r="K148" t="n">
        <v>379.638047</v>
      </c>
      <c r="L148" t="n">
        <v>831.334602</v>
      </c>
      <c r="M148" t="n">
        <v>643.098602</v>
      </c>
      <c r="N148" t="n">
        <v>643.098602</v>
      </c>
      <c r="O148" t="n">
        <v>243.792094</v>
      </c>
      <c r="P148" t="n">
        <v>83.513676</v>
      </c>
      <c r="Q148" t="n">
        <v>643.098602</v>
      </c>
      <c r="R148" t="n">
        <v>643.098602</v>
      </c>
      <c r="S148" t="n">
        <v>243.792094</v>
      </c>
      <c r="T148" t="n">
        <v>243.792094</v>
      </c>
      <c r="U148" t="n">
        <v>83.513676</v>
      </c>
      <c r="V148" t="n">
        <v>83.513676</v>
      </c>
      <c r="W148" t="n">
        <v>257.592964</v>
      </c>
      <c r="X148" t="n">
        <v>682.6196629999999</v>
      </c>
      <c r="Z148" t="n">
        <v>179.633277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1" t="inlineStr">
        <is>
          <t>Dem L pred</t>
        </is>
      </c>
      <c r="H149" t="n">
        <v>6647.368802</v>
      </c>
      <c r="I149" t="n">
        <v>4415.463105</v>
      </c>
      <c r="J149" t="n">
        <v>4454.682261</v>
      </c>
      <c r="K149" t="n">
        <v>3753.374229</v>
      </c>
      <c r="L149" t="n">
        <v>11046.457304</v>
      </c>
      <c r="M149" t="n">
        <v>8839.250757</v>
      </c>
      <c r="N149" t="n">
        <v>8839.250757</v>
      </c>
      <c r="O149" t="n">
        <v>2210.08062</v>
      </c>
      <c r="P149" t="n">
        <v>502.733116</v>
      </c>
      <c r="Q149" t="n">
        <v>8839.250757</v>
      </c>
      <c r="R149" t="n">
        <v>8839.250757</v>
      </c>
      <c r="S149" t="n">
        <v>2210.08062</v>
      </c>
      <c r="T149" t="n">
        <v>2210.08062</v>
      </c>
      <c r="U149" t="n">
        <v>502.733116</v>
      </c>
      <c r="V149" t="n">
        <v>502.733116</v>
      </c>
      <c r="W149" t="n">
        <v>2393.190154</v>
      </c>
      <c r="X149" t="n">
        <v>9644.19414</v>
      </c>
      <c r="Z149" t="n">
        <v>2496.813504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1" t="inlineStr">
        <is>
          <t>Côtier M inv</t>
        </is>
      </c>
      <c r="H150" t="n">
        <v>398.168364</v>
      </c>
      <c r="I150" t="n">
        <v>199.191645</v>
      </c>
      <c r="J150" t="n">
        <v>199.191645</v>
      </c>
      <c r="K150" t="n">
        <v>198.220844</v>
      </c>
      <c r="L150" t="n">
        <v>425.732264</v>
      </c>
      <c r="M150" t="n">
        <v>328.010307</v>
      </c>
      <c r="N150" t="n">
        <v>328.010307</v>
      </c>
      <c r="O150" t="n">
        <v>128.891308</v>
      </c>
      <c r="P150" t="n">
        <v>43.202194</v>
      </c>
      <c r="Q150" t="n">
        <v>328.010307</v>
      </c>
      <c r="R150" t="n">
        <v>328.010307</v>
      </c>
      <c r="S150" t="n">
        <v>128.891308</v>
      </c>
      <c r="T150" t="n">
        <v>128.891308</v>
      </c>
      <c r="U150" t="n">
        <v>43.202194</v>
      </c>
      <c r="V150" t="n">
        <v>43.202194</v>
      </c>
      <c r="W150" t="n">
        <v>135.841405</v>
      </c>
      <c r="X150" t="n">
        <v>344.665099</v>
      </c>
      <c r="Z150" t="n">
        <v>208.50974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1" t="inlineStr">
        <is>
          <t>Crustacés</t>
        </is>
      </c>
      <c r="H151" t="n">
        <v>141.860536</v>
      </c>
      <c r="I151" t="n">
        <v>58.609575</v>
      </c>
      <c r="J151" t="n">
        <v>58.609575</v>
      </c>
      <c r="K151" t="n">
        <v>55.679096</v>
      </c>
      <c r="L151" t="n">
        <v>135.651174</v>
      </c>
      <c r="M151" t="n">
        <v>105.8609</v>
      </c>
      <c r="N151" t="n">
        <v>105.8609</v>
      </c>
      <c r="O151" t="n">
        <v>41.041785</v>
      </c>
      <c r="P151" t="n">
        <v>14.761781</v>
      </c>
      <c r="Q151" t="n">
        <v>105.8609</v>
      </c>
      <c r="R151" t="n">
        <v>105.8609</v>
      </c>
      <c r="S151" t="n">
        <v>41.041785</v>
      </c>
      <c r="T151" t="n">
        <v>41.041785</v>
      </c>
      <c r="U151" t="n">
        <v>14.761781</v>
      </c>
      <c r="V151" t="n">
        <v>14.761781</v>
      </c>
      <c r="W151" t="n">
        <v>43.387398</v>
      </c>
      <c r="X151" t="n">
        <v>109.873168</v>
      </c>
      <c r="Z151" t="n">
        <v>83.9318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1" t="inlineStr">
        <is>
          <t>Dem M inv</t>
        </is>
      </c>
      <c r="H152" t="n">
        <v>356.610478</v>
      </c>
      <c r="I152" t="n">
        <v>425.640743</v>
      </c>
      <c r="J152" t="n">
        <v>425.640743</v>
      </c>
      <c r="K152" t="n">
        <v>404.358706</v>
      </c>
      <c r="L152" t="n">
        <v>890.128168</v>
      </c>
      <c r="M152" t="n">
        <v>687.593135</v>
      </c>
      <c r="N152" t="n">
        <v>687.593135</v>
      </c>
      <c r="O152" t="n">
        <v>259.92301</v>
      </c>
      <c r="P152" t="n">
        <v>88.683295</v>
      </c>
      <c r="Q152" t="n">
        <v>687.593135</v>
      </c>
      <c r="R152" t="n">
        <v>687.593135</v>
      </c>
      <c r="S152" t="n">
        <v>259.92301</v>
      </c>
      <c r="T152" t="n">
        <v>259.92301</v>
      </c>
      <c r="U152" t="n">
        <v>88.683295</v>
      </c>
      <c r="V152" t="n">
        <v>88.683295</v>
      </c>
      <c r="W152" t="n">
        <v>274.743506</v>
      </c>
      <c r="X152" t="n">
        <v>730.09327</v>
      </c>
      <c r="Z152" t="n">
        <v>189.532809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1" t="inlineStr">
        <is>
          <t>Thons majeurs</t>
        </is>
      </c>
      <c r="H153" t="n">
        <v>13661.710452</v>
      </c>
      <c r="I153" t="n">
        <v>5828.690682</v>
      </c>
      <c r="J153" t="n">
        <v>6055.352519</v>
      </c>
      <c r="K153" t="n">
        <v>3027.67626</v>
      </c>
      <c r="L153" t="n">
        <v>13559.408277</v>
      </c>
      <c r="M153" t="n">
        <v>11074.090097</v>
      </c>
      <c r="N153" t="n">
        <v>11074.090097</v>
      </c>
      <c r="O153" t="n">
        <v>1497.448606</v>
      </c>
      <c r="P153" t="n">
        <v>329.433681</v>
      </c>
      <c r="Q153" t="n">
        <v>11074.090097</v>
      </c>
      <c r="R153" t="n">
        <v>-31133.885537</v>
      </c>
      <c r="S153" t="n">
        <v>1497.448606</v>
      </c>
      <c r="T153" t="n">
        <v>1497.448606</v>
      </c>
      <c r="U153" t="n">
        <v>329.433681</v>
      </c>
      <c r="V153" t="n">
        <v>2167.379541</v>
      </c>
      <c r="W153" t="n">
        <v>1598.647747</v>
      </c>
      <c r="X153" t="n">
        <v>12125.414105</v>
      </c>
      <c r="Z153" t="n">
        <v>5199.941547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1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1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1" t="inlineStr">
        <is>
          <t>Côtier pel L pred</t>
        </is>
      </c>
      <c r="H156" t="n">
        <v>8886.574375</v>
      </c>
      <c r="I156" t="n">
        <v>4351.939949</v>
      </c>
      <c r="J156" t="n">
        <v>5186.075589</v>
      </c>
      <c r="K156" t="n">
        <v>4970.359012</v>
      </c>
      <c r="L156" t="n">
        <v>14096.783373</v>
      </c>
      <c r="M156" t="n">
        <v>11411.07684</v>
      </c>
      <c r="N156" t="n">
        <v>11411.07684</v>
      </c>
      <c r="O156" t="n">
        <v>2474.877467</v>
      </c>
      <c r="P156" t="n">
        <v>525.626343</v>
      </c>
      <c r="Q156" t="n">
        <v>11411.07684</v>
      </c>
      <c r="R156" t="n">
        <v>-50759.157349</v>
      </c>
      <c r="S156" t="n">
        <v>2474.877467</v>
      </c>
      <c r="T156" t="n">
        <v>2474.877467</v>
      </c>
      <c r="U156" t="n">
        <v>525.626343</v>
      </c>
      <c r="V156" t="n">
        <v>8846.789624999999</v>
      </c>
      <c r="W156" t="n">
        <v>2645.523944</v>
      </c>
      <c r="X156" t="n">
        <v>12354.973824</v>
      </c>
      <c r="Z156" t="n">
        <v>3330.282942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1" t="inlineStr">
        <is>
          <t>Pel L pred</t>
        </is>
      </c>
      <c r="H157" t="n">
        <v>3931.194334</v>
      </c>
      <c r="I157" t="n">
        <v>2174.355127</v>
      </c>
      <c r="J157" t="n">
        <v>2227.613295</v>
      </c>
      <c r="K157" t="n">
        <v>2116.23263</v>
      </c>
      <c r="L157" t="n">
        <v>5671.221213</v>
      </c>
      <c r="M157" t="n">
        <v>4708.492365</v>
      </c>
      <c r="N157" t="n">
        <v>4708.492365</v>
      </c>
      <c r="O157" t="n">
        <v>1256.374177</v>
      </c>
      <c r="P157" t="n">
        <v>312.251371</v>
      </c>
      <c r="Q157" t="n">
        <v>4708.492365</v>
      </c>
      <c r="R157" t="n">
        <v>-58015.203039</v>
      </c>
      <c r="S157" t="n">
        <v>1256.374177</v>
      </c>
      <c r="T157" t="n">
        <v>1256.374177</v>
      </c>
      <c r="U157" t="n">
        <v>312.251371</v>
      </c>
      <c r="V157" t="n">
        <v>4998.085196</v>
      </c>
      <c r="W157" t="n">
        <v>1354.495716</v>
      </c>
      <c r="X157" t="n">
        <v>5057.925719</v>
      </c>
      <c r="Z157" t="n">
        <v>1691.840323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1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1" t="inlineStr">
        <is>
          <t>Côtier S pred</t>
        </is>
      </c>
      <c r="H159" t="n">
        <v>3699.936691</v>
      </c>
      <c r="I159" t="n">
        <v>857.017702</v>
      </c>
      <c r="J159" t="n">
        <v>857.42359</v>
      </c>
      <c r="K159" t="n">
        <v>772.552422</v>
      </c>
      <c r="L159" t="n">
        <v>1835.839539</v>
      </c>
      <c r="M159" t="n">
        <v>1486.079117</v>
      </c>
      <c r="N159" t="n">
        <v>1486.079117</v>
      </c>
      <c r="O159" t="n">
        <v>433.878127</v>
      </c>
      <c r="P159" t="n">
        <v>113.683417</v>
      </c>
      <c r="Q159" t="n">
        <v>1486.079117</v>
      </c>
      <c r="R159" t="n">
        <v>1486.079117</v>
      </c>
      <c r="S159" t="n">
        <v>433.878127</v>
      </c>
      <c r="T159" t="n">
        <v>433.878127</v>
      </c>
      <c r="U159" t="n">
        <v>113.683417</v>
      </c>
      <c r="V159" t="n">
        <v>113.683417</v>
      </c>
      <c r="W159" t="n">
        <v>461.537577</v>
      </c>
      <c r="X159" t="n">
        <v>1572.808567</v>
      </c>
      <c r="Z159" t="n">
        <v>1523.664607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1" t="inlineStr">
        <is>
          <t>Sélaciens L prof</t>
        </is>
      </c>
      <c r="H160" t="n">
        <v>25677.887496</v>
      </c>
      <c r="I160" t="n">
        <v>85025.569393</v>
      </c>
      <c r="J160" t="n">
        <v>87655.49026999999</v>
      </c>
      <c r="K160" t="n">
        <v>43827.745135</v>
      </c>
      <c r="L160" t="n">
        <v>630806.17817</v>
      </c>
      <c r="M160" t="n">
        <v>514481.410387</v>
      </c>
      <c r="N160" t="n">
        <v>514481.410387</v>
      </c>
      <c r="O160" t="n">
        <v>21093.289073</v>
      </c>
      <c r="P160" t="n">
        <v>3573.574556</v>
      </c>
      <c r="Q160" t="n">
        <v>514481.410387</v>
      </c>
      <c r="R160" t="n">
        <v>-1228387.275522</v>
      </c>
      <c r="S160" t="n">
        <v>21093.289073</v>
      </c>
      <c r="T160" t="n">
        <v>21093.289073</v>
      </c>
      <c r="U160" t="n">
        <v>3573.574556</v>
      </c>
      <c r="V160" t="n">
        <v>31482.800712</v>
      </c>
      <c r="W160" t="n">
        <v>23157.185683</v>
      </c>
      <c r="X160" t="n">
        <v>623084.058893</v>
      </c>
      <c r="Z160" t="n">
        <v>8771.288941999999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1" t="inlineStr">
        <is>
          <t>Côtier L pred</t>
        </is>
      </c>
      <c r="H161" t="n">
        <v>5244.468733</v>
      </c>
      <c r="I161" t="n">
        <v>3323.212634</v>
      </c>
      <c r="J161" t="n">
        <v>6358.646185</v>
      </c>
      <c r="K161" t="n">
        <v>5497.795802</v>
      </c>
      <c r="L161" t="n">
        <v>19279.552919</v>
      </c>
      <c r="M161" t="n">
        <v>15594.90803</v>
      </c>
      <c r="N161" t="n">
        <v>15594.90803</v>
      </c>
      <c r="O161" t="n">
        <v>2522.190001</v>
      </c>
      <c r="P161" t="n">
        <v>528.917324</v>
      </c>
      <c r="Q161" t="n">
        <v>15594.90803</v>
      </c>
      <c r="R161" t="n">
        <v>-75829.94378099999</v>
      </c>
      <c r="S161" t="n">
        <v>2522.190001</v>
      </c>
      <c r="T161" t="n">
        <v>2522.190001</v>
      </c>
      <c r="U161" t="n">
        <v>528.917324</v>
      </c>
      <c r="V161" t="n">
        <v>13815.167153</v>
      </c>
      <c r="W161" t="n">
        <v>2674.282783</v>
      </c>
      <c r="X161" t="n">
        <v>16812.298301</v>
      </c>
      <c r="Z161" t="n">
        <v>2083.221444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1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1" t="inlineStr">
        <is>
          <t>Dem M inv</t>
        </is>
      </c>
      <c r="H163" t="n">
        <v>356.610478</v>
      </c>
      <c r="I163" t="n">
        <v>425.640743</v>
      </c>
      <c r="J163" t="n">
        <v>425.640743</v>
      </c>
      <c r="K163" t="n">
        <v>404.358706</v>
      </c>
      <c r="L163" t="n">
        <v>890.128168</v>
      </c>
      <c r="M163" t="n">
        <v>687.593135</v>
      </c>
      <c r="N163" t="n">
        <v>687.593135</v>
      </c>
      <c r="O163" t="n">
        <v>259.92301</v>
      </c>
      <c r="P163" t="n">
        <v>88.683295</v>
      </c>
      <c r="Q163" t="n">
        <v>687.593135</v>
      </c>
      <c r="R163" t="n">
        <v>687.593135</v>
      </c>
      <c r="S163" t="n">
        <v>259.92301</v>
      </c>
      <c r="T163" t="n">
        <v>259.92301</v>
      </c>
      <c r="U163" t="n">
        <v>88.683295</v>
      </c>
      <c r="V163" t="n">
        <v>88.683295</v>
      </c>
      <c r="W163" t="n">
        <v>274.743506</v>
      </c>
      <c r="X163" t="n">
        <v>730.09327</v>
      </c>
      <c r="Z163" t="n">
        <v>189.532809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1" t="inlineStr">
        <is>
          <t>Sélaciens L côtiers | Sélaciens L prof</t>
        </is>
      </c>
      <c r="H164" t="n">
        <v>25016.808306</v>
      </c>
      <c r="I164" t="n">
        <v>80150.248387</v>
      </c>
      <c r="J164" t="n">
        <v>81924.32805</v>
      </c>
      <c r="K164" t="n">
        <v>42522.659787</v>
      </c>
      <c r="L164" t="n">
        <v>577175.629756</v>
      </c>
      <c r="M164" t="n">
        <v>470723.113659</v>
      </c>
      <c r="N164" t="n">
        <v>470723.113659</v>
      </c>
      <c r="O164" t="n">
        <v>20000.469569</v>
      </c>
      <c r="P164" t="n">
        <v>3397.730674</v>
      </c>
      <c r="Q164" t="n">
        <v>470723.113659</v>
      </c>
      <c r="R164" t="n">
        <v>-1124181.323627</v>
      </c>
      <c r="S164" t="n">
        <v>20000.469569</v>
      </c>
      <c r="T164" t="n">
        <v>20000.469569</v>
      </c>
      <c r="U164" t="n">
        <v>3397.730674</v>
      </c>
      <c r="V164" t="n">
        <v>30538.968348</v>
      </c>
      <c r="W164" t="n">
        <v>21934.579962</v>
      </c>
      <c r="X164" t="n">
        <v>569015.873293</v>
      </c>
      <c r="Z164" t="n">
        <v>8547.085381999999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1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1" t="inlineStr">
        <is>
          <t>Côtier L pred</t>
        </is>
      </c>
      <c r="H166" t="n">
        <v>5244.468733</v>
      </c>
      <c r="I166" t="n">
        <v>3323.212634</v>
      </c>
      <c r="J166" t="n">
        <v>6358.646185</v>
      </c>
      <c r="K166" t="n">
        <v>5497.795802</v>
      </c>
      <c r="L166" t="n">
        <v>19279.552919</v>
      </c>
      <c r="M166" t="n">
        <v>15594.90803</v>
      </c>
      <c r="N166" t="n">
        <v>15594.90803</v>
      </c>
      <c r="O166" t="n">
        <v>2522.190001</v>
      </c>
      <c r="P166" t="n">
        <v>528.917324</v>
      </c>
      <c r="Q166" t="n">
        <v>15594.90803</v>
      </c>
      <c r="R166" t="n">
        <v>-75829.94378099999</v>
      </c>
      <c r="S166" t="n">
        <v>2522.190001</v>
      </c>
      <c r="T166" t="n">
        <v>2522.190001</v>
      </c>
      <c r="U166" t="n">
        <v>528.917324</v>
      </c>
      <c r="V166" t="n">
        <v>13815.167153</v>
      </c>
      <c r="W166" t="n">
        <v>2674.282783</v>
      </c>
      <c r="X166" t="n">
        <v>16812.298301</v>
      </c>
      <c r="Z166" t="n">
        <v>2083.221444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1" t="inlineStr">
        <is>
          <t>Côtier M inv</t>
        </is>
      </c>
      <c r="H167" t="n">
        <v>398.168364</v>
      </c>
      <c r="I167" t="n">
        <v>199.191645</v>
      </c>
      <c r="J167" t="n">
        <v>199.191645</v>
      </c>
      <c r="K167" t="n">
        <v>198.220844</v>
      </c>
      <c r="L167" t="n">
        <v>425.732264</v>
      </c>
      <c r="M167" t="n">
        <v>328.010307</v>
      </c>
      <c r="N167" t="n">
        <v>328.010307</v>
      </c>
      <c r="O167" t="n">
        <v>128.891308</v>
      </c>
      <c r="P167" t="n">
        <v>43.202194</v>
      </c>
      <c r="Q167" t="n">
        <v>328.010307</v>
      </c>
      <c r="R167" t="n">
        <v>328.010307</v>
      </c>
      <c r="S167" t="n">
        <v>128.891308</v>
      </c>
      <c r="T167" t="n">
        <v>128.891308</v>
      </c>
      <c r="U167" t="n">
        <v>43.202194</v>
      </c>
      <c r="V167" t="n">
        <v>43.202194</v>
      </c>
      <c r="W167" t="n">
        <v>135.841405</v>
      </c>
      <c r="X167" t="n">
        <v>344.665099</v>
      </c>
      <c r="Z167" t="n">
        <v>208.50974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1" t="inlineStr">
        <is>
          <t>Sélaciens L prof</t>
        </is>
      </c>
      <c r="H168" t="n">
        <v>25677.887496</v>
      </c>
      <c r="I168" t="n">
        <v>85025.569393</v>
      </c>
      <c r="J168" t="n">
        <v>87655.49026999999</v>
      </c>
      <c r="K168" t="n">
        <v>43827.745135</v>
      </c>
      <c r="L168" t="n">
        <v>630806.17817</v>
      </c>
      <c r="M168" t="n">
        <v>514481.410387</v>
      </c>
      <c r="N168" t="n">
        <v>514481.410387</v>
      </c>
      <c r="O168" t="n">
        <v>21093.289073</v>
      </c>
      <c r="P168" t="n">
        <v>3573.574556</v>
      </c>
      <c r="Q168" t="n">
        <v>514481.410387</v>
      </c>
      <c r="R168" t="n">
        <v>-1228387.275522</v>
      </c>
      <c r="S168" t="n">
        <v>21093.289073</v>
      </c>
      <c r="T168" t="n">
        <v>21093.289073</v>
      </c>
      <c r="U168" t="n">
        <v>3573.574556</v>
      </c>
      <c r="V168" t="n">
        <v>31482.800712</v>
      </c>
      <c r="W168" t="n">
        <v>23157.185683</v>
      </c>
      <c r="X168" t="n">
        <v>623084.058893</v>
      </c>
      <c r="Z168" t="n">
        <v>8771.288941999999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1" t="inlineStr">
        <is>
          <t>Sélaciens L côtiers | Sélaciens M côtiers</t>
        </is>
      </c>
      <c r="H169" t="n">
        <v>18963.281429</v>
      </c>
      <c r="I169" t="n">
        <v>38866.639201</v>
      </c>
      <c r="J169" t="n">
        <v>34135.390732</v>
      </c>
      <c r="K169" t="n">
        <v>30276.649229</v>
      </c>
      <c r="L169" t="n">
        <v>137124.985345</v>
      </c>
      <c r="M169" t="n">
        <v>111680.969443</v>
      </c>
      <c r="N169" t="n">
        <v>111680.969443</v>
      </c>
      <c r="O169" t="n">
        <v>10648.955601</v>
      </c>
      <c r="P169" t="n">
        <v>1892.576101</v>
      </c>
      <c r="Q169" t="n">
        <v>111680.969443</v>
      </c>
      <c r="R169" t="n">
        <v>-272265.072434</v>
      </c>
      <c r="S169" t="n">
        <v>10648.955601</v>
      </c>
      <c r="T169" t="n">
        <v>10648.955601</v>
      </c>
      <c r="U169" t="n">
        <v>1892.576101</v>
      </c>
      <c r="V169" t="n">
        <v>21951.685141</v>
      </c>
      <c r="W169" t="n">
        <v>11493.442214</v>
      </c>
      <c r="X169" t="n">
        <v>125990.52972</v>
      </c>
      <c r="Z169" t="n">
        <v>6510.226275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1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1" t="inlineStr">
        <is>
          <t>Crustacés</t>
        </is>
      </c>
      <c r="H171" t="n">
        <v>141.860536</v>
      </c>
      <c r="I171" t="n">
        <v>58.609575</v>
      </c>
      <c r="J171" t="n">
        <v>58.609575</v>
      </c>
      <c r="K171" t="n">
        <v>55.679096</v>
      </c>
      <c r="L171" t="n">
        <v>135.651174</v>
      </c>
      <c r="M171" t="n">
        <v>105.8609</v>
      </c>
      <c r="N171" t="n">
        <v>105.8609</v>
      </c>
      <c r="O171" t="n">
        <v>41.041785</v>
      </c>
      <c r="P171" t="n">
        <v>14.761781</v>
      </c>
      <c r="Q171" t="n">
        <v>105.8609</v>
      </c>
      <c r="R171" t="n">
        <v>105.8609</v>
      </c>
      <c r="S171" t="n">
        <v>41.041785</v>
      </c>
      <c r="T171" t="n">
        <v>41.041785</v>
      </c>
      <c r="U171" t="n">
        <v>14.761781</v>
      </c>
      <c r="V171" t="n">
        <v>14.761781</v>
      </c>
      <c r="W171" t="n">
        <v>43.387398</v>
      </c>
      <c r="X171" t="n">
        <v>109.873168</v>
      </c>
      <c r="Z171" t="n">
        <v>83.9318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1" t="inlineStr">
        <is>
          <t>Sélaciens L prof | Sélaciens M prof</t>
        </is>
      </c>
      <c r="H172" t="n">
        <v>23077.678707</v>
      </c>
      <c r="I172" t="n">
        <v>72694.11223499999</v>
      </c>
      <c r="J172" t="n">
        <v>74885.77596899999</v>
      </c>
      <c r="K172" t="n">
        <v>37442.887985</v>
      </c>
      <c r="L172" t="n">
        <v>519043.253135</v>
      </c>
      <c r="M172" t="n">
        <v>423323.65087</v>
      </c>
      <c r="N172" t="n">
        <v>423323.65087</v>
      </c>
      <c r="O172" t="n">
        <v>17981.099834</v>
      </c>
      <c r="P172" t="n">
        <v>3100.455644</v>
      </c>
      <c r="Q172" t="n">
        <v>423323.65087</v>
      </c>
      <c r="R172" t="n">
        <v>-987921.583792</v>
      </c>
      <c r="S172" t="n">
        <v>17981.099834</v>
      </c>
      <c r="T172" t="n">
        <v>17981.099834</v>
      </c>
      <c r="U172" t="n">
        <v>3100.455644</v>
      </c>
      <c r="V172" t="n">
        <v>25699.268014</v>
      </c>
      <c r="W172" t="n">
        <v>19738.087494</v>
      </c>
      <c r="X172" t="n">
        <v>511806.89099</v>
      </c>
      <c r="Z172" t="n">
        <v>7983.35242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1" t="inlineStr">
        <is>
          <t>Côtier pel L pred</t>
        </is>
      </c>
      <c r="H173" t="n">
        <v>8886.574375</v>
      </c>
      <c r="I173" t="n">
        <v>4351.939949</v>
      </c>
      <c r="J173" t="n">
        <v>5186.075589</v>
      </c>
      <c r="K173" t="n">
        <v>4970.359012</v>
      </c>
      <c r="L173" t="n">
        <v>14096.783373</v>
      </c>
      <c r="M173" t="n">
        <v>11411.07684</v>
      </c>
      <c r="N173" t="n">
        <v>11411.07684</v>
      </c>
      <c r="O173" t="n">
        <v>2474.877467</v>
      </c>
      <c r="P173" t="n">
        <v>525.626343</v>
      </c>
      <c r="Q173" t="n">
        <v>11411.07684</v>
      </c>
      <c r="R173" t="n">
        <v>-50759.157349</v>
      </c>
      <c r="S173" t="n">
        <v>2474.877467</v>
      </c>
      <c r="T173" t="n">
        <v>2474.877467</v>
      </c>
      <c r="U173" t="n">
        <v>525.626343</v>
      </c>
      <c r="V173" t="n">
        <v>8846.789624999999</v>
      </c>
      <c r="W173" t="n">
        <v>2645.523944</v>
      </c>
      <c r="X173" t="n">
        <v>12354.973824</v>
      </c>
      <c r="Z173" t="n">
        <v>3330.282942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1" t="inlineStr">
        <is>
          <t>Crustacés</t>
        </is>
      </c>
      <c r="H174" t="n">
        <v>141.860536</v>
      </c>
      <c r="I174" t="n">
        <v>58.609575</v>
      </c>
      <c r="J174" t="n">
        <v>58.609575</v>
      </c>
      <c r="K174" t="n">
        <v>55.679096</v>
      </c>
      <c r="L174" t="n">
        <v>135.651174</v>
      </c>
      <c r="M174" t="n">
        <v>105.8609</v>
      </c>
      <c r="N174" t="n">
        <v>105.8609</v>
      </c>
      <c r="O174" t="n">
        <v>41.041785</v>
      </c>
      <c r="P174" t="n">
        <v>14.761781</v>
      </c>
      <c r="Q174" t="n">
        <v>105.8609</v>
      </c>
      <c r="R174" t="n">
        <v>105.8609</v>
      </c>
      <c r="S174" t="n">
        <v>41.041785</v>
      </c>
      <c r="T174" t="n">
        <v>41.041785</v>
      </c>
      <c r="U174" t="n">
        <v>14.761781</v>
      </c>
      <c r="V174" t="n">
        <v>14.761781</v>
      </c>
      <c r="W174" t="n">
        <v>43.387398</v>
      </c>
      <c r="X174" t="n">
        <v>109.873168</v>
      </c>
      <c r="Z174" t="n">
        <v>83.9318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1" t="inlineStr">
        <is>
          <t>Côtier pel S inv</t>
        </is>
      </c>
      <c r="H175" t="n">
        <v>251.2254</v>
      </c>
      <c r="I175" t="n">
        <v>86.158743</v>
      </c>
      <c r="J175" t="n">
        <v>86.33787599999999</v>
      </c>
      <c r="K175" t="n">
        <v>78.06480500000001</v>
      </c>
      <c r="L175" t="n">
        <v>182.678518</v>
      </c>
      <c r="M175" t="n">
        <v>153.800234</v>
      </c>
      <c r="N175" t="n">
        <v>153.800234</v>
      </c>
      <c r="O175" t="n">
        <v>58.393946</v>
      </c>
      <c r="P175" t="n">
        <v>20.547657</v>
      </c>
      <c r="Q175" t="n">
        <v>153.800234</v>
      </c>
      <c r="R175" t="n">
        <v>153.800234</v>
      </c>
      <c r="S175" t="n">
        <v>58.393946</v>
      </c>
      <c r="T175" t="n">
        <v>58.393946</v>
      </c>
      <c r="U175" t="n">
        <v>20.547657</v>
      </c>
      <c r="V175" t="n">
        <v>20.547657</v>
      </c>
      <c r="W175" t="n">
        <v>61.340777</v>
      </c>
      <c r="X175" t="n">
        <v>159.509648</v>
      </c>
      <c r="Z175" t="n">
        <v>140.139628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1" t="inlineStr">
        <is>
          <t>Thons majeurs</t>
        </is>
      </c>
      <c r="H176" t="n">
        <v>13661.710452</v>
      </c>
      <c r="I176" t="n">
        <v>5828.690682</v>
      </c>
      <c r="J176" t="n">
        <v>6055.352519</v>
      </c>
      <c r="K176" t="n">
        <v>3027.67626</v>
      </c>
      <c r="L176" t="n">
        <v>13559.408277</v>
      </c>
      <c r="M176" t="n">
        <v>11074.090097</v>
      </c>
      <c r="N176" t="n">
        <v>11074.090097</v>
      </c>
      <c r="O176" t="n">
        <v>1497.448606</v>
      </c>
      <c r="P176" t="n">
        <v>329.433681</v>
      </c>
      <c r="Q176" t="n">
        <v>11074.090097</v>
      </c>
      <c r="R176" t="n">
        <v>-31133.885537</v>
      </c>
      <c r="S176" t="n">
        <v>1497.448606</v>
      </c>
      <c r="T176" t="n">
        <v>1497.448606</v>
      </c>
      <c r="U176" t="n">
        <v>329.433681</v>
      </c>
      <c r="V176" t="n">
        <v>2167.379541</v>
      </c>
      <c r="W176" t="n">
        <v>1598.647747</v>
      </c>
      <c r="X176" t="n">
        <v>12125.414105</v>
      </c>
      <c r="Z176" t="n">
        <v>5199.941547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1" t="inlineStr">
        <is>
          <t>Côtier L pred</t>
        </is>
      </c>
      <c r="H177" t="n">
        <v>5244.468733</v>
      </c>
      <c r="I177" t="n">
        <v>3323.212634</v>
      </c>
      <c r="J177" t="n">
        <v>6358.646185</v>
      </c>
      <c r="K177" t="n">
        <v>5497.795802</v>
      </c>
      <c r="L177" t="n">
        <v>19279.552919</v>
      </c>
      <c r="M177" t="n">
        <v>15594.90803</v>
      </c>
      <c r="N177" t="n">
        <v>15594.90803</v>
      </c>
      <c r="O177" t="n">
        <v>2522.190001</v>
      </c>
      <c r="P177" t="n">
        <v>528.917324</v>
      </c>
      <c r="Q177" t="n">
        <v>15594.90803</v>
      </c>
      <c r="R177" t="n">
        <v>-75829.94378099999</v>
      </c>
      <c r="S177" t="n">
        <v>2522.190001</v>
      </c>
      <c r="T177" t="n">
        <v>2522.190001</v>
      </c>
      <c r="U177" t="n">
        <v>528.917324</v>
      </c>
      <c r="V177" t="n">
        <v>13815.167153</v>
      </c>
      <c r="W177" t="n">
        <v>2674.282783</v>
      </c>
      <c r="X177" t="n">
        <v>16812.298301</v>
      </c>
      <c r="Z177" t="n">
        <v>2083.221444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1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1" t="inlineStr">
        <is>
          <t>Dem L pred</t>
        </is>
      </c>
      <c r="H179" t="n">
        <v>6647.368802</v>
      </c>
      <c r="I179" t="n">
        <v>4415.463105</v>
      </c>
      <c r="J179" t="n">
        <v>4454.682261</v>
      </c>
      <c r="K179" t="n">
        <v>3753.374229</v>
      </c>
      <c r="L179" t="n">
        <v>11046.457304</v>
      </c>
      <c r="M179" t="n">
        <v>8839.250757</v>
      </c>
      <c r="N179" t="n">
        <v>8839.250757</v>
      </c>
      <c r="O179" t="n">
        <v>2210.08062</v>
      </c>
      <c r="P179" t="n">
        <v>502.733116</v>
      </c>
      <c r="Q179" t="n">
        <v>8839.250757</v>
      </c>
      <c r="R179" t="n">
        <v>8839.250757</v>
      </c>
      <c r="S179" t="n">
        <v>2210.08062</v>
      </c>
      <c r="T179" t="n">
        <v>2210.08062</v>
      </c>
      <c r="U179" t="n">
        <v>502.733116</v>
      </c>
      <c r="V179" t="n">
        <v>502.733116</v>
      </c>
      <c r="W179" t="n">
        <v>2393.190154</v>
      </c>
      <c r="X179" t="n">
        <v>9644.19414</v>
      </c>
      <c r="Z179" t="n">
        <v>2496.813504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1" t="inlineStr">
        <is>
          <t>Côtier S inv</t>
        </is>
      </c>
      <c r="H180" t="n">
        <v>269.022913</v>
      </c>
      <c r="I180" t="n">
        <v>143.357993</v>
      </c>
      <c r="J180" t="n">
        <v>143.744849</v>
      </c>
      <c r="K180" t="n">
        <v>140.09455</v>
      </c>
      <c r="L180" t="n">
        <v>302.43669</v>
      </c>
      <c r="M180" t="n">
        <v>237.484146</v>
      </c>
      <c r="N180" t="n">
        <v>237.484146</v>
      </c>
      <c r="O180" t="n">
        <v>92.381467</v>
      </c>
      <c r="P180" t="n">
        <v>32.138237</v>
      </c>
      <c r="Q180" t="n">
        <v>237.484146</v>
      </c>
      <c r="R180" t="n">
        <v>237.484146</v>
      </c>
      <c r="S180" t="n">
        <v>92.381467</v>
      </c>
      <c r="T180" t="n">
        <v>92.381467</v>
      </c>
      <c r="U180" t="n">
        <v>32.138237</v>
      </c>
      <c r="V180" t="n">
        <v>32.138237</v>
      </c>
      <c r="W180" t="n">
        <v>96.991221</v>
      </c>
      <c r="X180" t="n">
        <v>248.321196</v>
      </c>
      <c r="Z180" t="n">
        <v>141.325989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1" t="inlineStr">
        <is>
          <t>Sélaciens L côtiers</t>
        </is>
      </c>
      <c r="H181" t="n">
        <v>19687.630586</v>
      </c>
      <c r="I181" t="n">
        <v>40848.675363</v>
      </c>
      <c r="J181" t="n">
        <v>35723.536302</v>
      </c>
      <c r="K181" t="n">
        <v>32001.935703</v>
      </c>
      <c r="L181" t="n">
        <v>144842.06399</v>
      </c>
      <c r="M181" t="n">
        <v>117973.029689</v>
      </c>
      <c r="N181" t="n">
        <v>117973.029689</v>
      </c>
      <c r="O181" t="n">
        <v>11190.890574</v>
      </c>
      <c r="P181" t="n">
        <v>1980.195061</v>
      </c>
      <c r="Q181" t="n">
        <v>117973.029689</v>
      </c>
      <c r="R181" t="n">
        <v>-284142.724554</v>
      </c>
      <c r="S181" t="n">
        <v>11190.890574</v>
      </c>
      <c r="T181" t="n">
        <v>11190.890574</v>
      </c>
      <c r="U181" t="n">
        <v>1980.195061</v>
      </c>
      <c r="V181" t="n">
        <v>22930.423898</v>
      </c>
      <c r="W181" t="n">
        <v>12078.751403</v>
      </c>
      <c r="X181" t="n">
        <v>133154.369612</v>
      </c>
      <c r="Z181" t="n">
        <v>6739.706423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1" t="inlineStr">
        <is>
          <t>Dem L pred</t>
        </is>
      </c>
      <c r="H182" t="n">
        <v>6647.368802</v>
      </c>
      <c r="I182" t="n">
        <v>4415.463105</v>
      </c>
      <c r="J182" t="n">
        <v>4454.682261</v>
      </c>
      <c r="K182" t="n">
        <v>3753.374229</v>
      </c>
      <c r="L182" t="n">
        <v>11046.457304</v>
      </c>
      <c r="M182" t="n">
        <v>8839.250757</v>
      </c>
      <c r="N182" t="n">
        <v>8839.250757</v>
      </c>
      <c r="O182" t="n">
        <v>2210.08062</v>
      </c>
      <c r="P182" t="n">
        <v>502.733116</v>
      </c>
      <c r="Q182" t="n">
        <v>8839.250757</v>
      </c>
      <c r="R182" t="n">
        <v>8839.250757</v>
      </c>
      <c r="S182" t="n">
        <v>2210.08062</v>
      </c>
      <c r="T182" t="n">
        <v>2210.08062</v>
      </c>
      <c r="U182" t="n">
        <v>502.733116</v>
      </c>
      <c r="V182" t="n">
        <v>502.733116</v>
      </c>
      <c r="W182" t="n">
        <v>2393.190154</v>
      </c>
      <c r="X182" t="n">
        <v>9644.19414</v>
      </c>
      <c r="Z182" t="n">
        <v>2496.813504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1" t="inlineStr">
        <is>
          <t>Sélaciens L côtiers | Sélaciens L prof | Sélaciens M côtiers</t>
        </is>
      </c>
      <c r="H183" t="n">
        <v>24890.753081</v>
      </c>
      <c r="I183" t="n">
        <v>79614.48761700001</v>
      </c>
      <c r="J183" t="n">
        <v>81381.47928</v>
      </c>
      <c r="K183" t="n">
        <v>42239.188212</v>
      </c>
      <c r="L183" t="n">
        <v>572933.318145</v>
      </c>
      <c r="M183" t="n">
        <v>467262.24572</v>
      </c>
      <c r="N183" t="n">
        <v>467262.24572</v>
      </c>
      <c r="O183" t="n">
        <v>19868.929187</v>
      </c>
      <c r="P183" t="n">
        <v>3376.515827</v>
      </c>
      <c r="Q183" t="n">
        <v>467262.24572</v>
      </c>
      <c r="R183" t="n">
        <v>-1116303.754354</v>
      </c>
      <c r="S183" t="n">
        <v>19868.929187</v>
      </c>
      <c r="T183" t="n">
        <v>19868.929187</v>
      </c>
      <c r="U183" t="n">
        <v>3376.515827</v>
      </c>
      <c r="V183" t="n">
        <v>30365.494796</v>
      </c>
      <c r="W183" t="n">
        <v>21789.877787</v>
      </c>
      <c r="X183" t="n">
        <v>564811.180259</v>
      </c>
      <c r="Z183" t="n">
        <v>8506.230915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1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1" t="inlineStr">
        <is>
          <t>Côtier S pred</t>
        </is>
      </c>
      <c r="H185" t="n">
        <v>3699.936691</v>
      </c>
      <c r="I185" t="n">
        <v>857.017702</v>
      </c>
      <c r="J185" t="n">
        <v>857.42359</v>
      </c>
      <c r="K185" t="n">
        <v>772.552422</v>
      </c>
      <c r="L185" t="n">
        <v>1835.839539</v>
      </c>
      <c r="M185" t="n">
        <v>1486.079117</v>
      </c>
      <c r="N185" t="n">
        <v>1486.079117</v>
      </c>
      <c r="O185" t="n">
        <v>433.878127</v>
      </c>
      <c r="P185" t="n">
        <v>113.683417</v>
      </c>
      <c r="Q185" t="n">
        <v>1486.079117</v>
      </c>
      <c r="R185" t="n">
        <v>1486.079117</v>
      </c>
      <c r="S185" t="n">
        <v>433.878127</v>
      </c>
      <c r="T185" t="n">
        <v>433.878127</v>
      </c>
      <c r="U185" t="n">
        <v>113.683417</v>
      </c>
      <c r="V185" t="n">
        <v>113.683417</v>
      </c>
      <c r="W185" t="n">
        <v>461.537577</v>
      </c>
      <c r="X185" t="n">
        <v>1572.808567</v>
      </c>
      <c r="Z185" t="n">
        <v>1523.664607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1" t="inlineStr">
        <is>
          <t>Côtier pel S inv</t>
        </is>
      </c>
      <c r="H186" t="n">
        <v>251.2254</v>
      </c>
      <c r="I186" t="n">
        <v>86.158743</v>
      </c>
      <c r="J186" t="n">
        <v>86.33787599999999</v>
      </c>
      <c r="K186" t="n">
        <v>78.06480500000001</v>
      </c>
      <c r="L186" t="n">
        <v>182.678518</v>
      </c>
      <c r="M186" t="n">
        <v>153.800234</v>
      </c>
      <c r="N186" t="n">
        <v>153.800234</v>
      </c>
      <c r="O186" t="n">
        <v>58.393946</v>
      </c>
      <c r="P186" t="n">
        <v>20.547657</v>
      </c>
      <c r="Q186" t="n">
        <v>153.800234</v>
      </c>
      <c r="R186" t="n">
        <v>153.800234</v>
      </c>
      <c r="S186" t="n">
        <v>58.393946</v>
      </c>
      <c r="T186" t="n">
        <v>58.393946</v>
      </c>
      <c r="U186" t="n">
        <v>20.547657</v>
      </c>
      <c r="V186" t="n">
        <v>20.547657</v>
      </c>
      <c r="W186" t="n">
        <v>61.340777</v>
      </c>
      <c r="X186" t="n">
        <v>159.509648</v>
      </c>
      <c r="Z186" t="n">
        <v>140.139628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1" t="inlineStr">
        <is>
          <t>Côtier pel L pred</t>
        </is>
      </c>
      <c r="H187" t="n">
        <v>8886.574375</v>
      </c>
      <c r="I187" t="n">
        <v>4351.939949</v>
      </c>
      <c r="J187" t="n">
        <v>5186.075589</v>
      </c>
      <c r="K187" t="n">
        <v>4970.359012</v>
      </c>
      <c r="L187" t="n">
        <v>14096.783373</v>
      </c>
      <c r="M187" t="n">
        <v>11411.07684</v>
      </c>
      <c r="N187" t="n">
        <v>11411.07684</v>
      </c>
      <c r="O187" t="n">
        <v>2474.877467</v>
      </c>
      <c r="P187" t="n">
        <v>525.626343</v>
      </c>
      <c r="Q187" t="n">
        <v>11411.07684</v>
      </c>
      <c r="R187" t="n">
        <v>-50759.157349</v>
      </c>
      <c r="S187" t="n">
        <v>2474.877467</v>
      </c>
      <c r="T187" t="n">
        <v>2474.877467</v>
      </c>
      <c r="U187" t="n">
        <v>525.626343</v>
      </c>
      <c r="V187" t="n">
        <v>8846.789624999999</v>
      </c>
      <c r="W187" t="n">
        <v>2645.523944</v>
      </c>
      <c r="X187" t="n">
        <v>12354.973824</v>
      </c>
      <c r="Z187" t="n">
        <v>3330.282942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1" t="inlineStr">
        <is>
          <t>Crustacés</t>
        </is>
      </c>
      <c r="H188" t="n">
        <v>141.860536</v>
      </c>
      <c r="I188" t="n">
        <v>58.609575</v>
      </c>
      <c r="J188" t="n">
        <v>58.609575</v>
      </c>
      <c r="K188" t="n">
        <v>55.679096</v>
      </c>
      <c r="L188" t="n">
        <v>135.651174</v>
      </c>
      <c r="M188" t="n">
        <v>105.8609</v>
      </c>
      <c r="N188" t="n">
        <v>105.8609</v>
      </c>
      <c r="O188" t="n">
        <v>41.041785</v>
      </c>
      <c r="P188" t="n">
        <v>14.761781</v>
      </c>
      <c r="Q188" t="n">
        <v>105.8609</v>
      </c>
      <c r="R188" t="n">
        <v>105.8609</v>
      </c>
      <c r="S188" t="n">
        <v>41.041785</v>
      </c>
      <c r="T188" t="n">
        <v>41.041785</v>
      </c>
      <c r="U188" t="n">
        <v>14.761781</v>
      </c>
      <c r="V188" t="n">
        <v>14.761781</v>
      </c>
      <c r="W188" t="n">
        <v>43.387398</v>
      </c>
      <c r="X188" t="n">
        <v>109.873168</v>
      </c>
      <c r="Z188" t="n">
        <v>83.9318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1" t="inlineStr">
        <is>
          <t>Côtier L pred | Dem M pred | Dem S inv</t>
        </is>
      </c>
      <c r="H189" t="n">
        <v>5176.442187</v>
      </c>
      <c r="I189" t="n">
        <v>3233.315136</v>
      </c>
      <c r="J189" t="n">
        <v>6116.433122</v>
      </c>
      <c r="K189" t="n">
        <v>5294.952834</v>
      </c>
      <c r="L189" t="n">
        <v>18478.180011</v>
      </c>
      <c r="M189" t="n">
        <v>14944.128975</v>
      </c>
      <c r="N189" t="n">
        <v>14944.128975</v>
      </c>
      <c r="O189" t="n">
        <v>2437.12822</v>
      </c>
      <c r="P189" t="n">
        <v>513.3100910000001</v>
      </c>
      <c r="Q189" t="n">
        <v>14944.128975</v>
      </c>
      <c r="R189" t="n">
        <v>-71890.360891</v>
      </c>
      <c r="S189" t="n">
        <v>2437.12822</v>
      </c>
      <c r="T189" t="n">
        <v>2437.12822</v>
      </c>
      <c r="U189" t="n">
        <v>513.3100910000001</v>
      </c>
      <c r="V189" t="n">
        <v>13132.468922</v>
      </c>
      <c r="W189" t="n">
        <v>2584.099589</v>
      </c>
      <c r="X189" t="n">
        <v>16108.894344</v>
      </c>
      <c r="Z189" t="n">
        <v>2059.492079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1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1" t="inlineStr">
        <is>
          <t>Bathy SM inv | Dem M inv | Dem M pred</t>
        </is>
      </c>
      <c r="H191" t="n">
        <v>635.391082</v>
      </c>
      <c r="I191" t="n">
        <v>513.806853</v>
      </c>
      <c r="J191" t="n">
        <v>513.949111</v>
      </c>
      <c r="K191" t="n">
        <v>488.251655</v>
      </c>
      <c r="L191" t="n">
        <v>1083.363271</v>
      </c>
      <c r="M191" t="n">
        <v>842.408459</v>
      </c>
      <c r="N191" t="n">
        <v>842.408459</v>
      </c>
      <c r="O191" t="n">
        <v>305.29777</v>
      </c>
      <c r="P191" t="n">
        <v>99.085024</v>
      </c>
      <c r="Q191" t="n">
        <v>842.408459</v>
      </c>
      <c r="R191" t="n">
        <v>842.408459</v>
      </c>
      <c r="S191" t="n">
        <v>305.29777</v>
      </c>
      <c r="T191" t="n">
        <v>305.29777</v>
      </c>
      <c r="U191" t="n">
        <v>99.085024</v>
      </c>
      <c r="V191" t="n">
        <v>99.085024</v>
      </c>
      <c r="W191" t="n">
        <v>322.937382</v>
      </c>
      <c r="X191" t="n">
        <v>895.011767</v>
      </c>
      <c r="Z191" t="n">
        <v>301.782148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1" t="inlineStr">
        <is>
          <t>Côtier L pred | Côtier M pred</t>
        </is>
      </c>
      <c r="H192" t="n">
        <v>5244.279357</v>
      </c>
      <c r="I192" t="n">
        <v>3323.103139</v>
      </c>
      <c r="J192" t="n">
        <v>6358.003824</v>
      </c>
      <c r="K192" t="n">
        <v>5497.280931</v>
      </c>
      <c r="L192" t="n">
        <v>19277.16914</v>
      </c>
      <c r="M192" t="n">
        <v>15592.97118</v>
      </c>
      <c r="N192" t="n">
        <v>15592.97118</v>
      </c>
      <c r="O192" t="n">
        <v>2522.015842</v>
      </c>
      <c r="P192" t="n">
        <v>528.892366</v>
      </c>
      <c r="Q192" t="n">
        <v>15592.97118</v>
      </c>
      <c r="R192" t="n">
        <v>-75853.37662900001</v>
      </c>
      <c r="S192" t="n">
        <v>2522.015842</v>
      </c>
      <c r="T192" t="n">
        <v>2522.015842</v>
      </c>
      <c r="U192" t="n">
        <v>528.892366</v>
      </c>
      <c r="V192" t="n">
        <v>13817.820137</v>
      </c>
      <c r="W192" t="n">
        <v>2674.099021</v>
      </c>
      <c r="X192" t="n">
        <v>16810.184951</v>
      </c>
      <c r="Z192" t="n">
        <v>2083.141053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1" t="inlineStr">
        <is>
          <t>Crustacés</t>
        </is>
      </c>
      <c r="H193" t="n">
        <v>141.860536</v>
      </c>
      <c r="I193" t="n">
        <v>58.609575</v>
      </c>
      <c r="J193" t="n">
        <v>58.609575</v>
      </c>
      <c r="K193" t="n">
        <v>55.679096</v>
      </c>
      <c r="L193" t="n">
        <v>135.651174</v>
      </c>
      <c r="M193" t="n">
        <v>105.8609</v>
      </c>
      <c r="N193" t="n">
        <v>105.8609</v>
      </c>
      <c r="O193" t="n">
        <v>41.041785</v>
      </c>
      <c r="P193" t="n">
        <v>14.761781</v>
      </c>
      <c r="Q193" t="n">
        <v>105.8609</v>
      </c>
      <c r="R193" t="n">
        <v>105.8609</v>
      </c>
      <c r="S193" t="n">
        <v>41.041785</v>
      </c>
      <c r="T193" t="n">
        <v>41.041785</v>
      </c>
      <c r="U193" t="n">
        <v>14.761781</v>
      </c>
      <c r="V193" t="n">
        <v>14.761781</v>
      </c>
      <c r="W193" t="n">
        <v>43.387398</v>
      </c>
      <c r="X193" t="n">
        <v>109.873168</v>
      </c>
      <c r="Z193" t="n">
        <v>83.9318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1" t="inlineStr">
        <is>
          <t>Côtier pel L pred</t>
        </is>
      </c>
      <c r="H194" t="n">
        <v>8886.574375</v>
      </c>
      <c r="I194" t="n">
        <v>4351.939949</v>
      </c>
      <c r="J194" t="n">
        <v>5186.075589</v>
      </c>
      <c r="K194" t="n">
        <v>4970.359012</v>
      </c>
      <c r="L194" t="n">
        <v>14096.783373</v>
      </c>
      <c r="M194" t="n">
        <v>11411.07684</v>
      </c>
      <c r="N194" t="n">
        <v>11411.07684</v>
      </c>
      <c r="O194" t="n">
        <v>2474.877467</v>
      </c>
      <c r="P194" t="n">
        <v>525.626343</v>
      </c>
      <c r="Q194" t="n">
        <v>11411.07684</v>
      </c>
      <c r="R194" t="n">
        <v>-50759.157349</v>
      </c>
      <c r="S194" t="n">
        <v>2474.877467</v>
      </c>
      <c r="T194" t="n">
        <v>2474.877467</v>
      </c>
      <c r="U194" t="n">
        <v>525.626343</v>
      </c>
      <c r="V194" t="n">
        <v>8846.789624999999</v>
      </c>
      <c r="W194" t="n">
        <v>2645.523944</v>
      </c>
      <c r="X194" t="n">
        <v>12354.973824</v>
      </c>
      <c r="Z194" t="n">
        <v>3330.282942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1" t="inlineStr">
        <is>
          <t>Côtier M inv</t>
        </is>
      </c>
      <c r="H195" t="n">
        <v>398.168364</v>
      </c>
      <c r="I195" t="n">
        <v>199.191645</v>
      </c>
      <c r="J195" t="n">
        <v>199.191645</v>
      </c>
      <c r="K195" t="n">
        <v>198.220844</v>
      </c>
      <c r="L195" t="n">
        <v>425.732264</v>
      </c>
      <c r="M195" t="n">
        <v>328.010307</v>
      </c>
      <c r="N195" t="n">
        <v>328.010307</v>
      </c>
      <c r="O195" t="n">
        <v>128.891308</v>
      </c>
      <c r="P195" t="n">
        <v>43.202194</v>
      </c>
      <c r="Q195" t="n">
        <v>328.010307</v>
      </c>
      <c r="R195" t="n">
        <v>328.010307</v>
      </c>
      <c r="S195" t="n">
        <v>128.891308</v>
      </c>
      <c r="T195" t="n">
        <v>128.891308</v>
      </c>
      <c r="U195" t="n">
        <v>43.202194</v>
      </c>
      <c r="V195" t="n">
        <v>43.202194</v>
      </c>
      <c r="W195" t="n">
        <v>135.841405</v>
      </c>
      <c r="X195" t="n">
        <v>344.665099</v>
      </c>
      <c r="Z195" t="n">
        <v>208.50974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1" t="inlineStr">
        <is>
          <t>Sélaciens L prof</t>
        </is>
      </c>
      <c r="H196" t="n">
        <v>25677.887496</v>
      </c>
      <c r="I196" t="n">
        <v>85025.569393</v>
      </c>
      <c r="J196" t="n">
        <v>87655.49026999999</v>
      </c>
      <c r="K196" t="n">
        <v>43827.745135</v>
      </c>
      <c r="L196" t="n">
        <v>630806.17817</v>
      </c>
      <c r="M196" t="n">
        <v>514481.410387</v>
      </c>
      <c r="N196" t="n">
        <v>514481.410387</v>
      </c>
      <c r="O196" t="n">
        <v>21093.289073</v>
      </c>
      <c r="P196" t="n">
        <v>3573.574556</v>
      </c>
      <c r="Q196" t="n">
        <v>514481.410387</v>
      </c>
      <c r="R196" t="n">
        <v>-1228387.275522</v>
      </c>
      <c r="S196" t="n">
        <v>21093.289073</v>
      </c>
      <c r="T196" t="n">
        <v>21093.289073</v>
      </c>
      <c r="U196" t="n">
        <v>3573.574556</v>
      </c>
      <c r="V196" t="n">
        <v>31482.800712</v>
      </c>
      <c r="W196" t="n">
        <v>23157.185683</v>
      </c>
      <c r="X196" t="n">
        <v>623084.058893</v>
      </c>
      <c r="Z196" t="n">
        <v>8771.288941999999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1" t="inlineStr">
        <is>
          <t>Dem S inv</t>
        </is>
      </c>
      <c r="H197" t="n">
        <v>131.085232</v>
      </c>
      <c r="I197" t="n">
        <v>200.277881</v>
      </c>
      <c r="J197" t="n">
        <v>200.277881</v>
      </c>
      <c r="K197" t="n">
        <v>190.263987</v>
      </c>
      <c r="L197" t="n">
        <v>430.111455</v>
      </c>
      <c r="M197" t="n">
        <v>320.708977</v>
      </c>
      <c r="N197" t="n">
        <v>320.708977</v>
      </c>
      <c r="O197" t="n">
        <v>118.949565</v>
      </c>
      <c r="P197" t="n">
        <v>43.617251</v>
      </c>
      <c r="Q197" t="n">
        <v>320.708977</v>
      </c>
      <c r="R197" t="n">
        <v>320.708977</v>
      </c>
      <c r="S197" t="n">
        <v>118.949565</v>
      </c>
      <c r="T197" t="n">
        <v>118.949565</v>
      </c>
      <c r="U197" t="n">
        <v>43.617251</v>
      </c>
      <c r="V197" t="n">
        <v>43.617251</v>
      </c>
      <c r="W197" t="n">
        <v>124.616095</v>
      </c>
      <c r="X197" t="n">
        <v>336.017374</v>
      </c>
      <c r="Z197" t="n">
        <v>76.709686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1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1" t="inlineStr">
        <is>
          <t>Côtier M inv</t>
        </is>
      </c>
      <c r="H199" t="n">
        <v>398.168364</v>
      </c>
      <c r="I199" t="n">
        <v>199.191645</v>
      </c>
      <c r="J199" t="n">
        <v>199.191645</v>
      </c>
      <c r="K199" t="n">
        <v>198.220844</v>
      </c>
      <c r="L199" t="n">
        <v>425.732264</v>
      </c>
      <c r="M199" t="n">
        <v>328.010307</v>
      </c>
      <c r="N199" t="n">
        <v>328.010307</v>
      </c>
      <c r="O199" t="n">
        <v>128.891308</v>
      </c>
      <c r="P199" t="n">
        <v>43.202194</v>
      </c>
      <c r="Q199" t="n">
        <v>328.010307</v>
      </c>
      <c r="R199" t="n">
        <v>328.010307</v>
      </c>
      <c r="S199" t="n">
        <v>128.891308</v>
      </c>
      <c r="T199" t="n">
        <v>128.891308</v>
      </c>
      <c r="U199" t="n">
        <v>43.202194</v>
      </c>
      <c r="V199" t="n">
        <v>43.202194</v>
      </c>
      <c r="W199" t="n">
        <v>135.841405</v>
      </c>
      <c r="X199" t="n">
        <v>344.665099</v>
      </c>
      <c r="Z199" t="n">
        <v>208.50974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Thons majeurs</t>
        </is>
      </c>
      <c r="H200" t="n">
        <v>13661.710452</v>
      </c>
      <c r="I200" t="n">
        <v>5828.690682</v>
      </c>
      <c r="J200" t="n">
        <v>6055.352519</v>
      </c>
      <c r="K200" t="n">
        <v>3027.67626</v>
      </c>
      <c r="L200" t="n">
        <v>13559.408277</v>
      </c>
      <c r="M200" t="n">
        <v>11074.090097</v>
      </c>
      <c r="N200" t="n">
        <v>11074.090097</v>
      </c>
      <c r="O200" t="n">
        <v>1497.448606</v>
      </c>
      <c r="P200" t="n">
        <v>329.433681</v>
      </c>
      <c r="Q200" t="n">
        <v>11074.090097</v>
      </c>
      <c r="R200" t="n">
        <v>-31133.885537</v>
      </c>
      <c r="S200" t="n">
        <v>1497.448606</v>
      </c>
      <c r="T200" t="n">
        <v>1497.448606</v>
      </c>
      <c r="U200" t="n">
        <v>329.433681</v>
      </c>
      <c r="V200" t="n">
        <v>2167.379541</v>
      </c>
      <c r="W200" t="n">
        <v>1598.647747</v>
      </c>
      <c r="X200" t="n">
        <v>12125.414105</v>
      </c>
      <c r="Z200" t="n">
        <v>5199.941547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1" t="inlineStr">
        <is>
          <t>Côtier pel L pred</t>
        </is>
      </c>
      <c r="H201" t="n">
        <v>8886.574375</v>
      </c>
      <c r="I201" t="n">
        <v>4351.939949</v>
      </c>
      <c r="J201" t="n">
        <v>5186.075589</v>
      </c>
      <c r="K201" t="n">
        <v>4970.359012</v>
      </c>
      <c r="L201" t="n">
        <v>14096.783373</v>
      </c>
      <c r="M201" t="n">
        <v>11411.07684</v>
      </c>
      <c r="N201" t="n">
        <v>11411.07684</v>
      </c>
      <c r="O201" t="n">
        <v>2474.877467</v>
      </c>
      <c r="P201" t="n">
        <v>525.626343</v>
      </c>
      <c r="Q201" t="n">
        <v>11411.07684</v>
      </c>
      <c r="R201" t="n">
        <v>-50759.157349</v>
      </c>
      <c r="S201" t="n">
        <v>2474.877467</v>
      </c>
      <c r="T201" t="n">
        <v>2474.877467</v>
      </c>
      <c r="U201" t="n">
        <v>525.626343</v>
      </c>
      <c r="V201" t="n">
        <v>8846.789624999999</v>
      </c>
      <c r="W201" t="n">
        <v>2645.523944</v>
      </c>
      <c r="X201" t="n">
        <v>12354.973824</v>
      </c>
      <c r="Z201" t="n">
        <v>3330.282942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1" t="inlineStr">
        <is>
          <t>Dem L pred</t>
        </is>
      </c>
      <c r="H202" t="n">
        <v>6647.368802</v>
      </c>
      <c r="I202" t="n">
        <v>4415.463105</v>
      </c>
      <c r="J202" t="n">
        <v>4454.682261</v>
      </c>
      <c r="K202" t="n">
        <v>3753.374229</v>
      </c>
      <c r="L202" t="n">
        <v>11046.457304</v>
      </c>
      <c r="M202" t="n">
        <v>8839.250757</v>
      </c>
      <c r="N202" t="n">
        <v>8839.250757</v>
      </c>
      <c r="O202" t="n">
        <v>2210.08062</v>
      </c>
      <c r="P202" t="n">
        <v>502.733116</v>
      </c>
      <c r="Q202" t="n">
        <v>8839.250757</v>
      </c>
      <c r="R202" t="n">
        <v>8839.250757</v>
      </c>
      <c r="S202" t="n">
        <v>2210.08062</v>
      </c>
      <c r="T202" t="n">
        <v>2210.08062</v>
      </c>
      <c r="U202" t="n">
        <v>502.733116</v>
      </c>
      <c r="V202" t="n">
        <v>502.733116</v>
      </c>
      <c r="W202" t="n">
        <v>2393.190154</v>
      </c>
      <c r="X202" t="n">
        <v>9644.19414</v>
      </c>
      <c r="Z202" t="n">
        <v>2496.813504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1" t="inlineStr">
        <is>
          <t>Dem L pred</t>
        </is>
      </c>
      <c r="H203" t="n">
        <v>6647.368802</v>
      </c>
      <c r="I203" t="n">
        <v>4415.463105</v>
      </c>
      <c r="J203" t="n">
        <v>4454.682261</v>
      </c>
      <c r="K203" t="n">
        <v>3753.374229</v>
      </c>
      <c r="L203" t="n">
        <v>11046.457304</v>
      </c>
      <c r="M203" t="n">
        <v>8839.250757</v>
      </c>
      <c r="N203" t="n">
        <v>8839.250757</v>
      </c>
      <c r="O203" t="n">
        <v>2210.08062</v>
      </c>
      <c r="P203" t="n">
        <v>502.733116</v>
      </c>
      <c r="Q203" t="n">
        <v>8839.250757</v>
      </c>
      <c r="R203" t="n">
        <v>8839.250757</v>
      </c>
      <c r="S203" t="n">
        <v>2210.08062</v>
      </c>
      <c r="T203" t="n">
        <v>2210.08062</v>
      </c>
      <c r="U203" t="n">
        <v>502.733116</v>
      </c>
      <c r="V203" t="n">
        <v>502.733116</v>
      </c>
      <c r="W203" t="n">
        <v>2393.190154</v>
      </c>
      <c r="X203" t="n">
        <v>9644.19414</v>
      </c>
      <c r="Z203" t="n">
        <v>2496.813504</v>
      </c>
    </row>
    <row r="204" ht="21" customHeight="1">
      <c r="A204" t="inlineStr">
        <is>
          <t>Abudefduf</t>
        </is>
      </c>
      <c r="D204" s="11" t="inlineStr">
        <is>
          <t>Côtier S inv</t>
        </is>
      </c>
      <c r="H204" t="n">
        <v>269.022913</v>
      </c>
      <c r="I204" t="n">
        <v>143.357993</v>
      </c>
      <c r="J204" t="n">
        <v>143.744849</v>
      </c>
      <c r="K204" t="n">
        <v>140.09455</v>
      </c>
      <c r="L204" t="n">
        <v>302.43669</v>
      </c>
      <c r="M204" t="n">
        <v>237.484146</v>
      </c>
      <c r="N204" t="n">
        <v>237.484146</v>
      </c>
      <c r="O204" t="n">
        <v>92.381467</v>
      </c>
      <c r="P204" t="n">
        <v>32.138237</v>
      </c>
      <c r="Q204" t="n">
        <v>237.484146</v>
      </c>
      <c r="R204" t="n">
        <v>237.484146</v>
      </c>
      <c r="S204" t="n">
        <v>92.381467</v>
      </c>
      <c r="T204" t="n">
        <v>92.381467</v>
      </c>
      <c r="U204" t="n">
        <v>32.138237</v>
      </c>
      <c r="V204" t="n">
        <v>32.138237</v>
      </c>
      <c r="W204" t="n">
        <v>96.991221</v>
      </c>
      <c r="X204" t="n">
        <v>248.321196</v>
      </c>
      <c r="Z204" t="n">
        <v>141.325989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1" t="inlineStr">
        <is>
          <t>Dem M pred</t>
        </is>
      </c>
      <c r="H205" t="n">
        <v>4156.715712</v>
      </c>
      <c r="I205" t="n">
        <v>1627.447794</v>
      </c>
      <c r="J205" t="n">
        <v>1629.386931</v>
      </c>
      <c r="K205" t="n">
        <v>1547.917585</v>
      </c>
      <c r="L205" t="n">
        <v>3524.148314</v>
      </c>
      <c r="M205" t="n">
        <v>2797.906815</v>
      </c>
      <c r="N205" t="n">
        <v>2797.906815</v>
      </c>
      <c r="O205" t="n">
        <v>878.433987</v>
      </c>
      <c r="P205" t="n">
        <v>230.471022</v>
      </c>
      <c r="Q205" t="n">
        <v>2797.906815</v>
      </c>
      <c r="R205" t="n">
        <v>2797.906815</v>
      </c>
      <c r="S205" t="n">
        <v>878.433987</v>
      </c>
      <c r="T205" t="n">
        <v>878.433987</v>
      </c>
      <c r="U205" t="n">
        <v>230.471022</v>
      </c>
      <c r="V205" t="n">
        <v>230.471022</v>
      </c>
      <c r="W205" t="n">
        <v>931.682324</v>
      </c>
      <c r="X205" t="n">
        <v>2978.125002</v>
      </c>
      <c r="Z205" t="n">
        <v>1719.622412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1" t="inlineStr">
        <is>
          <t>Céphalopodes</t>
        </is>
      </c>
      <c r="H206" t="n">
        <v>2209.641323</v>
      </c>
      <c r="I206" t="n">
        <v>533.937243</v>
      </c>
      <c r="J206" t="n">
        <v>533.937243</v>
      </c>
      <c r="K206" t="n">
        <v>507.240381</v>
      </c>
      <c r="L206" t="n">
        <v>1169.060818</v>
      </c>
      <c r="M206" t="n">
        <v>955.905028</v>
      </c>
      <c r="N206" t="n">
        <v>955.905028</v>
      </c>
      <c r="O206" t="n">
        <v>259.897575</v>
      </c>
      <c r="P206" t="n">
        <v>71.4718</v>
      </c>
      <c r="Q206" t="n">
        <v>955.905028</v>
      </c>
      <c r="R206" t="n">
        <v>955.905028</v>
      </c>
      <c r="S206" t="n">
        <v>259.897575</v>
      </c>
      <c r="T206" t="n">
        <v>259.897575</v>
      </c>
      <c r="U206" t="n">
        <v>71.4718</v>
      </c>
      <c r="V206" t="n">
        <v>71.4718</v>
      </c>
      <c r="W206" t="n">
        <v>275.401339</v>
      </c>
      <c r="X206" t="n">
        <v>1017.651066</v>
      </c>
      <c r="Z206" t="n">
        <v>1022.837477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1" t="inlineStr">
        <is>
          <t>Dem M inv</t>
        </is>
      </c>
      <c r="H207" t="n">
        <v>356.610478</v>
      </c>
      <c r="I207" t="n">
        <v>425.640743</v>
      </c>
      <c r="J207" t="n">
        <v>425.640743</v>
      </c>
      <c r="K207" t="n">
        <v>404.358706</v>
      </c>
      <c r="L207" t="n">
        <v>890.128168</v>
      </c>
      <c r="M207" t="n">
        <v>687.593135</v>
      </c>
      <c r="N207" t="n">
        <v>687.593135</v>
      </c>
      <c r="O207" t="n">
        <v>259.92301</v>
      </c>
      <c r="P207" t="n">
        <v>88.683295</v>
      </c>
      <c r="Q207" t="n">
        <v>687.593135</v>
      </c>
      <c r="R207" t="n">
        <v>687.593135</v>
      </c>
      <c r="S207" t="n">
        <v>259.92301</v>
      </c>
      <c r="T207" t="n">
        <v>259.92301</v>
      </c>
      <c r="U207" t="n">
        <v>88.683295</v>
      </c>
      <c r="V207" t="n">
        <v>88.683295</v>
      </c>
      <c r="W207" t="n">
        <v>274.743506</v>
      </c>
      <c r="X207" t="n">
        <v>730.09327</v>
      </c>
      <c r="Z207" t="n">
        <v>189.532809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1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1" t="inlineStr">
        <is>
          <t>Sélaciens L côtiers</t>
        </is>
      </c>
      <c r="H209" t="n">
        <v>19687.630586</v>
      </c>
      <c r="I209" t="n">
        <v>40848.675363</v>
      </c>
      <c r="J209" t="n">
        <v>35723.536302</v>
      </c>
      <c r="K209" t="n">
        <v>32001.935703</v>
      </c>
      <c r="L209" t="n">
        <v>144842.06399</v>
      </c>
      <c r="M209" t="n">
        <v>117973.029689</v>
      </c>
      <c r="N209" t="n">
        <v>117973.029689</v>
      </c>
      <c r="O209" t="n">
        <v>11190.890574</v>
      </c>
      <c r="P209" t="n">
        <v>1980.195061</v>
      </c>
      <c r="Q209" t="n">
        <v>117973.029689</v>
      </c>
      <c r="R209" t="n">
        <v>-284142.724554</v>
      </c>
      <c r="S209" t="n">
        <v>11190.890574</v>
      </c>
      <c r="T209" t="n">
        <v>11190.890574</v>
      </c>
      <c r="U209" t="n">
        <v>1980.195061</v>
      </c>
      <c r="V209" t="n">
        <v>22930.423898</v>
      </c>
      <c r="W209" t="n">
        <v>12078.751403</v>
      </c>
      <c r="X209" t="n">
        <v>133154.369612</v>
      </c>
      <c r="Z209" t="n">
        <v>6739.706423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1" t="inlineStr">
        <is>
          <t>Bathy L pred</t>
        </is>
      </c>
      <c r="H210" t="n">
        <v>5440.782564</v>
      </c>
      <c r="I210" t="n">
        <v>2144.122371</v>
      </c>
      <c r="J210" t="n">
        <v>2185.752574</v>
      </c>
      <c r="K210" t="n">
        <v>2076.464946</v>
      </c>
      <c r="L210" t="n">
        <v>5058.397662</v>
      </c>
      <c r="M210" t="n">
        <v>4163.217987</v>
      </c>
      <c r="N210" t="n">
        <v>4163.217987</v>
      </c>
      <c r="O210" t="n">
        <v>1003.279957</v>
      </c>
      <c r="P210" t="n">
        <v>236.286265</v>
      </c>
      <c r="Q210" t="n">
        <v>4163.217987</v>
      </c>
      <c r="R210" t="n">
        <v>4163.217987</v>
      </c>
      <c r="S210" t="n">
        <v>1003.279957</v>
      </c>
      <c r="T210" t="n">
        <v>1003.279957</v>
      </c>
      <c r="U210" t="n">
        <v>236.286265</v>
      </c>
      <c r="V210" t="n">
        <v>236.286265</v>
      </c>
      <c r="W210" t="n">
        <v>1084.214763</v>
      </c>
      <c r="X210" t="n">
        <v>4425.550085</v>
      </c>
      <c r="Z210" t="n">
        <v>2201.333705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1" t="inlineStr">
        <is>
          <t>Thons majeurs</t>
        </is>
      </c>
      <c r="H211" t="n">
        <v>13661.710452</v>
      </c>
      <c r="I211" t="n">
        <v>5828.690682</v>
      </c>
      <c r="J211" t="n">
        <v>6055.352519</v>
      </c>
      <c r="K211" t="n">
        <v>3027.67626</v>
      </c>
      <c r="L211" t="n">
        <v>13559.408277</v>
      </c>
      <c r="M211" t="n">
        <v>11074.090097</v>
      </c>
      <c r="N211" t="n">
        <v>11074.090097</v>
      </c>
      <c r="O211" t="n">
        <v>1497.448606</v>
      </c>
      <c r="P211" t="n">
        <v>329.433681</v>
      </c>
      <c r="Q211" t="n">
        <v>11074.090097</v>
      </c>
      <c r="R211" t="n">
        <v>-31133.885537</v>
      </c>
      <c r="S211" t="n">
        <v>1497.448606</v>
      </c>
      <c r="T211" t="n">
        <v>1497.448606</v>
      </c>
      <c r="U211" t="n">
        <v>329.433681</v>
      </c>
      <c r="V211" t="n">
        <v>2167.379541</v>
      </c>
      <c r="W211" t="n">
        <v>1598.647747</v>
      </c>
      <c r="X211" t="n">
        <v>12125.414105</v>
      </c>
      <c r="Z211" t="n">
        <v>5199.941547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1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1" t="inlineStr">
        <is>
          <t>Sélaciens L prof | Sélaciens L côtiers | Sélaciens M prof | Sélaciens M côtiers</t>
        </is>
      </c>
      <c r="H213" t="n">
        <v>22678.222507</v>
      </c>
      <c r="I213" t="n">
        <v>69409.89028599999</v>
      </c>
      <c r="J213" t="n">
        <v>70929.426362</v>
      </c>
      <c r="K213" t="n">
        <v>36747.136381</v>
      </c>
      <c r="L213" t="n">
        <v>481963.79536</v>
      </c>
      <c r="M213" t="n">
        <v>393067.068189</v>
      </c>
      <c r="N213" t="n">
        <v>393067.068189</v>
      </c>
      <c r="O213" t="n">
        <v>17269.240896</v>
      </c>
      <c r="P213" t="n">
        <v>2983.185741</v>
      </c>
      <c r="Q213" t="n">
        <v>393067.068189</v>
      </c>
      <c r="R213" t="n">
        <v>-918440.342301</v>
      </c>
      <c r="S213" t="n">
        <v>17269.240896</v>
      </c>
      <c r="T213" t="n">
        <v>17269.240896</v>
      </c>
      <c r="U213" t="n">
        <v>2983.185741</v>
      </c>
      <c r="V213" t="n">
        <v>25335.424876</v>
      </c>
      <c r="W213" t="n">
        <v>18937.636187</v>
      </c>
      <c r="X213" t="n">
        <v>474348.977392</v>
      </c>
      <c r="Z213" t="n">
        <v>7840.330409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1" t="inlineStr">
        <is>
          <t>Côtier pel L pred</t>
        </is>
      </c>
      <c r="H214" t="n">
        <v>8886.574375</v>
      </c>
      <c r="I214" t="n">
        <v>4351.939949</v>
      </c>
      <c r="J214" t="n">
        <v>5186.075589</v>
      </c>
      <c r="K214" t="n">
        <v>4970.359012</v>
      </c>
      <c r="L214" t="n">
        <v>14096.783373</v>
      </c>
      <c r="M214" t="n">
        <v>11411.07684</v>
      </c>
      <c r="N214" t="n">
        <v>11411.07684</v>
      </c>
      <c r="O214" t="n">
        <v>2474.877467</v>
      </c>
      <c r="P214" t="n">
        <v>525.626343</v>
      </c>
      <c r="Q214" t="n">
        <v>11411.07684</v>
      </c>
      <c r="R214" t="n">
        <v>-50759.157349</v>
      </c>
      <c r="S214" t="n">
        <v>2474.877467</v>
      </c>
      <c r="T214" t="n">
        <v>2474.877467</v>
      </c>
      <c r="U214" t="n">
        <v>525.626343</v>
      </c>
      <c r="V214" t="n">
        <v>8846.789624999999</v>
      </c>
      <c r="W214" t="n">
        <v>2645.523944</v>
      </c>
      <c r="X214" t="n">
        <v>12354.973824</v>
      </c>
      <c r="Z214" t="n">
        <v>3330.282942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1" t="inlineStr">
        <is>
          <t>Sélaciens L côtiers | Sélaciens M côtiers</t>
        </is>
      </c>
      <c r="H215" t="n">
        <v>18963.281429</v>
      </c>
      <c r="I215" t="n">
        <v>38866.639201</v>
      </c>
      <c r="J215" t="n">
        <v>34135.390732</v>
      </c>
      <c r="K215" t="n">
        <v>30276.649229</v>
      </c>
      <c r="L215" t="n">
        <v>137124.985345</v>
      </c>
      <c r="M215" t="n">
        <v>111680.969443</v>
      </c>
      <c r="N215" t="n">
        <v>111680.969443</v>
      </c>
      <c r="O215" t="n">
        <v>10648.955601</v>
      </c>
      <c r="P215" t="n">
        <v>1892.576101</v>
      </c>
      <c r="Q215" t="n">
        <v>111680.969443</v>
      </c>
      <c r="R215" t="n">
        <v>-272265.072434</v>
      </c>
      <c r="S215" t="n">
        <v>10648.955601</v>
      </c>
      <c r="T215" t="n">
        <v>10648.955601</v>
      </c>
      <c r="U215" t="n">
        <v>1892.576101</v>
      </c>
      <c r="V215" t="n">
        <v>21951.685141</v>
      </c>
      <c r="W215" t="n">
        <v>11493.442214</v>
      </c>
      <c r="X215" t="n">
        <v>125990.52972</v>
      </c>
      <c r="Z215" t="n">
        <v>6510.226275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1" t="inlineStr">
        <is>
          <t>Bathy L pred | Dem M pred</t>
        </is>
      </c>
      <c r="H216" t="n">
        <v>4263.82842</v>
      </c>
      <c r="I216" t="n">
        <v>1670.547118</v>
      </c>
      <c r="J216" t="n">
        <v>1675.797155</v>
      </c>
      <c r="K216" t="n">
        <v>1592.007298</v>
      </c>
      <c r="L216" t="n">
        <v>3652.130437</v>
      </c>
      <c r="M216" t="n">
        <v>2911.796661</v>
      </c>
      <c r="N216" t="n">
        <v>2911.796661</v>
      </c>
      <c r="O216" t="n">
        <v>888.848235</v>
      </c>
      <c r="P216" t="n">
        <v>230.956111</v>
      </c>
      <c r="Q216" t="n">
        <v>2911.796661</v>
      </c>
      <c r="R216" t="n">
        <v>2911.796661</v>
      </c>
      <c r="S216" t="n">
        <v>888.848235</v>
      </c>
      <c r="T216" t="n">
        <v>888.848235</v>
      </c>
      <c r="U216" t="n">
        <v>230.956111</v>
      </c>
      <c r="V216" t="n">
        <v>230.956111</v>
      </c>
      <c r="W216" t="n">
        <v>944.406087</v>
      </c>
      <c r="X216" t="n">
        <v>3098.864526</v>
      </c>
      <c r="Z216" t="n">
        <v>1759.805211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1" t="inlineStr">
        <is>
          <t>Thons majeurs</t>
        </is>
      </c>
      <c r="H217" t="n">
        <v>13661.710452</v>
      </c>
      <c r="I217" t="n">
        <v>5828.690682</v>
      </c>
      <c r="J217" t="n">
        <v>6055.352519</v>
      </c>
      <c r="K217" t="n">
        <v>3027.67626</v>
      </c>
      <c r="L217" t="n">
        <v>13559.408277</v>
      </c>
      <c r="M217" t="n">
        <v>11074.090097</v>
      </c>
      <c r="N217" t="n">
        <v>11074.090097</v>
      </c>
      <c r="O217" t="n">
        <v>1497.448606</v>
      </c>
      <c r="P217" t="n">
        <v>329.433681</v>
      </c>
      <c r="Q217" t="n">
        <v>11074.090097</v>
      </c>
      <c r="R217" t="n">
        <v>-31133.885537</v>
      </c>
      <c r="S217" t="n">
        <v>1497.448606</v>
      </c>
      <c r="T217" t="n">
        <v>1497.448606</v>
      </c>
      <c r="U217" t="n">
        <v>329.433681</v>
      </c>
      <c r="V217" t="n">
        <v>2167.379541</v>
      </c>
      <c r="W217" t="n">
        <v>1598.647747</v>
      </c>
      <c r="X217" t="n">
        <v>12125.414105</v>
      </c>
      <c r="Z217" t="n">
        <v>5199.941547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1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1" t="inlineStr">
        <is>
          <t>Dem L pred</t>
        </is>
      </c>
      <c r="H219" t="n">
        <v>6647.368802</v>
      </c>
      <c r="I219" t="n">
        <v>4415.463105</v>
      </c>
      <c r="J219" t="n">
        <v>4454.682261</v>
      </c>
      <c r="K219" t="n">
        <v>3753.374229</v>
      </c>
      <c r="L219" t="n">
        <v>11046.457304</v>
      </c>
      <c r="M219" t="n">
        <v>8839.250757</v>
      </c>
      <c r="N219" t="n">
        <v>8839.250757</v>
      </c>
      <c r="O219" t="n">
        <v>2210.08062</v>
      </c>
      <c r="P219" t="n">
        <v>502.733116</v>
      </c>
      <c r="Q219" t="n">
        <v>8839.250757</v>
      </c>
      <c r="R219" t="n">
        <v>8839.250757</v>
      </c>
      <c r="S219" t="n">
        <v>2210.08062</v>
      </c>
      <c r="T219" t="n">
        <v>2210.08062</v>
      </c>
      <c r="U219" t="n">
        <v>502.733116</v>
      </c>
      <c r="V219" t="n">
        <v>502.733116</v>
      </c>
      <c r="W219" t="n">
        <v>2393.190154</v>
      </c>
      <c r="X219" t="n">
        <v>9644.19414</v>
      </c>
      <c r="Z219" t="n">
        <v>2496.813504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1" t="inlineStr">
        <is>
          <t>Céphalopodes</t>
        </is>
      </c>
      <c r="H220" t="n">
        <v>2209.641323</v>
      </c>
      <c r="I220" t="n">
        <v>533.937243</v>
      </c>
      <c r="J220" t="n">
        <v>533.937243</v>
      </c>
      <c r="K220" t="n">
        <v>507.240381</v>
      </c>
      <c r="L220" t="n">
        <v>1169.060818</v>
      </c>
      <c r="M220" t="n">
        <v>955.905028</v>
      </c>
      <c r="N220" t="n">
        <v>955.905028</v>
      </c>
      <c r="O220" t="n">
        <v>259.897575</v>
      </c>
      <c r="P220" t="n">
        <v>71.4718</v>
      </c>
      <c r="Q220" t="n">
        <v>955.905028</v>
      </c>
      <c r="R220" t="n">
        <v>955.905028</v>
      </c>
      <c r="S220" t="n">
        <v>259.897575</v>
      </c>
      <c r="T220" t="n">
        <v>259.897575</v>
      </c>
      <c r="U220" t="n">
        <v>71.4718</v>
      </c>
      <c r="V220" t="n">
        <v>71.4718</v>
      </c>
      <c r="W220" t="n">
        <v>275.401339</v>
      </c>
      <c r="X220" t="n">
        <v>1017.651066</v>
      </c>
      <c r="Z220" t="n">
        <v>1022.837477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1" t="inlineStr">
        <is>
          <t>Côtier L pred | Côtier M pred | Côtier M inv | Côtier S pred | Côtier S inv | Dem L pred | Dem L inv | Dem M pred | Dem M inv | Dem S pred | Dem S inv</t>
        </is>
      </c>
      <c r="H221" t="n">
        <v>2018.695561</v>
      </c>
      <c r="I221" t="n">
        <v>1211.444176</v>
      </c>
      <c r="J221" t="n">
        <v>1938.458457</v>
      </c>
      <c r="K221" t="n">
        <v>1690.422181</v>
      </c>
      <c r="L221" t="n">
        <v>5569.671963</v>
      </c>
      <c r="M221" t="n">
        <v>4489.530498</v>
      </c>
      <c r="N221" t="n">
        <v>4489.530498</v>
      </c>
      <c r="O221" t="n">
        <v>831.906964</v>
      </c>
      <c r="P221" t="n">
        <v>190.310804</v>
      </c>
      <c r="Q221" t="n">
        <v>4489.530498</v>
      </c>
      <c r="R221" t="n">
        <v>-17357.039238</v>
      </c>
      <c r="S221" t="n">
        <v>831.906964</v>
      </c>
      <c r="T221" t="n">
        <v>831.906964</v>
      </c>
      <c r="U221" t="n">
        <v>190.310804</v>
      </c>
      <c r="V221" t="n">
        <v>3365.041061</v>
      </c>
      <c r="W221" t="n">
        <v>883.912743</v>
      </c>
      <c r="X221" t="n">
        <v>4837.598062</v>
      </c>
      <c r="Z221" t="n">
        <v>826.939089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1" t="inlineStr">
        <is>
          <t>Pel S inv</t>
        </is>
      </c>
      <c r="H222" t="n">
        <v>486.973945</v>
      </c>
      <c r="I222" t="n">
        <v>190.933723</v>
      </c>
      <c r="J222" t="n">
        <v>197.863454</v>
      </c>
      <c r="K222" t="n">
        <v>195.467703</v>
      </c>
      <c r="L222" t="n">
        <v>317.630823</v>
      </c>
      <c r="M222" t="n">
        <v>278.455011</v>
      </c>
      <c r="N222" t="n">
        <v>278.455011</v>
      </c>
      <c r="O222" t="n">
        <v>69.74158</v>
      </c>
      <c r="P222" t="n">
        <v>25.530568</v>
      </c>
      <c r="Q222" t="n">
        <v>278.455011</v>
      </c>
      <c r="R222" t="n">
        <v>278.455011</v>
      </c>
      <c r="S222" t="n">
        <v>69.74158</v>
      </c>
      <c r="T222" t="n">
        <v>69.74158</v>
      </c>
      <c r="U222" t="n">
        <v>25.530568</v>
      </c>
      <c r="V222" t="n">
        <v>25.530568</v>
      </c>
      <c r="W222" t="n">
        <v>71.895017</v>
      </c>
      <c r="X222" t="n">
        <v>297.198143</v>
      </c>
      <c r="Z222" t="n">
        <v>263.293957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1" t="inlineStr">
        <is>
          <t>Côtier S inv | Côtier S pred</t>
        </is>
      </c>
      <c r="H223" t="n">
        <v>821.244986</v>
      </c>
      <c r="I223" t="n">
        <v>258.224955</v>
      </c>
      <c r="J223" t="n">
        <v>258.614875</v>
      </c>
      <c r="K223" t="n">
        <v>241.891686</v>
      </c>
      <c r="L223" t="n">
        <v>549.245253</v>
      </c>
      <c r="M223" t="n">
        <v>438.451511</v>
      </c>
      <c r="N223" t="n">
        <v>438.451511</v>
      </c>
      <c r="O223" t="n">
        <v>147.346997</v>
      </c>
      <c r="P223" t="n">
        <v>45.263326</v>
      </c>
      <c r="Q223" t="n">
        <v>438.451511</v>
      </c>
      <c r="R223" t="n">
        <v>438.451511</v>
      </c>
      <c r="S223" t="n">
        <v>147.346997</v>
      </c>
      <c r="T223" t="n">
        <v>147.346997</v>
      </c>
      <c r="U223" t="n">
        <v>45.263326</v>
      </c>
      <c r="V223" t="n">
        <v>45.263326</v>
      </c>
      <c r="W223" t="n">
        <v>155.66671</v>
      </c>
      <c r="X223" t="n">
        <v>461.503808</v>
      </c>
      <c r="Z223" t="n">
        <v>363.820037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1" t="inlineStr">
        <is>
          <t>Côtier pel L pred</t>
        </is>
      </c>
      <c r="H224" t="n">
        <v>8886.574375</v>
      </c>
      <c r="I224" t="n">
        <v>4351.939949</v>
      </c>
      <c r="J224" t="n">
        <v>5186.075589</v>
      </c>
      <c r="K224" t="n">
        <v>4970.359012</v>
      </c>
      <c r="L224" t="n">
        <v>14096.783373</v>
      </c>
      <c r="M224" t="n">
        <v>11411.07684</v>
      </c>
      <c r="N224" t="n">
        <v>11411.07684</v>
      </c>
      <c r="O224" t="n">
        <v>2474.877467</v>
      </c>
      <c r="P224" t="n">
        <v>525.626343</v>
      </c>
      <c r="Q224" t="n">
        <v>11411.07684</v>
      </c>
      <c r="R224" t="n">
        <v>-50759.157349</v>
      </c>
      <c r="S224" t="n">
        <v>2474.877467</v>
      </c>
      <c r="T224" t="n">
        <v>2474.877467</v>
      </c>
      <c r="U224" t="n">
        <v>525.626343</v>
      </c>
      <c r="V224" t="n">
        <v>8846.789624999999</v>
      </c>
      <c r="W224" t="n">
        <v>2645.523944</v>
      </c>
      <c r="X224" t="n">
        <v>12354.973824</v>
      </c>
      <c r="Z224" t="n">
        <v>3330.282942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1" t="inlineStr">
        <is>
          <t>Crustacés</t>
        </is>
      </c>
      <c r="H225" t="n">
        <v>141.860536</v>
      </c>
      <c r="I225" t="n">
        <v>58.609575</v>
      </c>
      <c r="J225" t="n">
        <v>58.609575</v>
      </c>
      <c r="K225" t="n">
        <v>55.679096</v>
      </c>
      <c r="L225" t="n">
        <v>135.651174</v>
      </c>
      <c r="M225" t="n">
        <v>105.8609</v>
      </c>
      <c r="N225" t="n">
        <v>105.8609</v>
      </c>
      <c r="O225" t="n">
        <v>41.041785</v>
      </c>
      <c r="P225" t="n">
        <v>14.761781</v>
      </c>
      <c r="Q225" t="n">
        <v>105.8609</v>
      </c>
      <c r="R225" t="n">
        <v>105.8609</v>
      </c>
      <c r="S225" t="n">
        <v>41.041785</v>
      </c>
      <c r="T225" t="n">
        <v>41.041785</v>
      </c>
      <c r="U225" t="n">
        <v>14.761781</v>
      </c>
      <c r="V225" t="n">
        <v>14.761781</v>
      </c>
      <c r="W225" t="n">
        <v>43.387398</v>
      </c>
      <c r="X225" t="n">
        <v>109.873168</v>
      </c>
      <c r="Z225" t="n">
        <v>83.9318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1" t="inlineStr">
        <is>
          <t>Côtier S inv</t>
        </is>
      </c>
      <c r="H226" t="n">
        <v>269.022913</v>
      </c>
      <c r="I226" t="n">
        <v>143.357993</v>
      </c>
      <c r="J226" t="n">
        <v>143.744849</v>
      </c>
      <c r="K226" t="n">
        <v>140.09455</v>
      </c>
      <c r="L226" t="n">
        <v>302.43669</v>
      </c>
      <c r="M226" t="n">
        <v>237.484146</v>
      </c>
      <c r="N226" t="n">
        <v>237.484146</v>
      </c>
      <c r="O226" t="n">
        <v>92.381467</v>
      </c>
      <c r="P226" t="n">
        <v>32.138237</v>
      </c>
      <c r="Q226" t="n">
        <v>237.484146</v>
      </c>
      <c r="R226" t="n">
        <v>237.484146</v>
      </c>
      <c r="S226" t="n">
        <v>92.381467</v>
      </c>
      <c r="T226" t="n">
        <v>92.381467</v>
      </c>
      <c r="U226" t="n">
        <v>32.138237</v>
      </c>
      <c r="V226" t="n">
        <v>32.138237</v>
      </c>
      <c r="W226" t="n">
        <v>96.991221</v>
      </c>
      <c r="X226" t="n">
        <v>248.321196</v>
      </c>
      <c r="Z226" t="n">
        <v>141.325989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1" t="inlineStr">
        <is>
          <t>Crustacés</t>
        </is>
      </c>
      <c r="H227" t="n">
        <v>141.860536</v>
      </c>
      <c r="I227" t="n">
        <v>58.609575</v>
      </c>
      <c r="J227" t="n">
        <v>58.609575</v>
      </c>
      <c r="K227" t="n">
        <v>55.679096</v>
      </c>
      <c r="L227" t="n">
        <v>135.651174</v>
      </c>
      <c r="M227" t="n">
        <v>105.8609</v>
      </c>
      <c r="N227" t="n">
        <v>105.8609</v>
      </c>
      <c r="O227" t="n">
        <v>41.041785</v>
      </c>
      <c r="P227" t="n">
        <v>14.761781</v>
      </c>
      <c r="Q227" t="n">
        <v>105.8609</v>
      </c>
      <c r="R227" t="n">
        <v>105.8609</v>
      </c>
      <c r="S227" t="n">
        <v>41.041785</v>
      </c>
      <c r="T227" t="n">
        <v>41.041785</v>
      </c>
      <c r="U227" t="n">
        <v>14.761781</v>
      </c>
      <c r="V227" t="n">
        <v>14.761781</v>
      </c>
      <c r="W227" t="n">
        <v>43.387398</v>
      </c>
      <c r="X227" t="n">
        <v>109.873168</v>
      </c>
      <c r="Z227" t="n">
        <v>83.9318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1" t="inlineStr">
        <is>
          <t>Côtier S pred</t>
        </is>
      </c>
      <c r="H228" t="n">
        <v>3699.936691</v>
      </c>
      <c r="I228" t="n">
        <v>857.017702</v>
      </c>
      <c r="J228" t="n">
        <v>857.42359</v>
      </c>
      <c r="K228" t="n">
        <v>772.552422</v>
      </c>
      <c r="L228" t="n">
        <v>1835.839539</v>
      </c>
      <c r="M228" t="n">
        <v>1486.079117</v>
      </c>
      <c r="N228" t="n">
        <v>1486.079117</v>
      </c>
      <c r="O228" t="n">
        <v>433.878127</v>
      </c>
      <c r="P228" t="n">
        <v>113.683417</v>
      </c>
      <c r="Q228" t="n">
        <v>1486.079117</v>
      </c>
      <c r="R228" t="n">
        <v>1486.079117</v>
      </c>
      <c r="S228" t="n">
        <v>433.878127</v>
      </c>
      <c r="T228" t="n">
        <v>433.878127</v>
      </c>
      <c r="U228" t="n">
        <v>113.683417</v>
      </c>
      <c r="V228" t="n">
        <v>113.683417</v>
      </c>
      <c r="W228" t="n">
        <v>461.537577</v>
      </c>
      <c r="X228" t="n">
        <v>1572.808567</v>
      </c>
      <c r="Z228" t="n">
        <v>1523.664607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1" t="inlineStr">
        <is>
          <t>Sélaciens L côtiers</t>
        </is>
      </c>
      <c r="H229" t="n">
        <v>19687.630586</v>
      </c>
      <c r="I229" t="n">
        <v>40848.675363</v>
      </c>
      <c r="J229" t="n">
        <v>35723.536302</v>
      </c>
      <c r="K229" t="n">
        <v>32001.935703</v>
      </c>
      <c r="L229" t="n">
        <v>144842.06399</v>
      </c>
      <c r="M229" t="n">
        <v>117973.029689</v>
      </c>
      <c r="N229" t="n">
        <v>117973.029689</v>
      </c>
      <c r="O229" t="n">
        <v>11190.890574</v>
      </c>
      <c r="P229" t="n">
        <v>1980.195061</v>
      </c>
      <c r="Q229" t="n">
        <v>117973.029689</v>
      </c>
      <c r="R229" t="n">
        <v>-284142.724554</v>
      </c>
      <c r="S229" t="n">
        <v>11190.890574</v>
      </c>
      <c r="T229" t="n">
        <v>11190.890574</v>
      </c>
      <c r="U229" t="n">
        <v>1980.195061</v>
      </c>
      <c r="V229" t="n">
        <v>22930.423898</v>
      </c>
      <c r="W229" t="n">
        <v>12078.751403</v>
      </c>
      <c r="X229" t="n">
        <v>133154.369612</v>
      </c>
      <c r="Z229" t="n">
        <v>6739.706423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1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1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1" t="inlineStr">
        <is>
          <t>Côtier S inv</t>
        </is>
      </c>
      <c r="H232" t="n">
        <v>269.022913</v>
      </c>
      <c r="I232" t="n">
        <v>143.357993</v>
      </c>
      <c r="J232" t="n">
        <v>143.744849</v>
      </c>
      <c r="K232" t="n">
        <v>140.09455</v>
      </c>
      <c r="L232" t="n">
        <v>302.43669</v>
      </c>
      <c r="M232" t="n">
        <v>237.484146</v>
      </c>
      <c r="N232" t="n">
        <v>237.484146</v>
      </c>
      <c r="O232" t="n">
        <v>92.381467</v>
      </c>
      <c r="P232" t="n">
        <v>32.138237</v>
      </c>
      <c r="Q232" t="n">
        <v>237.484146</v>
      </c>
      <c r="R232" t="n">
        <v>237.484146</v>
      </c>
      <c r="S232" t="n">
        <v>92.381467</v>
      </c>
      <c r="T232" t="n">
        <v>92.381467</v>
      </c>
      <c r="U232" t="n">
        <v>32.138237</v>
      </c>
      <c r="V232" t="n">
        <v>32.138237</v>
      </c>
      <c r="W232" t="n">
        <v>96.991221</v>
      </c>
      <c r="X232" t="n">
        <v>248.321196</v>
      </c>
      <c r="Z232" t="n">
        <v>141.325989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1" t="inlineStr">
        <is>
          <t>Côtier L pred</t>
        </is>
      </c>
      <c r="H233" t="n">
        <v>5244.468733</v>
      </c>
      <c r="I233" t="n">
        <v>3323.212634</v>
      </c>
      <c r="J233" t="n">
        <v>6358.646185</v>
      </c>
      <c r="K233" t="n">
        <v>5497.795802</v>
      </c>
      <c r="L233" t="n">
        <v>19279.552919</v>
      </c>
      <c r="M233" t="n">
        <v>15594.90803</v>
      </c>
      <c r="N233" t="n">
        <v>15594.90803</v>
      </c>
      <c r="O233" t="n">
        <v>2522.190001</v>
      </c>
      <c r="P233" t="n">
        <v>528.917324</v>
      </c>
      <c r="Q233" t="n">
        <v>15594.90803</v>
      </c>
      <c r="R233" t="n">
        <v>-75829.94378099999</v>
      </c>
      <c r="S233" t="n">
        <v>2522.190001</v>
      </c>
      <c r="T233" t="n">
        <v>2522.190001</v>
      </c>
      <c r="U233" t="n">
        <v>528.917324</v>
      </c>
      <c r="V233" t="n">
        <v>13815.167153</v>
      </c>
      <c r="W233" t="n">
        <v>2674.282783</v>
      </c>
      <c r="X233" t="n">
        <v>16812.298301</v>
      </c>
      <c r="Z233" t="n">
        <v>2083.221444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1" t="inlineStr">
        <is>
          <t>Céphalopodes</t>
        </is>
      </c>
      <c r="H234" t="n">
        <v>2209.641323</v>
      </c>
      <c r="I234" t="n">
        <v>533.937243</v>
      </c>
      <c r="J234" t="n">
        <v>533.937243</v>
      </c>
      <c r="K234" t="n">
        <v>507.240381</v>
      </c>
      <c r="L234" t="n">
        <v>1169.060818</v>
      </c>
      <c r="M234" t="n">
        <v>955.905028</v>
      </c>
      <c r="N234" t="n">
        <v>955.905028</v>
      </c>
      <c r="O234" t="n">
        <v>259.897575</v>
      </c>
      <c r="P234" t="n">
        <v>71.4718</v>
      </c>
      <c r="Q234" t="n">
        <v>955.905028</v>
      </c>
      <c r="R234" t="n">
        <v>955.905028</v>
      </c>
      <c r="S234" t="n">
        <v>259.897575</v>
      </c>
      <c r="T234" t="n">
        <v>259.897575</v>
      </c>
      <c r="U234" t="n">
        <v>71.4718</v>
      </c>
      <c r="V234" t="n">
        <v>71.4718</v>
      </c>
      <c r="W234" t="n">
        <v>275.401339</v>
      </c>
      <c r="X234" t="n">
        <v>1017.651066</v>
      </c>
      <c r="Z234" t="n">
        <v>1022.837477</v>
      </c>
    </row>
    <row r="235" ht="21" customHeight="1">
      <c r="A235" t="inlineStr">
        <is>
          <t>Istiophorus</t>
        </is>
      </c>
      <c r="D235" s="11" t="inlineStr">
        <is>
          <t>Thons majeurs</t>
        </is>
      </c>
      <c r="H235" t="n">
        <v>13661.710452</v>
      </c>
      <c r="I235" t="n">
        <v>5828.690682</v>
      </c>
      <c r="J235" t="n">
        <v>6055.352519</v>
      </c>
      <c r="K235" t="n">
        <v>3027.67626</v>
      </c>
      <c r="L235" t="n">
        <v>13559.408277</v>
      </c>
      <c r="M235" t="n">
        <v>11074.090097</v>
      </c>
      <c r="N235" t="n">
        <v>11074.090097</v>
      </c>
      <c r="O235" t="n">
        <v>1497.448606</v>
      </c>
      <c r="P235" t="n">
        <v>329.433681</v>
      </c>
      <c r="Q235" t="n">
        <v>11074.090097</v>
      </c>
      <c r="R235" t="n">
        <v>-31133.885537</v>
      </c>
      <c r="S235" t="n">
        <v>1497.448606</v>
      </c>
      <c r="T235" t="n">
        <v>1497.448606</v>
      </c>
      <c r="U235" t="n">
        <v>329.433681</v>
      </c>
      <c r="V235" t="n">
        <v>2167.379541</v>
      </c>
      <c r="W235" t="n">
        <v>1598.647747</v>
      </c>
      <c r="X235" t="n">
        <v>12125.414105</v>
      </c>
      <c r="Z235" t="n">
        <v>5199.941547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1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1" t="inlineStr">
        <is>
          <t>Dem L pred</t>
        </is>
      </c>
      <c r="H237" t="n">
        <v>6647.368802</v>
      </c>
      <c r="I237" t="n">
        <v>4415.463105</v>
      </c>
      <c r="J237" t="n">
        <v>4454.682261</v>
      </c>
      <c r="K237" t="n">
        <v>3753.374229</v>
      </c>
      <c r="L237" t="n">
        <v>11046.457304</v>
      </c>
      <c r="M237" t="n">
        <v>8839.250757</v>
      </c>
      <c r="N237" t="n">
        <v>8839.250757</v>
      </c>
      <c r="O237" t="n">
        <v>2210.08062</v>
      </c>
      <c r="P237" t="n">
        <v>502.733116</v>
      </c>
      <c r="Q237" t="n">
        <v>8839.250757</v>
      </c>
      <c r="R237" t="n">
        <v>8839.250757</v>
      </c>
      <c r="S237" t="n">
        <v>2210.08062</v>
      </c>
      <c r="T237" t="n">
        <v>2210.08062</v>
      </c>
      <c r="U237" t="n">
        <v>502.733116</v>
      </c>
      <c r="V237" t="n">
        <v>502.733116</v>
      </c>
      <c r="W237" t="n">
        <v>2393.190154</v>
      </c>
      <c r="X237" t="n">
        <v>9644.19414</v>
      </c>
      <c r="Z237" t="n">
        <v>2496.813504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1" t="inlineStr">
        <is>
          <t>Dem M pred</t>
        </is>
      </c>
      <c r="H238" t="n">
        <v>4156.715712</v>
      </c>
      <c r="I238" t="n">
        <v>1627.447794</v>
      </c>
      <c r="J238" t="n">
        <v>1629.386931</v>
      </c>
      <c r="K238" t="n">
        <v>1547.917585</v>
      </c>
      <c r="L238" t="n">
        <v>3524.148314</v>
      </c>
      <c r="M238" t="n">
        <v>2797.906815</v>
      </c>
      <c r="N238" t="n">
        <v>2797.906815</v>
      </c>
      <c r="O238" t="n">
        <v>878.433987</v>
      </c>
      <c r="P238" t="n">
        <v>230.471022</v>
      </c>
      <c r="Q238" t="n">
        <v>2797.906815</v>
      </c>
      <c r="R238" t="n">
        <v>2797.906815</v>
      </c>
      <c r="S238" t="n">
        <v>878.433987</v>
      </c>
      <c r="T238" t="n">
        <v>878.433987</v>
      </c>
      <c r="U238" t="n">
        <v>230.471022</v>
      </c>
      <c r="V238" t="n">
        <v>230.471022</v>
      </c>
      <c r="W238" t="n">
        <v>931.682324</v>
      </c>
      <c r="X238" t="n">
        <v>2978.125002</v>
      </c>
      <c r="Z238" t="n">
        <v>1719.622412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1" t="inlineStr">
        <is>
          <t>Sélaciens M côtiers</t>
        </is>
      </c>
      <c r="H239" t="n">
        <v>8688.631574999999</v>
      </c>
      <c r="I239" t="n">
        <v>10752.121</v>
      </c>
      <c r="J239" t="n">
        <v>11608.078462</v>
      </c>
      <c r="K239" t="n">
        <v>5804.039231</v>
      </c>
      <c r="L239" t="n">
        <v>27660.813015</v>
      </c>
      <c r="M239" t="n">
        <v>22430.205145</v>
      </c>
      <c r="N239" t="n">
        <v>22430.205145</v>
      </c>
      <c r="O239" t="n">
        <v>2961.789759</v>
      </c>
      <c r="P239" t="n">
        <v>649.730535</v>
      </c>
      <c r="Q239" t="n">
        <v>22430.205145</v>
      </c>
      <c r="R239" t="n">
        <v>-103784.560766</v>
      </c>
      <c r="S239" t="n">
        <v>2961.789759</v>
      </c>
      <c r="T239" t="n">
        <v>2961.789759</v>
      </c>
      <c r="U239" t="n">
        <v>649.730535</v>
      </c>
      <c r="V239" t="n">
        <v>8068.604123</v>
      </c>
      <c r="W239" t="n">
        <v>3191.027676</v>
      </c>
      <c r="X239" t="n">
        <v>24373.863539</v>
      </c>
      <c r="Z239" t="n">
        <v>3255.127341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1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1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1" t="inlineStr">
        <is>
          <t>Côtier S inv</t>
        </is>
      </c>
      <c r="H242" t="n">
        <v>269.022913</v>
      </c>
      <c r="I242" t="n">
        <v>143.357993</v>
      </c>
      <c r="J242" t="n">
        <v>143.744849</v>
      </c>
      <c r="K242" t="n">
        <v>140.09455</v>
      </c>
      <c r="L242" t="n">
        <v>302.43669</v>
      </c>
      <c r="M242" t="n">
        <v>237.484146</v>
      </c>
      <c r="N242" t="n">
        <v>237.484146</v>
      </c>
      <c r="O242" t="n">
        <v>92.381467</v>
      </c>
      <c r="P242" t="n">
        <v>32.138237</v>
      </c>
      <c r="Q242" t="n">
        <v>237.484146</v>
      </c>
      <c r="R242" t="n">
        <v>237.484146</v>
      </c>
      <c r="S242" t="n">
        <v>92.381467</v>
      </c>
      <c r="T242" t="n">
        <v>92.381467</v>
      </c>
      <c r="U242" t="n">
        <v>32.138237</v>
      </c>
      <c r="V242" t="n">
        <v>32.138237</v>
      </c>
      <c r="W242" t="n">
        <v>96.991221</v>
      </c>
      <c r="X242" t="n">
        <v>248.321196</v>
      </c>
      <c r="Z242" t="n">
        <v>141.325989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1" t="inlineStr">
        <is>
          <t>Sélaciens L côtiers</t>
        </is>
      </c>
      <c r="H243" t="n">
        <v>19687.630586</v>
      </c>
      <c r="I243" t="n">
        <v>40848.675363</v>
      </c>
      <c r="J243" t="n">
        <v>35723.536302</v>
      </c>
      <c r="K243" t="n">
        <v>32001.935703</v>
      </c>
      <c r="L243" t="n">
        <v>144842.06399</v>
      </c>
      <c r="M243" t="n">
        <v>117973.029689</v>
      </c>
      <c r="N243" t="n">
        <v>117973.029689</v>
      </c>
      <c r="O243" t="n">
        <v>11190.890574</v>
      </c>
      <c r="P243" t="n">
        <v>1980.195061</v>
      </c>
      <c r="Q243" t="n">
        <v>117973.029689</v>
      </c>
      <c r="R243" t="n">
        <v>-284142.724554</v>
      </c>
      <c r="S243" t="n">
        <v>11190.890574</v>
      </c>
      <c r="T243" t="n">
        <v>11190.890574</v>
      </c>
      <c r="U243" t="n">
        <v>1980.195061</v>
      </c>
      <c r="V243" t="n">
        <v>22930.423898</v>
      </c>
      <c r="W243" t="n">
        <v>12078.751403</v>
      </c>
      <c r="X243" t="n">
        <v>133154.369612</v>
      </c>
      <c r="Z243" t="n">
        <v>6739.706423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1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1" t="inlineStr">
        <is>
          <t>Pel L pred</t>
        </is>
      </c>
      <c r="H245" t="n">
        <v>3931.194334</v>
      </c>
      <c r="I245" t="n">
        <v>2174.355127</v>
      </c>
      <c r="J245" t="n">
        <v>2227.613295</v>
      </c>
      <c r="K245" t="n">
        <v>2116.23263</v>
      </c>
      <c r="L245" t="n">
        <v>5671.221213</v>
      </c>
      <c r="M245" t="n">
        <v>4708.492365</v>
      </c>
      <c r="N245" t="n">
        <v>4708.492365</v>
      </c>
      <c r="O245" t="n">
        <v>1256.374177</v>
      </c>
      <c r="P245" t="n">
        <v>312.251371</v>
      </c>
      <c r="Q245" t="n">
        <v>4708.492365</v>
      </c>
      <c r="R245" t="n">
        <v>-58015.203039</v>
      </c>
      <c r="S245" t="n">
        <v>1256.374177</v>
      </c>
      <c r="T245" t="n">
        <v>1256.374177</v>
      </c>
      <c r="U245" t="n">
        <v>312.251371</v>
      </c>
      <c r="V245" t="n">
        <v>4998.085196</v>
      </c>
      <c r="W245" t="n">
        <v>1354.495716</v>
      </c>
      <c r="X245" t="n">
        <v>5057.925719</v>
      </c>
      <c r="Z245" t="n">
        <v>1691.840323</v>
      </c>
    </row>
    <row r="246" ht="21" customHeight="1">
      <c r="A246" t="inlineStr">
        <is>
          <t>Glaucostegus cemiculus</t>
        </is>
      </c>
      <c r="D246" s="11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1" t="inlineStr">
        <is>
          <t>Côtier M inv | Dem S pred</t>
        </is>
      </c>
      <c r="H247" t="n">
        <v>398.34047</v>
      </c>
      <c r="I247" t="n">
        <v>199.271569</v>
      </c>
      <c r="J247" t="n">
        <v>199.27346</v>
      </c>
      <c r="K247" t="n">
        <v>198.29763</v>
      </c>
      <c r="L247" t="n">
        <v>425.933195</v>
      </c>
      <c r="M247" t="n">
        <v>328.173421</v>
      </c>
      <c r="N247" t="n">
        <v>328.173421</v>
      </c>
      <c r="O247" t="n">
        <v>128.933692</v>
      </c>
      <c r="P247" t="n">
        <v>43.212891</v>
      </c>
      <c r="Q247" t="n">
        <v>328.173421</v>
      </c>
      <c r="R247" t="n">
        <v>328.173421</v>
      </c>
      <c r="S247" t="n">
        <v>128.933692</v>
      </c>
      <c r="T247" t="n">
        <v>128.933692</v>
      </c>
      <c r="U247" t="n">
        <v>43.212891</v>
      </c>
      <c r="V247" t="n">
        <v>43.212891</v>
      </c>
      <c r="W247" t="n">
        <v>135.886989</v>
      </c>
      <c r="X247" t="n">
        <v>344.836531</v>
      </c>
      <c r="Z247" t="n">
        <v>208.584854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1" t="inlineStr">
        <is>
          <t>Sélaciens L côtiers</t>
        </is>
      </c>
      <c r="H248" t="n">
        <v>19687.630586</v>
      </c>
      <c r="I248" t="n">
        <v>40848.675363</v>
      </c>
      <c r="J248" t="n">
        <v>35723.536302</v>
      </c>
      <c r="K248" t="n">
        <v>32001.935703</v>
      </c>
      <c r="L248" t="n">
        <v>144842.06399</v>
      </c>
      <c r="M248" t="n">
        <v>117973.029689</v>
      </c>
      <c r="N248" t="n">
        <v>117973.029689</v>
      </c>
      <c r="O248" t="n">
        <v>11190.890574</v>
      </c>
      <c r="P248" t="n">
        <v>1980.195061</v>
      </c>
      <c r="Q248" t="n">
        <v>117973.029689</v>
      </c>
      <c r="R248" t="n">
        <v>-284142.724554</v>
      </c>
      <c r="S248" t="n">
        <v>11190.890574</v>
      </c>
      <c r="T248" t="n">
        <v>11190.890574</v>
      </c>
      <c r="U248" t="n">
        <v>1980.195061</v>
      </c>
      <c r="V248" t="n">
        <v>22930.423898</v>
      </c>
      <c r="W248" t="n">
        <v>12078.751403</v>
      </c>
      <c r="X248" t="n">
        <v>133154.369612</v>
      </c>
      <c r="Z248" t="n">
        <v>6739.706423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1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1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1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1" t="inlineStr">
        <is>
          <t>Bathy L pred</t>
        </is>
      </c>
      <c r="H252" t="n">
        <v>5440.782564</v>
      </c>
      <c r="I252" t="n">
        <v>2144.122371</v>
      </c>
      <c r="J252" t="n">
        <v>2185.752574</v>
      </c>
      <c r="K252" t="n">
        <v>2076.464946</v>
      </c>
      <c r="L252" t="n">
        <v>5058.397662</v>
      </c>
      <c r="M252" t="n">
        <v>4163.217987</v>
      </c>
      <c r="N252" t="n">
        <v>4163.217987</v>
      </c>
      <c r="O252" t="n">
        <v>1003.279957</v>
      </c>
      <c r="P252" t="n">
        <v>236.286265</v>
      </c>
      <c r="Q252" t="n">
        <v>4163.217987</v>
      </c>
      <c r="R252" t="n">
        <v>4163.217987</v>
      </c>
      <c r="S252" t="n">
        <v>1003.279957</v>
      </c>
      <c r="T252" t="n">
        <v>1003.279957</v>
      </c>
      <c r="U252" t="n">
        <v>236.286265</v>
      </c>
      <c r="V252" t="n">
        <v>236.286265</v>
      </c>
      <c r="W252" t="n">
        <v>1084.214763</v>
      </c>
      <c r="X252" t="n">
        <v>4425.550085</v>
      </c>
      <c r="Z252" t="n">
        <v>2201.333705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1" t="inlineStr">
        <is>
          <t>Bathy L pred</t>
        </is>
      </c>
      <c r="H253" t="n">
        <v>5440.782564</v>
      </c>
      <c r="I253" t="n">
        <v>2144.122371</v>
      </c>
      <c r="J253" t="n">
        <v>2185.752574</v>
      </c>
      <c r="K253" t="n">
        <v>2076.464946</v>
      </c>
      <c r="L253" t="n">
        <v>5058.397662</v>
      </c>
      <c r="M253" t="n">
        <v>4163.217987</v>
      </c>
      <c r="N253" t="n">
        <v>4163.217987</v>
      </c>
      <c r="O253" t="n">
        <v>1003.279957</v>
      </c>
      <c r="P253" t="n">
        <v>236.286265</v>
      </c>
      <c r="Q253" t="n">
        <v>4163.217987</v>
      </c>
      <c r="R253" t="n">
        <v>4163.217987</v>
      </c>
      <c r="S253" t="n">
        <v>1003.279957</v>
      </c>
      <c r="T253" t="n">
        <v>1003.279957</v>
      </c>
      <c r="U253" t="n">
        <v>236.286265</v>
      </c>
      <c r="V253" t="n">
        <v>236.286265</v>
      </c>
      <c r="W253" t="n">
        <v>1084.214763</v>
      </c>
      <c r="X253" t="n">
        <v>4425.550085</v>
      </c>
      <c r="Z253" t="n">
        <v>2201.333705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1" t="inlineStr">
        <is>
          <t>Pel L pred</t>
        </is>
      </c>
      <c r="H254" t="n">
        <v>3931.194334</v>
      </c>
      <c r="I254" t="n">
        <v>2174.355127</v>
      </c>
      <c r="J254" t="n">
        <v>2227.613295</v>
      </c>
      <c r="K254" t="n">
        <v>2116.23263</v>
      </c>
      <c r="L254" t="n">
        <v>5671.221213</v>
      </c>
      <c r="M254" t="n">
        <v>4708.492365</v>
      </c>
      <c r="N254" t="n">
        <v>4708.492365</v>
      </c>
      <c r="O254" t="n">
        <v>1256.374177</v>
      </c>
      <c r="P254" t="n">
        <v>312.251371</v>
      </c>
      <c r="Q254" t="n">
        <v>4708.492365</v>
      </c>
      <c r="R254" t="n">
        <v>-58015.203039</v>
      </c>
      <c r="S254" t="n">
        <v>1256.374177</v>
      </c>
      <c r="T254" t="n">
        <v>1256.374177</v>
      </c>
      <c r="U254" t="n">
        <v>312.251371</v>
      </c>
      <c r="V254" t="n">
        <v>4998.085196</v>
      </c>
      <c r="W254" t="n">
        <v>1354.495716</v>
      </c>
      <c r="X254" t="n">
        <v>5057.925719</v>
      </c>
      <c r="Z254" t="n">
        <v>1691.840323</v>
      </c>
    </row>
    <row r="255" ht="21" customHeight="1">
      <c r="A255" t="inlineStr">
        <is>
          <t>Myctophidae</t>
        </is>
      </c>
      <c r="D255" s="11" t="inlineStr">
        <is>
          <t>Mésopélagiques</t>
        </is>
      </c>
      <c r="H255" t="n">
        <v>243.231723</v>
      </c>
      <c r="I255" t="n">
        <v>199.521378</v>
      </c>
      <c r="J255" t="n">
        <v>212.425831</v>
      </c>
      <c r="K255" t="n">
        <v>63.595711</v>
      </c>
      <c r="L255" t="n">
        <v>361.644456</v>
      </c>
      <c r="M255" t="n">
        <v>309.703823</v>
      </c>
      <c r="N255" t="n">
        <v>309.703823</v>
      </c>
      <c r="O255" t="n">
        <v>38.926656</v>
      </c>
      <c r="P255" t="n">
        <v>14.784794</v>
      </c>
      <c r="Q255" t="n">
        <v>309.703823</v>
      </c>
      <c r="R255" t="n">
        <v>309.703823</v>
      </c>
      <c r="S255" t="n">
        <v>38.926656</v>
      </c>
      <c r="T255" t="n">
        <v>38.926656</v>
      </c>
      <c r="U255" t="n">
        <v>14.784794</v>
      </c>
      <c r="V255" t="n">
        <v>14.784794</v>
      </c>
      <c r="W255" t="n">
        <v>40.651222</v>
      </c>
      <c r="X255" t="n">
        <v>318.211854</v>
      </c>
      <c r="Z255" t="n">
        <v>145.06667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1" t="inlineStr">
        <is>
          <t>Mulets</t>
        </is>
      </c>
      <c r="H256" t="n">
        <v>89.51813900000001</v>
      </c>
      <c r="I256" t="n">
        <v>70.585874</v>
      </c>
      <c r="J256" t="n">
        <v>70.585874</v>
      </c>
      <c r="K256" t="n">
        <v>67.05658</v>
      </c>
      <c r="L256" t="n">
        <v>87.916766</v>
      </c>
      <c r="M256" t="n">
        <v>80.485525</v>
      </c>
      <c r="N256" t="n">
        <v>80.485525</v>
      </c>
      <c r="O256" t="n">
        <v>39.824022</v>
      </c>
      <c r="P256" t="n">
        <v>18.146203</v>
      </c>
      <c r="Q256" t="n">
        <v>80.485525</v>
      </c>
      <c r="R256" t="n">
        <v>80.485525</v>
      </c>
      <c r="S256" t="n">
        <v>39.824022</v>
      </c>
      <c r="T256" t="n">
        <v>39.824022</v>
      </c>
      <c r="U256" t="n">
        <v>18.146203</v>
      </c>
      <c r="V256" t="n">
        <v>18.146203</v>
      </c>
      <c r="W256" t="n">
        <v>40.732178</v>
      </c>
      <c r="X256" t="n">
        <v>82.337551</v>
      </c>
      <c r="Z256" t="n">
        <v>54.458212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1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1" t="inlineStr">
        <is>
          <t>Bathy L pred</t>
        </is>
      </c>
      <c r="H258" t="n">
        <v>5440.782564</v>
      </c>
      <c r="I258" t="n">
        <v>2144.122371</v>
      </c>
      <c r="J258" t="n">
        <v>2185.752574</v>
      </c>
      <c r="K258" t="n">
        <v>2076.464946</v>
      </c>
      <c r="L258" t="n">
        <v>5058.397662</v>
      </c>
      <c r="M258" t="n">
        <v>4163.217987</v>
      </c>
      <c r="N258" t="n">
        <v>4163.217987</v>
      </c>
      <c r="O258" t="n">
        <v>1003.279957</v>
      </c>
      <c r="P258" t="n">
        <v>236.286265</v>
      </c>
      <c r="Q258" t="n">
        <v>4163.217987</v>
      </c>
      <c r="R258" t="n">
        <v>4163.217987</v>
      </c>
      <c r="S258" t="n">
        <v>1003.279957</v>
      </c>
      <c r="T258" t="n">
        <v>1003.279957</v>
      </c>
      <c r="U258" t="n">
        <v>236.286265</v>
      </c>
      <c r="V258" t="n">
        <v>236.286265</v>
      </c>
      <c r="W258" t="n">
        <v>1084.214763</v>
      </c>
      <c r="X258" t="n">
        <v>4425.550085</v>
      </c>
      <c r="Z258" t="n">
        <v>2201.333705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1" t="inlineStr">
        <is>
          <t>Crustacés</t>
        </is>
      </c>
      <c r="H259" t="n">
        <v>141.860536</v>
      </c>
      <c r="I259" t="n">
        <v>58.609575</v>
      </c>
      <c r="J259" t="n">
        <v>58.609575</v>
      </c>
      <c r="K259" t="n">
        <v>55.679096</v>
      </c>
      <c r="L259" t="n">
        <v>135.651174</v>
      </c>
      <c r="M259" t="n">
        <v>105.8609</v>
      </c>
      <c r="N259" t="n">
        <v>105.8609</v>
      </c>
      <c r="O259" t="n">
        <v>41.041785</v>
      </c>
      <c r="P259" t="n">
        <v>14.761781</v>
      </c>
      <c r="Q259" t="n">
        <v>105.8609</v>
      </c>
      <c r="R259" t="n">
        <v>105.8609</v>
      </c>
      <c r="S259" t="n">
        <v>41.041785</v>
      </c>
      <c r="T259" t="n">
        <v>41.041785</v>
      </c>
      <c r="U259" t="n">
        <v>14.761781</v>
      </c>
      <c r="V259" t="n">
        <v>14.761781</v>
      </c>
      <c r="W259" t="n">
        <v>43.387398</v>
      </c>
      <c r="X259" t="n">
        <v>109.873168</v>
      </c>
      <c r="Z259" t="n">
        <v>83.9318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1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1" t="inlineStr">
        <is>
          <t>Côtier L pred</t>
        </is>
      </c>
      <c r="H261" t="n">
        <v>5244.468733</v>
      </c>
      <c r="I261" t="n">
        <v>3323.212634</v>
      </c>
      <c r="J261" t="n">
        <v>6358.646185</v>
      </c>
      <c r="K261" t="n">
        <v>5497.795802</v>
      </c>
      <c r="L261" t="n">
        <v>19279.552919</v>
      </c>
      <c r="M261" t="n">
        <v>15594.90803</v>
      </c>
      <c r="N261" t="n">
        <v>15594.90803</v>
      </c>
      <c r="O261" t="n">
        <v>2522.190001</v>
      </c>
      <c r="P261" t="n">
        <v>528.917324</v>
      </c>
      <c r="Q261" t="n">
        <v>15594.90803</v>
      </c>
      <c r="R261" t="n">
        <v>-75829.94378099999</v>
      </c>
      <c r="S261" t="n">
        <v>2522.190001</v>
      </c>
      <c r="T261" t="n">
        <v>2522.190001</v>
      </c>
      <c r="U261" t="n">
        <v>528.917324</v>
      </c>
      <c r="V261" t="n">
        <v>13815.167153</v>
      </c>
      <c r="W261" t="n">
        <v>2674.282783</v>
      </c>
      <c r="X261" t="n">
        <v>16812.298301</v>
      </c>
      <c r="Z261" t="n">
        <v>2083.221444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1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1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1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1" t="inlineStr">
        <is>
          <t>Sélaciens L côtiers</t>
        </is>
      </c>
      <c r="H265" t="n">
        <v>19687.630586</v>
      </c>
      <c r="I265" t="n">
        <v>40848.675363</v>
      </c>
      <c r="J265" t="n">
        <v>35723.536302</v>
      </c>
      <c r="K265" t="n">
        <v>32001.935703</v>
      </c>
      <c r="L265" t="n">
        <v>144842.06399</v>
      </c>
      <c r="M265" t="n">
        <v>117973.029689</v>
      </c>
      <c r="N265" t="n">
        <v>117973.029689</v>
      </c>
      <c r="O265" t="n">
        <v>11190.890574</v>
      </c>
      <c r="P265" t="n">
        <v>1980.195061</v>
      </c>
      <c r="Q265" t="n">
        <v>117973.029689</v>
      </c>
      <c r="R265" t="n">
        <v>-284142.724554</v>
      </c>
      <c r="S265" t="n">
        <v>11190.890574</v>
      </c>
      <c r="T265" t="n">
        <v>11190.890574</v>
      </c>
      <c r="U265" t="n">
        <v>1980.195061</v>
      </c>
      <c r="V265" t="n">
        <v>22930.423898</v>
      </c>
      <c r="W265" t="n">
        <v>12078.751403</v>
      </c>
      <c r="X265" t="n">
        <v>133154.369612</v>
      </c>
      <c r="Z265" t="n">
        <v>6739.706423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1" t="inlineStr">
        <is>
          <t>Bathy S pred</t>
        </is>
      </c>
      <c r="H266" t="n">
        <v>1316.465337</v>
      </c>
      <c r="I266" t="n">
        <v>767.87924</v>
      </c>
      <c r="J266" t="n">
        <v>800.319073</v>
      </c>
      <c r="K266" t="n">
        <v>760.303119</v>
      </c>
      <c r="L266" t="n">
        <v>1419.875858</v>
      </c>
      <c r="M266" t="n">
        <v>1200.946592</v>
      </c>
      <c r="N266" t="n">
        <v>1200.946592</v>
      </c>
      <c r="O266" t="n">
        <v>233.677653</v>
      </c>
      <c r="P266" t="n">
        <v>73.408444</v>
      </c>
      <c r="Q266" t="n">
        <v>1200.946592</v>
      </c>
      <c r="R266" t="n">
        <v>1200.946592</v>
      </c>
      <c r="S266" t="n">
        <v>233.677653</v>
      </c>
      <c r="T266" t="n">
        <v>233.677653</v>
      </c>
      <c r="U266" t="n">
        <v>73.408444</v>
      </c>
      <c r="V266" t="n">
        <v>73.408444</v>
      </c>
      <c r="W266" t="n">
        <v>247.899385</v>
      </c>
      <c r="X266" t="n">
        <v>1250.020163</v>
      </c>
      <c r="Z266" t="n">
        <v>660.5377109999999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1" t="inlineStr">
        <is>
          <t>Côtier L pred</t>
        </is>
      </c>
      <c r="H267" t="n">
        <v>5244.468733</v>
      </c>
      <c r="I267" t="n">
        <v>3323.212634</v>
      </c>
      <c r="J267" t="n">
        <v>6358.646185</v>
      </c>
      <c r="K267" t="n">
        <v>5497.795802</v>
      </c>
      <c r="L267" t="n">
        <v>19279.552919</v>
      </c>
      <c r="M267" t="n">
        <v>15594.90803</v>
      </c>
      <c r="N267" t="n">
        <v>15594.90803</v>
      </c>
      <c r="O267" t="n">
        <v>2522.190001</v>
      </c>
      <c r="P267" t="n">
        <v>528.917324</v>
      </c>
      <c r="Q267" t="n">
        <v>15594.90803</v>
      </c>
      <c r="R267" t="n">
        <v>-75829.94378099999</v>
      </c>
      <c r="S267" t="n">
        <v>2522.190001</v>
      </c>
      <c r="T267" t="n">
        <v>2522.190001</v>
      </c>
      <c r="U267" t="n">
        <v>528.917324</v>
      </c>
      <c r="V267" t="n">
        <v>13815.167153</v>
      </c>
      <c r="W267" t="n">
        <v>2674.282783</v>
      </c>
      <c r="X267" t="n">
        <v>16812.298301</v>
      </c>
      <c r="Z267" t="n">
        <v>2083.221444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1" t="inlineStr">
        <is>
          <t>Sélaciens L prof</t>
        </is>
      </c>
      <c r="H268" t="n">
        <v>25677.887496</v>
      </c>
      <c r="I268" t="n">
        <v>85025.569393</v>
      </c>
      <c r="J268" t="n">
        <v>87655.49026999999</v>
      </c>
      <c r="K268" t="n">
        <v>43827.745135</v>
      </c>
      <c r="L268" t="n">
        <v>630806.17817</v>
      </c>
      <c r="M268" t="n">
        <v>514481.410387</v>
      </c>
      <c r="N268" t="n">
        <v>514481.410387</v>
      </c>
      <c r="O268" t="n">
        <v>21093.289073</v>
      </c>
      <c r="P268" t="n">
        <v>3573.574556</v>
      </c>
      <c r="Q268" t="n">
        <v>514481.410387</v>
      </c>
      <c r="R268" t="n">
        <v>-1228387.275522</v>
      </c>
      <c r="S268" t="n">
        <v>21093.289073</v>
      </c>
      <c r="T268" t="n">
        <v>21093.289073</v>
      </c>
      <c r="U268" t="n">
        <v>3573.574556</v>
      </c>
      <c r="V268" t="n">
        <v>31482.800712</v>
      </c>
      <c r="W268" t="n">
        <v>23157.185683</v>
      </c>
      <c r="X268" t="n">
        <v>623084.058893</v>
      </c>
      <c r="Z268" t="n">
        <v>8771.288941999999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1" t="inlineStr">
        <is>
          <t>Crustacés</t>
        </is>
      </c>
      <c r="H269" t="n">
        <v>141.860536</v>
      </c>
      <c r="I269" t="n">
        <v>58.609575</v>
      </c>
      <c r="J269" t="n">
        <v>58.609575</v>
      </c>
      <c r="K269" t="n">
        <v>55.679096</v>
      </c>
      <c r="L269" t="n">
        <v>135.651174</v>
      </c>
      <c r="M269" t="n">
        <v>105.8609</v>
      </c>
      <c r="N269" t="n">
        <v>105.8609</v>
      </c>
      <c r="O269" t="n">
        <v>41.041785</v>
      </c>
      <c r="P269" t="n">
        <v>14.761781</v>
      </c>
      <c r="Q269" t="n">
        <v>105.8609</v>
      </c>
      <c r="R269" t="n">
        <v>105.8609</v>
      </c>
      <c r="S269" t="n">
        <v>41.041785</v>
      </c>
      <c r="T269" t="n">
        <v>41.041785</v>
      </c>
      <c r="U269" t="n">
        <v>14.761781</v>
      </c>
      <c r="V269" t="n">
        <v>14.761781</v>
      </c>
      <c r="W269" t="n">
        <v>43.387398</v>
      </c>
      <c r="X269" t="n">
        <v>109.873168</v>
      </c>
      <c r="Z269" t="n">
        <v>83.9318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1" t="inlineStr">
        <is>
          <t>Sélaciens L côtiers</t>
        </is>
      </c>
      <c r="H270" t="n">
        <v>19687.630586</v>
      </c>
      <c r="I270" t="n">
        <v>40848.675363</v>
      </c>
      <c r="J270" t="n">
        <v>35723.536302</v>
      </c>
      <c r="K270" t="n">
        <v>32001.935703</v>
      </c>
      <c r="L270" t="n">
        <v>144842.06399</v>
      </c>
      <c r="M270" t="n">
        <v>117973.029689</v>
      </c>
      <c r="N270" t="n">
        <v>117973.029689</v>
      </c>
      <c r="O270" t="n">
        <v>11190.890574</v>
      </c>
      <c r="P270" t="n">
        <v>1980.195061</v>
      </c>
      <c r="Q270" t="n">
        <v>117973.029689</v>
      </c>
      <c r="R270" t="n">
        <v>-284142.724554</v>
      </c>
      <c r="S270" t="n">
        <v>11190.890574</v>
      </c>
      <c r="T270" t="n">
        <v>11190.890574</v>
      </c>
      <c r="U270" t="n">
        <v>1980.195061</v>
      </c>
      <c r="V270" t="n">
        <v>22930.423898</v>
      </c>
      <c r="W270" t="n">
        <v>12078.751403</v>
      </c>
      <c r="X270" t="n">
        <v>133154.369612</v>
      </c>
      <c r="Z270" t="n">
        <v>6739.706423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1" t="inlineStr">
        <is>
          <t>Bathy L pred</t>
        </is>
      </c>
      <c r="H271" t="n">
        <v>5440.782564</v>
      </c>
      <c r="I271" t="n">
        <v>2144.122371</v>
      </c>
      <c r="J271" t="n">
        <v>2185.752574</v>
      </c>
      <c r="K271" t="n">
        <v>2076.464946</v>
      </c>
      <c r="L271" t="n">
        <v>5058.397662</v>
      </c>
      <c r="M271" t="n">
        <v>4163.217987</v>
      </c>
      <c r="N271" t="n">
        <v>4163.217987</v>
      </c>
      <c r="O271" t="n">
        <v>1003.279957</v>
      </c>
      <c r="P271" t="n">
        <v>236.286265</v>
      </c>
      <c r="Q271" t="n">
        <v>4163.217987</v>
      </c>
      <c r="R271" t="n">
        <v>4163.217987</v>
      </c>
      <c r="S271" t="n">
        <v>1003.279957</v>
      </c>
      <c r="T271" t="n">
        <v>1003.279957</v>
      </c>
      <c r="U271" t="n">
        <v>236.286265</v>
      </c>
      <c r="V271" t="n">
        <v>236.286265</v>
      </c>
      <c r="W271" t="n">
        <v>1084.214763</v>
      </c>
      <c r="X271" t="n">
        <v>4425.550085</v>
      </c>
      <c r="Z271" t="n">
        <v>2201.333705</v>
      </c>
    </row>
    <row r="272" ht="81" customHeight="1">
      <c r="A272" t="inlineStr">
        <is>
          <t>Marine finfishes not identified</t>
        </is>
      </c>
      <c r="D272" s="11" t="inlineStr">
        <is>
          <t>Côtier L pred | Côtier M pred | Côtier M inv | Côtier S pred | Côtier S inv | Dem L pred | Dem L inv | Dem M pred | Dem M inv | Dem S pred | Dem S inv</t>
        </is>
      </c>
      <c r="H272" t="n">
        <v>2018.695561</v>
      </c>
      <c r="I272" t="n">
        <v>1211.444176</v>
      </c>
      <c r="J272" t="n">
        <v>1938.458457</v>
      </c>
      <c r="K272" t="n">
        <v>1690.422181</v>
      </c>
      <c r="L272" t="n">
        <v>5569.671963</v>
      </c>
      <c r="M272" t="n">
        <v>4489.530498</v>
      </c>
      <c r="N272" t="n">
        <v>4489.530498</v>
      </c>
      <c r="O272" t="n">
        <v>831.906964</v>
      </c>
      <c r="P272" t="n">
        <v>190.310804</v>
      </c>
      <c r="Q272" t="n">
        <v>4489.530498</v>
      </c>
      <c r="R272" t="n">
        <v>-17357.039238</v>
      </c>
      <c r="S272" t="n">
        <v>831.906964</v>
      </c>
      <c r="T272" t="n">
        <v>831.906964</v>
      </c>
      <c r="U272" t="n">
        <v>190.310804</v>
      </c>
      <c r="V272" t="n">
        <v>3365.041061</v>
      </c>
      <c r="W272" t="n">
        <v>883.912743</v>
      </c>
      <c r="X272" t="n">
        <v>4837.598062</v>
      </c>
      <c r="Z272" t="n">
        <v>826.939089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1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1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1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1" t="inlineStr">
        <is>
          <t>Côtier M pred</t>
        </is>
      </c>
      <c r="H276" t="n">
        <v>4166.42123</v>
      </c>
      <c r="I276" t="n">
        <v>2699.893953</v>
      </c>
      <c r="J276" t="n">
        <v>2701.918347</v>
      </c>
      <c r="K276" t="n">
        <v>2566.82243</v>
      </c>
      <c r="L276" t="n">
        <v>5709.562172</v>
      </c>
      <c r="M276" t="n">
        <v>4569.130782</v>
      </c>
      <c r="N276" t="n">
        <v>4569.130782</v>
      </c>
      <c r="O276" t="n">
        <v>1530.766088</v>
      </c>
      <c r="P276" t="n">
        <v>386.842818</v>
      </c>
      <c r="Q276" t="n">
        <v>4569.130782</v>
      </c>
      <c r="R276" t="n">
        <v>-209224.612963</v>
      </c>
      <c r="S276" t="n">
        <v>1530.766088</v>
      </c>
      <c r="T276" t="n">
        <v>1530.766088</v>
      </c>
      <c r="U276" t="n">
        <v>386.842818</v>
      </c>
      <c r="V276" t="n">
        <v>28917.637558</v>
      </c>
      <c r="W276" t="n">
        <v>1628.194696</v>
      </c>
      <c r="X276" t="n">
        <v>4781.767213</v>
      </c>
      <c r="Z276" t="n">
        <v>1625.586348</v>
      </c>
    </row>
    <row r="277" ht="21" customHeight="1">
      <c r="A277" t="inlineStr">
        <is>
          <t>Echeneidae</t>
        </is>
      </c>
      <c r="D277" s="11" t="inlineStr">
        <is>
          <t>Dem L inv</t>
        </is>
      </c>
      <c r="H277" t="n">
        <v>415.128225</v>
      </c>
      <c r="I277" t="n">
        <v>220.343997</v>
      </c>
      <c r="J277" t="n">
        <v>220.343997</v>
      </c>
      <c r="K277" t="n">
        <v>209.326797</v>
      </c>
      <c r="L277" t="n">
        <v>481.097618</v>
      </c>
      <c r="M277" t="n">
        <v>371.896033</v>
      </c>
      <c r="N277" t="n">
        <v>371.896033</v>
      </c>
      <c r="O277" t="n">
        <v>140.023712</v>
      </c>
      <c r="P277" t="n">
        <v>45.241816</v>
      </c>
      <c r="Q277" t="n">
        <v>371.896033</v>
      </c>
      <c r="R277" t="n">
        <v>371.896033</v>
      </c>
      <c r="S277" t="n">
        <v>140.023712</v>
      </c>
      <c r="T277" t="n">
        <v>140.023712</v>
      </c>
      <c r="U277" t="n">
        <v>45.241816</v>
      </c>
      <c r="V277" t="n">
        <v>45.241816</v>
      </c>
      <c r="W277" t="n">
        <v>149.956525</v>
      </c>
      <c r="X277" t="n">
        <v>395.119252</v>
      </c>
      <c r="Z277" t="n">
        <v>213.151858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1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1" t="inlineStr">
        <is>
          <t>Côtier pel L pred</t>
        </is>
      </c>
      <c r="H279" t="n">
        <v>8886.574375</v>
      </c>
      <c r="I279" t="n">
        <v>4351.939949</v>
      </c>
      <c r="J279" t="n">
        <v>5186.075589</v>
      </c>
      <c r="K279" t="n">
        <v>4970.359012</v>
      </c>
      <c r="L279" t="n">
        <v>14096.783373</v>
      </c>
      <c r="M279" t="n">
        <v>11411.07684</v>
      </c>
      <c r="N279" t="n">
        <v>11411.07684</v>
      </c>
      <c r="O279" t="n">
        <v>2474.877467</v>
      </c>
      <c r="P279" t="n">
        <v>525.626343</v>
      </c>
      <c r="Q279" t="n">
        <v>11411.07684</v>
      </c>
      <c r="R279" t="n">
        <v>-50759.157349</v>
      </c>
      <c r="S279" t="n">
        <v>2474.877467</v>
      </c>
      <c r="T279" t="n">
        <v>2474.877467</v>
      </c>
      <c r="U279" t="n">
        <v>525.626343</v>
      </c>
      <c r="V279" t="n">
        <v>8846.789624999999</v>
      </c>
      <c r="W279" t="n">
        <v>2645.523944</v>
      </c>
      <c r="X279" t="n">
        <v>12354.973824</v>
      </c>
      <c r="Z279" t="n">
        <v>3330.282942</v>
      </c>
    </row>
    <row r="280" ht="21" customHeight="1">
      <c r="A280" t="inlineStr">
        <is>
          <t>Holothuriidae</t>
        </is>
      </c>
      <c r="D280" s="11" t="inlineStr">
        <is>
          <t>Benthos</t>
        </is>
      </c>
      <c r="H280" t="n">
        <v>13.33676</v>
      </c>
      <c r="I280" t="n">
        <v>21.686003</v>
      </c>
      <c r="J280" t="n">
        <v>21.686003</v>
      </c>
      <c r="K280" t="n">
        <v>16.041667</v>
      </c>
      <c r="L280" t="n">
        <v>46.572283</v>
      </c>
      <c r="M280" t="n">
        <v>34.72623</v>
      </c>
      <c r="N280" t="n">
        <v>34.72623</v>
      </c>
      <c r="O280" t="n">
        <v>13.557692</v>
      </c>
      <c r="P280" t="n">
        <v>6.214286</v>
      </c>
      <c r="Q280" t="n">
        <v>34.72623</v>
      </c>
      <c r="R280" t="n">
        <v>34.72623</v>
      </c>
      <c r="S280" t="n">
        <v>13.557692</v>
      </c>
      <c r="T280" t="n">
        <v>13.557692</v>
      </c>
      <c r="U280" t="n">
        <v>6.214286</v>
      </c>
      <c r="V280" t="n">
        <v>6.214286</v>
      </c>
      <c r="W280" t="n">
        <v>14.069646</v>
      </c>
      <c r="X280" t="n">
        <v>35.953371</v>
      </c>
      <c r="Z280" t="n">
        <v>9.344255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1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1" t="inlineStr">
        <is>
          <t>Mulets</t>
        </is>
      </c>
      <c r="H282" t="n">
        <v>89.51813900000001</v>
      </c>
      <c r="I282" t="n">
        <v>70.585874</v>
      </c>
      <c r="J282" t="n">
        <v>70.585874</v>
      </c>
      <c r="K282" t="n">
        <v>67.05658</v>
      </c>
      <c r="L282" t="n">
        <v>87.916766</v>
      </c>
      <c r="M282" t="n">
        <v>80.485525</v>
      </c>
      <c r="N282" t="n">
        <v>80.485525</v>
      </c>
      <c r="O282" t="n">
        <v>39.824022</v>
      </c>
      <c r="P282" t="n">
        <v>18.146203</v>
      </c>
      <c r="Q282" t="n">
        <v>80.485525</v>
      </c>
      <c r="R282" t="n">
        <v>80.485525</v>
      </c>
      <c r="S282" t="n">
        <v>39.824022</v>
      </c>
      <c r="T282" t="n">
        <v>39.824022</v>
      </c>
      <c r="U282" t="n">
        <v>18.146203</v>
      </c>
      <c r="V282" t="n">
        <v>18.146203</v>
      </c>
      <c r="W282" t="n">
        <v>40.732178</v>
      </c>
      <c r="X282" t="n">
        <v>82.337551</v>
      </c>
      <c r="Z282" t="n">
        <v>54.458212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1" t="inlineStr">
        <is>
          <t>Crustacés</t>
        </is>
      </c>
      <c r="H283" t="n">
        <v>141.860536</v>
      </c>
      <c r="I283" t="n">
        <v>58.609575</v>
      </c>
      <c r="J283" t="n">
        <v>58.609575</v>
      </c>
      <c r="K283" t="n">
        <v>55.679096</v>
      </c>
      <c r="L283" t="n">
        <v>135.651174</v>
      </c>
      <c r="M283" t="n">
        <v>105.8609</v>
      </c>
      <c r="N283" t="n">
        <v>105.8609</v>
      </c>
      <c r="O283" t="n">
        <v>41.041785</v>
      </c>
      <c r="P283" t="n">
        <v>14.761781</v>
      </c>
      <c r="Q283" t="n">
        <v>105.8609</v>
      </c>
      <c r="R283" t="n">
        <v>105.8609</v>
      </c>
      <c r="S283" t="n">
        <v>41.041785</v>
      </c>
      <c r="T283" t="n">
        <v>41.041785</v>
      </c>
      <c r="U283" t="n">
        <v>14.761781</v>
      </c>
      <c r="V283" t="n">
        <v>14.761781</v>
      </c>
      <c r="W283" t="n">
        <v>43.387398</v>
      </c>
      <c r="X283" t="n">
        <v>109.873168</v>
      </c>
      <c r="Z283" t="n">
        <v>83.9318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1" t="inlineStr">
        <is>
          <t>Sélaciens L prof</t>
        </is>
      </c>
      <c r="H284" t="n">
        <v>25677.887496</v>
      </c>
      <c r="I284" t="n">
        <v>85025.569393</v>
      </c>
      <c r="J284" t="n">
        <v>87655.49026999999</v>
      </c>
      <c r="K284" t="n">
        <v>43827.745135</v>
      </c>
      <c r="L284" t="n">
        <v>630806.17817</v>
      </c>
      <c r="M284" t="n">
        <v>514481.410387</v>
      </c>
      <c r="N284" t="n">
        <v>514481.410387</v>
      </c>
      <c r="O284" t="n">
        <v>21093.289073</v>
      </c>
      <c r="P284" t="n">
        <v>3573.574556</v>
      </c>
      <c r="Q284" t="n">
        <v>514481.410387</v>
      </c>
      <c r="R284" t="n">
        <v>-1228387.275522</v>
      </c>
      <c r="S284" t="n">
        <v>21093.289073</v>
      </c>
      <c r="T284" t="n">
        <v>21093.289073</v>
      </c>
      <c r="U284" t="n">
        <v>3573.574556</v>
      </c>
      <c r="V284" t="n">
        <v>31482.800712</v>
      </c>
      <c r="W284" t="n">
        <v>23157.185683</v>
      </c>
      <c r="X284" t="n">
        <v>623084.058893</v>
      </c>
      <c r="Z284" t="n">
        <v>8771.288941999999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1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1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1" t="inlineStr">
        <is>
          <t>Unresolved</t>
        </is>
      </c>
    </row>
    <row r="288" ht="21" customHeight="1">
      <c r="A288" t="inlineStr">
        <is>
          <t>Mustelus</t>
        </is>
      </c>
      <c r="D288" s="11" t="inlineStr">
        <is>
          <t>Sélaciens L côtiers</t>
        </is>
      </c>
      <c r="H288" t="n">
        <v>19687.630586</v>
      </c>
      <c r="I288" t="n">
        <v>40848.675363</v>
      </c>
      <c r="J288" t="n">
        <v>35723.536302</v>
      </c>
      <c r="K288" t="n">
        <v>32001.935703</v>
      </c>
      <c r="L288" t="n">
        <v>144842.06399</v>
      </c>
      <c r="M288" t="n">
        <v>117973.029689</v>
      </c>
      <c r="N288" t="n">
        <v>117973.029689</v>
      </c>
      <c r="O288" t="n">
        <v>11190.890574</v>
      </c>
      <c r="P288" t="n">
        <v>1980.195061</v>
      </c>
      <c r="Q288" t="n">
        <v>117973.029689</v>
      </c>
      <c r="R288" t="n">
        <v>-284142.724554</v>
      </c>
      <c r="S288" t="n">
        <v>11190.890574</v>
      </c>
      <c r="T288" t="n">
        <v>11190.890574</v>
      </c>
      <c r="U288" t="n">
        <v>1980.195061</v>
      </c>
      <c r="V288" t="n">
        <v>22930.423898</v>
      </c>
      <c r="W288" t="n">
        <v>12078.751403</v>
      </c>
      <c r="X288" t="n">
        <v>133154.369612</v>
      </c>
      <c r="Z288" t="n">
        <v>6739.706423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1" t="inlineStr">
        <is>
          <t>Dem S pred</t>
        </is>
      </c>
      <c r="H289" t="n">
        <v>2046.175317</v>
      </c>
      <c r="I289" t="n">
        <v>964.516796</v>
      </c>
      <c r="J289" t="n">
        <v>982.6208789999999</v>
      </c>
      <c r="K289" t="n">
        <v>933.489835</v>
      </c>
      <c r="L289" t="n">
        <v>2349.753802</v>
      </c>
      <c r="M289" t="n">
        <v>1889.923931</v>
      </c>
      <c r="N289" t="n">
        <v>1889.923931</v>
      </c>
      <c r="O289" t="n">
        <v>534.745804</v>
      </c>
      <c r="P289" t="n">
        <v>145.634911</v>
      </c>
      <c r="Q289" t="n">
        <v>1889.923931</v>
      </c>
      <c r="R289" t="n">
        <v>1889.923931</v>
      </c>
      <c r="S289" t="n">
        <v>534.745804</v>
      </c>
      <c r="T289" t="n">
        <v>534.745804</v>
      </c>
      <c r="U289" t="n">
        <v>145.634911</v>
      </c>
      <c r="V289" t="n">
        <v>145.634911</v>
      </c>
      <c r="W289" t="n">
        <v>572.331948</v>
      </c>
      <c r="X289" t="n">
        <v>1986.222928</v>
      </c>
      <c r="Z289" t="n">
        <v>927.764738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1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1" t="inlineStr">
        <is>
          <t>Dem L pred</t>
        </is>
      </c>
      <c r="H291" t="n">
        <v>6647.368802</v>
      </c>
      <c r="I291" t="n">
        <v>4415.463105</v>
      </c>
      <c r="J291" t="n">
        <v>4454.682261</v>
      </c>
      <c r="K291" t="n">
        <v>3753.374229</v>
      </c>
      <c r="L291" t="n">
        <v>11046.457304</v>
      </c>
      <c r="M291" t="n">
        <v>8839.250757</v>
      </c>
      <c r="N291" t="n">
        <v>8839.250757</v>
      </c>
      <c r="O291" t="n">
        <v>2210.08062</v>
      </c>
      <c r="P291" t="n">
        <v>502.733116</v>
      </c>
      <c r="Q291" t="n">
        <v>8839.250757</v>
      </c>
      <c r="R291" t="n">
        <v>8839.250757</v>
      </c>
      <c r="S291" t="n">
        <v>2210.08062</v>
      </c>
      <c r="T291" t="n">
        <v>2210.08062</v>
      </c>
      <c r="U291" t="n">
        <v>502.733116</v>
      </c>
      <c r="V291" t="n">
        <v>502.733116</v>
      </c>
      <c r="W291" t="n">
        <v>2393.190154</v>
      </c>
      <c r="X291" t="n">
        <v>9644.19414</v>
      </c>
      <c r="Z291" t="n">
        <v>2496.813504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1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1" t="inlineStr">
        <is>
          <t>Sélaciens L côtiers</t>
        </is>
      </c>
      <c r="H293" t="n">
        <v>19687.630586</v>
      </c>
      <c r="I293" t="n">
        <v>40848.675363</v>
      </c>
      <c r="J293" t="n">
        <v>35723.536302</v>
      </c>
      <c r="K293" t="n">
        <v>32001.935703</v>
      </c>
      <c r="L293" t="n">
        <v>144842.06399</v>
      </c>
      <c r="M293" t="n">
        <v>117973.029689</v>
      </c>
      <c r="N293" t="n">
        <v>117973.029689</v>
      </c>
      <c r="O293" t="n">
        <v>11190.890574</v>
      </c>
      <c r="P293" t="n">
        <v>1980.195061</v>
      </c>
      <c r="Q293" t="n">
        <v>117973.029689</v>
      </c>
      <c r="R293" t="n">
        <v>-284142.724554</v>
      </c>
      <c r="S293" t="n">
        <v>11190.890574</v>
      </c>
      <c r="T293" t="n">
        <v>11190.890574</v>
      </c>
      <c r="U293" t="n">
        <v>1980.195061</v>
      </c>
      <c r="V293" t="n">
        <v>22930.423898</v>
      </c>
      <c r="W293" t="n">
        <v>12078.751403</v>
      </c>
      <c r="X293" t="n">
        <v>133154.369612</v>
      </c>
      <c r="Z293" t="n">
        <v>6739.706423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1" t="inlineStr">
        <is>
          <t>Sélaciens L côtiers</t>
        </is>
      </c>
      <c r="H294" t="n">
        <v>19687.630586</v>
      </c>
      <c r="I294" t="n">
        <v>40848.675363</v>
      </c>
      <c r="J294" t="n">
        <v>35723.536302</v>
      </c>
      <c r="K294" t="n">
        <v>32001.935703</v>
      </c>
      <c r="L294" t="n">
        <v>144842.06399</v>
      </c>
      <c r="M294" t="n">
        <v>117973.029689</v>
      </c>
      <c r="N294" t="n">
        <v>117973.029689</v>
      </c>
      <c r="O294" t="n">
        <v>11190.890574</v>
      </c>
      <c r="P294" t="n">
        <v>1980.195061</v>
      </c>
      <c r="Q294" t="n">
        <v>117973.029689</v>
      </c>
      <c r="R294" t="n">
        <v>-284142.724554</v>
      </c>
      <c r="S294" t="n">
        <v>11190.890574</v>
      </c>
      <c r="T294" t="n">
        <v>11190.890574</v>
      </c>
      <c r="U294" t="n">
        <v>1980.195061</v>
      </c>
      <c r="V294" t="n">
        <v>22930.423898</v>
      </c>
      <c r="W294" t="n">
        <v>12078.751403</v>
      </c>
      <c r="X294" t="n">
        <v>133154.369612</v>
      </c>
      <c r="Z294" t="n">
        <v>6739.706423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1" t="inlineStr">
        <is>
          <t>Crustacés</t>
        </is>
      </c>
      <c r="H295" t="n">
        <v>141.860536</v>
      </c>
      <c r="I295" t="n">
        <v>58.609575</v>
      </c>
      <c r="J295" t="n">
        <v>58.609575</v>
      </c>
      <c r="K295" t="n">
        <v>55.679096</v>
      </c>
      <c r="L295" t="n">
        <v>135.651174</v>
      </c>
      <c r="M295" t="n">
        <v>105.8609</v>
      </c>
      <c r="N295" t="n">
        <v>105.8609</v>
      </c>
      <c r="O295" t="n">
        <v>41.041785</v>
      </c>
      <c r="P295" t="n">
        <v>14.761781</v>
      </c>
      <c r="Q295" t="n">
        <v>105.8609</v>
      </c>
      <c r="R295" t="n">
        <v>105.8609</v>
      </c>
      <c r="S295" t="n">
        <v>41.041785</v>
      </c>
      <c r="T295" t="n">
        <v>41.041785</v>
      </c>
      <c r="U295" t="n">
        <v>14.761781</v>
      </c>
      <c r="V295" t="n">
        <v>14.761781</v>
      </c>
      <c r="W295" t="n">
        <v>43.387398</v>
      </c>
      <c r="X295" t="n">
        <v>109.873168</v>
      </c>
      <c r="Z295" t="n">
        <v>83.9318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1" t="inlineStr">
        <is>
          <t>Côtier M inv</t>
        </is>
      </c>
      <c r="H296" t="n">
        <v>398.168364</v>
      </c>
      <c r="I296" t="n">
        <v>199.191645</v>
      </c>
      <c r="J296" t="n">
        <v>199.191645</v>
      </c>
      <c r="K296" t="n">
        <v>198.220844</v>
      </c>
      <c r="L296" t="n">
        <v>425.732264</v>
      </c>
      <c r="M296" t="n">
        <v>328.010307</v>
      </c>
      <c r="N296" t="n">
        <v>328.010307</v>
      </c>
      <c r="O296" t="n">
        <v>128.891308</v>
      </c>
      <c r="P296" t="n">
        <v>43.202194</v>
      </c>
      <c r="Q296" t="n">
        <v>328.010307</v>
      </c>
      <c r="R296" t="n">
        <v>328.010307</v>
      </c>
      <c r="S296" t="n">
        <v>128.891308</v>
      </c>
      <c r="T296" t="n">
        <v>128.891308</v>
      </c>
      <c r="U296" t="n">
        <v>43.202194</v>
      </c>
      <c r="V296" t="n">
        <v>43.202194</v>
      </c>
      <c r="W296" t="n">
        <v>135.841405</v>
      </c>
      <c r="X296" t="n">
        <v>344.665099</v>
      </c>
      <c r="Z296" t="n">
        <v>208.50974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1" t="inlineStr">
        <is>
          <t>Crustacés</t>
        </is>
      </c>
      <c r="H297" t="n">
        <v>141.860536</v>
      </c>
      <c r="I297" t="n">
        <v>58.609575</v>
      </c>
      <c r="J297" t="n">
        <v>58.609575</v>
      </c>
      <c r="K297" t="n">
        <v>55.679096</v>
      </c>
      <c r="L297" t="n">
        <v>135.651174</v>
      </c>
      <c r="M297" t="n">
        <v>105.8609</v>
      </c>
      <c r="N297" t="n">
        <v>105.8609</v>
      </c>
      <c r="O297" t="n">
        <v>41.041785</v>
      </c>
      <c r="P297" t="n">
        <v>14.761781</v>
      </c>
      <c r="Q297" t="n">
        <v>105.8609</v>
      </c>
      <c r="R297" t="n">
        <v>105.8609</v>
      </c>
      <c r="S297" t="n">
        <v>41.041785</v>
      </c>
      <c r="T297" t="n">
        <v>41.041785</v>
      </c>
      <c r="U297" t="n">
        <v>14.761781</v>
      </c>
      <c r="V297" t="n">
        <v>14.761781</v>
      </c>
      <c r="W297" t="n">
        <v>43.387398</v>
      </c>
      <c r="X297" t="n">
        <v>109.873168</v>
      </c>
      <c r="Z297" t="n">
        <v>83.9318</v>
      </c>
    </row>
    <row r="298" ht="21" customHeight="1">
      <c r="A298" t="inlineStr">
        <is>
          <t>Trachichthyidae</t>
        </is>
      </c>
      <c r="D298" s="11" t="inlineStr">
        <is>
          <t>Bathy L pred</t>
        </is>
      </c>
      <c r="H298" t="n">
        <v>5440.782564</v>
      </c>
      <c r="I298" t="n">
        <v>2144.122371</v>
      </c>
      <c r="J298" t="n">
        <v>2185.752574</v>
      </c>
      <c r="K298" t="n">
        <v>2076.464946</v>
      </c>
      <c r="L298" t="n">
        <v>5058.397662</v>
      </c>
      <c r="M298" t="n">
        <v>4163.217987</v>
      </c>
      <c r="N298" t="n">
        <v>4163.217987</v>
      </c>
      <c r="O298" t="n">
        <v>1003.279957</v>
      </c>
      <c r="P298" t="n">
        <v>236.286265</v>
      </c>
      <c r="Q298" t="n">
        <v>4163.217987</v>
      </c>
      <c r="R298" t="n">
        <v>4163.217987</v>
      </c>
      <c r="S298" t="n">
        <v>1003.279957</v>
      </c>
      <c r="T298" t="n">
        <v>1003.279957</v>
      </c>
      <c r="U298" t="n">
        <v>236.286265</v>
      </c>
      <c r="V298" t="n">
        <v>236.286265</v>
      </c>
      <c r="W298" t="n">
        <v>1084.214763</v>
      </c>
      <c r="X298" t="n">
        <v>4425.550085</v>
      </c>
      <c r="Z298" t="n">
        <v>2201.333705</v>
      </c>
    </row>
    <row r="299" ht="21" customHeight="1">
      <c r="A299" t="inlineStr">
        <is>
          <t>Leptocharias smithii</t>
        </is>
      </c>
      <c r="D299" s="11" t="inlineStr">
        <is>
          <t>Sélaciens L côtiers</t>
        </is>
      </c>
      <c r="H299" t="n">
        <v>19687.630586</v>
      </c>
      <c r="I299" t="n">
        <v>40848.675363</v>
      </c>
      <c r="J299" t="n">
        <v>35723.536302</v>
      </c>
      <c r="K299" t="n">
        <v>32001.935703</v>
      </c>
      <c r="L299" t="n">
        <v>144842.06399</v>
      </c>
      <c r="M299" t="n">
        <v>117973.029689</v>
      </c>
      <c r="N299" t="n">
        <v>117973.029689</v>
      </c>
      <c r="O299" t="n">
        <v>11190.890574</v>
      </c>
      <c r="P299" t="n">
        <v>1980.195061</v>
      </c>
      <c r="Q299" t="n">
        <v>117973.029689</v>
      </c>
      <c r="R299" t="n">
        <v>-284142.724554</v>
      </c>
      <c r="S299" t="n">
        <v>11190.890574</v>
      </c>
      <c r="T299" t="n">
        <v>11190.890574</v>
      </c>
      <c r="U299" t="n">
        <v>1980.195061</v>
      </c>
      <c r="V299" t="n">
        <v>22930.423898</v>
      </c>
      <c r="W299" t="n">
        <v>12078.751403</v>
      </c>
      <c r="X299" t="n">
        <v>133154.369612</v>
      </c>
      <c r="Z299" t="n">
        <v>6739.706423</v>
      </c>
    </row>
    <row r="300" ht="21" customHeight="1">
      <c r="A300" t="inlineStr">
        <is>
          <t>Lophius vaillanti</t>
        </is>
      </c>
      <c r="D300" s="11" t="inlineStr">
        <is>
          <t>Bathy L pred</t>
        </is>
      </c>
      <c r="H300" t="n">
        <v>5440.782564</v>
      </c>
      <c r="I300" t="n">
        <v>2144.122371</v>
      </c>
      <c r="J300" t="n">
        <v>2185.752574</v>
      </c>
      <c r="K300" t="n">
        <v>2076.464946</v>
      </c>
      <c r="L300" t="n">
        <v>5058.397662</v>
      </c>
      <c r="M300" t="n">
        <v>4163.217987</v>
      </c>
      <c r="N300" t="n">
        <v>4163.217987</v>
      </c>
      <c r="O300" t="n">
        <v>1003.279957</v>
      </c>
      <c r="P300" t="n">
        <v>236.286265</v>
      </c>
      <c r="Q300" t="n">
        <v>4163.217987</v>
      </c>
      <c r="R300" t="n">
        <v>4163.217987</v>
      </c>
      <c r="S300" t="n">
        <v>1003.279957</v>
      </c>
      <c r="T300" t="n">
        <v>1003.279957</v>
      </c>
      <c r="U300" t="n">
        <v>236.286265</v>
      </c>
      <c r="V300" t="n">
        <v>236.286265</v>
      </c>
      <c r="W300" t="n">
        <v>1084.214763</v>
      </c>
      <c r="X300" t="n">
        <v>4425.550085</v>
      </c>
      <c r="Z300" t="n">
        <v>2201.333705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1" t="inlineStr">
        <is>
          <t>Dem M pred</t>
        </is>
      </c>
      <c r="H301" t="n">
        <v>4156.715712</v>
      </c>
      <c r="I301" t="n">
        <v>1627.447794</v>
      </c>
      <c r="J301" t="n">
        <v>1629.386931</v>
      </c>
      <c r="K301" t="n">
        <v>1547.917585</v>
      </c>
      <c r="L301" t="n">
        <v>3524.148314</v>
      </c>
      <c r="M301" t="n">
        <v>2797.906815</v>
      </c>
      <c r="N301" t="n">
        <v>2797.906815</v>
      </c>
      <c r="O301" t="n">
        <v>878.433987</v>
      </c>
      <c r="P301" t="n">
        <v>230.471022</v>
      </c>
      <c r="Q301" t="n">
        <v>2797.906815</v>
      </c>
      <c r="R301" t="n">
        <v>2797.906815</v>
      </c>
      <c r="S301" t="n">
        <v>878.433987</v>
      </c>
      <c r="T301" t="n">
        <v>878.433987</v>
      </c>
      <c r="U301" t="n">
        <v>230.471022</v>
      </c>
      <c r="V301" t="n">
        <v>230.471022</v>
      </c>
      <c r="W301" t="n">
        <v>931.682324</v>
      </c>
      <c r="X301" t="n">
        <v>2978.125002</v>
      </c>
      <c r="Z301" t="n">
        <v>1719.622412</v>
      </c>
    </row>
    <row r="302" ht="21" customHeight="1">
      <c r="A302" t="inlineStr">
        <is>
          <t>Cyprinidae</t>
        </is>
      </c>
      <c r="D302" s="11" t="inlineStr">
        <is>
          <t>Unresolved</t>
        </is>
      </c>
    </row>
    <row r="303" ht="21" customHeight="1">
      <c r="A303" t="inlineStr">
        <is>
          <t>Inermiidae</t>
        </is>
      </c>
      <c r="D303" s="11" t="inlineStr">
        <is>
          <t>Unresolved</t>
        </is>
      </c>
    </row>
    <row r="304" ht="21" customHeight="1">
      <c r="A304" t="inlineStr">
        <is>
          <t>Pristidae</t>
        </is>
      </c>
      <c r="D304" s="11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1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1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1" t="inlineStr">
        <is>
          <t>Céphalopodes</t>
        </is>
      </c>
      <c r="H307" t="n">
        <v>2209.641323</v>
      </c>
      <c r="I307" t="n">
        <v>533.937243</v>
      </c>
      <c r="J307" t="n">
        <v>533.937243</v>
      </c>
      <c r="K307" t="n">
        <v>507.240381</v>
      </c>
      <c r="L307" t="n">
        <v>1169.060818</v>
      </c>
      <c r="M307" t="n">
        <v>955.905028</v>
      </c>
      <c r="N307" t="n">
        <v>955.905028</v>
      </c>
      <c r="O307" t="n">
        <v>259.897575</v>
      </c>
      <c r="P307" t="n">
        <v>71.4718</v>
      </c>
      <c r="Q307" t="n">
        <v>955.905028</v>
      </c>
      <c r="R307" t="n">
        <v>955.905028</v>
      </c>
      <c r="S307" t="n">
        <v>259.897575</v>
      </c>
      <c r="T307" t="n">
        <v>259.897575</v>
      </c>
      <c r="U307" t="n">
        <v>71.4718</v>
      </c>
      <c r="V307" t="n">
        <v>71.4718</v>
      </c>
      <c r="W307" t="n">
        <v>275.401339</v>
      </c>
      <c r="X307" t="n">
        <v>1017.651066</v>
      </c>
      <c r="Z307" t="n">
        <v>1022.837477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1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1" t="inlineStr">
        <is>
          <t>Dem L pred</t>
        </is>
      </c>
      <c r="H309" t="n">
        <v>6647.368802</v>
      </c>
      <c r="I309" t="n">
        <v>4415.463105</v>
      </c>
      <c r="J309" t="n">
        <v>4454.682261</v>
      </c>
      <c r="K309" t="n">
        <v>3753.374229</v>
      </c>
      <c r="L309" t="n">
        <v>11046.457304</v>
      </c>
      <c r="M309" t="n">
        <v>8839.250757</v>
      </c>
      <c r="N309" t="n">
        <v>8839.250757</v>
      </c>
      <c r="O309" t="n">
        <v>2210.08062</v>
      </c>
      <c r="P309" t="n">
        <v>502.733116</v>
      </c>
      <c r="Q309" t="n">
        <v>8839.250757</v>
      </c>
      <c r="R309" t="n">
        <v>8839.250757</v>
      </c>
      <c r="S309" t="n">
        <v>2210.08062</v>
      </c>
      <c r="T309" t="n">
        <v>2210.08062</v>
      </c>
      <c r="U309" t="n">
        <v>502.733116</v>
      </c>
      <c r="V309" t="n">
        <v>502.733116</v>
      </c>
      <c r="W309" t="n">
        <v>2393.190154</v>
      </c>
      <c r="X309" t="n">
        <v>9644.19414</v>
      </c>
      <c r="Z309" t="n">
        <v>2496.813504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1" t="inlineStr">
        <is>
          <t>Pel L pred</t>
        </is>
      </c>
      <c r="H310" t="n">
        <v>3931.194334</v>
      </c>
      <c r="I310" t="n">
        <v>2174.355127</v>
      </c>
      <c r="J310" t="n">
        <v>2227.613295</v>
      </c>
      <c r="K310" t="n">
        <v>2116.23263</v>
      </c>
      <c r="L310" t="n">
        <v>5671.221213</v>
      </c>
      <c r="M310" t="n">
        <v>4708.492365</v>
      </c>
      <c r="N310" t="n">
        <v>4708.492365</v>
      </c>
      <c r="O310" t="n">
        <v>1256.374177</v>
      </c>
      <c r="P310" t="n">
        <v>312.251371</v>
      </c>
      <c r="Q310" t="n">
        <v>4708.492365</v>
      </c>
      <c r="R310" t="n">
        <v>-58015.203039</v>
      </c>
      <c r="S310" t="n">
        <v>1256.374177</v>
      </c>
      <c r="T310" t="n">
        <v>1256.374177</v>
      </c>
      <c r="U310" t="n">
        <v>312.251371</v>
      </c>
      <c r="V310" t="n">
        <v>4998.085196</v>
      </c>
      <c r="W310" t="n">
        <v>1354.495716</v>
      </c>
      <c r="X310" t="n">
        <v>5057.925719</v>
      </c>
      <c r="Z310" t="n">
        <v>1691.840323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1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1" t="inlineStr">
        <is>
          <t>Sélaciens L prof</t>
        </is>
      </c>
      <c r="H312" t="n">
        <v>25677.887496</v>
      </c>
      <c r="I312" t="n">
        <v>85025.569393</v>
      </c>
      <c r="J312" t="n">
        <v>87655.49026999999</v>
      </c>
      <c r="K312" t="n">
        <v>43827.745135</v>
      </c>
      <c r="L312" t="n">
        <v>630806.17817</v>
      </c>
      <c r="M312" t="n">
        <v>514481.410387</v>
      </c>
      <c r="N312" t="n">
        <v>514481.410387</v>
      </c>
      <c r="O312" t="n">
        <v>21093.289073</v>
      </c>
      <c r="P312" t="n">
        <v>3573.574556</v>
      </c>
      <c r="Q312" t="n">
        <v>514481.410387</v>
      </c>
      <c r="R312" t="n">
        <v>-1228387.275522</v>
      </c>
      <c r="S312" t="n">
        <v>21093.289073</v>
      </c>
      <c r="T312" t="n">
        <v>21093.289073</v>
      </c>
      <c r="U312" t="n">
        <v>3573.574556</v>
      </c>
      <c r="V312" t="n">
        <v>31482.800712</v>
      </c>
      <c r="W312" t="n">
        <v>23157.185683</v>
      </c>
      <c r="X312" t="n">
        <v>623084.058893</v>
      </c>
      <c r="Z312" t="n">
        <v>8771.288941999999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1" t="inlineStr">
        <is>
          <t>Bathy L pred</t>
        </is>
      </c>
      <c r="H313" t="n">
        <v>5440.782564</v>
      </c>
      <c r="I313" t="n">
        <v>2144.122371</v>
      </c>
      <c r="J313" t="n">
        <v>2185.752574</v>
      </c>
      <c r="K313" t="n">
        <v>2076.464946</v>
      </c>
      <c r="L313" t="n">
        <v>5058.397662</v>
      </c>
      <c r="M313" t="n">
        <v>4163.217987</v>
      </c>
      <c r="N313" t="n">
        <v>4163.217987</v>
      </c>
      <c r="O313" t="n">
        <v>1003.279957</v>
      </c>
      <c r="P313" t="n">
        <v>236.286265</v>
      </c>
      <c r="Q313" t="n">
        <v>4163.217987</v>
      </c>
      <c r="R313" t="n">
        <v>4163.217987</v>
      </c>
      <c r="S313" t="n">
        <v>1003.279957</v>
      </c>
      <c r="T313" t="n">
        <v>1003.279957</v>
      </c>
      <c r="U313" t="n">
        <v>236.286265</v>
      </c>
      <c r="V313" t="n">
        <v>236.286265</v>
      </c>
      <c r="W313" t="n">
        <v>1084.214763</v>
      </c>
      <c r="X313" t="n">
        <v>4425.550085</v>
      </c>
      <c r="Z313" t="n">
        <v>2201.333705</v>
      </c>
    </row>
    <row r="314" ht="21" customHeight="1">
      <c r="A314" t="inlineStr">
        <is>
          <t>Centrophorus lusitanicus</t>
        </is>
      </c>
      <c r="D314" s="11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1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1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1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1" t="inlineStr">
        <is>
          <t>Sélaciens L prof</t>
        </is>
      </c>
      <c r="H318" t="n">
        <v>25677.887496</v>
      </c>
      <c r="I318" t="n">
        <v>85025.569393</v>
      </c>
      <c r="J318" t="n">
        <v>87655.49026999999</v>
      </c>
      <c r="K318" t="n">
        <v>43827.745135</v>
      </c>
      <c r="L318" t="n">
        <v>630806.17817</v>
      </c>
      <c r="M318" t="n">
        <v>514481.410387</v>
      </c>
      <c r="N318" t="n">
        <v>514481.410387</v>
      </c>
      <c r="O318" t="n">
        <v>21093.289073</v>
      </c>
      <c r="P318" t="n">
        <v>3573.574556</v>
      </c>
      <c r="Q318" t="n">
        <v>514481.410387</v>
      </c>
      <c r="R318" t="n">
        <v>-1228387.275522</v>
      </c>
      <c r="S318" t="n">
        <v>21093.289073</v>
      </c>
      <c r="T318" t="n">
        <v>21093.289073</v>
      </c>
      <c r="U318" t="n">
        <v>3573.574556</v>
      </c>
      <c r="V318" t="n">
        <v>31482.800712</v>
      </c>
      <c r="W318" t="n">
        <v>23157.185683</v>
      </c>
      <c r="X318" t="n">
        <v>623084.058893</v>
      </c>
      <c r="Z318" t="n">
        <v>8771.288941999999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1" t="inlineStr">
        <is>
          <t>Benthos</t>
        </is>
      </c>
      <c r="H319" t="n">
        <v>13.33676</v>
      </c>
      <c r="I319" t="n">
        <v>21.686003</v>
      </c>
      <c r="J319" t="n">
        <v>21.686003</v>
      </c>
      <c r="K319" t="n">
        <v>16.041667</v>
      </c>
      <c r="L319" t="n">
        <v>46.572283</v>
      </c>
      <c r="M319" t="n">
        <v>34.72623</v>
      </c>
      <c r="N319" t="n">
        <v>34.72623</v>
      </c>
      <c r="O319" t="n">
        <v>13.557692</v>
      </c>
      <c r="P319" t="n">
        <v>6.214286</v>
      </c>
      <c r="Q319" t="n">
        <v>34.72623</v>
      </c>
      <c r="R319" t="n">
        <v>34.72623</v>
      </c>
      <c r="S319" t="n">
        <v>13.557692</v>
      </c>
      <c r="T319" t="n">
        <v>13.557692</v>
      </c>
      <c r="U319" t="n">
        <v>6.214286</v>
      </c>
      <c r="V319" t="n">
        <v>6.214286</v>
      </c>
      <c r="W319" t="n">
        <v>14.069646</v>
      </c>
      <c r="X319" t="n">
        <v>35.953371</v>
      </c>
      <c r="Z319" t="n">
        <v>9.344255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1" t="inlineStr">
        <is>
          <t>Côtier pel L pred</t>
        </is>
      </c>
      <c r="H320" t="n">
        <v>8886.574375</v>
      </c>
      <c r="I320" t="n">
        <v>4351.939949</v>
      </c>
      <c r="J320" t="n">
        <v>5186.075589</v>
      </c>
      <c r="K320" t="n">
        <v>4970.359012</v>
      </c>
      <c r="L320" t="n">
        <v>14096.783373</v>
      </c>
      <c r="M320" t="n">
        <v>11411.07684</v>
      </c>
      <c r="N320" t="n">
        <v>11411.07684</v>
      </c>
      <c r="O320" t="n">
        <v>2474.877467</v>
      </c>
      <c r="P320" t="n">
        <v>525.626343</v>
      </c>
      <c r="Q320" t="n">
        <v>11411.07684</v>
      </c>
      <c r="R320" t="n">
        <v>-50759.157349</v>
      </c>
      <c r="S320" t="n">
        <v>2474.877467</v>
      </c>
      <c r="T320" t="n">
        <v>2474.877467</v>
      </c>
      <c r="U320" t="n">
        <v>525.626343</v>
      </c>
      <c r="V320" t="n">
        <v>8846.789624999999</v>
      </c>
      <c r="W320" t="n">
        <v>2645.523944</v>
      </c>
      <c r="X320" t="n">
        <v>12354.973824</v>
      </c>
      <c r="Z320" t="n">
        <v>3330.282942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1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1" t="inlineStr">
        <is>
          <t>Côtier pel L pred</t>
        </is>
      </c>
      <c r="H322" t="n">
        <v>8886.574375</v>
      </c>
      <c r="I322" t="n">
        <v>4351.939949</v>
      </c>
      <c r="J322" t="n">
        <v>5186.075589</v>
      </c>
      <c r="K322" t="n">
        <v>4970.359012</v>
      </c>
      <c r="L322" t="n">
        <v>14096.783373</v>
      </c>
      <c r="M322" t="n">
        <v>11411.07684</v>
      </c>
      <c r="N322" t="n">
        <v>11411.07684</v>
      </c>
      <c r="O322" t="n">
        <v>2474.877467</v>
      </c>
      <c r="P322" t="n">
        <v>525.626343</v>
      </c>
      <c r="Q322" t="n">
        <v>11411.07684</v>
      </c>
      <c r="R322" t="n">
        <v>-50759.157349</v>
      </c>
      <c r="S322" t="n">
        <v>2474.877467</v>
      </c>
      <c r="T322" t="n">
        <v>2474.877467</v>
      </c>
      <c r="U322" t="n">
        <v>525.626343</v>
      </c>
      <c r="V322" t="n">
        <v>8846.789624999999</v>
      </c>
      <c r="W322" t="n">
        <v>2645.523944</v>
      </c>
      <c r="X322" t="n">
        <v>12354.973824</v>
      </c>
      <c r="Z322" t="n">
        <v>3330.282942</v>
      </c>
    </row>
    <row r="323" ht="21" customHeight="1">
      <c r="A323" t="inlineStr">
        <is>
          <t>Oblada melanurus</t>
        </is>
      </c>
      <c r="D323" s="11" t="inlineStr">
        <is>
          <t>Côtier S inv</t>
        </is>
      </c>
      <c r="H323" t="n">
        <v>269.022913</v>
      </c>
      <c r="I323" t="n">
        <v>143.357993</v>
      </c>
      <c r="J323" t="n">
        <v>143.744849</v>
      </c>
      <c r="K323" t="n">
        <v>140.09455</v>
      </c>
      <c r="L323" t="n">
        <v>302.43669</v>
      </c>
      <c r="M323" t="n">
        <v>237.484146</v>
      </c>
      <c r="N323" t="n">
        <v>237.484146</v>
      </c>
      <c r="O323" t="n">
        <v>92.381467</v>
      </c>
      <c r="P323" t="n">
        <v>32.138237</v>
      </c>
      <c r="Q323" t="n">
        <v>237.484146</v>
      </c>
      <c r="R323" t="n">
        <v>237.484146</v>
      </c>
      <c r="S323" t="n">
        <v>92.381467</v>
      </c>
      <c r="T323" t="n">
        <v>92.381467</v>
      </c>
      <c r="U323" t="n">
        <v>32.138237</v>
      </c>
      <c r="V323" t="n">
        <v>32.138237</v>
      </c>
      <c r="W323" t="n">
        <v>96.991221</v>
      </c>
      <c r="X323" t="n">
        <v>248.321196</v>
      </c>
      <c r="Z323" t="n">
        <v>141.325989</v>
      </c>
    </row>
    <row r="324" ht="21" customHeight="1">
      <c r="A324" t="inlineStr">
        <is>
          <t>Carcharhiniformes</t>
        </is>
      </c>
      <c r="D324" s="11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1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1" t="inlineStr">
        <is>
          <t>Céphalopodes | Crustacés | Benthos</t>
        </is>
      </c>
      <c r="H326" t="n">
        <v>1454.430383</v>
      </c>
      <c r="I326" t="n">
        <v>359.98727</v>
      </c>
      <c r="J326" t="n">
        <v>359.98727</v>
      </c>
      <c r="K326" t="n">
        <v>341.77341</v>
      </c>
      <c r="L326" t="n">
        <v>790.462172</v>
      </c>
      <c r="M326" t="n">
        <v>644.584522</v>
      </c>
      <c r="N326" t="n">
        <v>644.584522</v>
      </c>
      <c r="O326" t="n">
        <v>179.312424</v>
      </c>
      <c r="P326" t="n">
        <v>50.523469</v>
      </c>
      <c r="Q326" t="n">
        <v>644.584522</v>
      </c>
      <c r="R326" t="n">
        <v>644.584522</v>
      </c>
      <c r="S326" t="n">
        <v>179.312424</v>
      </c>
      <c r="T326" t="n">
        <v>179.312424</v>
      </c>
      <c r="U326" t="n">
        <v>50.523469</v>
      </c>
      <c r="V326" t="n">
        <v>50.523469</v>
      </c>
      <c r="W326" t="n">
        <v>189.962684</v>
      </c>
      <c r="X326" t="n">
        <v>685.282373</v>
      </c>
      <c r="Z326" t="n">
        <v>679.159653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1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1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1" t="inlineStr">
        <is>
          <t>Dem M pred</t>
        </is>
      </c>
      <c r="H329" t="n">
        <v>4156.715712</v>
      </c>
      <c r="I329" t="n">
        <v>1627.447794</v>
      </c>
      <c r="J329" t="n">
        <v>1629.386931</v>
      </c>
      <c r="K329" t="n">
        <v>1547.917585</v>
      </c>
      <c r="L329" t="n">
        <v>3524.148314</v>
      </c>
      <c r="M329" t="n">
        <v>2797.906815</v>
      </c>
      <c r="N329" t="n">
        <v>2797.906815</v>
      </c>
      <c r="O329" t="n">
        <v>878.433987</v>
      </c>
      <c r="P329" t="n">
        <v>230.471022</v>
      </c>
      <c r="Q329" t="n">
        <v>2797.906815</v>
      </c>
      <c r="R329" t="n">
        <v>2797.906815</v>
      </c>
      <c r="S329" t="n">
        <v>878.433987</v>
      </c>
      <c r="T329" t="n">
        <v>878.433987</v>
      </c>
      <c r="U329" t="n">
        <v>230.471022</v>
      </c>
      <c r="V329" t="n">
        <v>230.471022</v>
      </c>
      <c r="W329" t="n">
        <v>931.682324</v>
      </c>
      <c r="X329" t="n">
        <v>2978.125002</v>
      </c>
      <c r="Z329" t="n">
        <v>1719.622412</v>
      </c>
    </row>
    <row r="330" ht="21" customHeight="1">
      <c r="A330" t="inlineStr">
        <is>
          <t>Rachycentridae</t>
        </is>
      </c>
      <c r="D330" s="11" t="inlineStr">
        <is>
          <t>Côtier pel L pred</t>
        </is>
      </c>
      <c r="H330" t="n">
        <v>8886.574375</v>
      </c>
      <c r="I330" t="n">
        <v>4351.939949</v>
      </c>
      <c r="J330" t="n">
        <v>5186.075589</v>
      </c>
      <c r="K330" t="n">
        <v>4970.359012</v>
      </c>
      <c r="L330" t="n">
        <v>14096.783373</v>
      </c>
      <c r="M330" t="n">
        <v>11411.07684</v>
      </c>
      <c r="N330" t="n">
        <v>11411.07684</v>
      </c>
      <c r="O330" t="n">
        <v>2474.877467</v>
      </c>
      <c r="P330" t="n">
        <v>525.626343</v>
      </c>
      <c r="Q330" t="n">
        <v>11411.07684</v>
      </c>
      <c r="R330" t="n">
        <v>-50759.157349</v>
      </c>
      <c r="S330" t="n">
        <v>2474.877467</v>
      </c>
      <c r="T330" t="n">
        <v>2474.877467</v>
      </c>
      <c r="U330" t="n">
        <v>525.626343</v>
      </c>
      <c r="V330" t="n">
        <v>8846.789624999999</v>
      </c>
      <c r="W330" t="n">
        <v>2645.523944</v>
      </c>
      <c r="X330" t="n">
        <v>12354.973824</v>
      </c>
      <c r="Z330" t="n">
        <v>3330.282942</v>
      </c>
    </row>
    <row r="331" ht="21" customHeight="1">
      <c r="A331" t="inlineStr">
        <is>
          <t>Lamnidae</t>
        </is>
      </c>
      <c r="D331" s="11" t="inlineStr">
        <is>
          <t>Sélaciens L prof</t>
        </is>
      </c>
      <c r="H331" t="n">
        <v>25677.887496</v>
      </c>
      <c r="I331" t="n">
        <v>85025.569393</v>
      </c>
      <c r="J331" t="n">
        <v>87655.49026999999</v>
      </c>
      <c r="K331" t="n">
        <v>43827.745135</v>
      </c>
      <c r="L331" t="n">
        <v>630806.17817</v>
      </c>
      <c r="M331" t="n">
        <v>514481.410387</v>
      </c>
      <c r="N331" t="n">
        <v>514481.410387</v>
      </c>
      <c r="O331" t="n">
        <v>21093.289073</v>
      </c>
      <c r="P331" t="n">
        <v>3573.574556</v>
      </c>
      <c r="Q331" t="n">
        <v>514481.410387</v>
      </c>
      <c r="R331" t="n">
        <v>-1228387.275522</v>
      </c>
      <c r="S331" t="n">
        <v>21093.289073</v>
      </c>
      <c r="T331" t="n">
        <v>21093.289073</v>
      </c>
      <c r="U331" t="n">
        <v>3573.574556</v>
      </c>
      <c r="V331" t="n">
        <v>31482.800712</v>
      </c>
      <c r="W331" t="n">
        <v>23157.185683</v>
      </c>
      <c r="X331" t="n">
        <v>623084.058893</v>
      </c>
      <c r="Z331" t="n">
        <v>8771.288941999999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1" t="inlineStr">
        <is>
          <t>Thons mineurs</t>
        </is>
      </c>
      <c r="H332" t="n">
        <v>7097.856681</v>
      </c>
      <c r="I332" t="n">
        <v>2048.262999</v>
      </c>
      <c r="J332" t="n">
        <v>2069.254323</v>
      </c>
      <c r="K332" t="n">
        <v>1192.284062</v>
      </c>
      <c r="L332" t="n">
        <v>4278.6736</v>
      </c>
      <c r="M332" t="n">
        <v>3507.683496</v>
      </c>
      <c r="N332" t="n">
        <v>3507.683496</v>
      </c>
      <c r="O332" t="n">
        <v>596.825099</v>
      </c>
      <c r="P332" t="n">
        <v>149.418326</v>
      </c>
      <c r="Q332" t="n">
        <v>3507.683496</v>
      </c>
      <c r="R332" t="n">
        <v>3507.683496</v>
      </c>
      <c r="S332" t="n">
        <v>596.825099</v>
      </c>
      <c r="T332" t="n">
        <v>596.825099</v>
      </c>
      <c r="U332" t="n">
        <v>149.418326</v>
      </c>
      <c r="V332" t="n">
        <v>149.418326</v>
      </c>
      <c r="W332" t="n">
        <v>633.055208</v>
      </c>
      <c r="X332" t="n">
        <v>3726.667282</v>
      </c>
      <c r="Z332" t="n">
        <v>2895.403089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1" t="inlineStr">
        <is>
          <t>Sélaciens L prof</t>
        </is>
      </c>
      <c r="H333" t="n">
        <v>25677.887496</v>
      </c>
      <c r="I333" t="n">
        <v>85025.569393</v>
      </c>
      <c r="J333" t="n">
        <v>87655.49026999999</v>
      </c>
      <c r="K333" t="n">
        <v>43827.745135</v>
      </c>
      <c r="L333" t="n">
        <v>630806.17817</v>
      </c>
      <c r="M333" t="n">
        <v>514481.410387</v>
      </c>
      <c r="N333" t="n">
        <v>514481.410387</v>
      </c>
      <c r="O333" t="n">
        <v>21093.289073</v>
      </c>
      <c r="P333" t="n">
        <v>3573.574556</v>
      </c>
      <c r="Q333" t="n">
        <v>514481.410387</v>
      </c>
      <c r="R333" t="n">
        <v>-1228387.275522</v>
      </c>
      <c r="S333" t="n">
        <v>21093.289073</v>
      </c>
      <c r="T333" t="n">
        <v>21093.289073</v>
      </c>
      <c r="U333" t="n">
        <v>3573.574556</v>
      </c>
      <c r="V333" t="n">
        <v>31482.800712</v>
      </c>
      <c r="W333" t="n">
        <v>23157.185683</v>
      </c>
      <c r="X333" t="n">
        <v>623084.058893</v>
      </c>
      <c r="Z333" t="n">
        <v>8771.288941999999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1" t="inlineStr">
        <is>
          <t>Bathy L pred</t>
        </is>
      </c>
      <c r="H334" t="n">
        <v>5440.782564</v>
      </c>
      <c r="I334" t="n">
        <v>2144.122371</v>
      </c>
      <c r="J334" t="n">
        <v>2185.752574</v>
      </c>
      <c r="K334" t="n">
        <v>2076.464946</v>
      </c>
      <c r="L334" t="n">
        <v>5058.397662</v>
      </c>
      <c r="M334" t="n">
        <v>4163.217987</v>
      </c>
      <c r="N334" t="n">
        <v>4163.217987</v>
      </c>
      <c r="O334" t="n">
        <v>1003.279957</v>
      </c>
      <c r="P334" t="n">
        <v>236.286265</v>
      </c>
      <c r="Q334" t="n">
        <v>4163.217987</v>
      </c>
      <c r="R334" t="n">
        <v>4163.217987</v>
      </c>
      <c r="S334" t="n">
        <v>1003.279957</v>
      </c>
      <c r="T334" t="n">
        <v>1003.279957</v>
      </c>
      <c r="U334" t="n">
        <v>236.286265</v>
      </c>
      <c r="V334" t="n">
        <v>236.286265</v>
      </c>
      <c r="W334" t="n">
        <v>1084.214763</v>
      </c>
      <c r="X334" t="n">
        <v>4425.550085</v>
      </c>
      <c r="Z334" t="n">
        <v>2201.333705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1" t="inlineStr">
        <is>
          <t>Bathy L pred</t>
        </is>
      </c>
      <c r="H335" t="n">
        <v>5440.782564</v>
      </c>
      <c r="I335" t="n">
        <v>2144.122371</v>
      </c>
      <c r="J335" t="n">
        <v>2185.752574</v>
      </c>
      <c r="K335" t="n">
        <v>2076.464946</v>
      </c>
      <c r="L335" t="n">
        <v>5058.397662</v>
      </c>
      <c r="M335" t="n">
        <v>4163.217987</v>
      </c>
      <c r="N335" t="n">
        <v>4163.217987</v>
      </c>
      <c r="O335" t="n">
        <v>1003.279957</v>
      </c>
      <c r="P335" t="n">
        <v>236.286265</v>
      </c>
      <c r="Q335" t="n">
        <v>4163.217987</v>
      </c>
      <c r="R335" t="n">
        <v>4163.217987</v>
      </c>
      <c r="S335" t="n">
        <v>1003.279957</v>
      </c>
      <c r="T335" t="n">
        <v>1003.279957</v>
      </c>
      <c r="U335" t="n">
        <v>236.286265</v>
      </c>
      <c r="V335" t="n">
        <v>236.286265</v>
      </c>
      <c r="W335" t="n">
        <v>1084.214763</v>
      </c>
      <c r="X335" t="n">
        <v>4425.550085</v>
      </c>
      <c r="Z335" t="n">
        <v>2201.333705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1" t="inlineStr">
        <is>
          <t>Dem M pred</t>
        </is>
      </c>
      <c r="H336" t="n">
        <v>4156.715712</v>
      </c>
      <c r="I336" t="n">
        <v>1627.447794</v>
      </c>
      <c r="J336" t="n">
        <v>1629.386931</v>
      </c>
      <c r="K336" t="n">
        <v>1547.917585</v>
      </c>
      <c r="L336" t="n">
        <v>3524.148314</v>
      </c>
      <c r="M336" t="n">
        <v>2797.906815</v>
      </c>
      <c r="N336" t="n">
        <v>2797.906815</v>
      </c>
      <c r="O336" t="n">
        <v>878.433987</v>
      </c>
      <c r="P336" t="n">
        <v>230.471022</v>
      </c>
      <c r="Q336" t="n">
        <v>2797.906815</v>
      </c>
      <c r="R336" t="n">
        <v>2797.906815</v>
      </c>
      <c r="S336" t="n">
        <v>878.433987</v>
      </c>
      <c r="T336" t="n">
        <v>878.433987</v>
      </c>
      <c r="U336" t="n">
        <v>230.471022</v>
      </c>
      <c r="V336" t="n">
        <v>230.471022</v>
      </c>
      <c r="W336" t="n">
        <v>931.682324</v>
      </c>
      <c r="X336" t="n">
        <v>2978.125002</v>
      </c>
      <c r="Z336" t="n">
        <v>1719.622412</v>
      </c>
    </row>
    <row r="337" ht="21" customHeight="1">
      <c r="A337" t="inlineStr">
        <is>
          <t>Sebastidae</t>
        </is>
      </c>
      <c r="D337" s="11" t="inlineStr">
        <is>
          <t>Bathy L pred</t>
        </is>
      </c>
      <c r="H337" t="n">
        <v>5440.782564</v>
      </c>
      <c r="I337" t="n">
        <v>2144.122371</v>
      </c>
      <c r="J337" t="n">
        <v>2185.752574</v>
      </c>
      <c r="K337" t="n">
        <v>2076.464946</v>
      </c>
      <c r="L337" t="n">
        <v>5058.397662</v>
      </c>
      <c r="M337" t="n">
        <v>4163.217987</v>
      </c>
      <c r="N337" t="n">
        <v>4163.217987</v>
      </c>
      <c r="O337" t="n">
        <v>1003.279957</v>
      </c>
      <c r="P337" t="n">
        <v>236.286265</v>
      </c>
      <c r="Q337" t="n">
        <v>4163.217987</v>
      </c>
      <c r="R337" t="n">
        <v>4163.217987</v>
      </c>
      <c r="S337" t="n">
        <v>1003.279957</v>
      </c>
      <c r="T337" t="n">
        <v>1003.279957</v>
      </c>
      <c r="U337" t="n">
        <v>236.286265</v>
      </c>
      <c r="V337" t="n">
        <v>236.286265</v>
      </c>
      <c r="W337" t="n">
        <v>1084.214763</v>
      </c>
      <c r="X337" t="n">
        <v>4425.550085</v>
      </c>
      <c r="Z337" t="n">
        <v>2201.333705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1" t="inlineStr">
        <is>
          <t>Dem M pred</t>
        </is>
      </c>
      <c r="H338" t="n">
        <v>4156.715712</v>
      </c>
      <c r="I338" t="n">
        <v>1627.447794</v>
      </c>
      <c r="J338" t="n">
        <v>1629.386931</v>
      </c>
      <c r="K338" t="n">
        <v>1547.917585</v>
      </c>
      <c r="L338" t="n">
        <v>3524.148314</v>
      </c>
      <c r="M338" t="n">
        <v>2797.906815</v>
      </c>
      <c r="N338" t="n">
        <v>2797.906815</v>
      </c>
      <c r="O338" t="n">
        <v>878.433987</v>
      </c>
      <c r="P338" t="n">
        <v>230.471022</v>
      </c>
      <c r="Q338" t="n">
        <v>2797.906815</v>
      </c>
      <c r="R338" t="n">
        <v>2797.906815</v>
      </c>
      <c r="S338" t="n">
        <v>878.433987</v>
      </c>
      <c r="T338" t="n">
        <v>878.433987</v>
      </c>
      <c r="U338" t="n">
        <v>230.471022</v>
      </c>
      <c r="V338" t="n">
        <v>230.471022</v>
      </c>
      <c r="W338" t="n">
        <v>931.682324</v>
      </c>
      <c r="X338" t="n">
        <v>2978.125002</v>
      </c>
      <c r="Z338" t="n">
        <v>1719.622412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1" t="inlineStr">
        <is>
          <t>Côtier M inv</t>
        </is>
      </c>
      <c r="H339" t="n">
        <v>398.168364</v>
      </c>
      <c r="I339" t="n">
        <v>199.191645</v>
      </c>
      <c r="J339" t="n">
        <v>199.191645</v>
      </c>
      <c r="K339" t="n">
        <v>198.220844</v>
      </c>
      <c r="L339" t="n">
        <v>425.732264</v>
      </c>
      <c r="M339" t="n">
        <v>328.010307</v>
      </c>
      <c r="N339" t="n">
        <v>328.010307</v>
      </c>
      <c r="O339" t="n">
        <v>128.891308</v>
      </c>
      <c r="P339" t="n">
        <v>43.202194</v>
      </c>
      <c r="Q339" t="n">
        <v>328.010307</v>
      </c>
      <c r="R339" t="n">
        <v>328.010307</v>
      </c>
      <c r="S339" t="n">
        <v>128.891308</v>
      </c>
      <c r="T339" t="n">
        <v>128.891308</v>
      </c>
      <c r="U339" t="n">
        <v>43.202194</v>
      </c>
      <c r="V339" t="n">
        <v>43.202194</v>
      </c>
      <c r="W339" t="n">
        <v>135.841405</v>
      </c>
      <c r="X339" t="n">
        <v>344.665099</v>
      </c>
      <c r="Z339" t="n">
        <v>208.50974</v>
      </c>
    </row>
    <row r="340" ht="21" customHeight="1">
      <c r="A340" t="inlineStr">
        <is>
          <t>Deania calceus</t>
        </is>
      </c>
      <c r="D340" s="11" t="inlineStr">
        <is>
          <t>Unresolved</t>
        </is>
      </c>
    </row>
    <row r="341" ht="21" customHeight="1">
      <c r="A341" t="inlineStr">
        <is>
          <t>Lamniformes</t>
        </is>
      </c>
      <c r="D341" s="11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1" t="inlineStr">
        <is>
          <t>Côtier M inv</t>
        </is>
      </c>
      <c r="H342" t="n">
        <v>398.168364</v>
      </c>
      <c r="I342" t="n">
        <v>199.191645</v>
      </c>
      <c r="J342" t="n">
        <v>199.191645</v>
      </c>
      <c r="K342" t="n">
        <v>198.220844</v>
      </c>
      <c r="L342" t="n">
        <v>425.732264</v>
      </c>
      <c r="M342" t="n">
        <v>328.010307</v>
      </c>
      <c r="N342" t="n">
        <v>328.010307</v>
      </c>
      <c r="O342" t="n">
        <v>128.891308</v>
      </c>
      <c r="P342" t="n">
        <v>43.202194</v>
      </c>
      <c r="Q342" t="n">
        <v>328.010307</v>
      </c>
      <c r="R342" t="n">
        <v>328.010307</v>
      </c>
      <c r="S342" t="n">
        <v>128.891308</v>
      </c>
      <c r="T342" t="n">
        <v>128.891308</v>
      </c>
      <c r="U342" t="n">
        <v>43.202194</v>
      </c>
      <c r="V342" t="n">
        <v>43.202194</v>
      </c>
      <c r="W342" t="n">
        <v>135.841405</v>
      </c>
      <c r="X342" t="n">
        <v>344.665099</v>
      </c>
      <c r="Z342" t="n">
        <v>208.50974</v>
      </c>
    </row>
    <row r="343" ht="21" customHeight="1">
      <c r="A343" t="inlineStr">
        <is>
          <t>Carcharhinus longimanus</t>
        </is>
      </c>
      <c r="D343" s="11" t="inlineStr">
        <is>
          <t>Sélaciens L prof</t>
        </is>
      </c>
      <c r="H343" t="n">
        <v>25677.887496</v>
      </c>
      <c r="I343" t="n">
        <v>85025.569393</v>
      </c>
      <c r="J343" t="n">
        <v>87655.49026999999</v>
      </c>
      <c r="K343" t="n">
        <v>43827.745135</v>
      </c>
      <c r="L343" t="n">
        <v>630806.17817</v>
      </c>
      <c r="M343" t="n">
        <v>514481.410387</v>
      </c>
      <c r="N343" t="n">
        <v>514481.410387</v>
      </c>
      <c r="O343" t="n">
        <v>21093.289073</v>
      </c>
      <c r="P343" t="n">
        <v>3573.574556</v>
      </c>
      <c r="Q343" t="n">
        <v>514481.410387</v>
      </c>
      <c r="R343" t="n">
        <v>-1228387.275522</v>
      </c>
      <c r="S343" t="n">
        <v>21093.289073</v>
      </c>
      <c r="T343" t="n">
        <v>21093.289073</v>
      </c>
      <c r="U343" t="n">
        <v>3573.574556</v>
      </c>
      <c r="V343" t="n">
        <v>31482.800712</v>
      </c>
      <c r="W343" t="n">
        <v>23157.185683</v>
      </c>
      <c r="X343" t="n">
        <v>623084.058893</v>
      </c>
      <c r="Z343" t="n">
        <v>8771.288941999999</v>
      </c>
    </row>
    <row r="344" ht="21" customHeight="1">
      <c r="A344" t="inlineStr">
        <is>
          <t>Centroscyllium fabricii</t>
        </is>
      </c>
      <c r="D344" s="11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1" t="inlineStr">
        <is>
          <t>Mulets</t>
        </is>
      </c>
      <c r="H345" t="n">
        <v>89.51813900000001</v>
      </c>
      <c r="I345" t="n">
        <v>70.585874</v>
      </c>
      <c r="J345" t="n">
        <v>70.585874</v>
      </c>
      <c r="K345" t="n">
        <v>67.05658</v>
      </c>
      <c r="L345" t="n">
        <v>87.916766</v>
      </c>
      <c r="M345" t="n">
        <v>80.485525</v>
      </c>
      <c r="N345" t="n">
        <v>80.485525</v>
      </c>
      <c r="O345" t="n">
        <v>39.824022</v>
      </c>
      <c r="P345" t="n">
        <v>18.146203</v>
      </c>
      <c r="Q345" t="n">
        <v>80.485525</v>
      </c>
      <c r="R345" t="n">
        <v>80.485525</v>
      </c>
      <c r="S345" t="n">
        <v>39.824022</v>
      </c>
      <c r="T345" t="n">
        <v>39.824022</v>
      </c>
      <c r="U345" t="n">
        <v>18.146203</v>
      </c>
      <c r="V345" t="n">
        <v>18.146203</v>
      </c>
      <c r="W345" t="n">
        <v>40.732178</v>
      </c>
      <c r="X345" t="n">
        <v>82.337551</v>
      </c>
      <c r="Z345" t="n">
        <v>54.458212</v>
      </c>
    </row>
    <row r="346" ht="21" customHeight="1">
      <c r="A346" t="inlineStr">
        <is>
          <t>Alepisaurus ferox</t>
        </is>
      </c>
      <c r="D346" s="11" t="inlineStr">
        <is>
          <t>Unresolved</t>
        </is>
      </c>
    </row>
    <row r="347" ht="21" customHeight="1">
      <c r="A347" t="inlineStr">
        <is>
          <t>Dicentrarchus</t>
        </is>
      </c>
      <c r="D347" s="11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1" t="inlineStr">
        <is>
          <t>Unresolved</t>
        </is>
      </c>
    </row>
    <row r="349" ht="21" customHeight="1">
      <c r="A349" t="inlineStr">
        <is>
          <t>Aphanopus intermedius</t>
        </is>
      </c>
      <c r="D349" s="11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1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1" t="inlineStr">
        <is>
          <t>Dem M pred</t>
        </is>
      </c>
      <c r="H351" t="n">
        <v>4156.715712</v>
      </c>
      <c r="I351" t="n">
        <v>1627.447794</v>
      </c>
      <c r="J351" t="n">
        <v>1629.386931</v>
      </c>
      <c r="K351" t="n">
        <v>1547.917585</v>
      </c>
      <c r="L351" t="n">
        <v>3524.148314</v>
      </c>
      <c r="M351" t="n">
        <v>2797.906815</v>
      </c>
      <c r="N351" t="n">
        <v>2797.906815</v>
      </c>
      <c r="O351" t="n">
        <v>878.433987</v>
      </c>
      <c r="P351" t="n">
        <v>230.471022</v>
      </c>
      <c r="Q351" t="n">
        <v>2797.906815</v>
      </c>
      <c r="R351" t="n">
        <v>2797.906815</v>
      </c>
      <c r="S351" t="n">
        <v>878.433987</v>
      </c>
      <c r="T351" t="n">
        <v>878.433987</v>
      </c>
      <c r="U351" t="n">
        <v>230.471022</v>
      </c>
      <c r="V351" t="n">
        <v>230.471022</v>
      </c>
      <c r="W351" t="n">
        <v>931.682324</v>
      </c>
      <c r="X351" t="n">
        <v>2978.125002</v>
      </c>
      <c r="Z351" t="n">
        <v>1719.622412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1" t="inlineStr">
        <is>
          <t>Côtier L pred</t>
        </is>
      </c>
      <c r="H352" t="n">
        <v>5244.468733</v>
      </c>
      <c r="I352" t="n">
        <v>3323.212634</v>
      </c>
      <c r="J352" t="n">
        <v>6358.646185</v>
      </c>
      <c r="K352" t="n">
        <v>5497.795802</v>
      </c>
      <c r="L352" t="n">
        <v>19279.552919</v>
      </c>
      <c r="M352" t="n">
        <v>15594.90803</v>
      </c>
      <c r="N352" t="n">
        <v>15594.90803</v>
      </c>
      <c r="O352" t="n">
        <v>2522.190001</v>
      </c>
      <c r="P352" t="n">
        <v>528.917324</v>
      </c>
      <c r="Q352" t="n">
        <v>15594.90803</v>
      </c>
      <c r="R352" t="n">
        <v>-75829.94378099999</v>
      </c>
      <c r="S352" t="n">
        <v>2522.190001</v>
      </c>
      <c r="T352" t="n">
        <v>2522.190001</v>
      </c>
      <c r="U352" t="n">
        <v>528.917324</v>
      </c>
      <c r="V352" t="n">
        <v>13815.167153</v>
      </c>
      <c r="W352" t="n">
        <v>2674.282783</v>
      </c>
      <c r="X352" t="n">
        <v>16812.298301</v>
      </c>
      <c r="Z352" t="n">
        <v>2083.221444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1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1" t="inlineStr">
        <is>
          <t>Unresolved</t>
        </is>
      </c>
    </row>
    <row r="355" ht="36" customHeight="1">
      <c r="A355" t="inlineStr">
        <is>
          <t>Squalus</t>
        </is>
      </c>
      <c r="D355" s="11" t="inlineStr">
        <is>
          <t>Sélaciens L prof | Sélaciens M prof</t>
        </is>
      </c>
      <c r="H355" t="n">
        <v>23077.678707</v>
      </c>
      <c r="I355" t="n">
        <v>72694.11223499999</v>
      </c>
      <c r="J355" t="n">
        <v>74885.77596899999</v>
      </c>
      <c r="K355" t="n">
        <v>37442.887985</v>
      </c>
      <c r="L355" t="n">
        <v>519043.253135</v>
      </c>
      <c r="M355" t="n">
        <v>423323.65087</v>
      </c>
      <c r="N355" t="n">
        <v>423323.65087</v>
      </c>
      <c r="O355" t="n">
        <v>17981.099834</v>
      </c>
      <c r="P355" t="n">
        <v>3100.455644</v>
      </c>
      <c r="Q355" t="n">
        <v>423323.65087</v>
      </c>
      <c r="R355" t="n">
        <v>-987921.583792</v>
      </c>
      <c r="S355" t="n">
        <v>17981.099834</v>
      </c>
      <c r="T355" t="n">
        <v>17981.099834</v>
      </c>
      <c r="U355" t="n">
        <v>3100.455644</v>
      </c>
      <c r="V355" t="n">
        <v>25699.268014</v>
      </c>
      <c r="W355" t="n">
        <v>19738.087494</v>
      </c>
      <c r="X355" t="n">
        <v>511806.89099</v>
      </c>
      <c r="Z355" t="n">
        <v>7983.35242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1" t="inlineStr">
        <is>
          <t>Unresolved</t>
        </is>
      </c>
    </row>
    <row r="357" ht="21" customHeight="1">
      <c r="A357" t="inlineStr">
        <is>
          <t>Geryon</t>
        </is>
      </c>
      <c r="D357" s="11" t="inlineStr">
        <is>
          <t>Crustacés</t>
        </is>
      </c>
      <c r="H357" t="n">
        <v>141.860536</v>
      </c>
      <c r="I357" t="n">
        <v>58.609575</v>
      </c>
      <c r="J357" t="n">
        <v>58.609575</v>
      </c>
      <c r="K357" t="n">
        <v>55.679096</v>
      </c>
      <c r="L357" t="n">
        <v>135.651174</v>
      </c>
      <c r="M357" t="n">
        <v>105.8609</v>
      </c>
      <c r="N357" t="n">
        <v>105.8609</v>
      </c>
      <c r="O357" t="n">
        <v>41.041785</v>
      </c>
      <c r="P357" t="n">
        <v>14.761781</v>
      </c>
      <c r="Q357" t="n">
        <v>105.8609</v>
      </c>
      <c r="R357" t="n">
        <v>105.8609</v>
      </c>
      <c r="S357" t="n">
        <v>41.041785</v>
      </c>
      <c r="T357" t="n">
        <v>41.041785</v>
      </c>
      <c r="U357" t="n">
        <v>14.761781</v>
      </c>
      <c r="V357" t="n">
        <v>14.761781</v>
      </c>
      <c r="W357" t="n">
        <v>43.387398</v>
      </c>
      <c r="X357" t="n">
        <v>109.873168</v>
      </c>
      <c r="Z357" t="n">
        <v>83.9318</v>
      </c>
    </row>
    <row r="358" ht="21" customHeight="1">
      <c r="A358" t="inlineStr">
        <is>
          <t>Lampris guttatus</t>
        </is>
      </c>
      <c r="D358" s="11" t="inlineStr">
        <is>
          <t>Unresolved</t>
        </is>
      </c>
    </row>
    <row r="359" ht="21" customHeight="1">
      <c r="A359" t="inlineStr">
        <is>
          <t>Carcharias taurus</t>
        </is>
      </c>
      <c r="D359" s="11" t="inlineStr">
        <is>
          <t>Unresolved</t>
        </is>
      </c>
    </row>
    <row r="360" ht="21" customHeight="1">
      <c r="A360" t="inlineStr">
        <is>
          <t>Chimaeriformes</t>
        </is>
      </c>
      <c r="D360" s="11" t="inlineStr">
        <is>
          <t>Unresolved</t>
        </is>
      </c>
    </row>
    <row r="361" ht="21" customHeight="1">
      <c r="A361" t="inlineStr">
        <is>
          <t>Scyliorhinidae</t>
        </is>
      </c>
      <c r="D361" s="11" t="inlineStr">
        <is>
          <t>Unresolved</t>
        </is>
      </c>
    </row>
    <row r="362" ht="21" customHeight="1">
      <c r="A362" t="inlineStr">
        <is>
          <t>Epigonus telescopus</t>
        </is>
      </c>
      <c r="D362" s="11" t="inlineStr">
        <is>
          <t>Bathy L pred</t>
        </is>
      </c>
      <c r="H362" t="n">
        <v>5440.782564</v>
      </c>
      <c r="I362" t="n">
        <v>2144.122371</v>
      </c>
      <c r="J362" t="n">
        <v>2185.752574</v>
      </c>
      <c r="K362" t="n">
        <v>2076.464946</v>
      </c>
      <c r="L362" t="n">
        <v>5058.397662</v>
      </c>
      <c r="M362" t="n">
        <v>4163.217987</v>
      </c>
      <c r="N362" t="n">
        <v>4163.217987</v>
      </c>
      <c r="O362" t="n">
        <v>1003.279957</v>
      </c>
      <c r="P362" t="n">
        <v>236.286265</v>
      </c>
      <c r="Q362" t="n">
        <v>4163.217987</v>
      </c>
      <c r="R362" t="n">
        <v>4163.217987</v>
      </c>
      <c r="S362" t="n">
        <v>1003.279957</v>
      </c>
      <c r="T362" t="n">
        <v>1003.279957</v>
      </c>
      <c r="U362" t="n">
        <v>236.286265</v>
      </c>
      <c r="V362" t="n">
        <v>236.286265</v>
      </c>
      <c r="W362" t="n">
        <v>1084.214763</v>
      </c>
      <c r="X362" t="n">
        <v>4425.550085</v>
      </c>
      <c r="Z362" t="n">
        <v>2201.333705</v>
      </c>
    </row>
    <row r="363" ht="21" customHeight="1">
      <c r="A363" t="inlineStr">
        <is>
          <t>Bathytoshia centroura</t>
        </is>
      </c>
      <c r="D363" s="11" t="inlineStr">
        <is>
          <t>Sélaciens L côtiers</t>
        </is>
      </c>
      <c r="H363" t="n">
        <v>19687.630586</v>
      </c>
      <c r="I363" t="n">
        <v>40848.675363</v>
      </c>
      <c r="J363" t="n">
        <v>35723.536302</v>
      </c>
      <c r="K363" t="n">
        <v>32001.935703</v>
      </c>
      <c r="L363" t="n">
        <v>144842.06399</v>
      </c>
      <c r="M363" t="n">
        <v>117973.029689</v>
      </c>
      <c r="N363" t="n">
        <v>117973.029689</v>
      </c>
      <c r="O363" t="n">
        <v>11190.890574</v>
      </c>
      <c r="P363" t="n">
        <v>1980.195061</v>
      </c>
      <c r="Q363" t="n">
        <v>117973.029689</v>
      </c>
      <c r="R363" t="n">
        <v>-284142.724554</v>
      </c>
      <c r="S363" t="n">
        <v>11190.890574</v>
      </c>
      <c r="T363" t="n">
        <v>11190.890574</v>
      </c>
      <c r="U363" t="n">
        <v>1980.195061</v>
      </c>
      <c r="V363" t="n">
        <v>22930.423898</v>
      </c>
      <c r="W363" t="n">
        <v>12078.751403</v>
      </c>
      <c r="X363" t="n">
        <v>133154.369612</v>
      </c>
      <c r="Z363" t="n">
        <v>6739.706423</v>
      </c>
    </row>
    <row r="364" ht="21" customHeight="1">
      <c r="A364" t="inlineStr">
        <is>
          <t>Labridae</t>
        </is>
      </c>
      <c r="D364" s="11" t="inlineStr">
        <is>
          <t>Côtier M pred | Dem M inv</t>
        </is>
      </c>
      <c r="H364" t="n">
        <v>357.683881</v>
      </c>
      <c r="I364" t="n">
        <v>426.281508</v>
      </c>
      <c r="J364" t="n">
        <v>426.282078</v>
      </c>
      <c r="K364" t="n">
        <v>404.967974</v>
      </c>
      <c r="L364" t="n">
        <v>891.48603</v>
      </c>
      <c r="M364" t="n">
        <v>688.686747</v>
      </c>
      <c r="N364" t="n">
        <v>688.686747</v>
      </c>
      <c r="O364" t="n">
        <v>260.281066</v>
      </c>
      <c r="P364" t="n">
        <v>88.76730000000001</v>
      </c>
      <c r="Q364" t="n">
        <v>688.686747</v>
      </c>
      <c r="R364" t="n">
        <v>628.450981</v>
      </c>
      <c r="S364" t="n">
        <v>260.281066</v>
      </c>
      <c r="T364" t="n">
        <v>260.281066</v>
      </c>
      <c r="U364" t="n">
        <v>88.76730000000001</v>
      </c>
      <c r="V364" t="n">
        <v>96.805769</v>
      </c>
      <c r="W364" t="n">
        <v>275.124837</v>
      </c>
      <c r="X364" t="n">
        <v>731.234817</v>
      </c>
      <c r="Z364" t="n">
        <v>189.937413</v>
      </c>
    </row>
    <row r="365" ht="21" customHeight="1">
      <c r="A365" t="inlineStr">
        <is>
          <t>Malacostraca</t>
        </is>
      </c>
      <c r="D365" s="11" t="inlineStr">
        <is>
          <t>Crustacés</t>
        </is>
      </c>
      <c r="H365" t="n">
        <v>141.860536</v>
      </c>
      <c r="I365" t="n">
        <v>58.609575</v>
      </c>
      <c r="J365" t="n">
        <v>58.609575</v>
      </c>
      <c r="K365" t="n">
        <v>55.679096</v>
      </c>
      <c r="L365" t="n">
        <v>135.651174</v>
      </c>
      <c r="M365" t="n">
        <v>105.8609</v>
      </c>
      <c r="N365" t="n">
        <v>105.8609</v>
      </c>
      <c r="O365" t="n">
        <v>41.041785</v>
      </c>
      <c r="P365" t="n">
        <v>14.761781</v>
      </c>
      <c r="Q365" t="n">
        <v>105.8609</v>
      </c>
      <c r="R365" t="n">
        <v>105.8609</v>
      </c>
      <c r="S365" t="n">
        <v>41.041785</v>
      </c>
      <c r="T365" t="n">
        <v>41.041785</v>
      </c>
      <c r="U365" t="n">
        <v>14.761781</v>
      </c>
      <c r="V365" t="n">
        <v>14.761781</v>
      </c>
      <c r="W365" t="n">
        <v>43.387398</v>
      </c>
      <c r="X365" t="n">
        <v>109.873168</v>
      </c>
      <c r="Z365" t="n">
        <v>83.9318</v>
      </c>
    </row>
    <row r="366" ht="21" customHeight="1">
      <c r="A366" t="inlineStr">
        <is>
          <t>Gymnothorax maderensis</t>
        </is>
      </c>
      <c r="D366" s="11" t="inlineStr">
        <is>
          <t>Côtier M pred</t>
        </is>
      </c>
      <c r="H366" t="n">
        <v>4166.42123</v>
      </c>
      <c r="I366" t="n">
        <v>2699.893953</v>
      </c>
      <c r="J366" t="n">
        <v>2701.918347</v>
      </c>
      <c r="K366" t="n">
        <v>2566.82243</v>
      </c>
      <c r="L366" t="n">
        <v>5709.562172</v>
      </c>
      <c r="M366" t="n">
        <v>4569.130782</v>
      </c>
      <c r="N366" t="n">
        <v>4569.130782</v>
      </c>
      <c r="O366" t="n">
        <v>1530.766088</v>
      </c>
      <c r="P366" t="n">
        <v>386.842818</v>
      </c>
      <c r="Q366" t="n">
        <v>4569.130782</v>
      </c>
      <c r="R366" t="n">
        <v>-209224.612963</v>
      </c>
      <c r="S366" t="n">
        <v>1530.766088</v>
      </c>
      <c r="T366" t="n">
        <v>1530.766088</v>
      </c>
      <c r="U366" t="n">
        <v>386.842818</v>
      </c>
      <c r="V366" t="n">
        <v>28917.637558</v>
      </c>
      <c r="W366" t="n">
        <v>1628.194696</v>
      </c>
      <c r="X366" t="n">
        <v>4781.767213</v>
      </c>
      <c r="Z366" t="n">
        <v>1625.586348</v>
      </c>
    </row>
    <row r="367" ht="21" customHeight="1">
      <c r="A367" t="inlineStr">
        <is>
          <t>Centroselachus crepidater</t>
        </is>
      </c>
      <c r="D367" s="11" t="inlineStr">
        <is>
          <t>Unresolved</t>
        </is>
      </c>
    </row>
    <row r="368" ht="21" customHeight="1">
      <c r="A368" t="inlineStr">
        <is>
          <t>Carcharhinus obscurus</t>
        </is>
      </c>
      <c r="D368" s="11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1" t="inlineStr">
        <is>
          <t>Côtier L pred</t>
        </is>
      </c>
      <c r="H369" t="n">
        <v>5244.468733</v>
      </c>
      <c r="I369" t="n">
        <v>3323.212634</v>
      </c>
      <c r="J369" t="n">
        <v>6358.646185</v>
      </c>
      <c r="K369" t="n">
        <v>5497.795802</v>
      </c>
      <c r="L369" t="n">
        <v>19279.552919</v>
      </c>
      <c r="M369" t="n">
        <v>15594.90803</v>
      </c>
      <c r="N369" t="n">
        <v>15594.90803</v>
      </c>
      <c r="O369" t="n">
        <v>2522.190001</v>
      </c>
      <c r="P369" t="n">
        <v>528.917324</v>
      </c>
      <c r="Q369" t="n">
        <v>15594.90803</v>
      </c>
      <c r="R369" t="n">
        <v>-75829.94378099999</v>
      </c>
      <c r="S369" t="n">
        <v>2522.190001</v>
      </c>
      <c r="T369" t="n">
        <v>2522.190001</v>
      </c>
      <c r="U369" t="n">
        <v>528.917324</v>
      </c>
      <c r="V369" t="n">
        <v>13815.167153</v>
      </c>
      <c r="W369" t="n">
        <v>2674.282783</v>
      </c>
      <c r="X369" t="n">
        <v>16812.298301</v>
      </c>
      <c r="Z369" t="n">
        <v>2083.221444</v>
      </c>
    </row>
    <row r="370" ht="21" customHeight="1">
      <c r="A370" t="inlineStr">
        <is>
          <t>Cetorhinus maximus</t>
        </is>
      </c>
      <c r="D370" s="11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1" t="inlineStr">
        <is>
          <t>Dem L pred</t>
        </is>
      </c>
      <c r="H371" t="n">
        <v>6647.368802</v>
      </c>
      <c r="I371" t="n">
        <v>4415.463105</v>
      </c>
      <c r="J371" t="n">
        <v>4454.682261</v>
      </c>
      <c r="K371" t="n">
        <v>3753.374229</v>
      </c>
      <c r="L371" t="n">
        <v>11046.457304</v>
      </c>
      <c r="M371" t="n">
        <v>8839.250757</v>
      </c>
      <c r="N371" t="n">
        <v>8839.250757</v>
      </c>
      <c r="O371" t="n">
        <v>2210.08062</v>
      </c>
      <c r="P371" t="n">
        <v>502.733116</v>
      </c>
      <c r="Q371" t="n">
        <v>8839.250757</v>
      </c>
      <c r="R371" t="n">
        <v>8839.250757</v>
      </c>
      <c r="S371" t="n">
        <v>2210.08062</v>
      </c>
      <c r="T371" t="n">
        <v>2210.08062</v>
      </c>
      <c r="U371" t="n">
        <v>502.733116</v>
      </c>
      <c r="V371" t="n">
        <v>502.733116</v>
      </c>
      <c r="W371" t="n">
        <v>2393.190154</v>
      </c>
      <c r="X371" t="n">
        <v>9644.19414</v>
      </c>
      <c r="Z371" t="n">
        <v>2496.813504</v>
      </c>
    </row>
    <row r="372" ht="21" customHeight="1">
      <c r="A372" t="inlineStr">
        <is>
          <t>Oxynotus centrina</t>
        </is>
      </c>
      <c r="D372" s="11" t="inlineStr">
        <is>
          <t>Unresolved</t>
        </is>
      </c>
    </row>
    <row r="373" ht="21" customHeight="1">
      <c r="A373" t="inlineStr">
        <is>
          <t>Thunnus</t>
        </is>
      </c>
      <c r="D373" s="11" t="inlineStr">
        <is>
          <t>Thons majeurs</t>
        </is>
      </c>
      <c r="H373" t="n">
        <v>13661.710452</v>
      </c>
      <c r="I373" t="n">
        <v>5828.690682</v>
      </c>
      <c r="J373" t="n">
        <v>6055.352519</v>
      </c>
      <c r="K373" t="n">
        <v>3027.67626</v>
      </c>
      <c r="L373" t="n">
        <v>13559.408277</v>
      </c>
      <c r="M373" t="n">
        <v>11074.090097</v>
      </c>
      <c r="N373" t="n">
        <v>11074.090097</v>
      </c>
      <c r="O373" t="n">
        <v>1497.448606</v>
      </c>
      <c r="P373" t="n">
        <v>329.433681</v>
      </c>
      <c r="Q373" t="n">
        <v>11074.090097</v>
      </c>
      <c r="R373" t="n">
        <v>-31133.885537</v>
      </c>
      <c r="S373" t="n">
        <v>1497.448606</v>
      </c>
      <c r="T373" t="n">
        <v>1497.448606</v>
      </c>
      <c r="U373" t="n">
        <v>329.433681</v>
      </c>
      <c r="V373" t="n">
        <v>2167.379541</v>
      </c>
      <c r="W373" t="n">
        <v>1598.647747</v>
      </c>
      <c r="X373" t="n">
        <v>12125.414105</v>
      </c>
      <c r="Z373" t="n">
        <v>5199.941547</v>
      </c>
    </row>
    <row r="374" ht="21" customHeight="1">
      <c r="A374" t="inlineStr">
        <is>
          <t>Etmopterus</t>
        </is>
      </c>
      <c r="D374" s="11" t="inlineStr">
        <is>
          <t>Sélaciens M prof</t>
        </is>
      </c>
      <c r="H374" t="n">
        <v>12012.320545</v>
      </c>
      <c r="I374" t="n">
        <v>20216.791692</v>
      </c>
      <c r="J374" t="n">
        <v>20543.42356</v>
      </c>
      <c r="K374" t="n">
        <v>10271.71178</v>
      </c>
      <c r="L374" t="n">
        <v>43428.833302</v>
      </c>
      <c r="M374" t="n">
        <v>35395.857353</v>
      </c>
      <c r="N374" t="n">
        <v>35395.857353</v>
      </c>
      <c r="O374" t="n">
        <v>4736.975459</v>
      </c>
      <c r="P374" t="n">
        <v>1087.067247</v>
      </c>
      <c r="Q374" t="n">
        <v>35395.857353</v>
      </c>
      <c r="R374" t="n">
        <v>35395.857353</v>
      </c>
      <c r="S374" t="n">
        <v>4736.975459</v>
      </c>
      <c r="T374" t="n">
        <v>4736.975459</v>
      </c>
      <c r="U374" t="n">
        <v>1087.067247</v>
      </c>
      <c r="V374" t="n">
        <v>1087.067247</v>
      </c>
      <c r="W374" t="n">
        <v>5187.892058</v>
      </c>
      <c r="X374" t="n">
        <v>38259.642329</v>
      </c>
      <c r="Z374" t="n">
        <v>4630.237138</v>
      </c>
    </row>
    <row r="375" ht="21" customHeight="1">
      <c r="A375" t="inlineStr">
        <is>
          <t>Carcharhinus galapagensis</t>
        </is>
      </c>
      <c r="D375" s="11" t="inlineStr">
        <is>
          <t>Unresolved</t>
        </is>
      </c>
    </row>
    <row r="376" ht="21" customHeight="1">
      <c r="A376" t="inlineStr">
        <is>
          <t>Echinorhinus brucus</t>
        </is>
      </c>
      <c r="D376" s="11" t="inlineStr">
        <is>
          <t>Unresolved</t>
        </is>
      </c>
    </row>
    <row r="377" ht="21" customHeight="1">
      <c r="A377" t="inlineStr">
        <is>
          <t>Bramidae</t>
        </is>
      </c>
      <c r="D377" s="11" t="inlineStr">
        <is>
          <t>Unresolved</t>
        </is>
      </c>
    </row>
    <row r="378" ht="21" customHeight="1">
      <c r="A378" t="inlineStr">
        <is>
          <t>Carcharhinus brachyurus</t>
        </is>
      </c>
      <c r="D378" s="11" t="inlineStr">
        <is>
          <t>Unresolved</t>
        </is>
      </c>
    </row>
    <row r="379" ht="21" customHeight="1">
      <c r="A379" t="inlineStr">
        <is>
          <t>Somniosus rostratus</t>
        </is>
      </c>
      <c r="D379" s="11" t="inlineStr">
        <is>
          <t>Unresolved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s="18" t="inlineStr">
        <is>
          <t>SPPR_1986</t>
        </is>
      </c>
      <c r="B9" s="9" t="inlineStr">
        <is>
          <t>did not resolve for any mapped group</t>
        </is>
      </c>
    </row>
    <row r="10">
      <c r="A10" s="18" t="inlineStr">
        <is>
          <t>SPPR_1995_TE0.1</t>
        </is>
      </c>
      <c r="B10" s="9" t="inlineStr">
        <is>
          <t>did not resolve for any mapped group</t>
        </is>
      </c>
    </row>
    <row r="11">
      <c r="A11" s="18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909676129.3660001</v>
      </c>
      <c r="D12" t="n">
        <v>948129121.845</v>
      </c>
      <c r="E12" t="n">
        <v>963620123.522</v>
      </c>
      <c r="F12" t="n">
        <v>1024341220.897</v>
      </c>
      <c r="G12" t="n">
        <v>1038272273.248</v>
      </c>
      <c r="H12" t="n">
        <v>1022535089.51</v>
      </c>
      <c r="I12" t="n">
        <v>1197839804.594</v>
      </c>
      <c r="J12" t="n">
        <v>1505735983.562</v>
      </c>
      <c r="K12" t="n">
        <v>1644579196.54</v>
      </c>
      <c r="L12" t="n">
        <v>2171214587.25</v>
      </c>
      <c r="M12" t="n">
        <v>2405718926.204</v>
      </c>
      <c r="N12" t="n">
        <v>2477086485.158</v>
      </c>
      <c r="O12" t="n">
        <v>2865944015.999</v>
      </c>
      <c r="P12" t="n">
        <v>3197030670.205</v>
      </c>
      <c r="Q12" t="n">
        <v>3780215874.815</v>
      </c>
      <c r="R12" t="n">
        <v>4066487770.692</v>
      </c>
      <c r="S12" t="n">
        <v>3654291967.977</v>
      </c>
      <c r="T12" t="n">
        <v>3202681867.653</v>
      </c>
      <c r="U12" t="n">
        <v>3617434468.117</v>
      </c>
      <c r="V12" t="n">
        <v>3845446068.584</v>
      </c>
      <c r="W12" t="n">
        <v>4179263172.507</v>
      </c>
      <c r="X12" t="n">
        <v>4838482233.176</v>
      </c>
      <c r="Y12" t="n">
        <v>4939245126.423</v>
      </c>
      <c r="Z12" t="n">
        <v>4714635422.804</v>
      </c>
      <c r="AA12" t="n">
        <v>5645631200.585</v>
      </c>
      <c r="AB12" t="n">
        <v>5567515101.418</v>
      </c>
      <c r="AC12" t="n">
        <v>5707501565.88</v>
      </c>
      <c r="AD12" t="n">
        <v>6399704677.184</v>
      </c>
      <c r="AE12" t="n">
        <v>6543510567.168</v>
      </c>
      <c r="AF12" t="n">
        <v>6285167352.561</v>
      </c>
      <c r="AG12" t="n">
        <v>7081997714.023</v>
      </c>
      <c r="AH12" t="n">
        <v>7069211726.655</v>
      </c>
      <c r="AI12" t="n">
        <v>7360502669.962</v>
      </c>
      <c r="AJ12" t="n">
        <v>7229206825.332</v>
      </c>
      <c r="AK12" t="n">
        <v>5526727631.944</v>
      </c>
      <c r="AL12" t="n">
        <v>5739718868.058</v>
      </c>
      <c r="AM12" t="n">
        <v>6392204483.684</v>
      </c>
      <c r="AN12" t="n">
        <v>6887041712.535</v>
      </c>
      <c r="AO12" t="n">
        <v>6798596177.76</v>
      </c>
      <c r="AP12" t="n">
        <v>7164688717.935</v>
      </c>
      <c r="AQ12" t="n">
        <v>7462896849.53</v>
      </c>
      <c r="AR12" t="n">
        <v>7293612649.84</v>
      </c>
      <c r="AS12" t="n">
        <v>6836793022.258</v>
      </c>
      <c r="AT12" t="n">
        <v>7354310853.196</v>
      </c>
      <c r="AU12" t="n">
        <v>6983136082.087</v>
      </c>
      <c r="AV12" t="n">
        <v>6807106725.494</v>
      </c>
      <c r="AW12" t="n">
        <v>7351361940.317</v>
      </c>
      <c r="AX12" t="n">
        <v>7729845331.979</v>
      </c>
      <c r="AY12" t="n">
        <v>7968331252.434</v>
      </c>
      <c r="AZ12" t="n">
        <v>8907939108.513</v>
      </c>
      <c r="BA12" t="n">
        <v>8874830547.107</v>
      </c>
      <c r="BB12" t="n">
        <v>8936208708.721001</v>
      </c>
      <c r="BC12" t="n">
        <v>8689289853.438999</v>
      </c>
      <c r="BD12" t="n">
        <v>8492452820.051</v>
      </c>
      <c r="BE12" t="n">
        <v>8845467574.983999</v>
      </c>
      <c r="BF12" t="n">
        <v>8850893374.709999</v>
      </c>
      <c r="BG12" t="n">
        <v>8275100487.309</v>
      </c>
      <c r="BH12" t="n">
        <v>8710441306.965</v>
      </c>
      <c r="BI12" t="n">
        <v>9294727598.635</v>
      </c>
      <c r="BJ12" t="n">
        <v>9250471466.554001</v>
      </c>
      <c r="BK12" t="n">
        <v>10517781661.602</v>
      </c>
      <c r="BL12" t="n">
        <v>10835863781.35</v>
      </c>
      <c r="BM12" t="n">
        <v>10459757496.716</v>
      </c>
      <c r="BN12" t="n">
        <v>10750238080.053</v>
      </c>
      <c r="BO12" t="n">
        <v>10938604592.33</v>
      </c>
      <c r="BP12" t="n">
        <v>12061040512.188</v>
      </c>
      <c r="BQ12" t="n">
        <v>12494644774.57</v>
      </c>
      <c r="BR12" t="n">
        <v>12160563401.064</v>
      </c>
      <c r="BS12" t="n">
        <v>11733013162.375</v>
      </c>
      <c r="BT12" t="n">
        <v>12381663267.818</v>
      </c>
    </row>
    <row r="13">
      <c r="A13" t="inlineStr">
        <is>
          <t>Ulanowicz_TE</t>
        </is>
      </c>
      <c r="B13" t="inlineStr">
        <is>
          <t>ok</t>
        </is>
      </c>
      <c r="C13" t="n">
        <v>808244379.926</v>
      </c>
      <c r="D13" t="n">
        <v>834776859.001</v>
      </c>
      <c r="E13" t="n">
        <v>865742235.771</v>
      </c>
      <c r="F13" t="n">
        <v>908966488.914</v>
      </c>
      <c r="G13" t="n">
        <v>922657991.381</v>
      </c>
      <c r="H13" t="n">
        <v>919131369.4859999</v>
      </c>
      <c r="I13" t="n">
        <v>1094591657.156</v>
      </c>
      <c r="J13" t="n">
        <v>1189348585.844</v>
      </c>
      <c r="K13" t="n">
        <v>1276374602.057</v>
      </c>
      <c r="L13" t="n">
        <v>1545264673.704</v>
      </c>
      <c r="M13" t="n">
        <v>1702269594.833</v>
      </c>
      <c r="N13" t="n">
        <v>1684455468.844</v>
      </c>
      <c r="O13" t="n">
        <v>1865779842.571</v>
      </c>
      <c r="P13" t="n">
        <v>2222635297.084</v>
      </c>
      <c r="Q13" t="n">
        <v>2458619082.953</v>
      </c>
      <c r="R13" t="n">
        <v>2640444616.824</v>
      </c>
      <c r="S13" t="n">
        <v>2594850074.298</v>
      </c>
      <c r="T13" t="n">
        <v>2210919283.857</v>
      </c>
      <c r="U13" t="n">
        <v>2435649650.173</v>
      </c>
      <c r="V13" t="n">
        <v>2611418902.982</v>
      </c>
      <c r="W13" t="n">
        <v>2895963078.399</v>
      </c>
      <c r="X13" t="n">
        <v>3269572430.601</v>
      </c>
      <c r="Y13" t="n">
        <v>3387913520.935</v>
      </c>
      <c r="Z13" t="n">
        <v>3380231208.756</v>
      </c>
      <c r="AA13" t="n">
        <v>3947926071.081</v>
      </c>
      <c r="AB13" t="n">
        <v>4660138736.379</v>
      </c>
      <c r="AC13" t="n">
        <v>4665726998.786</v>
      </c>
      <c r="AD13" t="n">
        <v>4846207685.97</v>
      </c>
      <c r="AE13" t="n">
        <v>5075449536.038</v>
      </c>
      <c r="AF13" t="n">
        <v>5023894180.926</v>
      </c>
      <c r="AG13" t="n">
        <v>5467471700.388</v>
      </c>
      <c r="AH13" t="n">
        <v>4937742311.227</v>
      </c>
      <c r="AI13" t="n">
        <v>5846961861.962</v>
      </c>
      <c r="AJ13" t="n">
        <v>5769063408.6</v>
      </c>
      <c r="AK13" t="n">
        <v>4545074662.952</v>
      </c>
      <c r="AL13" t="n">
        <v>4924907079.566</v>
      </c>
      <c r="AM13" t="n">
        <v>5039848254.127</v>
      </c>
      <c r="AN13" t="n">
        <v>5514319219.467</v>
      </c>
      <c r="AO13" t="n">
        <v>5463876033.312</v>
      </c>
      <c r="AP13" t="n">
        <v>5268577699.193</v>
      </c>
      <c r="AQ13" t="n">
        <v>5545905037.899</v>
      </c>
      <c r="AR13" t="n">
        <v>5399621604.984</v>
      </c>
      <c r="AS13" t="n">
        <v>5309752950.435</v>
      </c>
      <c r="AT13" t="n">
        <v>5844336016.699</v>
      </c>
      <c r="AU13" t="n">
        <v>5847182158.767</v>
      </c>
      <c r="AV13" t="n">
        <v>5405272993.319</v>
      </c>
      <c r="AW13" t="n">
        <v>6153295414.534</v>
      </c>
      <c r="AX13" t="n">
        <v>6710092223.353</v>
      </c>
      <c r="AY13" t="n">
        <v>6666546869.858</v>
      </c>
      <c r="AZ13" t="n">
        <v>7532173219.797</v>
      </c>
      <c r="BA13" t="n">
        <v>7117029925.701</v>
      </c>
      <c r="BB13" t="n">
        <v>7136711495.541</v>
      </c>
      <c r="BC13" t="n">
        <v>7379120596.663</v>
      </c>
      <c r="BD13" t="n">
        <v>7021019928.425</v>
      </c>
      <c r="BE13" t="n">
        <v>7378652137.85</v>
      </c>
      <c r="BF13" t="n">
        <v>7879937792.503</v>
      </c>
      <c r="BG13" t="n">
        <v>6973800469.675</v>
      </c>
      <c r="BH13" t="n">
        <v>7405503454.817</v>
      </c>
      <c r="BI13" t="n">
        <v>8069131916.315</v>
      </c>
      <c r="BJ13" t="n">
        <v>8387202995.731</v>
      </c>
      <c r="BK13" t="n">
        <v>9757423042.312</v>
      </c>
      <c r="BL13" t="n">
        <v>9591657534.065001</v>
      </c>
      <c r="BM13" t="n">
        <v>9591767379.021</v>
      </c>
      <c r="BN13" t="n">
        <v>9873390598.93</v>
      </c>
      <c r="BO13" t="n">
        <v>9768889654.216999</v>
      </c>
      <c r="BP13" t="n">
        <v>10530456644.917</v>
      </c>
      <c r="BQ13" t="n">
        <v>10569905549.39</v>
      </c>
      <c r="BR13" t="n">
        <v>10051113384.482</v>
      </c>
      <c r="BS13" t="n">
        <v>9391731497.813</v>
      </c>
      <c r="BT13" t="n">
        <v>9927926511.726</v>
      </c>
    </row>
    <row r="14">
      <c r="A14" t="inlineStr">
        <is>
          <t>EwE_TE_noEE</t>
        </is>
      </c>
      <c r="B14" t="inlineStr">
        <is>
          <t>ok</t>
        </is>
      </c>
      <c r="C14" t="n">
        <v>970921119.271</v>
      </c>
      <c r="D14" t="n">
        <v>1004604402.649</v>
      </c>
      <c r="E14" t="n">
        <v>1040141595.686</v>
      </c>
      <c r="F14" t="n">
        <v>1093153046.564</v>
      </c>
      <c r="G14" t="n">
        <v>1111813780.26</v>
      </c>
      <c r="H14" t="n">
        <v>1099140215.777</v>
      </c>
      <c r="I14" t="n">
        <v>1305514830.376</v>
      </c>
      <c r="J14" t="n">
        <v>1428895449.132</v>
      </c>
      <c r="K14" t="n">
        <v>1520522330.818</v>
      </c>
      <c r="L14" t="n">
        <v>1831086211.159</v>
      </c>
      <c r="M14" t="n">
        <v>1992555060.687</v>
      </c>
      <c r="N14" t="n">
        <v>1986646802.206</v>
      </c>
      <c r="O14" t="n">
        <v>2178763272.543</v>
      </c>
      <c r="P14" t="n">
        <v>2567161274.414</v>
      </c>
      <c r="Q14" t="n">
        <v>2839466660.049</v>
      </c>
      <c r="R14" t="n">
        <v>3045397453.144</v>
      </c>
      <c r="S14" t="n">
        <v>3019424709.466</v>
      </c>
      <c r="T14" t="n">
        <v>2628719404.654</v>
      </c>
      <c r="U14" t="n">
        <v>2886547795.945</v>
      </c>
      <c r="V14" t="n">
        <v>3088627313.579</v>
      </c>
      <c r="W14" t="n">
        <v>3389737069.594</v>
      </c>
      <c r="X14" t="n">
        <v>3818647129.822</v>
      </c>
      <c r="Y14" t="n">
        <v>3949585467.857</v>
      </c>
      <c r="Z14" t="n">
        <v>3940108273.966</v>
      </c>
      <c r="AA14" t="n">
        <v>4560755991.734</v>
      </c>
      <c r="AB14" t="n">
        <v>5317937966.449</v>
      </c>
      <c r="AC14" t="n">
        <v>5440814310.557</v>
      </c>
      <c r="AD14" t="n">
        <v>5708687978.393</v>
      </c>
      <c r="AE14" t="n">
        <v>5907026975.423</v>
      </c>
      <c r="AF14" t="n">
        <v>5855136067.333</v>
      </c>
      <c r="AG14" t="n">
        <v>6437380419.234</v>
      </c>
      <c r="AH14" t="n">
        <v>5917220729.117</v>
      </c>
      <c r="AI14" t="n">
        <v>6889365069.827</v>
      </c>
      <c r="AJ14" t="n">
        <v>6812719055.337</v>
      </c>
      <c r="AK14" t="n">
        <v>5552517148.068</v>
      </c>
      <c r="AL14" t="n">
        <v>5973960237.639</v>
      </c>
      <c r="AM14" t="n">
        <v>6243452509.704</v>
      </c>
      <c r="AN14" t="n">
        <v>6784587988.858</v>
      </c>
      <c r="AO14" t="n">
        <v>6696734606.363</v>
      </c>
      <c r="AP14" t="n">
        <v>6545041479.961</v>
      </c>
      <c r="AQ14" t="n">
        <v>6784640181.619</v>
      </c>
      <c r="AR14" t="n">
        <v>6500902500.355</v>
      </c>
      <c r="AS14" t="n">
        <v>6350217223.266</v>
      </c>
      <c r="AT14" t="n">
        <v>6963492924.796</v>
      </c>
      <c r="AU14" t="n">
        <v>6976634273.582</v>
      </c>
      <c r="AV14" t="n">
        <v>6516270649.228</v>
      </c>
      <c r="AW14" t="n">
        <v>7302979905.161</v>
      </c>
      <c r="AX14" t="n">
        <v>7959265721.25</v>
      </c>
      <c r="AY14" t="n">
        <v>7912294391.365</v>
      </c>
      <c r="AZ14" t="n">
        <v>8869769027.131001</v>
      </c>
      <c r="BA14" t="n">
        <v>8536251498.498</v>
      </c>
      <c r="BB14" t="n">
        <v>8520339615.23</v>
      </c>
      <c r="BC14" t="n">
        <v>8814692358.063999</v>
      </c>
      <c r="BD14" t="n">
        <v>8324406198.046</v>
      </c>
      <c r="BE14" t="n">
        <v>8699351827.790001</v>
      </c>
      <c r="BF14" t="n">
        <v>9219634939.523001</v>
      </c>
      <c r="BG14" t="n">
        <v>8225311835.617</v>
      </c>
      <c r="BH14" t="n">
        <v>8741747598.084</v>
      </c>
      <c r="BI14" t="n">
        <v>9369111337.709999</v>
      </c>
      <c r="BJ14" t="n">
        <v>9619084825.024</v>
      </c>
      <c r="BK14" t="n">
        <v>11106839939.261</v>
      </c>
      <c r="BL14" t="n">
        <v>11135758749.61</v>
      </c>
      <c r="BM14" t="n">
        <v>10910134349.549</v>
      </c>
      <c r="BN14" t="n">
        <v>11383041969.751</v>
      </c>
      <c r="BO14" t="n">
        <v>11369426099.533</v>
      </c>
      <c r="BP14" t="n">
        <v>12265013394.203</v>
      </c>
      <c r="BQ14" t="n">
        <v>12339687545.247</v>
      </c>
      <c r="BR14" t="n">
        <v>11795312161.15</v>
      </c>
      <c r="BS14" t="n">
        <v>11112265644.954</v>
      </c>
      <c r="BT14" t="n">
        <v>11760226671.038</v>
      </c>
    </row>
    <row r="15">
      <c r="A15" t="inlineStr">
        <is>
          <t>EwE_TE_EE</t>
        </is>
      </c>
      <c r="B15" t="inlineStr">
        <is>
          <t>ok</t>
        </is>
      </c>
      <c r="C15" t="n">
        <v>727744509.027</v>
      </c>
      <c r="D15" t="n">
        <v>754868942.02</v>
      </c>
      <c r="E15" t="n">
        <v>775828428.698</v>
      </c>
      <c r="F15" t="n">
        <v>816977071.799</v>
      </c>
      <c r="G15" t="n">
        <v>831784600.7079999</v>
      </c>
      <c r="H15" t="n">
        <v>819613117.691</v>
      </c>
      <c r="I15" t="n">
        <v>972753161.293</v>
      </c>
      <c r="J15" t="n">
        <v>1072011536.198</v>
      </c>
      <c r="K15" t="n">
        <v>1108440436.595</v>
      </c>
      <c r="L15" t="n">
        <v>1316587012.297</v>
      </c>
      <c r="M15" t="n">
        <v>1401903790.9</v>
      </c>
      <c r="N15" t="n">
        <v>1398000775.323</v>
      </c>
      <c r="O15" t="n">
        <v>1512061741.581</v>
      </c>
      <c r="P15" t="n">
        <v>1737562309.681</v>
      </c>
      <c r="Q15" t="n">
        <v>1923354273.287</v>
      </c>
      <c r="R15" t="n">
        <v>2040031575.641</v>
      </c>
      <c r="S15" t="n">
        <v>2060254039.38</v>
      </c>
      <c r="T15" t="n">
        <v>1875803363.823</v>
      </c>
      <c r="U15" t="n">
        <v>2031648864.915</v>
      </c>
      <c r="V15" t="n">
        <v>2182983949.546</v>
      </c>
      <c r="W15" t="n">
        <v>2468222398.531</v>
      </c>
      <c r="X15" t="n">
        <v>2788135819.644</v>
      </c>
      <c r="Y15" t="n">
        <v>2866349701.86</v>
      </c>
      <c r="Z15" t="n">
        <v>2849118150.698</v>
      </c>
      <c r="AA15" t="n">
        <v>3228962764.996</v>
      </c>
      <c r="AB15" t="n">
        <v>3678216776.897</v>
      </c>
      <c r="AC15" t="n">
        <v>3784202423.837</v>
      </c>
      <c r="AD15" t="n">
        <v>4058663119.328</v>
      </c>
      <c r="AE15" t="n">
        <v>4125622295.551</v>
      </c>
      <c r="AF15" t="n">
        <v>4078544217.756</v>
      </c>
      <c r="AG15" t="n">
        <v>4447410945.452</v>
      </c>
      <c r="AH15" t="n">
        <v>4214021421.407</v>
      </c>
      <c r="AI15" t="n">
        <v>4732398918.618</v>
      </c>
      <c r="AJ15" t="n">
        <v>4671728063.58</v>
      </c>
      <c r="AK15" t="n">
        <v>4003921407.558</v>
      </c>
      <c r="AL15" t="n">
        <v>4275570283.211</v>
      </c>
      <c r="AM15" t="n">
        <v>4581870950.065</v>
      </c>
      <c r="AN15" t="n">
        <v>4919743892.754</v>
      </c>
      <c r="AO15" t="n">
        <v>4830928307.391</v>
      </c>
      <c r="AP15" t="n">
        <v>4880523460.371</v>
      </c>
      <c r="AQ15" t="n">
        <v>5031649498.099</v>
      </c>
      <c r="AR15" t="n">
        <v>4714045265.248</v>
      </c>
      <c r="AS15" t="n">
        <v>4557714361.756</v>
      </c>
      <c r="AT15" t="n">
        <v>4930463674.062</v>
      </c>
      <c r="AU15" t="n">
        <v>4967912821.845</v>
      </c>
      <c r="AV15" t="n">
        <v>4726765517.915</v>
      </c>
      <c r="AW15" t="n">
        <v>5173953223.085</v>
      </c>
      <c r="AX15" t="n">
        <v>5621711826.75</v>
      </c>
      <c r="AY15" t="n">
        <v>5656510266.082</v>
      </c>
      <c r="AZ15" t="n">
        <v>6249969706.904</v>
      </c>
      <c r="BA15" t="n">
        <v>6200369063.017</v>
      </c>
      <c r="BB15" t="n">
        <v>6142539573.673</v>
      </c>
      <c r="BC15" t="n">
        <v>6323695651.765</v>
      </c>
      <c r="BD15" t="n">
        <v>5969984830.472</v>
      </c>
      <c r="BE15" t="n">
        <v>6216761994.718</v>
      </c>
      <c r="BF15" t="n">
        <v>6459349903.103</v>
      </c>
      <c r="BG15" t="n">
        <v>5937577265.97</v>
      </c>
      <c r="BH15" t="n">
        <v>6277528084.501</v>
      </c>
      <c r="BI15" t="n">
        <v>6592329615.297</v>
      </c>
      <c r="BJ15" t="n">
        <v>6601765651.79</v>
      </c>
      <c r="BK15" t="n">
        <v>7625427373.646</v>
      </c>
      <c r="BL15" t="n">
        <v>7786923673.85</v>
      </c>
      <c r="BM15" t="n">
        <v>7466634004.203</v>
      </c>
      <c r="BN15" t="n">
        <v>7857518910.922</v>
      </c>
      <c r="BO15" t="n">
        <v>7994908572.067</v>
      </c>
      <c r="BP15" t="n">
        <v>8700569148.631001</v>
      </c>
      <c r="BQ15" t="n">
        <v>8766954534.15</v>
      </c>
      <c r="BR15" t="n">
        <v>8551251070.598</v>
      </c>
      <c r="BS15" t="n">
        <v>8164923702.939</v>
      </c>
      <c r="BT15" t="n">
        <v>8658402105.511</v>
      </c>
    </row>
    <row r="16">
      <c r="A16" s="18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4208935464.723</v>
      </c>
      <c r="D16" t="n">
        <v>4333653853.617</v>
      </c>
      <c r="E16" t="n">
        <v>4541159570.888</v>
      </c>
      <c r="F16" t="n">
        <v>4747444001.947</v>
      </c>
      <c r="G16" t="n">
        <v>4825076688.083</v>
      </c>
      <c r="H16" t="n">
        <v>4813985243.334</v>
      </c>
      <c r="I16" t="n">
        <v>5736671532.296</v>
      </c>
      <c r="J16" t="n">
        <v>5823739763.396</v>
      </c>
      <c r="K16" t="n">
        <v>6205552266.392</v>
      </c>
      <c r="L16" t="n">
        <v>7183449107.906</v>
      </c>
      <c r="M16" t="n">
        <v>7840167632.146</v>
      </c>
      <c r="N16" t="n">
        <v>7658192501.679</v>
      </c>
      <c r="O16" t="n">
        <v>8168847798.763</v>
      </c>
      <c r="P16" t="n">
        <v>10220840065.163</v>
      </c>
      <c r="Q16" t="n">
        <v>10754247318.115</v>
      </c>
      <c r="R16" t="n">
        <v>11549253159.293</v>
      </c>
      <c r="S16" t="n">
        <v>12195885588.098</v>
      </c>
      <c r="T16" t="n">
        <v>10246658135.202</v>
      </c>
      <c r="U16" t="n">
        <v>11085889648.077</v>
      </c>
      <c r="V16" t="n">
        <v>11972342823.375</v>
      </c>
      <c r="W16" t="n">
        <v>12835679621.619</v>
      </c>
      <c r="X16" t="n">
        <v>14148198894.754</v>
      </c>
      <c r="Y16" t="n">
        <v>14892184656.692</v>
      </c>
      <c r="Z16" t="n">
        <v>15282914068.382</v>
      </c>
      <c r="AA16" t="n">
        <v>17612832236.779</v>
      </c>
      <c r="AB16" t="n">
        <v>23188912388.647</v>
      </c>
      <c r="AC16" t="n">
        <v>23443327505.487</v>
      </c>
      <c r="AD16" t="n">
        <v>23385751736.027</v>
      </c>
      <c r="AE16" t="n">
        <v>24571629531.816</v>
      </c>
      <c r="AF16" t="n">
        <v>24927729767.494</v>
      </c>
      <c r="AG16" t="n">
        <v>27055600176.432</v>
      </c>
      <c r="AH16" t="n">
        <v>22937393049.79</v>
      </c>
      <c r="AI16" t="n">
        <v>29564376985.573</v>
      </c>
      <c r="AJ16" t="n">
        <v>29559528513.713</v>
      </c>
      <c r="AK16" t="n">
        <v>23891637285.037</v>
      </c>
      <c r="AL16" t="n">
        <v>26261445762.188</v>
      </c>
      <c r="AM16" t="n">
        <v>25943119903.237</v>
      </c>
      <c r="AN16" t="n">
        <v>28570655701.121</v>
      </c>
      <c r="AO16" t="n">
        <v>28292728377.78</v>
      </c>
      <c r="AP16" t="n">
        <v>25449843562.301</v>
      </c>
      <c r="AQ16" t="n">
        <v>26658703298.104</v>
      </c>
      <c r="AR16" t="n">
        <v>26022122430.131</v>
      </c>
      <c r="AS16" t="n">
        <v>26349406649.374</v>
      </c>
      <c r="AT16" t="n">
        <v>29496510304.199</v>
      </c>
      <c r="AU16" t="n">
        <v>30236809529.49</v>
      </c>
      <c r="AV16" t="n">
        <v>27223105607.731</v>
      </c>
      <c r="AW16" t="n">
        <v>31660148583.824</v>
      </c>
      <c r="AX16" t="n">
        <v>35330997345.577</v>
      </c>
      <c r="AY16" t="n">
        <v>34159977096.982</v>
      </c>
      <c r="AZ16" t="n">
        <v>38664861463.404</v>
      </c>
      <c r="BA16" t="n">
        <v>35802333404.289</v>
      </c>
      <c r="BB16" t="n">
        <v>35856892612.213</v>
      </c>
      <c r="BC16" t="n">
        <v>38487124453.994</v>
      </c>
      <c r="BD16" t="n">
        <v>35903783365.726</v>
      </c>
      <c r="BE16" t="n">
        <v>37624535886.786</v>
      </c>
      <c r="BF16" t="n">
        <v>41831163013.176</v>
      </c>
      <c r="BG16" t="n">
        <v>35762941731.305</v>
      </c>
      <c r="BH16" t="n">
        <v>38174207560.092</v>
      </c>
      <c r="BI16" t="n">
        <v>41830779392.847</v>
      </c>
      <c r="BJ16" t="n">
        <v>44415391913.688</v>
      </c>
      <c r="BK16" t="n">
        <v>52134959336.042</v>
      </c>
      <c r="BL16" t="n">
        <v>50576269194.772</v>
      </c>
      <c r="BM16" t="n">
        <v>51107886037.115</v>
      </c>
      <c r="BN16" t="n">
        <v>52871651596.351</v>
      </c>
      <c r="BO16" t="n">
        <v>51755563825.997</v>
      </c>
      <c r="BP16" t="n">
        <v>55002122937.935</v>
      </c>
      <c r="BQ16" t="n">
        <v>54649374982.953</v>
      </c>
      <c r="BR16" t="n">
        <v>51070510606.52</v>
      </c>
      <c r="BS16" t="n">
        <v>46825981627.787</v>
      </c>
      <c r="BT16" t="n">
        <v>49722207222.577</v>
      </c>
    </row>
    <row r="17">
      <c r="A17" t="inlineStr">
        <is>
          <t>new_TE_noEEfix</t>
        </is>
      </c>
      <c r="B17" t="inlineStr">
        <is>
          <t>ok</t>
        </is>
      </c>
      <c r="C17" t="n">
        <v>3420568626.64</v>
      </c>
      <c r="D17" t="n">
        <v>3521734065.448</v>
      </c>
      <c r="E17" t="n">
        <v>3690502129.681</v>
      </c>
      <c r="F17" t="n">
        <v>3858027713.071</v>
      </c>
      <c r="G17" t="n">
        <v>3920881888.452</v>
      </c>
      <c r="H17" t="n">
        <v>3912380132.711</v>
      </c>
      <c r="I17" t="n">
        <v>4662358520.311</v>
      </c>
      <c r="J17" t="n">
        <v>4733078005.512</v>
      </c>
      <c r="K17" t="n">
        <v>5042997608.847</v>
      </c>
      <c r="L17" t="n">
        <v>5838265807.484</v>
      </c>
      <c r="M17" t="n">
        <v>6373869077.041</v>
      </c>
      <c r="N17" t="n">
        <v>6225425395.027</v>
      </c>
      <c r="O17" t="n">
        <v>6640912363.974</v>
      </c>
      <c r="P17" t="n">
        <v>8312680723.781</v>
      </c>
      <c r="Q17" t="n">
        <v>8745765470.539</v>
      </c>
      <c r="R17" t="n">
        <v>9393174063.087999</v>
      </c>
      <c r="S17" t="n">
        <v>9917882162.879</v>
      </c>
      <c r="T17" t="n">
        <v>8327687032.644</v>
      </c>
      <c r="U17" t="n">
        <v>9010127698.990999</v>
      </c>
      <c r="V17" t="n">
        <v>9731482617.257</v>
      </c>
      <c r="W17" t="n">
        <v>10431763937.769</v>
      </c>
      <c r="X17" t="n">
        <v>11497721112.859</v>
      </c>
      <c r="Y17" t="n">
        <v>12104173597.383</v>
      </c>
      <c r="Z17" t="n">
        <v>12421757263.096</v>
      </c>
      <c r="AA17" t="n">
        <v>14319791256.439</v>
      </c>
      <c r="AB17" t="n">
        <v>18863145286.904</v>
      </c>
      <c r="AC17" t="n">
        <v>19064955581.653</v>
      </c>
      <c r="AD17" t="n">
        <v>19011683516.286</v>
      </c>
      <c r="AE17" t="n">
        <v>19980068353.768</v>
      </c>
      <c r="AF17" t="n">
        <v>20270449212.871</v>
      </c>
      <c r="AG17" t="n">
        <v>22000866704.882</v>
      </c>
      <c r="AH17" t="n">
        <v>18638320752.16</v>
      </c>
      <c r="AI17" t="n">
        <v>24042547308.932</v>
      </c>
      <c r="AJ17" t="n">
        <v>24038798115.004</v>
      </c>
      <c r="AK17" t="n">
        <v>19413454204.974</v>
      </c>
      <c r="AL17" t="n">
        <v>21342836872.208</v>
      </c>
      <c r="AM17" t="n">
        <v>21072097719.245</v>
      </c>
      <c r="AN17" t="n">
        <v>23213617760.907</v>
      </c>
      <c r="AO17" t="n">
        <v>22988020554.677</v>
      </c>
      <c r="AP17" t="n">
        <v>20664045402.294</v>
      </c>
      <c r="AQ17" t="n">
        <v>21651537682.248</v>
      </c>
      <c r="AR17" t="n">
        <v>21143250466.744</v>
      </c>
      <c r="AS17" t="n">
        <v>21413842041.864</v>
      </c>
      <c r="AT17" t="n">
        <v>23975085530.15</v>
      </c>
      <c r="AU17" t="n">
        <v>24576312002.776</v>
      </c>
      <c r="AV17" t="n">
        <v>22120099425.485</v>
      </c>
      <c r="AW17" t="n">
        <v>25737246592.499</v>
      </c>
      <c r="AX17" t="n">
        <v>28725004104.613</v>
      </c>
      <c r="AY17" t="n">
        <v>27770567394.027</v>
      </c>
      <c r="AZ17" t="n">
        <v>31437376310.721</v>
      </c>
      <c r="BA17" t="n">
        <v>29092298301.955</v>
      </c>
      <c r="BB17" t="n">
        <v>29138890481.017</v>
      </c>
      <c r="BC17" t="n">
        <v>31279595589.853</v>
      </c>
      <c r="BD17" t="n">
        <v>29181953389.623</v>
      </c>
      <c r="BE17" t="n">
        <v>30583839518.192</v>
      </c>
      <c r="BF17" t="n">
        <v>34015380020.877</v>
      </c>
      <c r="BG17" t="n">
        <v>29069716932.129</v>
      </c>
      <c r="BH17" t="n">
        <v>31031449711.079</v>
      </c>
      <c r="BI17" t="n">
        <v>34016912404.847</v>
      </c>
      <c r="BJ17" t="n">
        <v>36131860302.333</v>
      </c>
      <c r="BK17" t="n">
        <v>42418336822.936</v>
      </c>
      <c r="BL17" t="n">
        <v>41131276585.428</v>
      </c>
      <c r="BM17" t="n">
        <v>41580828722.845</v>
      </c>
      <c r="BN17" t="n">
        <v>43006417383.546</v>
      </c>
      <c r="BO17" t="n">
        <v>42086857835.748</v>
      </c>
      <c r="BP17" t="n">
        <v>44720879217.527</v>
      </c>
      <c r="BQ17" t="n">
        <v>44432099460.062</v>
      </c>
      <c r="BR17" t="n">
        <v>41510542550.602</v>
      </c>
      <c r="BS17" t="n">
        <v>38050580501.846</v>
      </c>
      <c r="BT17" t="n">
        <v>40403068150.789</v>
      </c>
    </row>
    <row r="18">
      <c r="A18" t="inlineStr">
        <is>
          <t>new_TE_EEfix</t>
        </is>
      </c>
      <c r="B18" t="inlineStr">
        <is>
          <t>ok</t>
        </is>
      </c>
      <c r="C18" t="n">
        <v>3420568626.64</v>
      </c>
      <c r="D18" t="n">
        <v>3521734065.448</v>
      </c>
      <c r="E18" t="n">
        <v>3690502129.681</v>
      </c>
      <c r="F18" t="n">
        <v>3858027713.071</v>
      </c>
      <c r="G18" t="n">
        <v>3920881888.452</v>
      </c>
      <c r="H18" t="n">
        <v>3912380132.711</v>
      </c>
      <c r="I18" t="n">
        <v>4662358520.311</v>
      </c>
      <c r="J18" t="n">
        <v>4733078005.512</v>
      </c>
      <c r="K18" t="n">
        <v>5042997608.847</v>
      </c>
      <c r="L18" t="n">
        <v>5838265807.484</v>
      </c>
      <c r="M18" t="n">
        <v>6373869077.041</v>
      </c>
      <c r="N18" t="n">
        <v>6225425395.027</v>
      </c>
      <c r="O18" t="n">
        <v>6640912363.974</v>
      </c>
      <c r="P18" t="n">
        <v>8312680723.781</v>
      </c>
      <c r="Q18" t="n">
        <v>8745765470.539</v>
      </c>
      <c r="R18" t="n">
        <v>9393174063.087999</v>
      </c>
      <c r="S18" t="n">
        <v>9917882162.879</v>
      </c>
      <c r="T18" t="n">
        <v>8327687032.644</v>
      </c>
      <c r="U18" t="n">
        <v>9010127698.990999</v>
      </c>
      <c r="V18" t="n">
        <v>9731482617.257</v>
      </c>
      <c r="W18" t="n">
        <v>10431763937.769</v>
      </c>
      <c r="X18" t="n">
        <v>11497721112.859</v>
      </c>
      <c r="Y18" t="n">
        <v>12104173597.383</v>
      </c>
      <c r="Z18" t="n">
        <v>12421757263.096</v>
      </c>
      <c r="AA18" t="n">
        <v>14319791256.439</v>
      </c>
      <c r="AB18" t="n">
        <v>18863145286.904</v>
      </c>
      <c r="AC18" t="n">
        <v>19064955581.653</v>
      </c>
      <c r="AD18" t="n">
        <v>19011683516.286</v>
      </c>
      <c r="AE18" t="n">
        <v>19980068353.768</v>
      </c>
      <c r="AF18" t="n">
        <v>20270449212.871</v>
      </c>
      <c r="AG18" t="n">
        <v>22000866704.882</v>
      </c>
      <c r="AH18" t="n">
        <v>18638320752.16</v>
      </c>
      <c r="AI18" t="n">
        <v>24042547308.932</v>
      </c>
      <c r="AJ18" t="n">
        <v>24038798115.004</v>
      </c>
      <c r="AK18" t="n">
        <v>19413454204.974</v>
      </c>
      <c r="AL18" t="n">
        <v>21342836872.208</v>
      </c>
      <c r="AM18" t="n">
        <v>21072097719.245</v>
      </c>
      <c r="AN18" t="n">
        <v>23213617760.907</v>
      </c>
      <c r="AO18" t="n">
        <v>22988020554.677</v>
      </c>
      <c r="AP18" t="n">
        <v>20664045402.294</v>
      </c>
      <c r="AQ18" t="n">
        <v>21651537682.248</v>
      </c>
      <c r="AR18" t="n">
        <v>21143250466.744</v>
      </c>
      <c r="AS18" t="n">
        <v>21413842041.864</v>
      </c>
      <c r="AT18" t="n">
        <v>23975085530.15</v>
      </c>
      <c r="AU18" t="n">
        <v>24576312002.776</v>
      </c>
      <c r="AV18" t="n">
        <v>22120099425.485</v>
      </c>
      <c r="AW18" t="n">
        <v>25737246592.499</v>
      </c>
      <c r="AX18" t="n">
        <v>28725004104.613</v>
      </c>
      <c r="AY18" t="n">
        <v>27770567394.027</v>
      </c>
      <c r="AZ18" t="n">
        <v>31437376310.721</v>
      </c>
      <c r="BA18" t="n">
        <v>29092298301.955</v>
      </c>
      <c r="BB18" t="n">
        <v>29138890481.017</v>
      </c>
      <c r="BC18" t="n">
        <v>31279595589.853</v>
      </c>
      <c r="BD18" t="n">
        <v>29181953389.623</v>
      </c>
      <c r="BE18" t="n">
        <v>30583839518.192</v>
      </c>
      <c r="BF18" t="n">
        <v>34015380020.877</v>
      </c>
      <c r="BG18" t="n">
        <v>29069716932.129</v>
      </c>
      <c r="BH18" t="n">
        <v>31031449711.079</v>
      </c>
      <c r="BI18" t="n">
        <v>34016912404.847</v>
      </c>
      <c r="BJ18" t="n">
        <v>36131860302.333</v>
      </c>
      <c r="BK18" t="n">
        <v>42418336822.936</v>
      </c>
      <c r="BL18" t="n">
        <v>41131276585.428</v>
      </c>
      <c r="BM18" t="n">
        <v>41580828722.845</v>
      </c>
      <c r="BN18" t="n">
        <v>43006417383.546</v>
      </c>
      <c r="BO18" t="n">
        <v>42086857835.748</v>
      </c>
      <c r="BP18" t="n">
        <v>44720879217.527</v>
      </c>
      <c r="BQ18" t="n">
        <v>44432099460.062</v>
      </c>
      <c r="BR18" t="n">
        <v>41510542550.602</v>
      </c>
      <c r="BS18" t="n">
        <v>38050580501.846</v>
      </c>
      <c r="BT18" t="n">
        <v>40403068150.789</v>
      </c>
    </row>
    <row r="19">
      <c r="A19" t="inlineStr">
        <is>
          <t>new_GE</t>
        </is>
      </c>
      <c r="B19" t="inlineStr">
        <is>
          <t>ok</t>
        </is>
      </c>
      <c r="C19" t="n">
        <v>355594933.807</v>
      </c>
      <c r="D19" t="n">
        <v>369161174.951</v>
      </c>
      <c r="E19" t="n">
        <v>379608248.757</v>
      </c>
      <c r="F19" t="n">
        <v>400338324.583</v>
      </c>
      <c r="G19" t="n">
        <v>407660855.858</v>
      </c>
      <c r="H19" t="n">
        <v>401603218.983</v>
      </c>
      <c r="I19" t="n">
        <v>474222556.589</v>
      </c>
      <c r="J19" t="n">
        <v>530967552.4</v>
      </c>
      <c r="K19" t="n">
        <v>545503090.1390001</v>
      </c>
      <c r="L19" t="n">
        <v>645729117.487</v>
      </c>
      <c r="M19" t="n">
        <v>687023885.9</v>
      </c>
      <c r="N19" t="n">
        <v>691068154.1210001</v>
      </c>
      <c r="O19" t="n">
        <v>749035496.521</v>
      </c>
      <c r="P19" t="n">
        <v>859555785.28</v>
      </c>
      <c r="Q19" t="n">
        <v>953171005.206</v>
      </c>
      <c r="R19" t="n">
        <v>1010079330.461</v>
      </c>
      <c r="S19" t="n">
        <v>1019980294.841</v>
      </c>
      <c r="T19" t="n">
        <v>929736403.285</v>
      </c>
      <c r="U19" t="n">
        <v>1006355285.166</v>
      </c>
      <c r="V19" t="n">
        <v>1080157822.993</v>
      </c>
      <c r="W19" t="n">
        <v>1200496047.046</v>
      </c>
      <c r="X19" t="n">
        <v>1357129666.871</v>
      </c>
      <c r="Y19" t="n">
        <v>1396521190.392</v>
      </c>
      <c r="Z19" t="n">
        <v>1386190785.143</v>
      </c>
      <c r="AA19" t="n">
        <v>1570188214.404</v>
      </c>
      <c r="AB19" t="n">
        <v>1784965434.115</v>
      </c>
      <c r="AC19" t="n">
        <v>1849155441.145</v>
      </c>
      <c r="AD19" t="n">
        <v>1987498168.797</v>
      </c>
      <c r="AE19" t="n">
        <v>2016240811.056</v>
      </c>
      <c r="AF19" t="n">
        <v>1991895594.439</v>
      </c>
      <c r="AG19" t="n">
        <v>2182222763.52</v>
      </c>
      <c r="AH19" t="n">
        <v>2080222151.326</v>
      </c>
      <c r="AI19" t="n">
        <v>2324163123.018</v>
      </c>
      <c r="AJ19" t="n">
        <v>2304879366.426</v>
      </c>
      <c r="AK19" t="n">
        <v>1980709344.581</v>
      </c>
      <c r="AL19" t="n">
        <v>2111350726.841</v>
      </c>
      <c r="AM19" t="n">
        <v>2268847477.036</v>
      </c>
      <c r="AN19" t="n">
        <v>2432881172.114</v>
      </c>
      <c r="AO19" t="n">
        <v>2389743249.011</v>
      </c>
      <c r="AP19" t="n">
        <v>2397406654.852</v>
      </c>
      <c r="AQ19" t="n">
        <v>2464867557.337</v>
      </c>
      <c r="AR19" t="n">
        <v>2320142946.146</v>
      </c>
      <c r="AS19" t="n">
        <v>2247636403.579</v>
      </c>
      <c r="AT19" t="n">
        <v>2434870315.93</v>
      </c>
      <c r="AU19" t="n">
        <v>2444932773.633</v>
      </c>
      <c r="AV19" t="n">
        <v>2326460470.209</v>
      </c>
      <c r="AW19" t="n">
        <v>2538368615.256</v>
      </c>
      <c r="AX19" t="n">
        <v>2753275871.776</v>
      </c>
      <c r="AY19" t="n">
        <v>2757194209.49</v>
      </c>
      <c r="AZ19" t="n">
        <v>3040108540.362</v>
      </c>
      <c r="BA19" t="n">
        <v>3038544073.869</v>
      </c>
      <c r="BB19" t="n">
        <v>3014880707.391</v>
      </c>
      <c r="BC19" t="n">
        <v>3108720750.733</v>
      </c>
      <c r="BD19" t="n">
        <v>2932206435.193</v>
      </c>
      <c r="BE19" t="n">
        <v>3043584033.262</v>
      </c>
      <c r="BF19" t="n">
        <v>3163140270.989</v>
      </c>
      <c r="BG19" t="n">
        <v>2906247380.488</v>
      </c>
      <c r="BH19" t="n">
        <v>3069283741.851</v>
      </c>
      <c r="BI19" t="n">
        <v>3219741761.151</v>
      </c>
      <c r="BJ19" t="n">
        <v>3217452970.085</v>
      </c>
      <c r="BK19" t="n">
        <v>3706410111.804</v>
      </c>
      <c r="BL19" t="n">
        <v>3801235949.339</v>
      </c>
      <c r="BM19" t="n">
        <v>3638056088.976</v>
      </c>
      <c r="BN19" t="n">
        <v>3827436355.771</v>
      </c>
      <c r="BO19" t="n">
        <v>3902933421.057</v>
      </c>
      <c r="BP19" t="n">
        <v>4248138889.488</v>
      </c>
      <c r="BQ19" t="n">
        <v>4286910044.556</v>
      </c>
      <c r="BR19" t="n">
        <v>4186247464.961</v>
      </c>
      <c r="BS19" t="n">
        <v>4000024581.399</v>
      </c>
      <c r="BT19" t="n">
        <v>4246301724.759</v>
      </c>
    </row>
    <row r="20">
      <c r="A20" t="inlineStr">
        <is>
          <t>new_WithEgestion</t>
        </is>
      </c>
      <c r="B20" t="inlineStr">
        <is>
          <t>ok</t>
        </is>
      </c>
      <c r="C20" t="n">
        <v>76726329.574</v>
      </c>
      <c r="D20" t="n">
        <v>79767309.625</v>
      </c>
      <c r="E20" t="n">
        <v>81910135.331</v>
      </c>
      <c r="F20" t="n">
        <v>86567580.829</v>
      </c>
      <c r="G20" t="n">
        <v>88256354.43700001</v>
      </c>
      <c r="H20" t="n">
        <v>86840258.74600001</v>
      </c>
      <c r="I20" t="n">
        <v>102125710.606</v>
      </c>
      <c r="J20" t="n">
        <v>116372090.014</v>
      </c>
      <c r="K20" t="n">
        <v>118689404.356</v>
      </c>
      <c r="L20" t="n">
        <v>140831509.52</v>
      </c>
      <c r="M20" t="n">
        <v>149369611.07</v>
      </c>
      <c r="N20" t="n">
        <v>151620214.858</v>
      </c>
      <c r="O20" t="n">
        <v>164958308.175</v>
      </c>
      <c r="P20" t="n">
        <v>186849217.789</v>
      </c>
      <c r="Q20" t="n">
        <v>208390163.143</v>
      </c>
      <c r="R20" t="n">
        <v>220093973.875</v>
      </c>
      <c r="S20" t="n">
        <v>221037276.069</v>
      </c>
      <c r="T20" t="n">
        <v>203896794.219</v>
      </c>
      <c r="U20" t="n">
        <v>220462211.044</v>
      </c>
      <c r="V20" t="n">
        <v>236177595.906</v>
      </c>
      <c r="W20" t="n">
        <v>261591018.1</v>
      </c>
      <c r="X20" t="n">
        <v>296613853.074</v>
      </c>
      <c r="Y20" t="n">
        <v>305243233.898</v>
      </c>
      <c r="Z20" t="n">
        <v>302013711.77</v>
      </c>
      <c r="AA20" t="n">
        <v>340788757.388</v>
      </c>
      <c r="AB20" t="n">
        <v>379211323.025</v>
      </c>
      <c r="AC20" t="n">
        <v>395629847.073</v>
      </c>
      <c r="AD20" t="n">
        <v>429568505.26</v>
      </c>
      <c r="AE20" t="n">
        <v>434330068.366</v>
      </c>
      <c r="AF20" t="n">
        <v>426674069.484</v>
      </c>
      <c r="AG20" t="n">
        <v>470585855.075</v>
      </c>
      <c r="AH20" t="n">
        <v>456745394.062</v>
      </c>
      <c r="AI20" t="n">
        <v>498676896.436</v>
      </c>
      <c r="AJ20" t="n">
        <v>494319183.619</v>
      </c>
      <c r="AK20" t="n">
        <v>430149822.939</v>
      </c>
      <c r="AL20" t="n">
        <v>456281028.511</v>
      </c>
      <c r="AM20" t="n">
        <v>495206051.391</v>
      </c>
      <c r="AN20" t="n">
        <v>530507676.944</v>
      </c>
      <c r="AO20" t="n">
        <v>518920560.254</v>
      </c>
      <c r="AP20" t="n">
        <v>526089749.407</v>
      </c>
      <c r="AQ20" t="n">
        <v>538002369.778</v>
      </c>
      <c r="AR20" t="n">
        <v>505563732.774</v>
      </c>
      <c r="AS20" t="n">
        <v>487841956.878</v>
      </c>
      <c r="AT20" t="n">
        <v>524977337.19</v>
      </c>
      <c r="AU20" t="n">
        <v>524913662.211</v>
      </c>
      <c r="AV20" t="n">
        <v>504483986.979</v>
      </c>
      <c r="AW20" t="n">
        <v>545575968.233</v>
      </c>
      <c r="AX20" t="n">
        <v>588854792.058</v>
      </c>
      <c r="AY20" t="n">
        <v>591782364.64</v>
      </c>
      <c r="AZ20" t="n">
        <v>647922439.268</v>
      </c>
      <c r="BA20" t="n">
        <v>656532540.211</v>
      </c>
      <c r="BB20" t="n">
        <v>650776889.95</v>
      </c>
      <c r="BC20" t="n">
        <v>667033719.933</v>
      </c>
      <c r="BD20" t="n">
        <v>630200130.062</v>
      </c>
      <c r="BE20" t="n">
        <v>651665971.426</v>
      </c>
      <c r="BF20" t="n">
        <v>670444356.329</v>
      </c>
      <c r="BG20" t="n">
        <v>623596145.739</v>
      </c>
      <c r="BH20" t="n">
        <v>656845840.803</v>
      </c>
      <c r="BI20" t="n">
        <v>685121222.295</v>
      </c>
      <c r="BJ20" t="n">
        <v>678736205.9579999</v>
      </c>
      <c r="BK20" t="n">
        <v>775449964.92</v>
      </c>
      <c r="BL20" t="n">
        <v>801804446.248</v>
      </c>
      <c r="BM20" t="n">
        <v>758632531.7690001</v>
      </c>
      <c r="BN20" t="n">
        <v>801414645.006</v>
      </c>
      <c r="BO20" t="n">
        <v>822728662.0420001</v>
      </c>
      <c r="BP20" t="n">
        <v>896753596.824</v>
      </c>
      <c r="BQ20" t="n">
        <v>906690592.948</v>
      </c>
      <c r="BR20" t="n">
        <v>892284766.914</v>
      </c>
      <c r="BS20" t="n">
        <v>859777648.876</v>
      </c>
      <c r="BT20" t="n">
        <v>911590120.299</v>
      </c>
    </row>
    <row r="21">
      <c r="A21" t="inlineStr">
        <is>
          <t>sym_TE_asPP</t>
        </is>
      </c>
      <c r="B21" t="inlineStr">
        <is>
          <t>ok</t>
        </is>
      </c>
      <c r="C21" t="n">
        <v>3420568626.64</v>
      </c>
      <c r="D21" t="n">
        <v>3521734065.448</v>
      </c>
      <c r="E21" t="n">
        <v>3690502129.681</v>
      </c>
      <c r="F21" t="n">
        <v>3858027713.071</v>
      </c>
      <c r="G21" t="n">
        <v>3920881888.452</v>
      </c>
      <c r="H21" t="n">
        <v>3912380132.711</v>
      </c>
      <c r="I21" t="n">
        <v>4662358520.311</v>
      </c>
      <c r="J21" t="n">
        <v>4733078005.512</v>
      </c>
      <c r="K21" t="n">
        <v>5042997608.847</v>
      </c>
      <c r="L21" t="n">
        <v>5838265807.484</v>
      </c>
      <c r="M21" t="n">
        <v>6373869077.041</v>
      </c>
      <c r="N21" t="n">
        <v>6225425395.027</v>
      </c>
      <c r="O21" t="n">
        <v>6640912363.974</v>
      </c>
      <c r="P21" t="n">
        <v>8312680723.781</v>
      </c>
      <c r="Q21" t="n">
        <v>8745765470.539</v>
      </c>
      <c r="R21" t="n">
        <v>9393174063.087999</v>
      </c>
      <c r="S21" t="n">
        <v>9917882162.879</v>
      </c>
      <c r="T21" t="n">
        <v>8327687032.644</v>
      </c>
      <c r="U21" t="n">
        <v>9010127698.990999</v>
      </c>
      <c r="V21" t="n">
        <v>9731482617.257</v>
      </c>
      <c r="W21" t="n">
        <v>10431763937.769</v>
      </c>
      <c r="X21" t="n">
        <v>11497721112.859</v>
      </c>
      <c r="Y21" t="n">
        <v>12104173597.383</v>
      </c>
      <c r="Z21" t="n">
        <v>12421757263.096</v>
      </c>
      <c r="AA21" t="n">
        <v>14319791256.439</v>
      </c>
      <c r="AB21" t="n">
        <v>18863145286.904</v>
      </c>
      <c r="AC21" t="n">
        <v>19064955581.653</v>
      </c>
      <c r="AD21" t="n">
        <v>19011683516.286</v>
      </c>
      <c r="AE21" t="n">
        <v>19980068353.768</v>
      </c>
      <c r="AF21" t="n">
        <v>20270449212.871</v>
      </c>
      <c r="AG21" t="n">
        <v>22000866704.882</v>
      </c>
      <c r="AH21" t="n">
        <v>18638320752.16</v>
      </c>
      <c r="AI21" t="n">
        <v>24042547308.932</v>
      </c>
      <c r="AJ21" t="n">
        <v>24038798115.004</v>
      </c>
      <c r="AK21" t="n">
        <v>19413454204.974</v>
      </c>
      <c r="AL21" t="n">
        <v>21342836872.208</v>
      </c>
      <c r="AM21" t="n">
        <v>21072097719.245</v>
      </c>
      <c r="AN21" t="n">
        <v>23213617760.907</v>
      </c>
      <c r="AO21" t="n">
        <v>22988020554.677</v>
      </c>
      <c r="AP21" t="n">
        <v>20664045402.294</v>
      </c>
      <c r="AQ21" t="n">
        <v>21651537682.248</v>
      </c>
      <c r="AR21" t="n">
        <v>21143250466.744</v>
      </c>
      <c r="AS21" t="n">
        <v>21413842041.864</v>
      </c>
      <c r="AT21" t="n">
        <v>23975085530.15</v>
      </c>
      <c r="AU21" t="n">
        <v>24576312002.776</v>
      </c>
      <c r="AV21" t="n">
        <v>22120099425.485</v>
      </c>
      <c r="AW21" t="n">
        <v>25737246592.499</v>
      </c>
      <c r="AX21" t="n">
        <v>28725004104.613</v>
      </c>
      <c r="AY21" t="n">
        <v>27770567394.027</v>
      </c>
      <c r="AZ21" t="n">
        <v>31437376310.721</v>
      </c>
      <c r="BA21" t="n">
        <v>29092298301.955</v>
      </c>
      <c r="BB21" t="n">
        <v>29138890481.017</v>
      </c>
      <c r="BC21" t="n">
        <v>31279595589.853</v>
      </c>
      <c r="BD21" t="n">
        <v>29181953389.623</v>
      </c>
      <c r="BE21" t="n">
        <v>30583839518.192</v>
      </c>
      <c r="BF21" t="n">
        <v>34015380020.877</v>
      </c>
      <c r="BG21" t="n">
        <v>29069716932.129</v>
      </c>
      <c r="BH21" t="n">
        <v>31031449711.079</v>
      </c>
      <c r="BI21" t="n">
        <v>34016912404.847</v>
      </c>
      <c r="BJ21" t="n">
        <v>36131860302.333</v>
      </c>
      <c r="BK21" t="n">
        <v>42418336822.936</v>
      </c>
      <c r="BL21" t="n">
        <v>41131276585.428</v>
      </c>
      <c r="BM21" t="n">
        <v>41580828722.845</v>
      </c>
      <c r="BN21" t="n">
        <v>43006417383.546</v>
      </c>
      <c r="BO21" t="n">
        <v>42086857835.748</v>
      </c>
      <c r="BP21" t="n">
        <v>44720879217.527</v>
      </c>
      <c r="BQ21" t="n">
        <v>44432099460.062</v>
      </c>
      <c r="BR21" t="n">
        <v>41510542550.602</v>
      </c>
      <c r="BS21" t="n">
        <v>38050580501.846</v>
      </c>
      <c r="BT21" t="n">
        <v>40403068150.789</v>
      </c>
    </row>
    <row r="22">
      <c r="A22" s="18" t="inlineStr">
        <is>
          <t>sym_TE_asDC</t>
        </is>
      </c>
      <c r="B22" s="9" t="inlineStr">
        <is>
          <t>DIVERGED - negative SPPR in a source-model group</t>
        </is>
      </c>
      <c r="C22" t="n">
        <v>-11014363633.439</v>
      </c>
      <c r="D22" t="n">
        <v>-11367815601.865</v>
      </c>
      <c r="E22" t="n">
        <v>-11801495756.906</v>
      </c>
      <c r="F22" t="n">
        <v>-12351031994.022</v>
      </c>
      <c r="G22" t="n">
        <v>-12530763683.411</v>
      </c>
      <c r="H22" t="n">
        <v>-12467505613.53</v>
      </c>
      <c r="I22" t="n">
        <v>-14660736983.583</v>
      </c>
      <c r="J22" t="n">
        <v>-15912824500.813</v>
      </c>
      <c r="K22" t="n">
        <v>-16032254522.767</v>
      </c>
      <c r="L22" t="n">
        <v>-18093442573.832</v>
      </c>
      <c r="M22" t="n">
        <v>-19412978106.37</v>
      </c>
      <c r="N22" t="n">
        <v>-19212237978.416</v>
      </c>
      <c r="O22" t="n">
        <v>-20293403016.138</v>
      </c>
      <c r="P22" t="n">
        <v>-24638735992.528</v>
      </c>
      <c r="Q22" t="n">
        <v>-26447032324.876</v>
      </c>
      <c r="R22" t="n">
        <v>-28341514189.979</v>
      </c>
      <c r="S22" t="n">
        <v>-29757967579.489</v>
      </c>
      <c r="T22" t="n">
        <v>-26128117331</v>
      </c>
      <c r="U22" t="n">
        <v>-27956478925.601</v>
      </c>
      <c r="V22" t="n">
        <v>-29931225354.185</v>
      </c>
      <c r="W22" t="n">
        <v>-32724250974.813</v>
      </c>
      <c r="X22" t="n">
        <v>-37312968898.743</v>
      </c>
      <c r="Y22" t="n">
        <v>-37987497969.574</v>
      </c>
      <c r="Z22" t="n">
        <v>-38467171449.741</v>
      </c>
      <c r="AA22" t="n">
        <v>-43337634962.206</v>
      </c>
      <c r="AB22" t="n">
        <v>-54314217024.184</v>
      </c>
      <c r="AC22" t="n">
        <v>-56555658957.562</v>
      </c>
      <c r="AD22" t="n">
        <v>-58075610310.031</v>
      </c>
      <c r="AE22" t="n">
        <v>-60074769557.094</v>
      </c>
      <c r="AF22" t="n">
        <v>-60485823951.733</v>
      </c>
      <c r="AG22" t="n">
        <v>-65069262991.339</v>
      </c>
      <c r="AH22" t="n">
        <v>-58246975990.351</v>
      </c>
      <c r="AI22" t="n">
        <v>-71554769896.84399</v>
      </c>
      <c r="AJ22" t="n">
        <v>-71744372125.84801</v>
      </c>
      <c r="AK22" t="n">
        <v>-60622440164.613</v>
      </c>
      <c r="AL22" t="n">
        <v>-66134140561.415</v>
      </c>
      <c r="AM22" t="n">
        <v>-67113850362.067</v>
      </c>
      <c r="AN22" t="n">
        <v>-73635282939.918</v>
      </c>
      <c r="AO22" t="n">
        <v>-75378177437.312</v>
      </c>
      <c r="AP22" t="n">
        <v>-67495929726.455</v>
      </c>
      <c r="AQ22" t="n">
        <v>-68230315741.593</v>
      </c>
      <c r="AR22" t="n">
        <v>-67689314260.736</v>
      </c>
      <c r="AS22" t="n">
        <v>-69398339632.561</v>
      </c>
      <c r="AT22" t="n">
        <v>-74110037454.638</v>
      </c>
      <c r="AU22" t="n">
        <v>-76818859727.651</v>
      </c>
      <c r="AV22" t="n">
        <v>-70664705617.88901</v>
      </c>
      <c r="AW22" t="n">
        <v>-80189508425.68201</v>
      </c>
      <c r="AX22" t="n">
        <v>-89513885752.52699</v>
      </c>
      <c r="AY22" t="n">
        <v>-87133625407.55099</v>
      </c>
      <c r="AZ22" t="n">
        <v>-97058444699.407</v>
      </c>
      <c r="BA22" t="n">
        <v>-93016617618.209</v>
      </c>
      <c r="BB22" t="n">
        <v>-92679433054.53999</v>
      </c>
      <c r="BC22" t="n">
        <v>-99269654361.84</v>
      </c>
      <c r="BD22" t="n">
        <v>-94039022635.12601</v>
      </c>
      <c r="BE22" t="n">
        <v>-97238486683.85899</v>
      </c>
      <c r="BF22" t="n">
        <v>-105053740173.601</v>
      </c>
      <c r="BG22" t="n">
        <v>-93276801718.25101</v>
      </c>
      <c r="BH22" t="n">
        <v>-99099318185.093</v>
      </c>
      <c r="BI22" t="n">
        <v>-106392167181.56</v>
      </c>
      <c r="BJ22" t="n">
        <v>-109969323994.251</v>
      </c>
      <c r="BK22" t="n">
        <v>-127957541391.285</v>
      </c>
      <c r="BL22" t="n">
        <v>-128045531635.867</v>
      </c>
      <c r="BM22" t="n">
        <v>-127676429039.621</v>
      </c>
      <c r="BN22" t="n">
        <v>-132631645127.565</v>
      </c>
      <c r="BO22" t="n">
        <v>-134029377414.25</v>
      </c>
      <c r="BP22" t="n">
        <v>-144707331566.356</v>
      </c>
      <c r="BQ22" t="n">
        <v>-147229656363.515</v>
      </c>
      <c r="BR22" t="n">
        <v>-147112524724.106</v>
      </c>
      <c r="BS22" t="n">
        <v>-139000736226.738</v>
      </c>
      <c r="BT22" t="n">
        <v>-145604920876.566</v>
      </c>
    </row>
    <row r="23">
      <c r="A23" t="inlineStr">
        <is>
          <t>sym_GE_asPP</t>
        </is>
      </c>
      <c r="B23" t="inlineStr">
        <is>
          <t>ok</t>
        </is>
      </c>
      <c r="C23" t="n">
        <v>355594933.807</v>
      </c>
      <c r="D23" t="n">
        <v>369161174.951</v>
      </c>
      <c r="E23" t="n">
        <v>379608248.757</v>
      </c>
      <c r="F23" t="n">
        <v>400338324.583</v>
      </c>
      <c r="G23" t="n">
        <v>407660855.858</v>
      </c>
      <c r="H23" t="n">
        <v>401603218.983</v>
      </c>
      <c r="I23" t="n">
        <v>474222556.589</v>
      </c>
      <c r="J23" t="n">
        <v>530967552.4</v>
      </c>
      <c r="K23" t="n">
        <v>545503090.1390001</v>
      </c>
      <c r="L23" t="n">
        <v>645729117.487</v>
      </c>
      <c r="M23" t="n">
        <v>687023885.9</v>
      </c>
      <c r="N23" t="n">
        <v>691068154.1210001</v>
      </c>
      <c r="O23" t="n">
        <v>749035496.521</v>
      </c>
      <c r="P23" t="n">
        <v>859555785.28</v>
      </c>
      <c r="Q23" t="n">
        <v>953171005.206</v>
      </c>
      <c r="R23" t="n">
        <v>1010079330.461</v>
      </c>
      <c r="S23" t="n">
        <v>1019980294.841</v>
      </c>
      <c r="T23" t="n">
        <v>929736403.285</v>
      </c>
      <c r="U23" t="n">
        <v>1006355285.166</v>
      </c>
      <c r="V23" t="n">
        <v>1080157822.993</v>
      </c>
      <c r="W23" t="n">
        <v>1200496047.046</v>
      </c>
      <c r="X23" t="n">
        <v>1357129666.871</v>
      </c>
      <c r="Y23" t="n">
        <v>1396521190.392</v>
      </c>
      <c r="Z23" t="n">
        <v>1386190785.143</v>
      </c>
      <c r="AA23" t="n">
        <v>1570188214.404</v>
      </c>
      <c r="AB23" t="n">
        <v>1784965434.115</v>
      </c>
      <c r="AC23" t="n">
        <v>1849155441.145</v>
      </c>
      <c r="AD23" t="n">
        <v>1987498168.797</v>
      </c>
      <c r="AE23" t="n">
        <v>2016240811.056</v>
      </c>
      <c r="AF23" t="n">
        <v>1991895594.439</v>
      </c>
      <c r="AG23" t="n">
        <v>2182222763.52</v>
      </c>
      <c r="AH23" t="n">
        <v>2080222151.326</v>
      </c>
      <c r="AI23" t="n">
        <v>2324163123.018</v>
      </c>
      <c r="AJ23" t="n">
        <v>2304879366.426</v>
      </c>
      <c r="AK23" t="n">
        <v>1980709344.581</v>
      </c>
      <c r="AL23" t="n">
        <v>2111350726.841</v>
      </c>
      <c r="AM23" t="n">
        <v>2268847477.036</v>
      </c>
      <c r="AN23" t="n">
        <v>2432881172.114</v>
      </c>
      <c r="AO23" t="n">
        <v>2389743249.011</v>
      </c>
      <c r="AP23" t="n">
        <v>2397406654.852</v>
      </c>
      <c r="AQ23" t="n">
        <v>2464867557.337</v>
      </c>
      <c r="AR23" t="n">
        <v>2320142946.146</v>
      </c>
      <c r="AS23" t="n">
        <v>2247636403.579</v>
      </c>
      <c r="AT23" t="n">
        <v>2434870315.93</v>
      </c>
      <c r="AU23" t="n">
        <v>2444932773.633</v>
      </c>
      <c r="AV23" t="n">
        <v>2326460470.209</v>
      </c>
      <c r="AW23" t="n">
        <v>2538368615.256</v>
      </c>
      <c r="AX23" t="n">
        <v>2753275871.776</v>
      </c>
      <c r="AY23" t="n">
        <v>2757194209.49</v>
      </c>
      <c r="AZ23" t="n">
        <v>3040108540.362</v>
      </c>
      <c r="BA23" t="n">
        <v>3038544073.869</v>
      </c>
      <c r="BB23" t="n">
        <v>3014880707.391</v>
      </c>
      <c r="BC23" t="n">
        <v>3108720750.733</v>
      </c>
      <c r="BD23" t="n">
        <v>2932206435.193</v>
      </c>
      <c r="BE23" t="n">
        <v>3043584033.262</v>
      </c>
      <c r="BF23" t="n">
        <v>3163140270.989</v>
      </c>
      <c r="BG23" t="n">
        <v>2906247380.488</v>
      </c>
      <c r="BH23" t="n">
        <v>3069283741.851</v>
      </c>
      <c r="BI23" t="n">
        <v>3219741761.151</v>
      </c>
      <c r="BJ23" t="n">
        <v>3217452970.085</v>
      </c>
      <c r="BK23" t="n">
        <v>3706410111.804</v>
      </c>
      <c r="BL23" t="n">
        <v>3801235949.339</v>
      </c>
      <c r="BM23" t="n">
        <v>3638056088.976</v>
      </c>
      <c r="BN23" t="n">
        <v>3827436355.771</v>
      </c>
      <c r="BO23" t="n">
        <v>3902933421.057</v>
      </c>
      <c r="BP23" t="n">
        <v>4248138889.488</v>
      </c>
      <c r="BQ23" t="n">
        <v>4286910044.556</v>
      </c>
      <c r="BR23" t="n">
        <v>4186247464.961</v>
      </c>
      <c r="BS23" t="n">
        <v>4000024581.399</v>
      </c>
      <c r="BT23" t="n">
        <v>4246301724.759</v>
      </c>
    </row>
    <row r="24">
      <c r="A24" t="inlineStr">
        <is>
          <t>sym_GE_asDC</t>
        </is>
      </c>
      <c r="B24" t="inlineStr">
        <is>
          <t>ok</t>
        </is>
      </c>
      <c r="C24" t="n">
        <v>355594933.807</v>
      </c>
      <c r="D24" t="n">
        <v>369161174.951</v>
      </c>
      <c r="E24" t="n">
        <v>379608248.757</v>
      </c>
      <c r="F24" t="n">
        <v>400338324.583</v>
      </c>
      <c r="G24" t="n">
        <v>407660855.858</v>
      </c>
      <c r="H24" t="n">
        <v>401603218.983</v>
      </c>
      <c r="I24" t="n">
        <v>474222556.589</v>
      </c>
      <c r="J24" t="n">
        <v>530967552.4</v>
      </c>
      <c r="K24" t="n">
        <v>545503090.1390001</v>
      </c>
      <c r="L24" t="n">
        <v>645729117.487</v>
      </c>
      <c r="M24" t="n">
        <v>687023885.9</v>
      </c>
      <c r="N24" t="n">
        <v>691068154.1210001</v>
      </c>
      <c r="O24" t="n">
        <v>749035496.521</v>
      </c>
      <c r="P24" t="n">
        <v>859555785.28</v>
      </c>
      <c r="Q24" t="n">
        <v>953171005.206</v>
      </c>
      <c r="R24" t="n">
        <v>1010079330.461</v>
      </c>
      <c r="S24" t="n">
        <v>1019980294.841</v>
      </c>
      <c r="T24" t="n">
        <v>929736403.285</v>
      </c>
      <c r="U24" t="n">
        <v>1006355285.166</v>
      </c>
      <c r="V24" t="n">
        <v>1080157822.993</v>
      </c>
      <c r="W24" t="n">
        <v>1200496047.046</v>
      </c>
      <c r="X24" t="n">
        <v>1357129666.871</v>
      </c>
      <c r="Y24" t="n">
        <v>1396521190.392</v>
      </c>
      <c r="Z24" t="n">
        <v>1386190785.143</v>
      </c>
      <c r="AA24" t="n">
        <v>1570188214.404</v>
      </c>
      <c r="AB24" t="n">
        <v>1784965434.115</v>
      </c>
      <c r="AC24" t="n">
        <v>1849155441.145</v>
      </c>
      <c r="AD24" t="n">
        <v>1987498168.797</v>
      </c>
      <c r="AE24" t="n">
        <v>2016240811.056</v>
      </c>
      <c r="AF24" t="n">
        <v>1991895594.439</v>
      </c>
      <c r="AG24" t="n">
        <v>2182222763.52</v>
      </c>
      <c r="AH24" t="n">
        <v>2080222151.326</v>
      </c>
      <c r="AI24" t="n">
        <v>2324163123.018</v>
      </c>
      <c r="AJ24" t="n">
        <v>2304879366.426</v>
      </c>
      <c r="AK24" t="n">
        <v>1980709344.581</v>
      </c>
      <c r="AL24" t="n">
        <v>2111350726.841</v>
      </c>
      <c r="AM24" t="n">
        <v>2268847477.036</v>
      </c>
      <c r="AN24" t="n">
        <v>2432881172.114</v>
      </c>
      <c r="AO24" t="n">
        <v>2389743249.011</v>
      </c>
      <c r="AP24" t="n">
        <v>2397406654.852</v>
      </c>
      <c r="AQ24" t="n">
        <v>2464867557.337</v>
      </c>
      <c r="AR24" t="n">
        <v>2320142946.146</v>
      </c>
      <c r="AS24" t="n">
        <v>2247636403.579</v>
      </c>
      <c r="AT24" t="n">
        <v>2434870315.93</v>
      </c>
      <c r="AU24" t="n">
        <v>2444932773.633</v>
      </c>
      <c r="AV24" t="n">
        <v>2326460470.209</v>
      </c>
      <c r="AW24" t="n">
        <v>2538368615.256</v>
      </c>
      <c r="AX24" t="n">
        <v>2753275871.776</v>
      </c>
      <c r="AY24" t="n">
        <v>2757194209.49</v>
      </c>
      <c r="AZ24" t="n">
        <v>3040108540.362</v>
      </c>
      <c r="BA24" t="n">
        <v>3038544073.869</v>
      </c>
      <c r="BB24" t="n">
        <v>3014880707.391</v>
      </c>
      <c r="BC24" t="n">
        <v>3108720750.733</v>
      </c>
      <c r="BD24" t="n">
        <v>2932206435.193</v>
      </c>
      <c r="BE24" t="n">
        <v>3043584033.262</v>
      </c>
      <c r="BF24" t="n">
        <v>3163140270.989</v>
      </c>
      <c r="BG24" t="n">
        <v>2906247380.488</v>
      </c>
      <c r="BH24" t="n">
        <v>3069283741.851</v>
      </c>
      <c r="BI24" t="n">
        <v>3219741761.151</v>
      </c>
      <c r="BJ24" t="n">
        <v>3217452970.085</v>
      </c>
      <c r="BK24" t="n">
        <v>3706410111.804</v>
      </c>
      <c r="BL24" t="n">
        <v>3801235949.339</v>
      </c>
      <c r="BM24" t="n">
        <v>3638056088.976</v>
      </c>
      <c r="BN24" t="n">
        <v>3827436355.771</v>
      </c>
      <c r="BO24" t="n">
        <v>3902933421.057</v>
      </c>
      <c r="BP24" t="n">
        <v>4248138889.488</v>
      </c>
      <c r="BQ24" t="n">
        <v>4286910044.556</v>
      </c>
      <c r="BR24" t="n">
        <v>4186247464.961</v>
      </c>
      <c r="BS24" t="n">
        <v>4000024581.399</v>
      </c>
      <c r="BT24" t="n">
        <v>4246301724.759</v>
      </c>
    </row>
    <row r="25">
      <c r="A25" t="inlineStr">
        <is>
          <t>sym_WithEgestion_asPP</t>
        </is>
      </c>
      <c r="B25" t="inlineStr">
        <is>
          <t>ok</t>
        </is>
      </c>
      <c r="C25" t="n">
        <v>76726329.574</v>
      </c>
      <c r="D25" t="n">
        <v>79767309.625</v>
      </c>
      <c r="E25" t="n">
        <v>81910135.331</v>
      </c>
      <c r="F25" t="n">
        <v>86567580.829</v>
      </c>
      <c r="G25" t="n">
        <v>88256354.43700001</v>
      </c>
      <c r="H25" t="n">
        <v>86840258.74600001</v>
      </c>
      <c r="I25" t="n">
        <v>102125710.606</v>
      </c>
      <c r="J25" t="n">
        <v>116372090.014</v>
      </c>
      <c r="K25" t="n">
        <v>118689404.356</v>
      </c>
      <c r="L25" t="n">
        <v>140831509.52</v>
      </c>
      <c r="M25" t="n">
        <v>149369611.07</v>
      </c>
      <c r="N25" t="n">
        <v>151620214.858</v>
      </c>
      <c r="O25" t="n">
        <v>164958308.175</v>
      </c>
      <c r="P25" t="n">
        <v>186849217.789</v>
      </c>
      <c r="Q25" t="n">
        <v>208390163.143</v>
      </c>
      <c r="R25" t="n">
        <v>220093973.875</v>
      </c>
      <c r="S25" t="n">
        <v>221037276.069</v>
      </c>
      <c r="T25" t="n">
        <v>203896794.219</v>
      </c>
      <c r="U25" t="n">
        <v>220462211.044</v>
      </c>
      <c r="V25" t="n">
        <v>236177595.906</v>
      </c>
      <c r="W25" t="n">
        <v>261591018.1</v>
      </c>
      <c r="X25" t="n">
        <v>296613853.074</v>
      </c>
      <c r="Y25" t="n">
        <v>305243233.898</v>
      </c>
      <c r="Z25" t="n">
        <v>302013711.77</v>
      </c>
      <c r="AA25" t="n">
        <v>340788757.388</v>
      </c>
      <c r="AB25" t="n">
        <v>379211323.025</v>
      </c>
      <c r="AC25" t="n">
        <v>395629847.073</v>
      </c>
      <c r="AD25" t="n">
        <v>429568505.26</v>
      </c>
      <c r="AE25" t="n">
        <v>434330068.366</v>
      </c>
      <c r="AF25" t="n">
        <v>426674069.484</v>
      </c>
      <c r="AG25" t="n">
        <v>470585855.075</v>
      </c>
      <c r="AH25" t="n">
        <v>456745394.062</v>
      </c>
      <c r="AI25" t="n">
        <v>498676896.436</v>
      </c>
      <c r="AJ25" t="n">
        <v>494319183.619</v>
      </c>
      <c r="AK25" t="n">
        <v>430149822.939</v>
      </c>
      <c r="AL25" t="n">
        <v>456281028.511</v>
      </c>
      <c r="AM25" t="n">
        <v>495206051.391</v>
      </c>
      <c r="AN25" t="n">
        <v>530507676.944</v>
      </c>
      <c r="AO25" t="n">
        <v>518920560.254</v>
      </c>
      <c r="AP25" t="n">
        <v>526089749.407</v>
      </c>
      <c r="AQ25" t="n">
        <v>538002369.778</v>
      </c>
      <c r="AR25" t="n">
        <v>505563732.774</v>
      </c>
      <c r="AS25" t="n">
        <v>487841956.878</v>
      </c>
      <c r="AT25" t="n">
        <v>524977337.19</v>
      </c>
      <c r="AU25" t="n">
        <v>524913662.211</v>
      </c>
      <c r="AV25" t="n">
        <v>504483986.979</v>
      </c>
      <c r="AW25" t="n">
        <v>545575968.233</v>
      </c>
      <c r="AX25" t="n">
        <v>588854792.058</v>
      </c>
      <c r="AY25" t="n">
        <v>591782364.64</v>
      </c>
      <c r="AZ25" t="n">
        <v>647922439.268</v>
      </c>
      <c r="BA25" t="n">
        <v>656532540.211</v>
      </c>
      <c r="BB25" t="n">
        <v>650776889.95</v>
      </c>
      <c r="BC25" t="n">
        <v>667033719.933</v>
      </c>
      <c r="BD25" t="n">
        <v>630200130.062</v>
      </c>
      <c r="BE25" t="n">
        <v>651665971.426</v>
      </c>
      <c r="BF25" t="n">
        <v>670444356.329</v>
      </c>
      <c r="BG25" t="n">
        <v>623596145.739</v>
      </c>
      <c r="BH25" t="n">
        <v>656845840.803</v>
      </c>
      <c r="BI25" t="n">
        <v>685121222.295</v>
      </c>
      <c r="BJ25" t="n">
        <v>678736205.9579999</v>
      </c>
      <c r="BK25" t="n">
        <v>775449964.92</v>
      </c>
      <c r="BL25" t="n">
        <v>801804446.248</v>
      </c>
      <c r="BM25" t="n">
        <v>758632531.7690001</v>
      </c>
      <c r="BN25" t="n">
        <v>801414645.006</v>
      </c>
      <c r="BO25" t="n">
        <v>822728662.0420001</v>
      </c>
      <c r="BP25" t="n">
        <v>896753596.824</v>
      </c>
      <c r="BQ25" t="n">
        <v>906690592.948</v>
      </c>
      <c r="BR25" t="n">
        <v>892284766.914</v>
      </c>
      <c r="BS25" t="n">
        <v>859777648.876</v>
      </c>
      <c r="BT25" t="n">
        <v>911590120.299</v>
      </c>
    </row>
    <row r="26">
      <c r="A26" t="inlineStr">
        <is>
          <t>sym_WithEgestion_asDC</t>
        </is>
      </c>
      <c r="B26" t="inlineStr">
        <is>
          <t>ok</t>
        </is>
      </c>
      <c r="C26" t="n">
        <v>1249229224.009</v>
      </c>
      <c r="D26" t="n">
        <v>1298758104.072</v>
      </c>
      <c r="E26" t="n">
        <v>1331954300.762</v>
      </c>
      <c r="F26" t="n">
        <v>1403449658.412</v>
      </c>
      <c r="G26" t="n">
        <v>1431526322.908</v>
      </c>
      <c r="H26" t="n">
        <v>1406315066.714</v>
      </c>
      <c r="I26" t="n">
        <v>1636118332.837</v>
      </c>
      <c r="J26" t="n">
        <v>1850541158.209</v>
      </c>
      <c r="K26" t="n">
        <v>1840878481.812</v>
      </c>
      <c r="L26" t="n">
        <v>2087593131.831</v>
      </c>
      <c r="M26" t="n">
        <v>2149896321.792</v>
      </c>
      <c r="N26" t="n">
        <v>2190533672.323</v>
      </c>
      <c r="O26" t="n">
        <v>2297272354.276</v>
      </c>
      <c r="P26" t="n">
        <v>2557559465.731</v>
      </c>
      <c r="Q26" t="n">
        <v>2838756832.885</v>
      </c>
      <c r="R26" t="n">
        <v>2995343066.367</v>
      </c>
      <c r="S26" t="n">
        <v>3113810232.977</v>
      </c>
      <c r="T26" t="n">
        <v>3020970231.974</v>
      </c>
      <c r="U26" t="n">
        <v>3203644717.577</v>
      </c>
      <c r="V26" t="n">
        <v>3412935536.077</v>
      </c>
      <c r="W26" t="n">
        <v>3849527599.633</v>
      </c>
      <c r="X26" t="n">
        <v>4464216576.375</v>
      </c>
      <c r="Y26" t="n">
        <v>4449055692.864</v>
      </c>
      <c r="Z26" t="n">
        <v>4398037340.558</v>
      </c>
      <c r="AA26" t="n">
        <v>4793556753.209</v>
      </c>
      <c r="AB26" t="n">
        <v>5237364345.308</v>
      </c>
      <c r="AC26" t="n">
        <v>5737588797.558</v>
      </c>
      <c r="AD26" t="n">
        <v>6348772925.633</v>
      </c>
      <c r="AE26" t="n">
        <v>6289096954.858</v>
      </c>
      <c r="AF26" t="n">
        <v>6198975394.154</v>
      </c>
      <c r="AG26" t="n">
        <v>6717850108.367</v>
      </c>
      <c r="AH26" t="n">
        <v>6736063760.291</v>
      </c>
      <c r="AI26" t="n">
        <v>7258351783.801</v>
      </c>
      <c r="AJ26" t="n">
        <v>7248927566.469</v>
      </c>
      <c r="AK26" t="n">
        <v>6803630290.876</v>
      </c>
      <c r="AL26" t="n">
        <v>7231355067.448</v>
      </c>
      <c r="AM26" t="n">
        <v>7949909547.088</v>
      </c>
      <c r="AN26" t="n">
        <v>8429975543.387</v>
      </c>
      <c r="AO26" t="n">
        <v>8523319278.349</v>
      </c>
      <c r="AP26" t="n">
        <v>8509247879.405</v>
      </c>
      <c r="AQ26" t="n">
        <v>8358062763.647</v>
      </c>
      <c r="AR26" t="n">
        <v>7944536027.33</v>
      </c>
      <c r="AS26" t="n">
        <v>7861853438.881</v>
      </c>
      <c r="AT26" t="n">
        <v>8139672578.003</v>
      </c>
      <c r="AU26" t="n">
        <v>8374422718.999</v>
      </c>
      <c r="AV26" t="n">
        <v>8101209358.842</v>
      </c>
      <c r="AW26" t="n">
        <v>8552862165.941</v>
      </c>
      <c r="AX26" t="n">
        <v>9262496861.997</v>
      </c>
      <c r="AY26" t="n">
        <v>9307018822.858</v>
      </c>
      <c r="AZ26" t="n">
        <v>10037806151.88</v>
      </c>
      <c r="BA26" t="n">
        <v>10512799537.091</v>
      </c>
      <c r="BB26" t="n">
        <v>10351146197.484</v>
      </c>
      <c r="BC26" t="n">
        <v>10733136508.267</v>
      </c>
      <c r="BD26" t="n">
        <v>10180583171.222</v>
      </c>
      <c r="BE26" t="n">
        <v>10407395216.272</v>
      </c>
      <c r="BF26" t="n">
        <v>10530461561.968</v>
      </c>
      <c r="BG26" t="n">
        <v>10045300184.505</v>
      </c>
      <c r="BH26" t="n">
        <v>10561704526.677</v>
      </c>
      <c r="BI26" t="n">
        <v>10729760969.313</v>
      </c>
      <c r="BJ26" t="n">
        <v>10362148855.846</v>
      </c>
      <c r="BK26" t="n">
        <v>11834813028.186</v>
      </c>
      <c r="BL26" t="n">
        <v>12595337512.875</v>
      </c>
      <c r="BM26" t="n">
        <v>11768327885.325</v>
      </c>
      <c r="BN26" t="n">
        <v>12470852588.278</v>
      </c>
      <c r="BO26" t="n">
        <v>13315379497.932</v>
      </c>
      <c r="BP26" t="n">
        <v>14813587413.137</v>
      </c>
      <c r="BQ26" t="n">
        <v>15418388992.667</v>
      </c>
      <c r="BR26" t="n">
        <v>16115819405.029</v>
      </c>
      <c r="BS26" t="n">
        <v>15871085452.5</v>
      </c>
      <c r="BT26" t="n">
        <v>16649423868.921</v>
      </c>
    </row>
    <row r="27">
      <c r="A27" t="inlineStr">
        <is>
          <t>MC_new_GE</t>
        </is>
      </c>
      <c r="B27" t="inlineStr">
        <is>
          <t>ok</t>
        </is>
      </c>
      <c r="C27" t="n">
        <v>381455362.252</v>
      </c>
      <c r="D27" t="n">
        <v>395959369.612</v>
      </c>
      <c r="E27" t="n">
        <v>407293687.652</v>
      </c>
      <c r="F27" t="n">
        <v>429479594.376</v>
      </c>
      <c r="G27" t="n">
        <v>437308429.953</v>
      </c>
      <c r="H27" t="n">
        <v>430947097.363</v>
      </c>
      <c r="I27" t="n">
        <v>508934668.638</v>
      </c>
      <c r="J27" t="n">
        <v>569257142.49</v>
      </c>
      <c r="K27" t="n">
        <v>584863953.302</v>
      </c>
      <c r="L27" t="n">
        <v>691878459.6390001</v>
      </c>
      <c r="M27" t="n">
        <v>736413409.4220001</v>
      </c>
      <c r="N27" t="n">
        <v>740396742.125</v>
      </c>
      <c r="O27" t="n">
        <v>802334332.325</v>
      </c>
      <c r="P27" t="n">
        <v>922012504.715</v>
      </c>
      <c r="Q27" t="n">
        <v>1021579269.303</v>
      </c>
      <c r="R27" t="n">
        <v>1082734452.399</v>
      </c>
      <c r="S27" t="n">
        <v>1094217570.379</v>
      </c>
      <c r="T27" t="n">
        <v>996147259.429</v>
      </c>
      <c r="U27" t="n">
        <v>1078134913.606</v>
      </c>
      <c r="V27" t="n">
        <v>1157396989.901</v>
      </c>
      <c r="W27" t="n">
        <v>1285965402.492</v>
      </c>
      <c r="X27" t="n">
        <v>1453330531.775</v>
      </c>
      <c r="Y27" t="n">
        <v>1495890464.893</v>
      </c>
      <c r="Z27" t="n">
        <v>1485489520.252</v>
      </c>
      <c r="AA27" t="n">
        <v>1683067164.546</v>
      </c>
      <c r="AB27" t="n">
        <v>1918237846.58</v>
      </c>
      <c r="AC27" t="n">
        <v>1985699180.8</v>
      </c>
      <c r="AD27" t="n">
        <v>2131746440.812</v>
      </c>
      <c r="AE27" t="n">
        <v>2163733641.583</v>
      </c>
      <c r="AF27" t="n">
        <v>2138546011.236</v>
      </c>
      <c r="AG27" t="n">
        <v>2341555012.04</v>
      </c>
      <c r="AH27" t="n">
        <v>2227979707.926</v>
      </c>
      <c r="AI27" t="n">
        <v>2494902628.335</v>
      </c>
      <c r="AJ27" t="n">
        <v>2474707229.45</v>
      </c>
      <c r="AK27" t="n">
        <v>2124247141.36</v>
      </c>
      <c r="AL27" t="n">
        <v>2265680731.679</v>
      </c>
      <c r="AM27" t="n">
        <v>2431195625.004</v>
      </c>
      <c r="AN27" t="n">
        <v>2607643314.139</v>
      </c>
      <c r="AO27" t="n">
        <v>2561984462.702</v>
      </c>
      <c r="AP27" t="n">
        <v>2566092677.299</v>
      </c>
      <c r="AQ27" t="n">
        <v>2639752950.203</v>
      </c>
      <c r="AR27" t="n">
        <v>2486388367.842</v>
      </c>
      <c r="AS27" t="n">
        <v>2410426138.886</v>
      </c>
      <c r="AT27" t="n">
        <v>2613082931.81</v>
      </c>
      <c r="AU27" t="n">
        <v>2624710796.79</v>
      </c>
      <c r="AV27" t="n">
        <v>2494820145.867</v>
      </c>
      <c r="AW27" t="n">
        <v>2724746314.512</v>
      </c>
      <c r="AX27" t="n">
        <v>2956606926.396</v>
      </c>
      <c r="AY27" t="n">
        <v>2958979153.645</v>
      </c>
      <c r="AZ27" t="n">
        <v>3264061807.835</v>
      </c>
      <c r="BA27" t="n">
        <v>3258915575.783</v>
      </c>
      <c r="BB27" t="n">
        <v>3234225973.633</v>
      </c>
      <c r="BC27" t="n">
        <v>3337231755.611</v>
      </c>
      <c r="BD27" t="n">
        <v>3147384900.28</v>
      </c>
      <c r="BE27" t="n">
        <v>3267732196.798</v>
      </c>
      <c r="BF27" t="n">
        <v>3400018484.452</v>
      </c>
      <c r="BG27" t="n">
        <v>3120144891.02</v>
      </c>
      <c r="BH27" t="n">
        <v>3295572629.918</v>
      </c>
      <c r="BI27" t="n">
        <v>3459928374.921</v>
      </c>
      <c r="BJ27" t="n">
        <v>3460858076.381</v>
      </c>
      <c r="BK27" t="n">
        <v>3988880392.197</v>
      </c>
      <c r="BL27" t="n">
        <v>4086263888.93</v>
      </c>
      <c r="BM27" t="n">
        <v>3915488151.411</v>
      </c>
      <c r="BN27" t="n">
        <v>4116891695.884</v>
      </c>
      <c r="BO27" t="n">
        <v>4195102931.121</v>
      </c>
      <c r="BP27" t="n">
        <v>4565055300.588</v>
      </c>
      <c r="BQ27" t="n">
        <v>4605249060.073</v>
      </c>
      <c r="BR27" t="n">
        <v>4493997142.703</v>
      </c>
      <c r="BS27" t="n">
        <v>4290947513.184</v>
      </c>
      <c r="BT27" t="n">
        <v>4555486445.443</v>
      </c>
    </row>
    <row r="28">
      <c r="A28" s="18" t="inlineStr">
        <is>
          <t>MC_new_TE_EEfix</t>
        </is>
      </c>
      <c r="B28" s="9" t="inlineStr">
        <is>
          <t>IMPLAUSIBLE - up to 28x the trophic-chain estimate; the solve is near-singular for this model</t>
        </is>
      </c>
      <c r="C28" t="n">
        <v>3954386501.64</v>
      </c>
      <c r="D28" t="n">
        <v>4068992821.619</v>
      </c>
      <c r="E28" t="n">
        <v>4269672503.558</v>
      </c>
      <c r="F28" t="n">
        <v>4461097545.819</v>
      </c>
      <c r="G28" t="n">
        <v>4532573096.482</v>
      </c>
      <c r="H28" t="n">
        <v>4527819879.885</v>
      </c>
      <c r="I28" t="n">
        <v>5396453686.098</v>
      </c>
      <c r="J28" t="n">
        <v>5439188886.545</v>
      </c>
      <c r="K28" t="n">
        <v>5803841110.546</v>
      </c>
      <c r="L28" t="n">
        <v>6695625211.803</v>
      </c>
      <c r="M28" t="n">
        <v>7321609947.654</v>
      </c>
      <c r="N28" t="n">
        <v>7137880753.178</v>
      </c>
      <c r="O28" t="n">
        <v>7599559108.308</v>
      </c>
      <c r="P28" t="n">
        <v>9582520157.024</v>
      </c>
      <c r="Q28" t="n">
        <v>10033338679.345</v>
      </c>
      <c r="R28" t="n">
        <v>10782084371.626</v>
      </c>
      <c r="S28" t="n">
        <v>11443121703.026</v>
      </c>
      <c r="T28" t="n">
        <v>9551826002.93</v>
      </c>
      <c r="U28" t="n">
        <v>10326387376.18</v>
      </c>
      <c r="V28" t="n">
        <v>11162563801.969</v>
      </c>
      <c r="W28" t="n">
        <v>11913956651.162</v>
      </c>
      <c r="X28" t="n">
        <v>13098891375.44</v>
      </c>
      <c r="Y28" t="n">
        <v>13821408593.241</v>
      </c>
      <c r="Z28" t="n">
        <v>14226617659.116</v>
      </c>
      <c r="AA28" t="n">
        <v>16414536461.148</v>
      </c>
      <c r="AB28" t="n">
        <v>21902653519.501</v>
      </c>
      <c r="AC28" t="n">
        <v>22103216801.672</v>
      </c>
      <c r="AD28" t="n">
        <v>21913886874.276</v>
      </c>
      <c r="AE28" t="n">
        <v>23084226657.29</v>
      </c>
      <c r="AF28" t="n">
        <v>23472230520.175</v>
      </c>
      <c r="AG28" t="n">
        <v>25454353637.513</v>
      </c>
      <c r="AH28" t="n">
        <v>21361182661.318</v>
      </c>
      <c r="AI28" t="n">
        <v>27876323377.512</v>
      </c>
      <c r="AJ28" t="n">
        <v>27905973355.573</v>
      </c>
      <c r="AK28" t="n">
        <v>22453913757.275</v>
      </c>
      <c r="AL28" t="n">
        <v>24740913021.405</v>
      </c>
      <c r="AM28" t="n">
        <v>24268094967.734</v>
      </c>
      <c r="AN28" t="n">
        <v>26784434404.539</v>
      </c>
      <c r="AO28" t="n">
        <v>26539183583.813</v>
      </c>
      <c r="AP28" t="n">
        <v>23602901850.295</v>
      </c>
      <c r="AQ28" t="n">
        <v>24775998428.568</v>
      </c>
      <c r="AR28" t="n">
        <v>24276741955.787</v>
      </c>
      <c r="AS28" t="n">
        <v>24691174787.067</v>
      </c>
      <c r="AT28" t="n">
        <v>27720647469.954</v>
      </c>
      <c r="AU28" t="n">
        <v>28462376039.213</v>
      </c>
      <c r="AV28" t="n">
        <v>25503426131.568</v>
      </c>
      <c r="AW28" t="n">
        <v>29813682026.591</v>
      </c>
      <c r="AX28" t="n">
        <v>33351887208.002</v>
      </c>
      <c r="AY28" t="n">
        <v>32144742562.178</v>
      </c>
      <c r="AZ28" t="n">
        <v>36448498643.15</v>
      </c>
      <c r="BA28" t="n">
        <v>33550136266.159</v>
      </c>
      <c r="BB28" t="n">
        <v>33632397674.902</v>
      </c>
      <c r="BC28" t="n">
        <v>36236233096.892</v>
      </c>
      <c r="BD28" t="n">
        <v>33772726188.82</v>
      </c>
      <c r="BE28" t="n">
        <v>35411160314.27</v>
      </c>
      <c r="BF28" t="n">
        <v>39596163649.231</v>
      </c>
      <c r="BG28" t="n">
        <v>33664925363.245</v>
      </c>
      <c r="BH28" t="n">
        <v>35959976491.543</v>
      </c>
      <c r="BI28" t="n">
        <v>39545894342.175</v>
      </c>
      <c r="BJ28" t="n">
        <v>42171671322.161</v>
      </c>
      <c r="BK28" t="n">
        <v>49591796522.595</v>
      </c>
      <c r="BL28" t="n">
        <v>47901680167.776</v>
      </c>
      <c r="BM28" t="n">
        <v>48614146925.006</v>
      </c>
      <c r="BN28" t="n">
        <v>50213149675.793</v>
      </c>
      <c r="BO28" t="n">
        <v>49016266553.53</v>
      </c>
      <c r="BP28" t="n">
        <v>51999025699.457</v>
      </c>
      <c r="BQ28" t="n">
        <v>51608133685.016</v>
      </c>
      <c r="BR28" t="n">
        <v>48071126105.087</v>
      </c>
      <c r="BS28" t="n">
        <v>43916679674.186</v>
      </c>
      <c r="BT28" t="n">
        <v>46650080582.519</v>
      </c>
    </row>
    <row r="29">
      <c r="A29" s="18" t="inlineStr">
        <is>
          <t>SPPR_1995_TEmean_catch</t>
        </is>
      </c>
      <c r="B29" s="9" t="inlineStr">
        <is>
          <t>did not resolve for any mapped group</t>
        </is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362859705.937</v>
      </c>
      <c r="D30" t="n">
        <v>378479493.431</v>
      </c>
      <c r="E30" t="n">
        <v>385061606.901</v>
      </c>
      <c r="F30" t="n">
        <v>409805875.079</v>
      </c>
      <c r="G30" t="n">
        <v>416069871.531</v>
      </c>
      <c r="H30" t="n">
        <v>409835848.808</v>
      </c>
      <c r="I30" t="n">
        <v>479264745.963</v>
      </c>
      <c r="J30" t="n">
        <v>603312792.739</v>
      </c>
      <c r="K30" t="n">
        <v>653868623.094</v>
      </c>
      <c r="L30" t="n">
        <v>861452221.171</v>
      </c>
      <c r="M30" t="n">
        <v>951008978.029</v>
      </c>
      <c r="N30" t="n">
        <v>982828944.267</v>
      </c>
      <c r="O30" t="n">
        <v>1134220971.479</v>
      </c>
      <c r="P30" t="n">
        <v>1260892322.766</v>
      </c>
      <c r="Q30" t="n">
        <v>1487963281.304</v>
      </c>
      <c r="R30" t="n">
        <v>1596973543.376</v>
      </c>
      <c r="S30" t="n">
        <v>1441517477.59</v>
      </c>
      <c r="T30" t="n">
        <v>1272902855.719</v>
      </c>
      <c r="U30" t="n">
        <v>1432160046.772</v>
      </c>
      <c r="V30" t="n">
        <v>1523879528.725</v>
      </c>
      <c r="W30" t="n">
        <v>1654098189.316</v>
      </c>
      <c r="X30" t="n">
        <v>1915441888.503</v>
      </c>
      <c r="Y30" t="n">
        <v>1958820070.78</v>
      </c>
      <c r="Z30" t="n">
        <v>1871320289.796</v>
      </c>
      <c r="AA30" t="n">
        <v>2231006019.607</v>
      </c>
      <c r="AB30" t="n">
        <v>2194250056.35</v>
      </c>
      <c r="AC30" t="n">
        <v>2260157540.185</v>
      </c>
      <c r="AD30" t="n">
        <v>2540781592.066</v>
      </c>
      <c r="AE30" t="n">
        <v>2593515729.778</v>
      </c>
      <c r="AF30" t="n">
        <v>2487846891.945</v>
      </c>
      <c r="AG30" t="n">
        <v>2812186161.682</v>
      </c>
      <c r="AH30" t="n">
        <v>2815883737.938</v>
      </c>
      <c r="AI30" t="n">
        <v>2916938512.041</v>
      </c>
      <c r="AJ30" t="n">
        <v>2866981764.359</v>
      </c>
      <c r="AK30" t="n">
        <v>2223137842.657</v>
      </c>
      <c r="AL30" t="n">
        <v>2305934969.932</v>
      </c>
      <c r="AM30" t="n">
        <v>2567998632.833</v>
      </c>
      <c r="AN30" t="n">
        <v>2770673200.473</v>
      </c>
      <c r="AO30" t="n">
        <v>2723275416.164</v>
      </c>
      <c r="AP30" t="n">
        <v>2872999345.925</v>
      </c>
      <c r="AQ30" t="n">
        <v>2982917412.716</v>
      </c>
      <c r="AR30" t="n">
        <v>2913519161.091</v>
      </c>
      <c r="AS30" t="n">
        <v>2730716803.387</v>
      </c>
      <c r="AT30" t="n">
        <v>2924865508.125</v>
      </c>
      <c r="AU30" t="n">
        <v>2779703076.589</v>
      </c>
      <c r="AV30" t="n">
        <v>2725201812.697</v>
      </c>
      <c r="AW30" t="n">
        <v>2933977121.435</v>
      </c>
      <c r="AX30" t="n">
        <v>3085035290.998</v>
      </c>
      <c r="AY30" t="n">
        <v>3182406093.624</v>
      </c>
      <c r="AZ30" t="n">
        <v>3531664888.122</v>
      </c>
      <c r="BA30" t="n">
        <v>3547800857.448</v>
      </c>
      <c r="BB30" t="n">
        <v>3564342522.419</v>
      </c>
      <c r="BC30" t="n">
        <v>3464157518.798</v>
      </c>
      <c r="BD30" t="n">
        <v>3384368469.231</v>
      </c>
      <c r="BE30" t="n">
        <v>3513639204.879</v>
      </c>
      <c r="BF30" t="n">
        <v>3509164399.58</v>
      </c>
      <c r="BG30" t="n">
        <v>3300760709.037</v>
      </c>
      <c r="BH30" t="n">
        <v>3467234199.516</v>
      </c>
      <c r="BI30" t="n">
        <v>3687758622.099</v>
      </c>
      <c r="BJ30" t="n">
        <v>3658908745.122</v>
      </c>
      <c r="BK30" t="n">
        <v>4138126873.109</v>
      </c>
      <c r="BL30" t="n">
        <v>4267828473.593</v>
      </c>
      <c r="BM30" t="n">
        <v>4086871472.444</v>
      </c>
      <c r="BN30" t="n">
        <v>4209642679.293</v>
      </c>
      <c r="BO30" t="n">
        <v>4297714385.379</v>
      </c>
      <c r="BP30" t="n">
        <v>4735032411.233</v>
      </c>
      <c r="BQ30" t="n">
        <v>4903901051.436</v>
      </c>
      <c r="BR30" t="n">
        <v>4792753526.91</v>
      </c>
      <c r="BS30" t="n">
        <v>4647258403.928</v>
      </c>
      <c r="BT30" t="n">
        <v>4898018577.293</v>
      </c>
    </row>
    <row r="32">
      <c r="A32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3">
      <c r="A33" s="18" t="inlineStr">
        <is>
          <t>7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97.05</v>
      </c>
      <c r="D35" t="n">
        <v>97.09999999999999</v>
      </c>
      <c r="E35" t="n">
        <v>97.06</v>
      </c>
      <c r="F35" t="n">
        <v>97.18000000000001</v>
      </c>
      <c r="G35" t="n">
        <v>97.72</v>
      </c>
      <c r="H35" t="n">
        <v>97.64</v>
      </c>
      <c r="I35" t="n">
        <v>98.16</v>
      </c>
      <c r="J35" t="n">
        <v>98.16</v>
      </c>
      <c r="K35" t="n">
        <v>98.54000000000001</v>
      </c>
      <c r="L35" t="n">
        <v>98.63</v>
      </c>
      <c r="M35" t="n">
        <v>98.37</v>
      </c>
      <c r="N35" t="n">
        <v>98.31999999999999</v>
      </c>
      <c r="O35" t="n">
        <v>98.34</v>
      </c>
      <c r="P35" t="n">
        <v>98.14</v>
      </c>
      <c r="Q35" t="n">
        <v>98.23</v>
      </c>
      <c r="R35" t="n">
        <v>97.83</v>
      </c>
      <c r="S35" t="n">
        <v>97.68000000000001</v>
      </c>
      <c r="T35" t="n">
        <v>98.33</v>
      </c>
      <c r="U35" t="n">
        <v>98.34</v>
      </c>
      <c r="V35" t="n">
        <v>98.37</v>
      </c>
      <c r="W35" t="n">
        <v>98.86</v>
      </c>
      <c r="X35" t="n">
        <v>98.97</v>
      </c>
      <c r="Y35" t="n">
        <v>99.02</v>
      </c>
      <c r="Z35" t="n">
        <v>99.02</v>
      </c>
      <c r="AA35" t="n">
        <v>99.08</v>
      </c>
      <c r="AB35" t="n">
        <v>99.19</v>
      </c>
      <c r="AC35" t="n">
        <v>99.33</v>
      </c>
      <c r="AD35" t="n">
        <v>99.2</v>
      </c>
      <c r="AE35" t="n">
        <v>99.11</v>
      </c>
      <c r="AF35" t="n">
        <v>99.15000000000001</v>
      </c>
      <c r="AG35" t="n">
        <v>99.28</v>
      </c>
      <c r="AH35" t="n">
        <v>99.27</v>
      </c>
      <c r="AI35" t="n">
        <v>99.23999999999999</v>
      </c>
      <c r="AJ35" t="n">
        <v>99.09</v>
      </c>
      <c r="AK35" t="n">
        <v>98.98</v>
      </c>
      <c r="AL35" t="n">
        <v>98.91</v>
      </c>
      <c r="AM35" t="n">
        <v>98.89</v>
      </c>
      <c r="AN35" t="n">
        <v>98.78</v>
      </c>
      <c r="AO35" t="n">
        <v>98.45999999999999</v>
      </c>
      <c r="AP35" t="n">
        <v>98.45</v>
      </c>
      <c r="AQ35" t="n">
        <v>98.22</v>
      </c>
      <c r="AR35" t="n">
        <v>98.05</v>
      </c>
      <c r="AS35" t="n">
        <v>98.01000000000001</v>
      </c>
      <c r="AT35" t="n">
        <v>98.01000000000001</v>
      </c>
      <c r="AU35" t="n">
        <v>98.02</v>
      </c>
      <c r="AV35" t="n">
        <v>98.26000000000001</v>
      </c>
      <c r="AW35" t="n">
        <v>98.33</v>
      </c>
      <c r="AX35" t="n">
        <v>98.42</v>
      </c>
      <c r="AY35" t="n">
        <v>98.42</v>
      </c>
      <c r="AZ35" t="n">
        <v>98.38</v>
      </c>
      <c r="BA35" t="n">
        <v>98.37</v>
      </c>
      <c r="BB35" t="n">
        <v>98.40000000000001</v>
      </c>
      <c r="BC35" t="n">
        <v>98.31999999999999</v>
      </c>
      <c r="BD35" t="n">
        <v>98.22</v>
      </c>
      <c r="BE35" t="n">
        <v>98.13</v>
      </c>
      <c r="BF35" t="n">
        <v>98.34</v>
      </c>
      <c r="BG35" t="n">
        <v>98.8</v>
      </c>
      <c r="BH35" t="n">
        <v>98.81999999999999</v>
      </c>
      <c r="BI35" t="n">
        <v>98.61</v>
      </c>
      <c r="BJ35" t="n">
        <v>98.87</v>
      </c>
      <c r="BK35" t="n">
        <v>98.86</v>
      </c>
      <c r="BL35" t="n">
        <v>98.65000000000001</v>
      </c>
      <c r="BM35" t="n">
        <v>98.53</v>
      </c>
      <c r="BN35" t="n">
        <v>98.66</v>
      </c>
      <c r="BO35" t="n">
        <v>98.70999999999999</v>
      </c>
      <c r="BP35" t="n">
        <v>98.68000000000001</v>
      </c>
      <c r="BQ35" t="n">
        <v>98.59</v>
      </c>
      <c r="BR35" t="n">
        <v>98.59</v>
      </c>
      <c r="BS35" t="n">
        <v>98.70999999999999</v>
      </c>
      <c r="BT35" t="n">
        <v>98.66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9" t="inlineStr">
        <is>
          <t>model</t>
        </is>
      </c>
      <c r="B4" s="19" t="inlineStr">
        <is>
          <t>TE_option</t>
        </is>
      </c>
      <c r="C4" s="19" t="inlineStr">
        <is>
          <t>b</t>
        </is>
      </c>
      <c r="D4" s="19" t="inlineStr">
        <is>
          <t>rho living</t>
        </is>
      </c>
      <c r="E4" s="19" t="inlineStr">
        <is>
          <t>diagnostic status</t>
        </is>
      </c>
      <c r="F4" s="19" t="inlineStr">
        <is>
          <t>b converges</t>
        </is>
      </c>
      <c r="G4" s="19" t="inlineStr">
        <is>
          <t>living converges</t>
        </is>
      </c>
      <c r="H4" s="19" t="inlineStr">
        <is>
          <t>input balanced</t>
        </is>
      </c>
      <c r="I4" s="19" t="inlineStr">
        <is>
          <t>configuration</t>
        </is>
      </c>
    </row>
    <row r="5">
      <c r="A5" t="inlineStr">
        <is>
          <t>28_646_Guinea_(1998)</t>
        </is>
      </c>
      <c r="B5" t="inlineStr">
        <is>
          <t>GE</t>
        </is>
      </c>
      <c r="C5" s="21" t="n">
        <v>0.354813494722674</v>
      </c>
      <c r="D5" s="21" t="n">
        <v>0.449722549502652</v>
      </c>
      <c r="E5" t="inlineStr">
        <is>
          <t>OK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"Guinea (1998)", "would_pool": false}</t>
        </is>
      </c>
    </row>
    <row r="6">
      <c r="A6" t="inlineStr">
        <is>
          <t>28_646_Guinea_(1998)</t>
        </is>
      </c>
      <c r="B6" t="inlineStr">
        <is>
          <t>TE</t>
        </is>
      </c>
      <c r="C6" s="21" t="n">
        <v>0</v>
      </c>
      <c r="D6" s="21" t="n">
        <v>0.7175712783782491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"Guinea (1998)", "would_pool": false}</t>
        </is>
      </c>
    </row>
    <row r="7">
      <c r="A7" t="inlineStr">
        <is>
          <t>28_646_Guinea_(1998)</t>
        </is>
      </c>
      <c r="B7" t="inlineStr">
        <is>
          <t>With Egestion</t>
        </is>
      </c>
      <c r="C7" s="21" t="n">
        <v>0.4341351991679275</v>
      </c>
      <c r="D7" s="21" t="n">
        <v>0.3597780396021222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"Guinea (1998)",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8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  <c r="X6" s="4" t="inlineStr">
        <is>
          <t>SPPR_1995_TEmean_catch</t>
        </is>
      </c>
      <c r="Y6" s="4" t="inlineStr">
        <is>
          <t>Ulanowicz_globalTEmean_catch</t>
        </is>
      </c>
    </row>
    <row r="7">
      <c r="A7" s="2" t="inlineStr">
        <is>
          <t>ALL TAXA</t>
        </is>
      </c>
      <c r="C7" s="2">
        <f>SUM(C8:C382)</f>
        <v/>
      </c>
      <c r="D7" s="2">
        <f>IF(COUNT(D8:D382)=0,"",SUM(D8:D382))</f>
        <v/>
      </c>
      <c r="E7" s="2">
        <f>IF(COUNT(E8:E382)=0,"",SUM(E8:E382))</f>
        <v/>
      </c>
      <c r="F7" s="2">
        <f>IF(COUNT(F8:F382)=0,"",SUM(F8:F382))</f>
        <v/>
      </c>
      <c r="G7" s="2">
        <f>IF(COUNT(G8:G382)=0,"",SUM(G8:G382))</f>
        <v/>
      </c>
      <c r="H7" s="2">
        <f>IF(COUNT(H8:H382)=0,"",SUM(H8:H382))</f>
        <v/>
      </c>
      <c r="I7" s="2">
        <f>IF(COUNT(I8:I382)=0,"",SUM(I8:I382))</f>
        <v/>
      </c>
      <c r="J7" s="2">
        <f>IF(COUNT(J8:J382)=0,"",SUM(J8:J382))</f>
        <v/>
      </c>
      <c r="K7" s="2">
        <f>IF(COUNT(K8:K382)=0,"",SUM(K8:K382))</f>
        <v/>
      </c>
      <c r="L7" s="2">
        <f>IF(COUNT(L8:L382)=0,"",SUM(L8:L382))</f>
        <v/>
      </c>
      <c r="M7" s="2">
        <f>IF(COUNT(M8:M382)=0,"",SUM(M8:M382))</f>
        <v/>
      </c>
      <c r="N7" s="2">
        <f>IF(COUNT(N8:N382)=0,"",SUM(N8:N382))</f>
        <v/>
      </c>
      <c r="O7" s="2">
        <f>IF(COUNT(O8:O382)=0,"",SUM(O8:O382))</f>
        <v/>
      </c>
      <c r="P7" s="2">
        <f>IF(COUNT(P8:P382)=0,"",SUM(P8:P382))</f>
        <v/>
      </c>
      <c r="Q7" s="2">
        <f>IF(COUNT(Q8:Q382)=0,"",SUM(Q8:Q382))</f>
        <v/>
      </c>
      <c r="R7" s="2">
        <f>IF(COUNT(R8:R382)=0,"",SUM(R8:R382))</f>
        <v/>
      </c>
      <c r="S7" s="2">
        <f>IF(COUNT(S8:S382)=0,"",SUM(S8:S382))</f>
        <v/>
      </c>
      <c r="T7" s="2">
        <f>IF(COUNT(T8:T382)=0,"",SUM(T8:T382))</f>
        <v/>
      </c>
      <c r="U7" s="2">
        <f>IF(COUNT(U8:U382)=0,"",SUM(U8:U382))</f>
        <v/>
      </c>
      <c r="V7" s="2">
        <f>IF(COUNT(V8:V382)=0,"",SUM(V8:V382))</f>
        <v/>
      </c>
      <c r="W7" s="2">
        <f>IF(COUNT(W8:W382)=0,"",SUM(W8:W382))</f>
        <v/>
      </c>
      <c r="X7" s="2">
        <f>IF(COUNT(X8:X382)=0,"",SUM(X8:X382))</f>
        <v/>
      </c>
      <c r="Y7" s="2">
        <f>IF(COUNT(Y8:Y382)=0,"",SUM(Y8:Y382))</f>
        <v/>
      </c>
    </row>
    <row r="8">
      <c r="A8" t="inlineStr">
        <is>
          <t>Marine fishes not identified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IFERROR(IF(ISNUMBER(INDEX(SPPR!$E:$Z,MATCH($A8,SPPR!$A:$A,0),1)),$C8*INDEX(SPPR!$E:$Z,MATCH($A8,SPPR!$A:$A,0),1),""),"")</f>
        <v/>
      </c>
      <c r="E8">
        <f>IFERROR(IF(ISNUMBER(INDEX(SPPR!$E:$Z,MATCH($A8,SPPR!$A:$A,0),2)),$C8*INDEX(SPPR!$E:$Z,MATCH($A8,SPPR!$A:$A,0),2),""),"")</f>
        <v/>
      </c>
      <c r="F8">
        <f>IFERROR(IF(ISNUMBER(INDEX(SPPR!$E:$Z,MATCH($A8,SPPR!$A:$A,0),3)),$C8*INDEX(SPPR!$E:$Z,MATCH($A8,SPPR!$A:$A,0),3),""),"")</f>
        <v/>
      </c>
      <c r="G8">
        <f>IFERROR(IF(ISNUMBER(INDEX(SPPR!$E:$Z,MATCH($A8,SPPR!$A:$A,0),4)),$C8*INDEX(SPPR!$E:$Z,MATCH($A8,SPPR!$A:$A,0),4),""),"")</f>
        <v/>
      </c>
      <c r="H8">
        <f>IFERROR(IF(ISNUMBER(INDEX(SPPR!$E:$Z,MATCH($A8,SPPR!$A:$A,0),5)),$C8*INDEX(SPPR!$E:$Z,MATCH($A8,SPPR!$A:$A,0),5),""),"")</f>
        <v/>
      </c>
      <c r="I8">
        <f>IFERROR(IF(ISNUMBER(INDEX(SPPR!$E:$Z,MATCH($A8,SPPR!$A:$A,0),6)),$C8*INDEX(SPPR!$E:$Z,MATCH($A8,SPPR!$A:$A,0),6),""),"")</f>
        <v/>
      </c>
      <c r="J8">
        <f>IFERROR(IF(ISNUMBER(INDEX(SPPR!$E:$Z,MATCH($A8,SPPR!$A:$A,0),7)),$C8*INDEX(SPPR!$E:$Z,MATCH($A8,SPPR!$A:$A,0),7),""),"")</f>
        <v/>
      </c>
      <c r="K8">
        <f>IFERROR(IF(ISNUMBER(INDEX(SPPR!$E:$Z,MATCH($A8,SPPR!$A:$A,0),8)),$C8*INDEX(SPPR!$E:$Z,MATCH($A8,SPPR!$A:$A,0),8),""),"")</f>
        <v/>
      </c>
      <c r="L8">
        <f>IFERROR(IF(ISNUMBER(INDEX(SPPR!$E:$Z,MATCH($A8,SPPR!$A:$A,0),9)),$C8*INDEX(SPPR!$E:$Z,MATCH($A8,SPPR!$A:$A,0),9),""),"")</f>
        <v/>
      </c>
      <c r="M8">
        <f>IFERROR(IF(ISNUMBER(INDEX(SPPR!$E:$Z,MATCH($A8,SPPR!$A:$A,0),10)),$C8*INDEX(SPPR!$E:$Z,MATCH($A8,SPPR!$A:$A,0),10),""),"")</f>
        <v/>
      </c>
      <c r="N8">
        <f>IFERROR(IF(ISNUMBER(INDEX(SPPR!$E:$Z,MATCH($A8,SPPR!$A:$A,0),11)),$C8*INDEX(SPPR!$E:$Z,MATCH($A8,SPPR!$A:$A,0),11),""),"")</f>
        <v/>
      </c>
      <c r="O8">
        <f>IFERROR(IF(ISNUMBER(INDEX(SPPR!$E:$Z,MATCH($A8,SPPR!$A:$A,0),12)),$C8*INDEX(SPPR!$E:$Z,MATCH($A8,SPPR!$A:$A,0),12),""),"")</f>
        <v/>
      </c>
      <c r="P8">
        <f>IFERROR(IF(ISNUMBER(INDEX(SPPR!$E:$Z,MATCH($A8,SPPR!$A:$A,0),13)),$C8*INDEX(SPPR!$E:$Z,MATCH($A8,SPPR!$A:$A,0),13),""),"")</f>
        <v/>
      </c>
      <c r="Q8">
        <f>IFERROR(IF(ISNUMBER(INDEX(SPPR!$E:$Z,MATCH($A8,SPPR!$A:$A,0),14)),$C8*INDEX(SPPR!$E:$Z,MATCH($A8,SPPR!$A:$A,0),14),""),"")</f>
        <v/>
      </c>
      <c r="R8">
        <f>IFERROR(IF(ISNUMBER(INDEX(SPPR!$E:$Z,MATCH($A8,SPPR!$A:$A,0),15)),$C8*INDEX(SPPR!$E:$Z,MATCH($A8,SPPR!$A:$A,0),15),""),"")</f>
        <v/>
      </c>
      <c r="S8">
        <f>IFERROR(IF(ISNUMBER(INDEX(SPPR!$E:$Z,MATCH($A8,SPPR!$A:$A,0),16)),$C8*INDEX(SPPR!$E:$Z,MATCH($A8,SPPR!$A:$A,0),16),""),"")</f>
        <v/>
      </c>
      <c r="T8">
        <f>IFERROR(IF(ISNUMBER(INDEX(SPPR!$E:$Z,MATCH($A8,SPPR!$A:$A,0),17)),$C8*INDEX(SPPR!$E:$Z,MATCH($A8,SPPR!$A:$A,0),17),""),"")</f>
        <v/>
      </c>
      <c r="U8">
        <f>IFERROR(IF(ISNUMBER(INDEX(SPPR!$E:$Z,MATCH($A8,SPPR!$A:$A,0),18)),$C8*INDEX(SPPR!$E:$Z,MATCH($A8,SPPR!$A:$A,0),18),""),"")</f>
        <v/>
      </c>
      <c r="V8">
        <f>IFERROR(IF(ISNUMBER(INDEX(SPPR!$E:$Z,MATCH($A8,SPPR!$A:$A,0),19)),$C8*INDEX(SPPR!$E:$Z,MATCH($A8,SPPR!$A:$A,0),19),""),"")</f>
        <v/>
      </c>
      <c r="W8">
        <f>IFERROR(IF(ISNUMBER(INDEX(SPPR!$E:$Z,MATCH($A8,SPPR!$A:$A,0),20)),$C8*INDEX(SPPR!$E:$Z,MATCH($A8,SPPR!$A:$A,0),20),""),"")</f>
        <v/>
      </c>
      <c r="X8">
        <f>IFERROR(IF(ISNUMBER(INDEX(SPPR!$E:$Z,MATCH($A8,SPPR!$A:$A,0),21)),$C8*INDEX(SPPR!$E:$Z,MATCH($A8,SPPR!$A:$A,0),21),""),"")</f>
        <v/>
      </c>
      <c r="Y8">
        <f>IFERROR(IF(ISNUMBER(INDEX(SPPR!$E:$Z,MATCH($A8,SPPR!$A:$A,0),22)),$C8*INDEX(SPPR!$E:$Z,MATCH($A8,SPPR!$A:$A,0),22),""),"")</f>
        <v/>
      </c>
    </row>
    <row r="9">
      <c r="A9" t="inlineStr">
        <is>
          <t>Ethmalosa fimbriata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IFERROR(IF(ISNUMBER(INDEX(SPPR!$E:$Z,MATCH($A9,SPPR!$A:$A,0),1)),$C9*INDEX(SPPR!$E:$Z,MATCH($A9,SPPR!$A:$A,0),1),""),"")</f>
        <v/>
      </c>
      <c r="E9">
        <f>IFERROR(IF(ISNUMBER(INDEX(SPPR!$E:$Z,MATCH($A9,SPPR!$A:$A,0),2)),$C9*INDEX(SPPR!$E:$Z,MATCH($A9,SPPR!$A:$A,0),2),""),"")</f>
        <v/>
      </c>
      <c r="F9">
        <f>IFERROR(IF(ISNUMBER(INDEX(SPPR!$E:$Z,MATCH($A9,SPPR!$A:$A,0),3)),$C9*INDEX(SPPR!$E:$Z,MATCH($A9,SPPR!$A:$A,0),3),""),"")</f>
        <v/>
      </c>
      <c r="G9">
        <f>IFERROR(IF(ISNUMBER(INDEX(SPPR!$E:$Z,MATCH($A9,SPPR!$A:$A,0),4)),$C9*INDEX(SPPR!$E:$Z,MATCH($A9,SPPR!$A:$A,0),4),""),"")</f>
        <v/>
      </c>
      <c r="H9">
        <f>IFERROR(IF(ISNUMBER(INDEX(SPPR!$E:$Z,MATCH($A9,SPPR!$A:$A,0),5)),$C9*INDEX(SPPR!$E:$Z,MATCH($A9,SPPR!$A:$A,0),5),""),"")</f>
        <v/>
      </c>
      <c r="I9">
        <f>IFERROR(IF(ISNUMBER(INDEX(SPPR!$E:$Z,MATCH($A9,SPPR!$A:$A,0),6)),$C9*INDEX(SPPR!$E:$Z,MATCH($A9,SPPR!$A:$A,0),6),""),"")</f>
        <v/>
      </c>
      <c r="J9">
        <f>IFERROR(IF(ISNUMBER(INDEX(SPPR!$E:$Z,MATCH($A9,SPPR!$A:$A,0),7)),$C9*INDEX(SPPR!$E:$Z,MATCH($A9,SPPR!$A:$A,0),7),""),"")</f>
        <v/>
      </c>
      <c r="K9">
        <f>IFERROR(IF(ISNUMBER(INDEX(SPPR!$E:$Z,MATCH($A9,SPPR!$A:$A,0),8)),$C9*INDEX(SPPR!$E:$Z,MATCH($A9,SPPR!$A:$A,0),8),""),"")</f>
        <v/>
      </c>
      <c r="L9">
        <f>IFERROR(IF(ISNUMBER(INDEX(SPPR!$E:$Z,MATCH($A9,SPPR!$A:$A,0),9)),$C9*INDEX(SPPR!$E:$Z,MATCH($A9,SPPR!$A:$A,0),9),""),"")</f>
        <v/>
      </c>
      <c r="M9">
        <f>IFERROR(IF(ISNUMBER(INDEX(SPPR!$E:$Z,MATCH($A9,SPPR!$A:$A,0),10)),$C9*INDEX(SPPR!$E:$Z,MATCH($A9,SPPR!$A:$A,0),10),""),"")</f>
        <v/>
      </c>
      <c r="N9">
        <f>IFERROR(IF(ISNUMBER(INDEX(SPPR!$E:$Z,MATCH($A9,SPPR!$A:$A,0),11)),$C9*INDEX(SPPR!$E:$Z,MATCH($A9,SPPR!$A:$A,0),11),""),"")</f>
        <v/>
      </c>
      <c r="O9">
        <f>IFERROR(IF(ISNUMBER(INDEX(SPPR!$E:$Z,MATCH($A9,SPPR!$A:$A,0),12)),$C9*INDEX(SPPR!$E:$Z,MATCH($A9,SPPR!$A:$A,0),12),""),"")</f>
        <v/>
      </c>
      <c r="P9">
        <f>IFERROR(IF(ISNUMBER(INDEX(SPPR!$E:$Z,MATCH($A9,SPPR!$A:$A,0),13)),$C9*INDEX(SPPR!$E:$Z,MATCH($A9,SPPR!$A:$A,0),13),""),"")</f>
        <v/>
      </c>
      <c r="Q9">
        <f>IFERROR(IF(ISNUMBER(INDEX(SPPR!$E:$Z,MATCH($A9,SPPR!$A:$A,0),14)),$C9*INDEX(SPPR!$E:$Z,MATCH($A9,SPPR!$A:$A,0),14),""),"")</f>
        <v/>
      </c>
      <c r="R9">
        <f>IFERROR(IF(ISNUMBER(INDEX(SPPR!$E:$Z,MATCH($A9,SPPR!$A:$A,0),15)),$C9*INDEX(SPPR!$E:$Z,MATCH($A9,SPPR!$A:$A,0),15),""),"")</f>
        <v/>
      </c>
      <c r="S9">
        <f>IFERROR(IF(ISNUMBER(INDEX(SPPR!$E:$Z,MATCH($A9,SPPR!$A:$A,0),16)),$C9*INDEX(SPPR!$E:$Z,MATCH($A9,SPPR!$A:$A,0),16),""),"")</f>
        <v/>
      </c>
      <c r="T9">
        <f>IFERROR(IF(ISNUMBER(INDEX(SPPR!$E:$Z,MATCH($A9,SPPR!$A:$A,0),17)),$C9*INDEX(SPPR!$E:$Z,MATCH($A9,SPPR!$A:$A,0),17),""),"")</f>
        <v/>
      </c>
      <c r="U9">
        <f>IFERROR(IF(ISNUMBER(INDEX(SPPR!$E:$Z,MATCH($A9,SPPR!$A:$A,0),18)),$C9*INDEX(SPPR!$E:$Z,MATCH($A9,SPPR!$A:$A,0),18),""),"")</f>
        <v/>
      </c>
      <c r="V9">
        <f>IFERROR(IF(ISNUMBER(INDEX(SPPR!$E:$Z,MATCH($A9,SPPR!$A:$A,0),19)),$C9*INDEX(SPPR!$E:$Z,MATCH($A9,SPPR!$A:$A,0),19),""),"")</f>
        <v/>
      </c>
      <c r="W9">
        <f>IFERROR(IF(ISNUMBER(INDEX(SPPR!$E:$Z,MATCH($A9,SPPR!$A:$A,0),20)),$C9*INDEX(SPPR!$E:$Z,MATCH($A9,SPPR!$A:$A,0),20),""),"")</f>
        <v/>
      </c>
      <c r="X9">
        <f>IFERROR(IF(ISNUMBER(INDEX(SPPR!$E:$Z,MATCH($A9,SPPR!$A:$A,0),21)),$C9*INDEX(SPPR!$E:$Z,MATCH($A9,SPPR!$A:$A,0),21),""),"")</f>
        <v/>
      </c>
      <c r="Y9">
        <f>IFERROR(IF(ISNUMBER(INDEX(SPPR!$E:$Z,MATCH($A9,SPPR!$A:$A,0),22)),$C9*INDEX(SPPR!$E:$Z,MATCH($A9,SPPR!$A:$A,0),22),""),"")</f>
        <v/>
      </c>
    </row>
    <row r="10">
      <c r="A10" t="inlineStr">
        <is>
          <t>Sardinella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IFERROR(IF(ISNUMBER(INDEX(SPPR!$E:$Z,MATCH($A10,SPPR!$A:$A,0),1)),$C10*INDEX(SPPR!$E:$Z,MATCH($A10,SPPR!$A:$A,0),1),""),"")</f>
        <v/>
      </c>
      <c r="E10">
        <f>IFERROR(IF(ISNUMBER(INDEX(SPPR!$E:$Z,MATCH($A10,SPPR!$A:$A,0),2)),$C10*INDEX(SPPR!$E:$Z,MATCH($A10,SPPR!$A:$A,0),2),""),"")</f>
        <v/>
      </c>
      <c r="F10">
        <f>IFERROR(IF(ISNUMBER(INDEX(SPPR!$E:$Z,MATCH($A10,SPPR!$A:$A,0),3)),$C10*INDEX(SPPR!$E:$Z,MATCH($A10,SPPR!$A:$A,0),3),""),"")</f>
        <v/>
      </c>
      <c r="G10">
        <f>IFERROR(IF(ISNUMBER(INDEX(SPPR!$E:$Z,MATCH($A10,SPPR!$A:$A,0),4)),$C10*INDEX(SPPR!$E:$Z,MATCH($A10,SPPR!$A:$A,0),4),""),"")</f>
        <v/>
      </c>
      <c r="H10">
        <f>IFERROR(IF(ISNUMBER(INDEX(SPPR!$E:$Z,MATCH($A10,SPPR!$A:$A,0),5)),$C10*INDEX(SPPR!$E:$Z,MATCH($A10,SPPR!$A:$A,0),5),""),"")</f>
        <v/>
      </c>
      <c r="I10">
        <f>IFERROR(IF(ISNUMBER(INDEX(SPPR!$E:$Z,MATCH($A10,SPPR!$A:$A,0),6)),$C10*INDEX(SPPR!$E:$Z,MATCH($A10,SPPR!$A:$A,0),6),""),"")</f>
        <v/>
      </c>
      <c r="J10">
        <f>IFERROR(IF(ISNUMBER(INDEX(SPPR!$E:$Z,MATCH($A10,SPPR!$A:$A,0),7)),$C10*INDEX(SPPR!$E:$Z,MATCH($A10,SPPR!$A:$A,0),7),""),"")</f>
        <v/>
      </c>
      <c r="K10">
        <f>IFERROR(IF(ISNUMBER(INDEX(SPPR!$E:$Z,MATCH($A10,SPPR!$A:$A,0),8)),$C10*INDEX(SPPR!$E:$Z,MATCH($A10,SPPR!$A:$A,0),8),""),"")</f>
        <v/>
      </c>
      <c r="L10">
        <f>IFERROR(IF(ISNUMBER(INDEX(SPPR!$E:$Z,MATCH($A10,SPPR!$A:$A,0),9)),$C10*INDEX(SPPR!$E:$Z,MATCH($A10,SPPR!$A:$A,0),9),""),"")</f>
        <v/>
      </c>
      <c r="M10">
        <f>IFERROR(IF(ISNUMBER(INDEX(SPPR!$E:$Z,MATCH($A10,SPPR!$A:$A,0),10)),$C10*INDEX(SPPR!$E:$Z,MATCH($A10,SPPR!$A:$A,0),10),""),"")</f>
        <v/>
      </c>
      <c r="N10">
        <f>IFERROR(IF(ISNUMBER(INDEX(SPPR!$E:$Z,MATCH($A10,SPPR!$A:$A,0),11)),$C10*INDEX(SPPR!$E:$Z,MATCH($A10,SPPR!$A:$A,0),11),""),"")</f>
        <v/>
      </c>
      <c r="O10">
        <f>IFERROR(IF(ISNUMBER(INDEX(SPPR!$E:$Z,MATCH($A10,SPPR!$A:$A,0),12)),$C10*INDEX(SPPR!$E:$Z,MATCH($A10,SPPR!$A:$A,0),12),""),"")</f>
        <v/>
      </c>
      <c r="P10">
        <f>IFERROR(IF(ISNUMBER(INDEX(SPPR!$E:$Z,MATCH($A10,SPPR!$A:$A,0),13)),$C10*INDEX(SPPR!$E:$Z,MATCH($A10,SPPR!$A:$A,0),13),""),"")</f>
        <v/>
      </c>
      <c r="Q10">
        <f>IFERROR(IF(ISNUMBER(INDEX(SPPR!$E:$Z,MATCH($A10,SPPR!$A:$A,0),14)),$C10*INDEX(SPPR!$E:$Z,MATCH($A10,SPPR!$A:$A,0),14),""),"")</f>
        <v/>
      </c>
      <c r="R10">
        <f>IFERROR(IF(ISNUMBER(INDEX(SPPR!$E:$Z,MATCH($A10,SPPR!$A:$A,0),15)),$C10*INDEX(SPPR!$E:$Z,MATCH($A10,SPPR!$A:$A,0),15),""),"")</f>
        <v/>
      </c>
      <c r="S10">
        <f>IFERROR(IF(ISNUMBER(INDEX(SPPR!$E:$Z,MATCH($A10,SPPR!$A:$A,0),16)),$C10*INDEX(SPPR!$E:$Z,MATCH($A10,SPPR!$A:$A,0),16),""),"")</f>
        <v/>
      </c>
      <c r="T10">
        <f>IFERROR(IF(ISNUMBER(INDEX(SPPR!$E:$Z,MATCH($A10,SPPR!$A:$A,0),17)),$C10*INDEX(SPPR!$E:$Z,MATCH($A10,SPPR!$A:$A,0),17),""),"")</f>
        <v/>
      </c>
      <c r="U10">
        <f>IFERROR(IF(ISNUMBER(INDEX(SPPR!$E:$Z,MATCH($A10,SPPR!$A:$A,0),18)),$C10*INDEX(SPPR!$E:$Z,MATCH($A10,SPPR!$A:$A,0),18),""),"")</f>
        <v/>
      </c>
      <c r="V10">
        <f>IFERROR(IF(ISNUMBER(INDEX(SPPR!$E:$Z,MATCH($A10,SPPR!$A:$A,0),19)),$C10*INDEX(SPPR!$E:$Z,MATCH($A10,SPPR!$A:$A,0),19),""),"")</f>
        <v/>
      </c>
      <c r="W10">
        <f>IFERROR(IF(ISNUMBER(INDEX(SPPR!$E:$Z,MATCH($A10,SPPR!$A:$A,0),20)),$C10*INDEX(SPPR!$E:$Z,MATCH($A10,SPPR!$A:$A,0),20),""),"")</f>
        <v/>
      </c>
      <c r="X10">
        <f>IFERROR(IF(ISNUMBER(INDEX(SPPR!$E:$Z,MATCH($A10,SPPR!$A:$A,0),21)),$C10*INDEX(SPPR!$E:$Z,MATCH($A10,SPPR!$A:$A,0),21),""),"")</f>
        <v/>
      </c>
      <c r="Y10">
        <f>IFERROR(IF(ISNUMBER(INDEX(SPPR!$E:$Z,MATCH($A10,SPPR!$A:$A,0),22)),$C10*INDEX(SPPR!$E:$Z,MATCH($A10,SPPR!$A:$A,0),22),""),"")</f>
        <v/>
      </c>
    </row>
    <row r="11">
      <c r="A11" t="inlineStr">
        <is>
          <t>Engraulis encrasicolus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IFERROR(IF(ISNUMBER(INDEX(SPPR!$E:$Z,MATCH($A11,SPPR!$A:$A,0),1)),$C11*INDEX(SPPR!$E:$Z,MATCH($A11,SPPR!$A:$A,0),1),""),"")</f>
        <v/>
      </c>
      <c r="E11">
        <f>IFERROR(IF(ISNUMBER(INDEX(SPPR!$E:$Z,MATCH($A11,SPPR!$A:$A,0),2)),$C11*INDEX(SPPR!$E:$Z,MATCH($A11,SPPR!$A:$A,0),2),""),"")</f>
        <v/>
      </c>
      <c r="F11">
        <f>IFERROR(IF(ISNUMBER(INDEX(SPPR!$E:$Z,MATCH($A11,SPPR!$A:$A,0),3)),$C11*INDEX(SPPR!$E:$Z,MATCH($A11,SPPR!$A:$A,0),3),""),"")</f>
        <v/>
      </c>
      <c r="G11">
        <f>IFERROR(IF(ISNUMBER(INDEX(SPPR!$E:$Z,MATCH($A11,SPPR!$A:$A,0),4)),$C11*INDEX(SPPR!$E:$Z,MATCH($A11,SPPR!$A:$A,0),4),""),"")</f>
        <v/>
      </c>
      <c r="H11">
        <f>IFERROR(IF(ISNUMBER(INDEX(SPPR!$E:$Z,MATCH($A11,SPPR!$A:$A,0),5)),$C11*INDEX(SPPR!$E:$Z,MATCH($A11,SPPR!$A:$A,0),5),""),"")</f>
        <v/>
      </c>
      <c r="I11">
        <f>IFERROR(IF(ISNUMBER(INDEX(SPPR!$E:$Z,MATCH($A11,SPPR!$A:$A,0),6)),$C11*INDEX(SPPR!$E:$Z,MATCH($A11,SPPR!$A:$A,0),6),""),"")</f>
        <v/>
      </c>
      <c r="J11">
        <f>IFERROR(IF(ISNUMBER(INDEX(SPPR!$E:$Z,MATCH($A11,SPPR!$A:$A,0),7)),$C11*INDEX(SPPR!$E:$Z,MATCH($A11,SPPR!$A:$A,0),7),""),"")</f>
        <v/>
      </c>
      <c r="K11">
        <f>IFERROR(IF(ISNUMBER(INDEX(SPPR!$E:$Z,MATCH($A11,SPPR!$A:$A,0),8)),$C11*INDEX(SPPR!$E:$Z,MATCH($A11,SPPR!$A:$A,0),8),""),"")</f>
        <v/>
      </c>
      <c r="L11">
        <f>IFERROR(IF(ISNUMBER(INDEX(SPPR!$E:$Z,MATCH($A11,SPPR!$A:$A,0),9)),$C11*INDEX(SPPR!$E:$Z,MATCH($A11,SPPR!$A:$A,0),9),""),"")</f>
        <v/>
      </c>
      <c r="M11">
        <f>IFERROR(IF(ISNUMBER(INDEX(SPPR!$E:$Z,MATCH($A11,SPPR!$A:$A,0),10)),$C11*INDEX(SPPR!$E:$Z,MATCH($A11,SPPR!$A:$A,0),10),""),"")</f>
        <v/>
      </c>
      <c r="N11">
        <f>IFERROR(IF(ISNUMBER(INDEX(SPPR!$E:$Z,MATCH($A11,SPPR!$A:$A,0),11)),$C11*INDEX(SPPR!$E:$Z,MATCH($A11,SPPR!$A:$A,0),11),""),"")</f>
        <v/>
      </c>
      <c r="O11">
        <f>IFERROR(IF(ISNUMBER(INDEX(SPPR!$E:$Z,MATCH($A11,SPPR!$A:$A,0),12)),$C11*INDEX(SPPR!$E:$Z,MATCH($A11,SPPR!$A:$A,0),12),""),"")</f>
        <v/>
      </c>
      <c r="P11">
        <f>IFERROR(IF(ISNUMBER(INDEX(SPPR!$E:$Z,MATCH($A11,SPPR!$A:$A,0),13)),$C11*INDEX(SPPR!$E:$Z,MATCH($A11,SPPR!$A:$A,0),13),""),"")</f>
        <v/>
      </c>
      <c r="Q11">
        <f>IFERROR(IF(ISNUMBER(INDEX(SPPR!$E:$Z,MATCH($A11,SPPR!$A:$A,0),14)),$C11*INDEX(SPPR!$E:$Z,MATCH($A11,SPPR!$A:$A,0),14),""),"")</f>
        <v/>
      </c>
      <c r="R11">
        <f>IFERROR(IF(ISNUMBER(INDEX(SPPR!$E:$Z,MATCH($A11,SPPR!$A:$A,0),15)),$C11*INDEX(SPPR!$E:$Z,MATCH($A11,SPPR!$A:$A,0),15),""),"")</f>
        <v/>
      </c>
      <c r="S11">
        <f>IFERROR(IF(ISNUMBER(INDEX(SPPR!$E:$Z,MATCH($A11,SPPR!$A:$A,0),16)),$C11*INDEX(SPPR!$E:$Z,MATCH($A11,SPPR!$A:$A,0),16),""),"")</f>
        <v/>
      </c>
      <c r="T11">
        <f>IFERROR(IF(ISNUMBER(INDEX(SPPR!$E:$Z,MATCH($A11,SPPR!$A:$A,0),17)),$C11*INDEX(SPPR!$E:$Z,MATCH($A11,SPPR!$A:$A,0),17),""),"")</f>
        <v/>
      </c>
      <c r="U11">
        <f>IFERROR(IF(ISNUMBER(INDEX(SPPR!$E:$Z,MATCH($A11,SPPR!$A:$A,0),18)),$C11*INDEX(SPPR!$E:$Z,MATCH($A11,SPPR!$A:$A,0),18),""),"")</f>
        <v/>
      </c>
      <c r="V11">
        <f>IFERROR(IF(ISNUMBER(INDEX(SPPR!$E:$Z,MATCH($A11,SPPR!$A:$A,0),19)),$C11*INDEX(SPPR!$E:$Z,MATCH($A11,SPPR!$A:$A,0),19),""),"")</f>
        <v/>
      </c>
      <c r="W11">
        <f>IFERROR(IF(ISNUMBER(INDEX(SPPR!$E:$Z,MATCH($A11,SPPR!$A:$A,0),20)),$C11*INDEX(SPPR!$E:$Z,MATCH($A11,SPPR!$A:$A,0),20),""),"")</f>
        <v/>
      </c>
      <c r="X11">
        <f>IFERROR(IF(ISNUMBER(INDEX(SPPR!$E:$Z,MATCH($A11,SPPR!$A:$A,0),21)),$C11*INDEX(SPPR!$E:$Z,MATCH($A11,SPPR!$A:$A,0),21),""),"")</f>
        <v/>
      </c>
      <c r="Y11">
        <f>IFERROR(IF(ISNUMBER(INDEX(SPPR!$E:$Z,MATCH($A11,SPPR!$A:$A,0),22)),$C11*INDEX(SPPR!$E:$Z,MATCH($A11,SPPR!$A:$A,0),22),""),"")</f>
        <v/>
      </c>
    </row>
    <row r="12">
      <c r="A12" t="inlineStr">
        <is>
          <t>Pseudotolithus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IFERROR(IF(ISNUMBER(INDEX(SPPR!$E:$Z,MATCH($A12,SPPR!$A:$A,0),1)),$C12*INDEX(SPPR!$E:$Z,MATCH($A12,SPPR!$A:$A,0),1),""),"")</f>
        <v/>
      </c>
      <c r="E12">
        <f>IFERROR(IF(ISNUMBER(INDEX(SPPR!$E:$Z,MATCH($A12,SPPR!$A:$A,0),2)),$C12*INDEX(SPPR!$E:$Z,MATCH($A12,SPPR!$A:$A,0),2),""),"")</f>
        <v/>
      </c>
      <c r="F12">
        <f>IFERROR(IF(ISNUMBER(INDEX(SPPR!$E:$Z,MATCH($A12,SPPR!$A:$A,0),3)),$C12*INDEX(SPPR!$E:$Z,MATCH($A12,SPPR!$A:$A,0),3),""),"")</f>
        <v/>
      </c>
      <c r="G12">
        <f>IFERROR(IF(ISNUMBER(INDEX(SPPR!$E:$Z,MATCH($A12,SPPR!$A:$A,0),4)),$C12*INDEX(SPPR!$E:$Z,MATCH($A12,SPPR!$A:$A,0),4),""),"")</f>
        <v/>
      </c>
      <c r="H12">
        <f>IFERROR(IF(ISNUMBER(INDEX(SPPR!$E:$Z,MATCH($A12,SPPR!$A:$A,0),5)),$C12*INDEX(SPPR!$E:$Z,MATCH($A12,SPPR!$A:$A,0),5),""),"")</f>
        <v/>
      </c>
      <c r="I12">
        <f>IFERROR(IF(ISNUMBER(INDEX(SPPR!$E:$Z,MATCH($A12,SPPR!$A:$A,0),6)),$C12*INDEX(SPPR!$E:$Z,MATCH($A12,SPPR!$A:$A,0),6),""),"")</f>
        <v/>
      </c>
      <c r="J12">
        <f>IFERROR(IF(ISNUMBER(INDEX(SPPR!$E:$Z,MATCH($A12,SPPR!$A:$A,0),7)),$C12*INDEX(SPPR!$E:$Z,MATCH($A12,SPPR!$A:$A,0),7),""),"")</f>
        <v/>
      </c>
      <c r="K12">
        <f>IFERROR(IF(ISNUMBER(INDEX(SPPR!$E:$Z,MATCH($A12,SPPR!$A:$A,0),8)),$C12*INDEX(SPPR!$E:$Z,MATCH($A12,SPPR!$A:$A,0),8),""),"")</f>
        <v/>
      </c>
      <c r="L12">
        <f>IFERROR(IF(ISNUMBER(INDEX(SPPR!$E:$Z,MATCH($A12,SPPR!$A:$A,0),9)),$C12*INDEX(SPPR!$E:$Z,MATCH($A12,SPPR!$A:$A,0),9),""),"")</f>
        <v/>
      </c>
      <c r="M12">
        <f>IFERROR(IF(ISNUMBER(INDEX(SPPR!$E:$Z,MATCH($A12,SPPR!$A:$A,0),10)),$C12*INDEX(SPPR!$E:$Z,MATCH($A12,SPPR!$A:$A,0),10),""),"")</f>
        <v/>
      </c>
      <c r="N12">
        <f>IFERROR(IF(ISNUMBER(INDEX(SPPR!$E:$Z,MATCH($A12,SPPR!$A:$A,0),11)),$C12*INDEX(SPPR!$E:$Z,MATCH($A12,SPPR!$A:$A,0),11),""),"")</f>
        <v/>
      </c>
      <c r="O12">
        <f>IFERROR(IF(ISNUMBER(INDEX(SPPR!$E:$Z,MATCH($A12,SPPR!$A:$A,0),12)),$C12*INDEX(SPPR!$E:$Z,MATCH($A12,SPPR!$A:$A,0),12),""),"")</f>
        <v/>
      </c>
      <c r="P12">
        <f>IFERROR(IF(ISNUMBER(INDEX(SPPR!$E:$Z,MATCH($A12,SPPR!$A:$A,0),13)),$C12*INDEX(SPPR!$E:$Z,MATCH($A12,SPPR!$A:$A,0),13),""),"")</f>
        <v/>
      </c>
      <c r="Q12">
        <f>IFERROR(IF(ISNUMBER(INDEX(SPPR!$E:$Z,MATCH($A12,SPPR!$A:$A,0),14)),$C12*INDEX(SPPR!$E:$Z,MATCH($A12,SPPR!$A:$A,0),14),""),"")</f>
        <v/>
      </c>
      <c r="R12">
        <f>IFERROR(IF(ISNUMBER(INDEX(SPPR!$E:$Z,MATCH($A12,SPPR!$A:$A,0),15)),$C12*INDEX(SPPR!$E:$Z,MATCH($A12,SPPR!$A:$A,0),15),""),"")</f>
        <v/>
      </c>
      <c r="S12">
        <f>IFERROR(IF(ISNUMBER(INDEX(SPPR!$E:$Z,MATCH($A12,SPPR!$A:$A,0),16)),$C12*INDEX(SPPR!$E:$Z,MATCH($A12,SPPR!$A:$A,0),16),""),"")</f>
        <v/>
      </c>
      <c r="T12">
        <f>IFERROR(IF(ISNUMBER(INDEX(SPPR!$E:$Z,MATCH($A12,SPPR!$A:$A,0),17)),$C12*INDEX(SPPR!$E:$Z,MATCH($A12,SPPR!$A:$A,0),17),""),"")</f>
        <v/>
      </c>
      <c r="U12">
        <f>IFERROR(IF(ISNUMBER(INDEX(SPPR!$E:$Z,MATCH($A12,SPPR!$A:$A,0),18)),$C12*INDEX(SPPR!$E:$Z,MATCH($A12,SPPR!$A:$A,0),18),""),"")</f>
        <v/>
      </c>
      <c r="V12">
        <f>IFERROR(IF(ISNUMBER(INDEX(SPPR!$E:$Z,MATCH($A12,SPPR!$A:$A,0),19)),$C12*INDEX(SPPR!$E:$Z,MATCH($A12,SPPR!$A:$A,0),19),""),"")</f>
        <v/>
      </c>
      <c r="W12">
        <f>IFERROR(IF(ISNUMBER(INDEX(SPPR!$E:$Z,MATCH($A12,SPPR!$A:$A,0),20)),$C12*INDEX(SPPR!$E:$Z,MATCH($A12,SPPR!$A:$A,0),20),""),"")</f>
        <v/>
      </c>
      <c r="X12">
        <f>IFERROR(IF(ISNUMBER(INDEX(SPPR!$E:$Z,MATCH($A12,SPPR!$A:$A,0),21)),$C12*INDEX(SPPR!$E:$Z,MATCH($A12,SPPR!$A:$A,0),21),""),"")</f>
        <v/>
      </c>
      <c r="Y12">
        <f>IFERROR(IF(ISNUMBER(INDEX(SPPR!$E:$Z,MATCH($A12,SPPR!$A:$A,0),22)),$C12*INDEX(SPPR!$E:$Z,MATCH($A12,SPPR!$A:$A,0),22),""),"")</f>
        <v/>
      </c>
    </row>
    <row r="13">
      <c r="A13" t="inlineStr">
        <is>
          <t>Sardinella aurita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IFERROR(IF(ISNUMBER(INDEX(SPPR!$E:$Z,MATCH($A13,SPPR!$A:$A,0),1)),$C13*INDEX(SPPR!$E:$Z,MATCH($A13,SPPR!$A:$A,0),1),""),"")</f>
        <v/>
      </c>
      <c r="E13">
        <f>IFERROR(IF(ISNUMBER(INDEX(SPPR!$E:$Z,MATCH($A13,SPPR!$A:$A,0),2)),$C13*INDEX(SPPR!$E:$Z,MATCH($A13,SPPR!$A:$A,0),2),""),"")</f>
        <v/>
      </c>
      <c r="F13">
        <f>IFERROR(IF(ISNUMBER(INDEX(SPPR!$E:$Z,MATCH($A13,SPPR!$A:$A,0),3)),$C13*INDEX(SPPR!$E:$Z,MATCH($A13,SPPR!$A:$A,0),3),""),"")</f>
        <v/>
      </c>
      <c r="G13">
        <f>IFERROR(IF(ISNUMBER(INDEX(SPPR!$E:$Z,MATCH($A13,SPPR!$A:$A,0),4)),$C13*INDEX(SPPR!$E:$Z,MATCH($A13,SPPR!$A:$A,0),4),""),"")</f>
        <v/>
      </c>
      <c r="H13">
        <f>IFERROR(IF(ISNUMBER(INDEX(SPPR!$E:$Z,MATCH($A13,SPPR!$A:$A,0),5)),$C13*INDEX(SPPR!$E:$Z,MATCH($A13,SPPR!$A:$A,0),5),""),"")</f>
        <v/>
      </c>
      <c r="I13">
        <f>IFERROR(IF(ISNUMBER(INDEX(SPPR!$E:$Z,MATCH($A13,SPPR!$A:$A,0),6)),$C13*INDEX(SPPR!$E:$Z,MATCH($A13,SPPR!$A:$A,0),6),""),"")</f>
        <v/>
      </c>
      <c r="J13">
        <f>IFERROR(IF(ISNUMBER(INDEX(SPPR!$E:$Z,MATCH($A13,SPPR!$A:$A,0),7)),$C13*INDEX(SPPR!$E:$Z,MATCH($A13,SPPR!$A:$A,0),7),""),"")</f>
        <v/>
      </c>
      <c r="K13">
        <f>IFERROR(IF(ISNUMBER(INDEX(SPPR!$E:$Z,MATCH($A13,SPPR!$A:$A,0),8)),$C13*INDEX(SPPR!$E:$Z,MATCH($A13,SPPR!$A:$A,0),8),""),"")</f>
        <v/>
      </c>
      <c r="L13">
        <f>IFERROR(IF(ISNUMBER(INDEX(SPPR!$E:$Z,MATCH($A13,SPPR!$A:$A,0),9)),$C13*INDEX(SPPR!$E:$Z,MATCH($A13,SPPR!$A:$A,0),9),""),"")</f>
        <v/>
      </c>
      <c r="M13">
        <f>IFERROR(IF(ISNUMBER(INDEX(SPPR!$E:$Z,MATCH($A13,SPPR!$A:$A,0),10)),$C13*INDEX(SPPR!$E:$Z,MATCH($A13,SPPR!$A:$A,0),10),""),"")</f>
        <v/>
      </c>
      <c r="N13">
        <f>IFERROR(IF(ISNUMBER(INDEX(SPPR!$E:$Z,MATCH($A13,SPPR!$A:$A,0),11)),$C13*INDEX(SPPR!$E:$Z,MATCH($A13,SPPR!$A:$A,0),11),""),"")</f>
        <v/>
      </c>
      <c r="O13">
        <f>IFERROR(IF(ISNUMBER(INDEX(SPPR!$E:$Z,MATCH($A13,SPPR!$A:$A,0),12)),$C13*INDEX(SPPR!$E:$Z,MATCH($A13,SPPR!$A:$A,0),12),""),"")</f>
        <v/>
      </c>
      <c r="P13">
        <f>IFERROR(IF(ISNUMBER(INDEX(SPPR!$E:$Z,MATCH($A13,SPPR!$A:$A,0),13)),$C13*INDEX(SPPR!$E:$Z,MATCH($A13,SPPR!$A:$A,0),13),""),"")</f>
        <v/>
      </c>
      <c r="Q13">
        <f>IFERROR(IF(ISNUMBER(INDEX(SPPR!$E:$Z,MATCH($A13,SPPR!$A:$A,0),14)),$C13*INDEX(SPPR!$E:$Z,MATCH($A13,SPPR!$A:$A,0),14),""),"")</f>
        <v/>
      </c>
      <c r="R13">
        <f>IFERROR(IF(ISNUMBER(INDEX(SPPR!$E:$Z,MATCH($A13,SPPR!$A:$A,0),15)),$C13*INDEX(SPPR!$E:$Z,MATCH($A13,SPPR!$A:$A,0),15),""),"")</f>
        <v/>
      </c>
      <c r="S13">
        <f>IFERROR(IF(ISNUMBER(INDEX(SPPR!$E:$Z,MATCH($A13,SPPR!$A:$A,0),16)),$C13*INDEX(SPPR!$E:$Z,MATCH($A13,SPPR!$A:$A,0),16),""),"")</f>
        <v/>
      </c>
      <c r="T13">
        <f>IFERROR(IF(ISNUMBER(INDEX(SPPR!$E:$Z,MATCH($A13,SPPR!$A:$A,0),17)),$C13*INDEX(SPPR!$E:$Z,MATCH($A13,SPPR!$A:$A,0),17),""),"")</f>
        <v/>
      </c>
      <c r="U13">
        <f>IFERROR(IF(ISNUMBER(INDEX(SPPR!$E:$Z,MATCH($A13,SPPR!$A:$A,0),18)),$C13*INDEX(SPPR!$E:$Z,MATCH($A13,SPPR!$A:$A,0),18),""),"")</f>
        <v/>
      </c>
      <c r="V13">
        <f>IFERROR(IF(ISNUMBER(INDEX(SPPR!$E:$Z,MATCH($A13,SPPR!$A:$A,0),19)),$C13*INDEX(SPPR!$E:$Z,MATCH($A13,SPPR!$A:$A,0),19),""),"")</f>
        <v/>
      </c>
      <c r="W13">
        <f>IFERROR(IF(ISNUMBER(INDEX(SPPR!$E:$Z,MATCH($A13,SPPR!$A:$A,0),20)),$C13*INDEX(SPPR!$E:$Z,MATCH($A13,SPPR!$A:$A,0),20),""),"")</f>
        <v/>
      </c>
      <c r="X13">
        <f>IFERROR(IF(ISNUMBER(INDEX(SPPR!$E:$Z,MATCH($A13,SPPR!$A:$A,0),21)),$C13*INDEX(SPPR!$E:$Z,MATCH($A13,SPPR!$A:$A,0),21),""),"")</f>
        <v/>
      </c>
      <c r="Y13">
        <f>IFERROR(IF(ISNUMBER(INDEX(SPPR!$E:$Z,MATCH($A13,SPPR!$A:$A,0),22)),$C13*INDEX(SPPR!$E:$Z,MATCH($A13,SPPR!$A:$A,0),22),""),"")</f>
        <v/>
      </c>
    </row>
    <row r="14">
      <c r="A14" t="inlineStr">
        <is>
          <t>Cephalopoda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IFERROR(IF(ISNUMBER(INDEX(SPPR!$E:$Z,MATCH($A14,SPPR!$A:$A,0),1)),$C14*INDEX(SPPR!$E:$Z,MATCH($A14,SPPR!$A:$A,0),1),""),"")</f>
        <v/>
      </c>
      <c r="E14">
        <f>IFERROR(IF(ISNUMBER(INDEX(SPPR!$E:$Z,MATCH($A14,SPPR!$A:$A,0),2)),$C14*INDEX(SPPR!$E:$Z,MATCH($A14,SPPR!$A:$A,0),2),""),"")</f>
        <v/>
      </c>
      <c r="F14">
        <f>IFERROR(IF(ISNUMBER(INDEX(SPPR!$E:$Z,MATCH($A14,SPPR!$A:$A,0),3)),$C14*INDEX(SPPR!$E:$Z,MATCH($A14,SPPR!$A:$A,0),3),""),"")</f>
        <v/>
      </c>
      <c r="G14">
        <f>IFERROR(IF(ISNUMBER(INDEX(SPPR!$E:$Z,MATCH($A14,SPPR!$A:$A,0),4)),$C14*INDEX(SPPR!$E:$Z,MATCH($A14,SPPR!$A:$A,0),4),""),"")</f>
        <v/>
      </c>
      <c r="H14">
        <f>IFERROR(IF(ISNUMBER(INDEX(SPPR!$E:$Z,MATCH($A14,SPPR!$A:$A,0),5)),$C14*INDEX(SPPR!$E:$Z,MATCH($A14,SPPR!$A:$A,0),5),""),"")</f>
        <v/>
      </c>
      <c r="I14">
        <f>IFERROR(IF(ISNUMBER(INDEX(SPPR!$E:$Z,MATCH($A14,SPPR!$A:$A,0),6)),$C14*INDEX(SPPR!$E:$Z,MATCH($A14,SPPR!$A:$A,0),6),""),"")</f>
        <v/>
      </c>
      <c r="J14">
        <f>IFERROR(IF(ISNUMBER(INDEX(SPPR!$E:$Z,MATCH($A14,SPPR!$A:$A,0),7)),$C14*INDEX(SPPR!$E:$Z,MATCH($A14,SPPR!$A:$A,0),7),""),"")</f>
        <v/>
      </c>
      <c r="K14">
        <f>IFERROR(IF(ISNUMBER(INDEX(SPPR!$E:$Z,MATCH($A14,SPPR!$A:$A,0),8)),$C14*INDEX(SPPR!$E:$Z,MATCH($A14,SPPR!$A:$A,0),8),""),"")</f>
        <v/>
      </c>
      <c r="L14">
        <f>IFERROR(IF(ISNUMBER(INDEX(SPPR!$E:$Z,MATCH($A14,SPPR!$A:$A,0),9)),$C14*INDEX(SPPR!$E:$Z,MATCH($A14,SPPR!$A:$A,0),9),""),"")</f>
        <v/>
      </c>
      <c r="M14">
        <f>IFERROR(IF(ISNUMBER(INDEX(SPPR!$E:$Z,MATCH($A14,SPPR!$A:$A,0),10)),$C14*INDEX(SPPR!$E:$Z,MATCH($A14,SPPR!$A:$A,0),10),""),"")</f>
        <v/>
      </c>
      <c r="N14">
        <f>IFERROR(IF(ISNUMBER(INDEX(SPPR!$E:$Z,MATCH($A14,SPPR!$A:$A,0),11)),$C14*INDEX(SPPR!$E:$Z,MATCH($A14,SPPR!$A:$A,0),11),""),"")</f>
        <v/>
      </c>
      <c r="O14">
        <f>IFERROR(IF(ISNUMBER(INDEX(SPPR!$E:$Z,MATCH($A14,SPPR!$A:$A,0),12)),$C14*INDEX(SPPR!$E:$Z,MATCH($A14,SPPR!$A:$A,0),12),""),"")</f>
        <v/>
      </c>
      <c r="P14">
        <f>IFERROR(IF(ISNUMBER(INDEX(SPPR!$E:$Z,MATCH($A14,SPPR!$A:$A,0),13)),$C14*INDEX(SPPR!$E:$Z,MATCH($A14,SPPR!$A:$A,0),13),""),"")</f>
        <v/>
      </c>
      <c r="Q14">
        <f>IFERROR(IF(ISNUMBER(INDEX(SPPR!$E:$Z,MATCH($A14,SPPR!$A:$A,0),14)),$C14*INDEX(SPPR!$E:$Z,MATCH($A14,SPPR!$A:$A,0),14),""),"")</f>
        <v/>
      </c>
      <c r="R14">
        <f>IFERROR(IF(ISNUMBER(INDEX(SPPR!$E:$Z,MATCH($A14,SPPR!$A:$A,0),15)),$C14*INDEX(SPPR!$E:$Z,MATCH($A14,SPPR!$A:$A,0),15),""),"")</f>
        <v/>
      </c>
      <c r="S14">
        <f>IFERROR(IF(ISNUMBER(INDEX(SPPR!$E:$Z,MATCH($A14,SPPR!$A:$A,0),16)),$C14*INDEX(SPPR!$E:$Z,MATCH($A14,SPPR!$A:$A,0),16),""),"")</f>
        <v/>
      </c>
      <c r="T14">
        <f>IFERROR(IF(ISNUMBER(INDEX(SPPR!$E:$Z,MATCH($A14,SPPR!$A:$A,0),17)),$C14*INDEX(SPPR!$E:$Z,MATCH($A14,SPPR!$A:$A,0),17),""),"")</f>
        <v/>
      </c>
      <c r="U14">
        <f>IFERROR(IF(ISNUMBER(INDEX(SPPR!$E:$Z,MATCH($A14,SPPR!$A:$A,0),18)),$C14*INDEX(SPPR!$E:$Z,MATCH($A14,SPPR!$A:$A,0),18),""),"")</f>
        <v/>
      </c>
      <c r="V14">
        <f>IFERROR(IF(ISNUMBER(INDEX(SPPR!$E:$Z,MATCH($A14,SPPR!$A:$A,0),19)),$C14*INDEX(SPPR!$E:$Z,MATCH($A14,SPPR!$A:$A,0),19),""),"")</f>
        <v/>
      </c>
      <c r="W14">
        <f>IFERROR(IF(ISNUMBER(INDEX(SPPR!$E:$Z,MATCH($A14,SPPR!$A:$A,0),20)),$C14*INDEX(SPPR!$E:$Z,MATCH($A14,SPPR!$A:$A,0),20),""),"")</f>
        <v/>
      </c>
      <c r="X14">
        <f>IFERROR(IF(ISNUMBER(INDEX(SPPR!$E:$Z,MATCH($A14,SPPR!$A:$A,0),21)),$C14*INDEX(SPPR!$E:$Z,MATCH($A14,SPPR!$A:$A,0),21),""),"")</f>
        <v/>
      </c>
      <c r="Y14">
        <f>IFERROR(IF(ISNUMBER(INDEX(SPPR!$E:$Z,MATCH($A14,SPPR!$A:$A,0),22)),$C14*INDEX(SPPR!$E:$Z,MATCH($A14,SPPR!$A:$A,0),22),""),"")</f>
        <v/>
      </c>
    </row>
    <row r="15">
      <c r="A15" t="inlineStr">
        <is>
          <t>Brachydeuterus auritus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IFERROR(IF(ISNUMBER(INDEX(SPPR!$E:$Z,MATCH($A15,SPPR!$A:$A,0),1)),$C15*INDEX(SPPR!$E:$Z,MATCH($A15,SPPR!$A:$A,0),1),""),"")</f>
        <v/>
      </c>
      <c r="E15">
        <f>IFERROR(IF(ISNUMBER(INDEX(SPPR!$E:$Z,MATCH($A15,SPPR!$A:$A,0),2)),$C15*INDEX(SPPR!$E:$Z,MATCH($A15,SPPR!$A:$A,0),2),""),"")</f>
        <v/>
      </c>
      <c r="F15">
        <f>IFERROR(IF(ISNUMBER(INDEX(SPPR!$E:$Z,MATCH($A15,SPPR!$A:$A,0),3)),$C15*INDEX(SPPR!$E:$Z,MATCH($A15,SPPR!$A:$A,0),3),""),"")</f>
        <v/>
      </c>
      <c r="G15">
        <f>IFERROR(IF(ISNUMBER(INDEX(SPPR!$E:$Z,MATCH($A15,SPPR!$A:$A,0),4)),$C15*INDEX(SPPR!$E:$Z,MATCH($A15,SPPR!$A:$A,0),4),""),"")</f>
        <v/>
      </c>
      <c r="H15">
        <f>IFERROR(IF(ISNUMBER(INDEX(SPPR!$E:$Z,MATCH($A15,SPPR!$A:$A,0),5)),$C15*INDEX(SPPR!$E:$Z,MATCH($A15,SPPR!$A:$A,0),5),""),"")</f>
        <v/>
      </c>
      <c r="I15">
        <f>IFERROR(IF(ISNUMBER(INDEX(SPPR!$E:$Z,MATCH($A15,SPPR!$A:$A,0),6)),$C15*INDEX(SPPR!$E:$Z,MATCH($A15,SPPR!$A:$A,0),6),""),"")</f>
        <v/>
      </c>
      <c r="J15">
        <f>IFERROR(IF(ISNUMBER(INDEX(SPPR!$E:$Z,MATCH($A15,SPPR!$A:$A,0),7)),$C15*INDEX(SPPR!$E:$Z,MATCH($A15,SPPR!$A:$A,0),7),""),"")</f>
        <v/>
      </c>
      <c r="K15">
        <f>IFERROR(IF(ISNUMBER(INDEX(SPPR!$E:$Z,MATCH($A15,SPPR!$A:$A,0),8)),$C15*INDEX(SPPR!$E:$Z,MATCH($A15,SPPR!$A:$A,0),8),""),"")</f>
        <v/>
      </c>
      <c r="L15">
        <f>IFERROR(IF(ISNUMBER(INDEX(SPPR!$E:$Z,MATCH($A15,SPPR!$A:$A,0),9)),$C15*INDEX(SPPR!$E:$Z,MATCH($A15,SPPR!$A:$A,0),9),""),"")</f>
        <v/>
      </c>
      <c r="M15">
        <f>IFERROR(IF(ISNUMBER(INDEX(SPPR!$E:$Z,MATCH($A15,SPPR!$A:$A,0),10)),$C15*INDEX(SPPR!$E:$Z,MATCH($A15,SPPR!$A:$A,0),10),""),"")</f>
        <v/>
      </c>
      <c r="N15">
        <f>IFERROR(IF(ISNUMBER(INDEX(SPPR!$E:$Z,MATCH($A15,SPPR!$A:$A,0),11)),$C15*INDEX(SPPR!$E:$Z,MATCH($A15,SPPR!$A:$A,0),11),""),"")</f>
        <v/>
      </c>
      <c r="O15">
        <f>IFERROR(IF(ISNUMBER(INDEX(SPPR!$E:$Z,MATCH($A15,SPPR!$A:$A,0),12)),$C15*INDEX(SPPR!$E:$Z,MATCH($A15,SPPR!$A:$A,0),12),""),"")</f>
        <v/>
      </c>
      <c r="P15">
        <f>IFERROR(IF(ISNUMBER(INDEX(SPPR!$E:$Z,MATCH($A15,SPPR!$A:$A,0),13)),$C15*INDEX(SPPR!$E:$Z,MATCH($A15,SPPR!$A:$A,0),13),""),"")</f>
        <v/>
      </c>
      <c r="Q15">
        <f>IFERROR(IF(ISNUMBER(INDEX(SPPR!$E:$Z,MATCH($A15,SPPR!$A:$A,0),14)),$C15*INDEX(SPPR!$E:$Z,MATCH($A15,SPPR!$A:$A,0),14),""),"")</f>
        <v/>
      </c>
      <c r="R15">
        <f>IFERROR(IF(ISNUMBER(INDEX(SPPR!$E:$Z,MATCH($A15,SPPR!$A:$A,0),15)),$C15*INDEX(SPPR!$E:$Z,MATCH($A15,SPPR!$A:$A,0),15),""),"")</f>
        <v/>
      </c>
      <c r="S15">
        <f>IFERROR(IF(ISNUMBER(INDEX(SPPR!$E:$Z,MATCH($A15,SPPR!$A:$A,0),16)),$C15*INDEX(SPPR!$E:$Z,MATCH($A15,SPPR!$A:$A,0),16),""),"")</f>
        <v/>
      </c>
      <c r="T15">
        <f>IFERROR(IF(ISNUMBER(INDEX(SPPR!$E:$Z,MATCH($A15,SPPR!$A:$A,0),17)),$C15*INDEX(SPPR!$E:$Z,MATCH($A15,SPPR!$A:$A,0),17),""),"")</f>
        <v/>
      </c>
      <c r="U15">
        <f>IFERROR(IF(ISNUMBER(INDEX(SPPR!$E:$Z,MATCH($A15,SPPR!$A:$A,0),18)),$C15*INDEX(SPPR!$E:$Z,MATCH($A15,SPPR!$A:$A,0),18),""),"")</f>
        <v/>
      </c>
      <c r="V15">
        <f>IFERROR(IF(ISNUMBER(INDEX(SPPR!$E:$Z,MATCH($A15,SPPR!$A:$A,0),19)),$C15*INDEX(SPPR!$E:$Z,MATCH($A15,SPPR!$A:$A,0),19),""),"")</f>
        <v/>
      </c>
      <c r="W15">
        <f>IFERROR(IF(ISNUMBER(INDEX(SPPR!$E:$Z,MATCH($A15,SPPR!$A:$A,0),20)),$C15*INDEX(SPPR!$E:$Z,MATCH($A15,SPPR!$A:$A,0),20),""),"")</f>
        <v/>
      </c>
      <c r="X15">
        <f>IFERROR(IF(ISNUMBER(INDEX(SPPR!$E:$Z,MATCH($A15,SPPR!$A:$A,0),21)),$C15*INDEX(SPPR!$E:$Z,MATCH($A15,SPPR!$A:$A,0),21),""),"")</f>
        <v/>
      </c>
      <c r="Y15">
        <f>IFERROR(IF(ISNUMBER(INDEX(SPPR!$E:$Z,MATCH($A15,SPPR!$A:$A,0),22)),$C15*INDEX(SPPR!$E:$Z,MATCH($A15,SPPR!$A:$A,0),22),""),"")</f>
        <v/>
      </c>
    </row>
    <row r="16">
      <c r="A16" t="inlineStr">
        <is>
          <t>Trachurus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IFERROR(IF(ISNUMBER(INDEX(SPPR!$E:$Z,MATCH($A16,SPPR!$A:$A,0),1)),$C16*INDEX(SPPR!$E:$Z,MATCH($A16,SPPR!$A:$A,0),1),""),"")</f>
        <v/>
      </c>
      <c r="E16">
        <f>IFERROR(IF(ISNUMBER(INDEX(SPPR!$E:$Z,MATCH($A16,SPPR!$A:$A,0),2)),$C16*INDEX(SPPR!$E:$Z,MATCH($A16,SPPR!$A:$A,0),2),""),"")</f>
        <v/>
      </c>
      <c r="F16">
        <f>IFERROR(IF(ISNUMBER(INDEX(SPPR!$E:$Z,MATCH($A16,SPPR!$A:$A,0),3)),$C16*INDEX(SPPR!$E:$Z,MATCH($A16,SPPR!$A:$A,0),3),""),"")</f>
        <v/>
      </c>
      <c r="G16">
        <f>IFERROR(IF(ISNUMBER(INDEX(SPPR!$E:$Z,MATCH($A16,SPPR!$A:$A,0),4)),$C16*INDEX(SPPR!$E:$Z,MATCH($A16,SPPR!$A:$A,0),4),""),"")</f>
        <v/>
      </c>
      <c r="H16">
        <f>IFERROR(IF(ISNUMBER(INDEX(SPPR!$E:$Z,MATCH($A16,SPPR!$A:$A,0),5)),$C16*INDEX(SPPR!$E:$Z,MATCH($A16,SPPR!$A:$A,0),5),""),"")</f>
        <v/>
      </c>
      <c r="I16">
        <f>IFERROR(IF(ISNUMBER(INDEX(SPPR!$E:$Z,MATCH($A16,SPPR!$A:$A,0),6)),$C16*INDEX(SPPR!$E:$Z,MATCH($A16,SPPR!$A:$A,0),6),""),"")</f>
        <v/>
      </c>
      <c r="J16">
        <f>IFERROR(IF(ISNUMBER(INDEX(SPPR!$E:$Z,MATCH($A16,SPPR!$A:$A,0),7)),$C16*INDEX(SPPR!$E:$Z,MATCH($A16,SPPR!$A:$A,0),7),""),"")</f>
        <v/>
      </c>
      <c r="K16">
        <f>IFERROR(IF(ISNUMBER(INDEX(SPPR!$E:$Z,MATCH($A16,SPPR!$A:$A,0),8)),$C16*INDEX(SPPR!$E:$Z,MATCH($A16,SPPR!$A:$A,0),8),""),"")</f>
        <v/>
      </c>
      <c r="L16">
        <f>IFERROR(IF(ISNUMBER(INDEX(SPPR!$E:$Z,MATCH($A16,SPPR!$A:$A,0),9)),$C16*INDEX(SPPR!$E:$Z,MATCH($A16,SPPR!$A:$A,0),9),""),"")</f>
        <v/>
      </c>
      <c r="M16">
        <f>IFERROR(IF(ISNUMBER(INDEX(SPPR!$E:$Z,MATCH($A16,SPPR!$A:$A,0),10)),$C16*INDEX(SPPR!$E:$Z,MATCH($A16,SPPR!$A:$A,0),10),""),"")</f>
        <v/>
      </c>
      <c r="N16">
        <f>IFERROR(IF(ISNUMBER(INDEX(SPPR!$E:$Z,MATCH($A16,SPPR!$A:$A,0),11)),$C16*INDEX(SPPR!$E:$Z,MATCH($A16,SPPR!$A:$A,0),11),""),"")</f>
        <v/>
      </c>
      <c r="O16">
        <f>IFERROR(IF(ISNUMBER(INDEX(SPPR!$E:$Z,MATCH($A16,SPPR!$A:$A,0),12)),$C16*INDEX(SPPR!$E:$Z,MATCH($A16,SPPR!$A:$A,0),12),""),"")</f>
        <v/>
      </c>
      <c r="P16">
        <f>IFERROR(IF(ISNUMBER(INDEX(SPPR!$E:$Z,MATCH($A16,SPPR!$A:$A,0),13)),$C16*INDEX(SPPR!$E:$Z,MATCH($A16,SPPR!$A:$A,0),13),""),"")</f>
        <v/>
      </c>
      <c r="Q16">
        <f>IFERROR(IF(ISNUMBER(INDEX(SPPR!$E:$Z,MATCH($A16,SPPR!$A:$A,0),14)),$C16*INDEX(SPPR!$E:$Z,MATCH($A16,SPPR!$A:$A,0),14),""),"")</f>
        <v/>
      </c>
      <c r="R16">
        <f>IFERROR(IF(ISNUMBER(INDEX(SPPR!$E:$Z,MATCH($A16,SPPR!$A:$A,0),15)),$C16*INDEX(SPPR!$E:$Z,MATCH($A16,SPPR!$A:$A,0),15),""),"")</f>
        <v/>
      </c>
      <c r="S16">
        <f>IFERROR(IF(ISNUMBER(INDEX(SPPR!$E:$Z,MATCH($A16,SPPR!$A:$A,0),16)),$C16*INDEX(SPPR!$E:$Z,MATCH($A16,SPPR!$A:$A,0),16),""),"")</f>
        <v/>
      </c>
      <c r="T16">
        <f>IFERROR(IF(ISNUMBER(INDEX(SPPR!$E:$Z,MATCH($A16,SPPR!$A:$A,0),17)),$C16*INDEX(SPPR!$E:$Z,MATCH($A16,SPPR!$A:$A,0),17),""),"")</f>
        <v/>
      </c>
      <c r="U16">
        <f>IFERROR(IF(ISNUMBER(INDEX(SPPR!$E:$Z,MATCH($A16,SPPR!$A:$A,0),18)),$C16*INDEX(SPPR!$E:$Z,MATCH($A16,SPPR!$A:$A,0),18),""),"")</f>
        <v/>
      </c>
      <c r="V16">
        <f>IFERROR(IF(ISNUMBER(INDEX(SPPR!$E:$Z,MATCH($A16,SPPR!$A:$A,0),19)),$C16*INDEX(SPPR!$E:$Z,MATCH($A16,SPPR!$A:$A,0),19),""),"")</f>
        <v/>
      </c>
      <c r="W16">
        <f>IFERROR(IF(ISNUMBER(INDEX(SPPR!$E:$Z,MATCH($A16,SPPR!$A:$A,0),20)),$C16*INDEX(SPPR!$E:$Z,MATCH($A16,SPPR!$A:$A,0),20),""),"")</f>
        <v/>
      </c>
      <c r="X16">
        <f>IFERROR(IF(ISNUMBER(INDEX(SPPR!$E:$Z,MATCH($A16,SPPR!$A:$A,0),21)),$C16*INDEX(SPPR!$E:$Z,MATCH($A16,SPPR!$A:$A,0),21),""),"")</f>
        <v/>
      </c>
      <c r="Y16">
        <f>IFERROR(IF(ISNUMBER(INDEX(SPPR!$E:$Z,MATCH($A16,SPPR!$A:$A,0),22)),$C16*INDEX(SPPR!$E:$Z,MATCH($A16,SPPR!$A:$A,0),22),""),"")</f>
        <v/>
      </c>
    </row>
    <row r="17">
      <c r="A17" t="inlineStr">
        <is>
          <t>Sardinella maderensis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IFERROR(IF(ISNUMBER(INDEX(SPPR!$E:$Z,MATCH($A17,SPPR!$A:$A,0),1)),$C17*INDEX(SPPR!$E:$Z,MATCH($A17,SPPR!$A:$A,0),1),""),"")</f>
        <v/>
      </c>
      <c r="E17">
        <f>IFERROR(IF(ISNUMBER(INDEX(SPPR!$E:$Z,MATCH($A17,SPPR!$A:$A,0),2)),$C17*INDEX(SPPR!$E:$Z,MATCH($A17,SPPR!$A:$A,0),2),""),"")</f>
        <v/>
      </c>
      <c r="F17">
        <f>IFERROR(IF(ISNUMBER(INDEX(SPPR!$E:$Z,MATCH($A17,SPPR!$A:$A,0),3)),$C17*INDEX(SPPR!$E:$Z,MATCH($A17,SPPR!$A:$A,0),3),""),"")</f>
        <v/>
      </c>
      <c r="G17">
        <f>IFERROR(IF(ISNUMBER(INDEX(SPPR!$E:$Z,MATCH($A17,SPPR!$A:$A,0),4)),$C17*INDEX(SPPR!$E:$Z,MATCH($A17,SPPR!$A:$A,0),4),""),"")</f>
        <v/>
      </c>
      <c r="H17">
        <f>IFERROR(IF(ISNUMBER(INDEX(SPPR!$E:$Z,MATCH($A17,SPPR!$A:$A,0),5)),$C17*INDEX(SPPR!$E:$Z,MATCH($A17,SPPR!$A:$A,0),5),""),"")</f>
        <v/>
      </c>
      <c r="I17">
        <f>IFERROR(IF(ISNUMBER(INDEX(SPPR!$E:$Z,MATCH($A17,SPPR!$A:$A,0),6)),$C17*INDEX(SPPR!$E:$Z,MATCH($A17,SPPR!$A:$A,0),6),""),"")</f>
        <v/>
      </c>
      <c r="J17">
        <f>IFERROR(IF(ISNUMBER(INDEX(SPPR!$E:$Z,MATCH($A17,SPPR!$A:$A,0),7)),$C17*INDEX(SPPR!$E:$Z,MATCH($A17,SPPR!$A:$A,0),7),""),"")</f>
        <v/>
      </c>
      <c r="K17">
        <f>IFERROR(IF(ISNUMBER(INDEX(SPPR!$E:$Z,MATCH($A17,SPPR!$A:$A,0),8)),$C17*INDEX(SPPR!$E:$Z,MATCH($A17,SPPR!$A:$A,0),8),""),"")</f>
        <v/>
      </c>
      <c r="L17">
        <f>IFERROR(IF(ISNUMBER(INDEX(SPPR!$E:$Z,MATCH($A17,SPPR!$A:$A,0),9)),$C17*INDEX(SPPR!$E:$Z,MATCH($A17,SPPR!$A:$A,0),9),""),"")</f>
        <v/>
      </c>
      <c r="M17">
        <f>IFERROR(IF(ISNUMBER(INDEX(SPPR!$E:$Z,MATCH($A17,SPPR!$A:$A,0),10)),$C17*INDEX(SPPR!$E:$Z,MATCH($A17,SPPR!$A:$A,0),10),""),"")</f>
        <v/>
      </c>
      <c r="N17">
        <f>IFERROR(IF(ISNUMBER(INDEX(SPPR!$E:$Z,MATCH($A17,SPPR!$A:$A,0),11)),$C17*INDEX(SPPR!$E:$Z,MATCH($A17,SPPR!$A:$A,0),11),""),"")</f>
        <v/>
      </c>
      <c r="O17">
        <f>IFERROR(IF(ISNUMBER(INDEX(SPPR!$E:$Z,MATCH($A17,SPPR!$A:$A,0),12)),$C17*INDEX(SPPR!$E:$Z,MATCH($A17,SPPR!$A:$A,0),12),""),"")</f>
        <v/>
      </c>
      <c r="P17">
        <f>IFERROR(IF(ISNUMBER(INDEX(SPPR!$E:$Z,MATCH($A17,SPPR!$A:$A,0),13)),$C17*INDEX(SPPR!$E:$Z,MATCH($A17,SPPR!$A:$A,0),13),""),"")</f>
        <v/>
      </c>
      <c r="Q17">
        <f>IFERROR(IF(ISNUMBER(INDEX(SPPR!$E:$Z,MATCH($A17,SPPR!$A:$A,0),14)),$C17*INDEX(SPPR!$E:$Z,MATCH($A17,SPPR!$A:$A,0),14),""),"")</f>
        <v/>
      </c>
      <c r="R17">
        <f>IFERROR(IF(ISNUMBER(INDEX(SPPR!$E:$Z,MATCH($A17,SPPR!$A:$A,0),15)),$C17*INDEX(SPPR!$E:$Z,MATCH($A17,SPPR!$A:$A,0),15),""),"")</f>
        <v/>
      </c>
      <c r="S17">
        <f>IFERROR(IF(ISNUMBER(INDEX(SPPR!$E:$Z,MATCH($A17,SPPR!$A:$A,0),16)),$C17*INDEX(SPPR!$E:$Z,MATCH($A17,SPPR!$A:$A,0),16),""),"")</f>
        <v/>
      </c>
      <c r="T17">
        <f>IFERROR(IF(ISNUMBER(INDEX(SPPR!$E:$Z,MATCH($A17,SPPR!$A:$A,0),17)),$C17*INDEX(SPPR!$E:$Z,MATCH($A17,SPPR!$A:$A,0),17),""),"")</f>
        <v/>
      </c>
      <c r="U17">
        <f>IFERROR(IF(ISNUMBER(INDEX(SPPR!$E:$Z,MATCH($A17,SPPR!$A:$A,0),18)),$C17*INDEX(SPPR!$E:$Z,MATCH($A17,SPPR!$A:$A,0),18),""),"")</f>
        <v/>
      </c>
      <c r="V17">
        <f>IFERROR(IF(ISNUMBER(INDEX(SPPR!$E:$Z,MATCH($A17,SPPR!$A:$A,0),19)),$C17*INDEX(SPPR!$E:$Z,MATCH($A17,SPPR!$A:$A,0),19),""),"")</f>
        <v/>
      </c>
      <c r="W17">
        <f>IFERROR(IF(ISNUMBER(INDEX(SPPR!$E:$Z,MATCH($A17,SPPR!$A:$A,0),20)),$C17*INDEX(SPPR!$E:$Z,MATCH($A17,SPPR!$A:$A,0),20),""),"")</f>
        <v/>
      </c>
      <c r="X17">
        <f>IFERROR(IF(ISNUMBER(INDEX(SPPR!$E:$Z,MATCH($A17,SPPR!$A:$A,0),21)),$C17*INDEX(SPPR!$E:$Z,MATCH($A17,SPPR!$A:$A,0),21),""),"")</f>
        <v/>
      </c>
      <c r="Y17">
        <f>IFERROR(IF(ISNUMBER(INDEX(SPPR!$E:$Z,MATCH($A17,SPPR!$A:$A,0),22)),$C17*INDEX(SPPR!$E:$Z,MATCH($A17,SPPR!$A:$A,0),22),""),"")</f>
        <v/>
      </c>
    </row>
    <row r="18">
      <c r="A18" t="inlineStr">
        <is>
          <t>Katsuwonus pelamis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IFERROR(IF(ISNUMBER(INDEX(SPPR!$E:$Z,MATCH($A18,SPPR!$A:$A,0),1)),$C18*INDEX(SPPR!$E:$Z,MATCH($A18,SPPR!$A:$A,0),1),""),"")</f>
        <v/>
      </c>
      <c r="E18">
        <f>IFERROR(IF(ISNUMBER(INDEX(SPPR!$E:$Z,MATCH($A18,SPPR!$A:$A,0),2)),$C18*INDEX(SPPR!$E:$Z,MATCH($A18,SPPR!$A:$A,0),2),""),"")</f>
        <v/>
      </c>
      <c r="F18">
        <f>IFERROR(IF(ISNUMBER(INDEX(SPPR!$E:$Z,MATCH($A18,SPPR!$A:$A,0),3)),$C18*INDEX(SPPR!$E:$Z,MATCH($A18,SPPR!$A:$A,0),3),""),"")</f>
        <v/>
      </c>
      <c r="G18">
        <f>IFERROR(IF(ISNUMBER(INDEX(SPPR!$E:$Z,MATCH($A18,SPPR!$A:$A,0),4)),$C18*INDEX(SPPR!$E:$Z,MATCH($A18,SPPR!$A:$A,0),4),""),"")</f>
        <v/>
      </c>
      <c r="H18">
        <f>IFERROR(IF(ISNUMBER(INDEX(SPPR!$E:$Z,MATCH($A18,SPPR!$A:$A,0),5)),$C18*INDEX(SPPR!$E:$Z,MATCH($A18,SPPR!$A:$A,0),5),""),"")</f>
        <v/>
      </c>
      <c r="I18">
        <f>IFERROR(IF(ISNUMBER(INDEX(SPPR!$E:$Z,MATCH($A18,SPPR!$A:$A,0),6)),$C18*INDEX(SPPR!$E:$Z,MATCH($A18,SPPR!$A:$A,0),6),""),"")</f>
        <v/>
      </c>
      <c r="J18">
        <f>IFERROR(IF(ISNUMBER(INDEX(SPPR!$E:$Z,MATCH($A18,SPPR!$A:$A,0),7)),$C18*INDEX(SPPR!$E:$Z,MATCH($A18,SPPR!$A:$A,0),7),""),"")</f>
        <v/>
      </c>
      <c r="K18">
        <f>IFERROR(IF(ISNUMBER(INDEX(SPPR!$E:$Z,MATCH($A18,SPPR!$A:$A,0),8)),$C18*INDEX(SPPR!$E:$Z,MATCH($A18,SPPR!$A:$A,0),8),""),"")</f>
        <v/>
      </c>
      <c r="L18">
        <f>IFERROR(IF(ISNUMBER(INDEX(SPPR!$E:$Z,MATCH($A18,SPPR!$A:$A,0),9)),$C18*INDEX(SPPR!$E:$Z,MATCH($A18,SPPR!$A:$A,0),9),""),"")</f>
        <v/>
      </c>
      <c r="M18">
        <f>IFERROR(IF(ISNUMBER(INDEX(SPPR!$E:$Z,MATCH($A18,SPPR!$A:$A,0),10)),$C18*INDEX(SPPR!$E:$Z,MATCH($A18,SPPR!$A:$A,0),10),""),"")</f>
        <v/>
      </c>
      <c r="N18">
        <f>IFERROR(IF(ISNUMBER(INDEX(SPPR!$E:$Z,MATCH($A18,SPPR!$A:$A,0),11)),$C18*INDEX(SPPR!$E:$Z,MATCH($A18,SPPR!$A:$A,0),11),""),"")</f>
        <v/>
      </c>
      <c r="O18">
        <f>IFERROR(IF(ISNUMBER(INDEX(SPPR!$E:$Z,MATCH($A18,SPPR!$A:$A,0),12)),$C18*INDEX(SPPR!$E:$Z,MATCH($A18,SPPR!$A:$A,0),12),""),"")</f>
        <v/>
      </c>
      <c r="P18">
        <f>IFERROR(IF(ISNUMBER(INDEX(SPPR!$E:$Z,MATCH($A18,SPPR!$A:$A,0),13)),$C18*INDEX(SPPR!$E:$Z,MATCH($A18,SPPR!$A:$A,0),13),""),"")</f>
        <v/>
      </c>
      <c r="Q18">
        <f>IFERROR(IF(ISNUMBER(INDEX(SPPR!$E:$Z,MATCH($A18,SPPR!$A:$A,0),14)),$C18*INDEX(SPPR!$E:$Z,MATCH($A18,SPPR!$A:$A,0),14),""),"")</f>
        <v/>
      </c>
      <c r="R18">
        <f>IFERROR(IF(ISNUMBER(INDEX(SPPR!$E:$Z,MATCH($A18,SPPR!$A:$A,0),15)),$C18*INDEX(SPPR!$E:$Z,MATCH($A18,SPPR!$A:$A,0),15),""),"")</f>
        <v/>
      </c>
      <c r="S18">
        <f>IFERROR(IF(ISNUMBER(INDEX(SPPR!$E:$Z,MATCH($A18,SPPR!$A:$A,0),16)),$C18*INDEX(SPPR!$E:$Z,MATCH($A18,SPPR!$A:$A,0),16),""),"")</f>
        <v/>
      </c>
      <c r="T18">
        <f>IFERROR(IF(ISNUMBER(INDEX(SPPR!$E:$Z,MATCH($A18,SPPR!$A:$A,0),17)),$C18*INDEX(SPPR!$E:$Z,MATCH($A18,SPPR!$A:$A,0),17),""),"")</f>
        <v/>
      </c>
      <c r="U18">
        <f>IFERROR(IF(ISNUMBER(INDEX(SPPR!$E:$Z,MATCH($A18,SPPR!$A:$A,0),18)),$C18*INDEX(SPPR!$E:$Z,MATCH($A18,SPPR!$A:$A,0),18),""),"")</f>
        <v/>
      </c>
      <c r="V18">
        <f>IFERROR(IF(ISNUMBER(INDEX(SPPR!$E:$Z,MATCH($A18,SPPR!$A:$A,0),19)),$C18*INDEX(SPPR!$E:$Z,MATCH($A18,SPPR!$A:$A,0),19),""),"")</f>
        <v/>
      </c>
      <c r="W18">
        <f>IFERROR(IF(ISNUMBER(INDEX(SPPR!$E:$Z,MATCH($A18,SPPR!$A:$A,0),20)),$C18*INDEX(SPPR!$E:$Z,MATCH($A18,SPPR!$A:$A,0),20),""),"")</f>
        <v/>
      </c>
      <c r="X18">
        <f>IFERROR(IF(ISNUMBER(INDEX(SPPR!$E:$Z,MATCH($A18,SPPR!$A:$A,0),21)),$C18*INDEX(SPPR!$E:$Z,MATCH($A18,SPPR!$A:$A,0),21),""),"")</f>
        <v/>
      </c>
      <c r="Y18">
        <f>IFERROR(IF(ISNUMBER(INDEX(SPPR!$E:$Z,MATCH($A18,SPPR!$A:$A,0),22)),$C18*INDEX(SPPR!$E:$Z,MATCH($A18,SPPR!$A:$A,0),22),""),"")</f>
        <v/>
      </c>
    </row>
    <row r="19">
      <c r="A19" t="inlineStr">
        <is>
          <t>Thunnus albacares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IFERROR(IF(ISNUMBER(INDEX(SPPR!$E:$Z,MATCH($A19,SPPR!$A:$A,0),1)),$C19*INDEX(SPPR!$E:$Z,MATCH($A19,SPPR!$A:$A,0),1),""),"")</f>
        <v/>
      </c>
      <c r="E19">
        <f>IFERROR(IF(ISNUMBER(INDEX(SPPR!$E:$Z,MATCH($A19,SPPR!$A:$A,0),2)),$C19*INDEX(SPPR!$E:$Z,MATCH($A19,SPPR!$A:$A,0),2),""),"")</f>
        <v/>
      </c>
      <c r="F19">
        <f>IFERROR(IF(ISNUMBER(INDEX(SPPR!$E:$Z,MATCH($A19,SPPR!$A:$A,0),3)),$C19*INDEX(SPPR!$E:$Z,MATCH($A19,SPPR!$A:$A,0),3),""),"")</f>
        <v/>
      </c>
      <c r="G19">
        <f>IFERROR(IF(ISNUMBER(INDEX(SPPR!$E:$Z,MATCH($A19,SPPR!$A:$A,0),4)),$C19*INDEX(SPPR!$E:$Z,MATCH($A19,SPPR!$A:$A,0),4),""),"")</f>
        <v/>
      </c>
      <c r="H19">
        <f>IFERROR(IF(ISNUMBER(INDEX(SPPR!$E:$Z,MATCH($A19,SPPR!$A:$A,0),5)),$C19*INDEX(SPPR!$E:$Z,MATCH($A19,SPPR!$A:$A,0),5),""),"")</f>
        <v/>
      </c>
      <c r="I19">
        <f>IFERROR(IF(ISNUMBER(INDEX(SPPR!$E:$Z,MATCH($A19,SPPR!$A:$A,0),6)),$C19*INDEX(SPPR!$E:$Z,MATCH($A19,SPPR!$A:$A,0),6),""),"")</f>
        <v/>
      </c>
      <c r="J19">
        <f>IFERROR(IF(ISNUMBER(INDEX(SPPR!$E:$Z,MATCH($A19,SPPR!$A:$A,0),7)),$C19*INDEX(SPPR!$E:$Z,MATCH($A19,SPPR!$A:$A,0),7),""),"")</f>
        <v/>
      </c>
      <c r="K19">
        <f>IFERROR(IF(ISNUMBER(INDEX(SPPR!$E:$Z,MATCH($A19,SPPR!$A:$A,0),8)),$C19*INDEX(SPPR!$E:$Z,MATCH($A19,SPPR!$A:$A,0),8),""),"")</f>
        <v/>
      </c>
      <c r="L19">
        <f>IFERROR(IF(ISNUMBER(INDEX(SPPR!$E:$Z,MATCH($A19,SPPR!$A:$A,0),9)),$C19*INDEX(SPPR!$E:$Z,MATCH($A19,SPPR!$A:$A,0),9),""),"")</f>
        <v/>
      </c>
      <c r="M19">
        <f>IFERROR(IF(ISNUMBER(INDEX(SPPR!$E:$Z,MATCH($A19,SPPR!$A:$A,0),10)),$C19*INDEX(SPPR!$E:$Z,MATCH($A19,SPPR!$A:$A,0),10),""),"")</f>
        <v/>
      </c>
      <c r="N19">
        <f>IFERROR(IF(ISNUMBER(INDEX(SPPR!$E:$Z,MATCH($A19,SPPR!$A:$A,0),11)),$C19*INDEX(SPPR!$E:$Z,MATCH($A19,SPPR!$A:$A,0),11),""),"")</f>
        <v/>
      </c>
      <c r="O19">
        <f>IFERROR(IF(ISNUMBER(INDEX(SPPR!$E:$Z,MATCH($A19,SPPR!$A:$A,0),12)),$C19*INDEX(SPPR!$E:$Z,MATCH($A19,SPPR!$A:$A,0),12),""),"")</f>
        <v/>
      </c>
      <c r="P19">
        <f>IFERROR(IF(ISNUMBER(INDEX(SPPR!$E:$Z,MATCH($A19,SPPR!$A:$A,0),13)),$C19*INDEX(SPPR!$E:$Z,MATCH($A19,SPPR!$A:$A,0),13),""),"")</f>
        <v/>
      </c>
      <c r="Q19">
        <f>IFERROR(IF(ISNUMBER(INDEX(SPPR!$E:$Z,MATCH($A19,SPPR!$A:$A,0),14)),$C19*INDEX(SPPR!$E:$Z,MATCH($A19,SPPR!$A:$A,0),14),""),"")</f>
        <v/>
      </c>
      <c r="R19">
        <f>IFERROR(IF(ISNUMBER(INDEX(SPPR!$E:$Z,MATCH($A19,SPPR!$A:$A,0),15)),$C19*INDEX(SPPR!$E:$Z,MATCH($A19,SPPR!$A:$A,0),15),""),"")</f>
        <v/>
      </c>
      <c r="S19">
        <f>IFERROR(IF(ISNUMBER(INDEX(SPPR!$E:$Z,MATCH($A19,SPPR!$A:$A,0),16)),$C19*INDEX(SPPR!$E:$Z,MATCH($A19,SPPR!$A:$A,0),16),""),"")</f>
        <v/>
      </c>
      <c r="T19">
        <f>IFERROR(IF(ISNUMBER(INDEX(SPPR!$E:$Z,MATCH($A19,SPPR!$A:$A,0),17)),$C19*INDEX(SPPR!$E:$Z,MATCH($A19,SPPR!$A:$A,0),17),""),"")</f>
        <v/>
      </c>
      <c r="U19">
        <f>IFERROR(IF(ISNUMBER(INDEX(SPPR!$E:$Z,MATCH($A19,SPPR!$A:$A,0),18)),$C19*INDEX(SPPR!$E:$Z,MATCH($A19,SPPR!$A:$A,0),18),""),"")</f>
        <v/>
      </c>
      <c r="V19">
        <f>IFERROR(IF(ISNUMBER(INDEX(SPPR!$E:$Z,MATCH($A19,SPPR!$A:$A,0),19)),$C19*INDEX(SPPR!$E:$Z,MATCH($A19,SPPR!$A:$A,0),19),""),"")</f>
        <v/>
      </c>
      <c r="W19">
        <f>IFERROR(IF(ISNUMBER(INDEX(SPPR!$E:$Z,MATCH($A19,SPPR!$A:$A,0),20)),$C19*INDEX(SPPR!$E:$Z,MATCH($A19,SPPR!$A:$A,0),20),""),"")</f>
        <v/>
      </c>
      <c r="X19">
        <f>IFERROR(IF(ISNUMBER(INDEX(SPPR!$E:$Z,MATCH($A19,SPPR!$A:$A,0),21)),$C19*INDEX(SPPR!$E:$Z,MATCH($A19,SPPR!$A:$A,0),21),""),"")</f>
        <v/>
      </c>
      <c r="Y19">
        <f>IFERROR(IF(ISNUMBER(INDEX(SPPR!$E:$Z,MATCH($A19,SPPR!$A:$A,0),22)),$C19*INDEX(SPPR!$E:$Z,MATCH($A19,SPPR!$A:$A,0),22),""),"")</f>
        <v/>
      </c>
    </row>
    <row r="20">
      <c r="A20" t="inlineStr">
        <is>
          <t>Galeoides decadactylus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IFERROR(IF(ISNUMBER(INDEX(SPPR!$E:$Z,MATCH($A20,SPPR!$A:$A,0),1)),$C20*INDEX(SPPR!$E:$Z,MATCH($A20,SPPR!$A:$A,0),1),""),"")</f>
        <v/>
      </c>
      <c r="E20">
        <f>IFERROR(IF(ISNUMBER(INDEX(SPPR!$E:$Z,MATCH($A20,SPPR!$A:$A,0),2)),$C20*INDEX(SPPR!$E:$Z,MATCH($A20,SPPR!$A:$A,0),2),""),"")</f>
        <v/>
      </c>
      <c r="F20">
        <f>IFERROR(IF(ISNUMBER(INDEX(SPPR!$E:$Z,MATCH($A20,SPPR!$A:$A,0),3)),$C20*INDEX(SPPR!$E:$Z,MATCH($A20,SPPR!$A:$A,0),3),""),"")</f>
        <v/>
      </c>
      <c r="G20">
        <f>IFERROR(IF(ISNUMBER(INDEX(SPPR!$E:$Z,MATCH($A20,SPPR!$A:$A,0),4)),$C20*INDEX(SPPR!$E:$Z,MATCH($A20,SPPR!$A:$A,0),4),""),"")</f>
        <v/>
      </c>
      <c r="H20">
        <f>IFERROR(IF(ISNUMBER(INDEX(SPPR!$E:$Z,MATCH($A20,SPPR!$A:$A,0),5)),$C20*INDEX(SPPR!$E:$Z,MATCH($A20,SPPR!$A:$A,0),5),""),"")</f>
        <v/>
      </c>
      <c r="I20">
        <f>IFERROR(IF(ISNUMBER(INDEX(SPPR!$E:$Z,MATCH($A20,SPPR!$A:$A,0),6)),$C20*INDEX(SPPR!$E:$Z,MATCH($A20,SPPR!$A:$A,0),6),""),"")</f>
        <v/>
      </c>
      <c r="J20">
        <f>IFERROR(IF(ISNUMBER(INDEX(SPPR!$E:$Z,MATCH($A20,SPPR!$A:$A,0),7)),$C20*INDEX(SPPR!$E:$Z,MATCH($A20,SPPR!$A:$A,0),7),""),"")</f>
        <v/>
      </c>
      <c r="K20">
        <f>IFERROR(IF(ISNUMBER(INDEX(SPPR!$E:$Z,MATCH($A20,SPPR!$A:$A,0),8)),$C20*INDEX(SPPR!$E:$Z,MATCH($A20,SPPR!$A:$A,0),8),""),"")</f>
        <v/>
      </c>
      <c r="L20">
        <f>IFERROR(IF(ISNUMBER(INDEX(SPPR!$E:$Z,MATCH($A20,SPPR!$A:$A,0),9)),$C20*INDEX(SPPR!$E:$Z,MATCH($A20,SPPR!$A:$A,0),9),""),"")</f>
        <v/>
      </c>
      <c r="M20">
        <f>IFERROR(IF(ISNUMBER(INDEX(SPPR!$E:$Z,MATCH($A20,SPPR!$A:$A,0),10)),$C20*INDEX(SPPR!$E:$Z,MATCH($A20,SPPR!$A:$A,0),10),""),"")</f>
        <v/>
      </c>
      <c r="N20">
        <f>IFERROR(IF(ISNUMBER(INDEX(SPPR!$E:$Z,MATCH($A20,SPPR!$A:$A,0),11)),$C20*INDEX(SPPR!$E:$Z,MATCH($A20,SPPR!$A:$A,0),11),""),"")</f>
        <v/>
      </c>
      <c r="O20">
        <f>IFERROR(IF(ISNUMBER(INDEX(SPPR!$E:$Z,MATCH($A20,SPPR!$A:$A,0),12)),$C20*INDEX(SPPR!$E:$Z,MATCH($A20,SPPR!$A:$A,0),12),""),"")</f>
        <v/>
      </c>
      <c r="P20">
        <f>IFERROR(IF(ISNUMBER(INDEX(SPPR!$E:$Z,MATCH($A20,SPPR!$A:$A,0),13)),$C20*INDEX(SPPR!$E:$Z,MATCH($A20,SPPR!$A:$A,0),13),""),"")</f>
        <v/>
      </c>
      <c r="Q20">
        <f>IFERROR(IF(ISNUMBER(INDEX(SPPR!$E:$Z,MATCH($A20,SPPR!$A:$A,0),14)),$C20*INDEX(SPPR!$E:$Z,MATCH($A20,SPPR!$A:$A,0),14),""),"")</f>
        <v/>
      </c>
      <c r="R20">
        <f>IFERROR(IF(ISNUMBER(INDEX(SPPR!$E:$Z,MATCH($A20,SPPR!$A:$A,0),15)),$C20*INDEX(SPPR!$E:$Z,MATCH($A20,SPPR!$A:$A,0),15),""),"")</f>
        <v/>
      </c>
      <c r="S20">
        <f>IFERROR(IF(ISNUMBER(INDEX(SPPR!$E:$Z,MATCH($A20,SPPR!$A:$A,0),16)),$C20*INDEX(SPPR!$E:$Z,MATCH($A20,SPPR!$A:$A,0),16),""),"")</f>
        <v/>
      </c>
      <c r="T20">
        <f>IFERROR(IF(ISNUMBER(INDEX(SPPR!$E:$Z,MATCH($A20,SPPR!$A:$A,0),17)),$C20*INDEX(SPPR!$E:$Z,MATCH($A20,SPPR!$A:$A,0),17),""),"")</f>
        <v/>
      </c>
      <c r="U20">
        <f>IFERROR(IF(ISNUMBER(INDEX(SPPR!$E:$Z,MATCH($A20,SPPR!$A:$A,0),18)),$C20*INDEX(SPPR!$E:$Z,MATCH($A20,SPPR!$A:$A,0),18),""),"")</f>
        <v/>
      </c>
      <c r="V20">
        <f>IFERROR(IF(ISNUMBER(INDEX(SPPR!$E:$Z,MATCH($A20,SPPR!$A:$A,0),19)),$C20*INDEX(SPPR!$E:$Z,MATCH($A20,SPPR!$A:$A,0),19),""),"")</f>
        <v/>
      </c>
      <c r="W20">
        <f>IFERROR(IF(ISNUMBER(INDEX(SPPR!$E:$Z,MATCH($A20,SPPR!$A:$A,0),20)),$C20*INDEX(SPPR!$E:$Z,MATCH($A20,SPPR!$A:$A,0),20),""),"")</f>
        <v/>
      </c>
      <c r="X20">
        <f>IFERROR(IF(ISNUMBER(INDEX(SPPR!$E:$Z,MATCH($A20,SPPR!$A:$A,0),21)),$C20*INDEX(SPPR!$E:$Z,MATCH($A20,SPPR!$A:$A,0),21),""),"")</f>
        <v/>
      </c>
      <c r="Y20">
        <f>IFERROR(IF(ISNUMBER(INDEX(SPPR!$E:$Z,MATCH($A20,SPPR!$A:$A,0),22)),$C20*INDEX(SPPR!$E:$Z,MATCH($A20,SPPR!$A:$A,0),22),""),"")</f>
        <v/>
      </c>
    </row>
    <row r="21">
      <c r="A21" t="inlineStr">
        <is>
          <t>Pseudotolithus elongatus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IFERROR(IF(ISNUMBER(INDEX(SPPR!$E:$Z,MATCH($A21,SPPR!$A:$A,0),1)),$C21*INDEX(SPPR!$E:$Z,MATCH($A21,SPPR!$A:$A,0),1),""),"")</f>
        <v/>
      </c>
      <c r="E21">
        <f>IFERROR(IF(ISNUMBER(INDEX(SPPR!$E:$Z,MATCH($A21,SPPR!$A:$A,0),2)),$C21*INDEX(SPPR!$E:$Z,MATCH($A21,SPPR!$A:$A,0),2),""),"")</f>
        <v/>
      </c>
      <c r="F21">
        <f>IFERROR(IF(ISNUMBER(INDEX(SPPR!$E:$Z,MATCH($A21,SPPR!$A:$A,0),3)),$C21*INDEX(SPPR!$E:$Z,MATCH($A21,SPPR!$A:$A,0),3),""),"")</f>
        <v/>
      </c>
      <c r="G21">
        <f>IFERROR(IF(ISNUMBER(INDEX(SPPR!$E:$Z,MATCH($A21,SPPR!$A:$A,0),4)),$C21*INDEX(SPPR!$E:$Z,MATCH($A21,SPPR!$A:$A,0),4),""),"")</f>
        <v/>
      </c>
      <c r="H21">
        <f>IFERROR(IF(ISNUMBER(INDEX(SPPR!$E:$Z,MATCH($A21,SPPR!$A:$A,0),5)),$C21*INDEX(SPPR!$E:$Z,MATCH($A21,SPPR!$A:$A,0),5),""),"")</f>
        <v/>
      </c>
      <c r="I21">
        <f>IFERROR(IF(ISNUMBER(INDEX(SPPR!$E:$Z,MATCH($A21,SPPR!$A:$A,0),6)),$C21*INDEX(SPPR!$E:$Z,MATCH($A21,SPPR!$A:$A,0),6),""),"")</f>
        <v/>
      </c>
      <c r="J21">
        <f>IFERROR(IF(ISNUMBER(INDEX(SPPR!$E:$Z,MATCH($A21,SPPR!$A:$A,0),7)),$C21*INDEX(SPPR!$E:$Z,MATCH($A21,SPPR!$A:$A,0),7),""),"")</f>
        <v/>
      </c>
      <c r="K21">
        <f>IFERROR(IF(ISNUMBER(INDEX(SPPR!$E:$Z,MATCH($A21,SPPR!$A:$A,0),8)),$C21*INDEX(SPPR!$E:$Z,MATCH($A21,SPPR!$A:$A,0),8),""),"")</f>
        <v/>
      </c>
      <c r="L21">
        <f>IFERROR(IF(ISNUMBER(INDEX(SPPR!$E:$Z,MATCH($A21,SPPR!$A:$A,0),9)),$C21*INDEX(SPPR!$E:$Z,MATCH($A21,SPPR!$A:$A,0),9),""),"")</f>
        <v/>
      </c>
      <c r="M21">
        <f>IFERROR(IF(ISNUMBER(INDEX(SPPR!$E:$Z,MATCH($A21,SPPR!$A:$A,0),10)),$C21*INDEX(SPPR!$E:$Z,MATCH($A21,SPPR!$A:$A,0),10),""),"")</f>
        <v/>
      </c>
      <c r="N21">
        <f>IFERROR(IF(ISNUMBER(INDEX(SPPR!$E:$Z,MATCH($A21,SPPR!$A:$A,0),11)),$C21*INDEX(SPPR!$E:$Z,MATCH($A21,SPPR!$A:$A,0),11),""),"")</f>
        <v/>
      </c>
      <c r="O21">
        <f>IFERROR(IF(ISNUMBER(INDEX(SPPR!$E:$Z,MATCH($A21,SPPR!$A:$A,0),12)),$C21*INDEX(SPPR!$E:$Z,MATCH($A21,SPPR!$A:$A,0),12),""),"")</f>
        <v/>
      </c>
      <c r="P21">
        <f>IFERROR(IF(ISNUMBER(INDEX(SPPR!$E:$Z,MATCH($A21,SPPR!$A:$A,0),13)),$C21*INDEX(SPPR!$E:$Z,MATCH($A21,SPPR!$A:$A,0),13),""),"")</f>
        <v/>
      </c>
      <c r="Q21">
        <f>IFERROR(IF(ISNUMBER(INDEX(SPPR!$E:$Z,MATCH($A21,SPPR!$A:$A,0),14)),$C21*INDEX(SPPR!$E:$Z,MATCH($A21,SPPR!$A:$A,0),14),""),"")</f>
        <v/>
      </c>
      <c r="R21">
        <f>IFERROR(IF(ISNUMBER(INDEX(SPPR!$E:$Z,MATCH($A21,SPPR!$A:$A,0),15)),$C21*INDEX(SPPR!$E:$Z,MATCH($A21,SPPR!$A:$A,0),15),""),"")</f>
        <v/>
      </c>
      <c r="S21">
        <f>IFERROR(IF(ISNUMBER(INDEX(SPPR!$E:$Z,MATCH($A21,SPPR!$A:$A,0),16)),$C21*INDEX(SPPR!$E:$Z,MATCH($A21,SPPR!$A:$A,0),16),""),"")</f>
        <v/>
      </c>
      <c r="T21">
        <f>IFERROR(IF(ISNUMBER(INDEX(SPPR!$E:$Z,MATCH($A21,SPPR!$A:$A,0),17)),$C21*INDEX(SPPR!$E:$Z,MATCH($A21,SPPR!$A:$A,0),17),""),"")</f>
        <v/>
      </c>
      <c r="U21">
        <f>IFERROR(IF(ISNUMBER(INDEX(SPPR!$E:$Z,MATCH($A21,SPPR!$A:$A,0),18)),$C21*INDEX(SPPR!$E:$Z,MATCH($A21,SPPR!$A:$A,0),18),""),"")</f>
        <v/>
      </c>
      <c r="V21">
        <f>IFERROR(IF(ISNUMBER(INDEX(SPPR!$E:$Z,MATCH($A21,SPPR!$A:$A,0),19)),$C21*INDEX(SPPR!$E:$Z,MATCH($A21,SPPR!$A:$A,0),19),""),"")</f>
        <v/>
      </c>
      <c r="W21">
        <f>IFERROR(IF(ISNUMBER(INDEX(SPPR!$E:$Z,MATCH($A21,SPPR!$A:$A,0),20)),$C21*INDEX(SPPR!$E:$Z,MATCH($A21,SPPR!$A:$A,0),20),""),"")</f>
        <v/>
      </c>
      <c r="X21">
        <f>IFERROR(IF(ISNUMBER(INDEX(SPPR!$E:$Z,MATCH($A21,SPPR!$A:$A,0),21)),$C21*INDEX(SPPR!$E:$Z,MATCH($A21,SPPR!$A:$A,0),21),""),"")</f>
        <v/>
      </c>
      <c r="Y21">
        <f>IFERROR(IF(ISNUMBER(INDEX(SPPR!$E:$Z,MATCH($A21,SPPR!$A:$A,0),22)),$C21*INDEX(SPPR!$E:$Z,MATCH($A21,SPPR!$A:$A,0),22),""),"")</f>
        <v/>
      </c>
    </row>
    <row r="22">
      <c r="A22" t="inlineStr">
        <is>
          <t>Sphyraena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IFERROR(IF(ISNUMBER(INDEX(SPPR!$E:$Z,MATCH($A22,SPPR!$A:$A,0),1)),$C22*INDEX(SPPR!$E:$Z,MATCH($A22,SPPR!$A:$A,0),1),""),"")</f>
        <v/>
      </c>
      <c r="E22">
        <f>IFERROR(IF(ISNUMBER(INDEX(SPPR!$E:$Z,MATCH($A22,SPPR!$A:$A,0),2)),$C22*INDEX(SPPR!$E:$Z,MATCH($A22,SPPR!$A:$A,0),2),""),"")</f>
        <v/>
      </c>
      <c r="F22">
        <f>IFERROR(IF(ISNUMBER(INDEX(SPPR!$E:$Z,MATCH($A22,SPPR!$A:$A,0),3)),$C22*INDEX(SPPR!$E:$Z,MATCH($A22,SPPR!$A:$A,0),3),""),"")</f>
        <v/>
      </c>
      <c r="G22">
        <f>IFERROR(IF(ISNUMBER(INDEX(SPPR!$E:$Z,MATCH($A22,SPPR!$A:$A,0),4)),$C22*INDEX(SPPR!$E:$Z,MATCH($A22,SPPR!$A:$A,0),4),""),"")</f>
        <v/>
      </c>
      <c r="H22">
        <f>IFERROR(IF(ISNUMBER(INDEX(SPPR!$E:$Z,MATCH($A22,SPPR!$A:$A,0),5)),$C22*INDEX(SPPR!$E:$Z,MATCH($A22,SPPR!$A:$A,0),5),""),"")</f>
        <v/>
      </c>
      <c r="I22">
        <f>IFERROR(IF(ISNUMBER(INDEX(SPPR!$E:$Z,MATCH($A22,SPPR!$A:$A,0),6)),$C22*INDEX(SPPR!$E:$Z,MATCH($A22,SPPR!$A:$A,0),6),""),"")</f>
        <v/>
      </c>
      <c r="J22">
        <f>IFERROR(IF(ISNUMBER(INDEX(SPPR!$E:$Z,MATCH($A22,SPPR!$A:$A,0),7)),$C22*INDEX(SPPR!$E:$Z,MATCH($A22,SPPR!$A:$A,0),7),""),"")</f>
        <v/>
      </c>
      <c r="K22">
        <f>IFERROR(IF(ISNUMBER(INDEX(SPPR!$E:$Z,MATCH($A22,SPPR!$A:$A,0),8)),$C22*INDEX(SPPR!$E:$Z,MATCH($A22,SPPR!$A:$A,0),8),""),"")</f>
        <v/>
      </c>
      <c r="L22">
        <f>IFERROR(IF(ISNUMBER(INDEX(SPPR!$E:$Z,MATCH($A22,SPPR!$A:$A,0),9)),$C22*INDEX(SPPR!$E:$Z,MATCH($A22,SPPR!$A:$A,0),9),""),"")</f>
        <v/>
      </c>
      <c r="M22">
        <f>IFERROR(IF(ISNUMBER(INDEX(SPPR!$E:$Z,MATCH($A22,SPPR!$A:$A,0),10)),$C22*INDEX(SPPR!$E:$Z,MATCH($A22,SPPR!$A:$A,0),10),""),"")</f>
        <v/>
      </c>
      <c r="N22">
        <f>IFERROR(IF(ISNUMBER(INDEX(SPPR!$E:$Z,MATCH($A22,SPPR!$A:$A,0),11)),$C22*INDEX(SPPR!$E:$Z,MATCH($A22,SPPR!$A:$A,0),11),""),"")</f>
        <v/>
      </c>
      <c r="O22">
        <f>IFERROR(IF(ISNUMBER(INDEX(SPPR!$E:$Z,MATCH($A22,SPPR!$A:$A,0),12)),$C22*INDEX(SPPR!$E:$Z,MATCH($A22,SPPR!$A:$A,0),12),""),"")</f>
        <v/>
      </c>
      <c r="P22">
        <f>IFERROR(IF(ISNUMBER(INDEX(SPPR!$E:$Z,MATCH($A22,SPPR!$A:$A,0),13)),$C22*INDEX(SPPR!$E:$Z,MATCH($A22,SPPR!$A:$A,0),13),""),"")</f>
        <v/>
      </c>
      <c r="Q22">
        <f>IFERROR(IF(ISNUMBER(INDEX(SPPR!$E:$Z,MATCH($A22,SPPR!$A:$A,0),14)),$C22*INDEX(SPPR!$E:$Z,MATCH($A22,SPPR!$A:$A,0),14),""),"")</f>
        <v/>
      </c>
      <c r="R22">
        <f>IFERROR(IF(ISNUMBER(INDEX(SPPR!$E:$Z,MATCH($A22,SPPR!$A:$A,0),15)),$C22*INDEX(SPPR!$E:$Z,MATCH($A22,SPPR!$A:$A,0),15),""),"")</f>
        <v/>
      </c>
      <c r="S22">
        <f>IFERROR(IF(ISNUMBER(INDEX(SPPR!$E:$Z,MATCH($A22,SPPR!$A:$A,0),16)),$C22*INDEX(SPPR!$E:$Z,MATCH($A22,SPPR!$A:$A,0),16),""),"")</f>
        <v/>
      </c>
      <c r="T22">
        <f>IFERROR(IF(ISNUMBER(INDEX(SPPR!$E:$Z,MATCH($A22,SPPR!$A:$A,0),17)),$C22*INDEX(SPPR!$E:$Z,MATCH($A22,SPPR!$A:$A,0),17),""),"")</f>
        <v/>
      </c>
      <c r="U22">
        <f>IFERROR(IF(ISNUMBER(INDEX(SPPR!$E:$Z,MATCH($A22,SPPR!$A:$A,0),18)),$C22*INDEX(SPPR!$E:$Z,MATCH($A22,SPPR!$A:$A,0),18),""),"")</f>
        <v/>
      </c>
      <c r="V22">
        <f>IFERROR(IF(ISNUMBER(INDEX(SPPR!$E:$Z,MATCH($A22,SPPR!$A:$A,0),19)),$C22*INDEX(SPPR!$E:$Z,MATCH($A22,SPPR!$A:$A,0),19),""),"")</f>
        <v/>
      </c>
      <c r="W22">
        <f>IFERROR(IF(ISNUMBER(INDEX(SPPR!$E:$Z,MATCH($A22,SPPR!$A:$A,0),20)),$C22*INDEX(SPPR!$E:$Z,MATCH($A22,SPPR!$A:$A,0),20),""),"")</f>
        <v/>
      </c>
      <c r="X22">
        <f>IFERROR(IF(ISNUMBER(INDEX(SPPR!$E:$Z,MATCH($A22,SPPR!$A:$A,0),21)),$C22*INDEX(SPPR!$E:$Z,MATCH($A22,SPPR!$A:$A,0),21),""),"")</f>
        <v/>
      </c>
      <c r="Y22">
        <f>IFERROR(IF(ISNUMBER(INDEX(SPPR!$E:$Z,MATCH($A22,SPPR!$A:$A,0),22)),$C22*INDEX(SPPR!$E:$Z,MATCH($A22,SPPR!$A:$A,0),22),""),"")</f>
        <v/>
      </c>
    </row>
    <row r="23">
      <c r="A23" t="inlineStr">
        <is>
          <t>Clupeiformes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IFERROR(IF(ISNUMBER(INDEX(SPPR!$E:$Z,MATCH($A23,SPPR!$A:$A,0),1)),$C23*INDEX(SPPR!$E:$Z,MATCH($A23,SPPR!$A:$A,0),1),""),"")</f>
        <v/>
      </c>
      <c r="E23">
        <f>IFERROR(IF(ISNUMBER(INDEX(SPPR!$E:$Z,MATCH($A23,SPPR!$A:$A,0),2)),$C23*INDEX(SPPR!$E:$Z,MATCH($A23,SPPR!$A:$A,0),2),""),"")</f>
        <v/>
      </c>
      <c r="F23">
        <f>IFERROR(IF(ISNUMBER(INDEX(SPPR!$E:$Z,MATCH($A23,SPPR!$A:$A,0),3)),$C23*INDEX(SPPR!$E:$Z,MATCH($A23,SPPR!$A:$A,0),3),""),"")</f>
        <v/>
      </c>
      <c r="G23">
        <f>IFERROR(IF(ISNUMBER(INDEX(SPPR!$E:$Z,MATCH($A23,SPPR!$A:$A,0),4)),$C23*INDEX(SPPR!$E:$Z,MATCH($A23,SPPR!$A:$A,0),4),""),"")</f>
        <v/>
      </c>
      <c r="H23">
        <f>IFERROR(IF(ISNUMBER(INDEX(SPPR!$E:$Z,MATCH($A23,SPPR!$A:$A,0),5)),$C23*INDEX(SPPR!$E:$Z,MATCH($A23,SPPR!$A:$A,0),5),""),"")</f>
        <v/>
      </c>
      <c r="I23">
        <f>IFERROR(IF(ISNUMBER(INDEX(SPPR!$E:$Z,MATCH($A23,SPPR!$A:$A,0),6)),$C23*INDEX(SPPR!$E:$Z,MATCH($A23,SPPR!$A:$A,0),6),""),"")</f>
        <v/>
      </c>
      <c r="J23">
        <f>IFERROR(IF(ISNUMBER(INDEX(SPPR!$E:$Z,MATCH($A23,SPPR!$A:$A,0),7)),$C23*INDEX(SPPR!$E:$Z,MATCH($A23,SPPR!$A:$A,0),7),""),"")</f>
        <v/>
      </c>
      <c r="K23">
        <f>IFERROR(IF(ISNUMBER(INDEX(SPPR!$E:$Z,MATCH($A23,SPPR!$A:$A,0),8)),$C23*INDEX(SPPR!$E:$Z,MATCH($A23,SPPR!$A:$A,0),8),""),"")</f>
        <v/>
      </c>
      <c r="L23">
        <f>IFERROR(IF(ISNUMBER(INDEX(SPPR!$E:$Z,MATCH($A23,SPPR!$A:$A,0),9)),$C23*INDEX(SPPR!$E:$Z,MATCH($A23,SPPR!$A:$A,0),9),""),"")</f>
        <v/>
      </c>
      <c r="M23">
        <f>IFERROR(IF(ISNUMBER(INDEX(SPPR!$E:$Z,MATCH($A23,SPPR!$A:$A,0),10)),$C23*INDEX(SPPR!$E:$Z,MATCH($A23,SPPR!$A:$A,0),10),""),"")</f>
        <v/>
      </c>
      <c r="N23">
        <f>IFERROR(IF(ISNUMBER(INDEX(SPPR!$E:$Z,MATCH($A23,SPPR!$A:$A,0),11)),$C23*INDEX(SPPR!$E:$Z,MATCH($A23,SPPR!$A:$A,0),11),""),"")</f>
        <v/>
      </c>
      <c r="O23">
        <f>IFERROR(IF(ISNUMBER(INDEX(SPPR!$E:$Z,MATCH($A23,SPPR!$A:$A,0),12)),$C23*INDEX(SPPR!$E:$Z,MATCH($A23,SPPR!$A:$A,0),12),""),"")</f>
        <v/>
      </c>
      <c r="P23">
        <f>IFERROR(IF(ISNUMBER(INDEX(SPPR!$E:$Z,MATCH($A23,SPPR!$A:$A,0),13)),$C23*INDEX(SPPR!$E:$Z,MATCH($A23,SPPR!$A:$A,0),13),""),"")</f>
        <v/>
      </c>
      <c r="Q23">
        <f>IFERROR(IF(ISNUMBER(INDEX(SPPR!$E:$Z,MATCH($A23,SPPR!$A:$A,0),14)),$C23*INDEX(SPPR!$E:$Z,MATCH($A23,SPPR!$A:$A,0),14),""),"")</f>
        <v/>
      </c>
      <c r="R23">
        <f>IFERROR(IF(ISNUMBER(INDEX(SPPR!$E:$Z,MATCH($A23,SPPR!$A:$A,0),15)),$C23*INDEX(SPPR!$E:$Z,MATCH($A23,SPPR!$A:$A,0),15),""),"")</f>
        <v/>
      </c>
      <c r="S23">
        <f>IFERROR(IF(ISNUMBER(INDEX(SPPR!$E:$Z,MATCH($A23,SPPR!$A:$A,0),16)),$C23*INDEX(SPPR!$E:$Z,MATCH($A23,SPPR!$A:$A,0),16),""),"")</f>
        <v/>
      </c>
      <c r="T23">
        <f>IFERROR(IF(ISNUMBER(INDEX(SPPR!$E:$Z,MATCH($A23,SPPR!$A:$A,0),17)),$C23*INDEX(SPPR!$E:$Z,MATCH($A23,SPPR!$A:$A,0),17),""),"")</f>
        <v/>
      </c>
      <c r="U23">
        <f>IFERROR(IF(ISNUMBER(INDEX(SPPR!$E:$Z,MATCH($A23,SPPR!$A:$A,0),18)),$C23*INDEX(SPPR!$E:$Z,MATCH($A23,SPPR!$A:$A,0),18),""),"")</f>
        <v/>
      </c>
      <c r="V23">
        <f>IFERROR(IF(ISNUMBER(INDEX(SPPR!$E:$Z,MATCH($A23,SPPR!$A:$A,0),19)),$C23*INDEX(SPPR!$E:$Z,MATCH($A23,SPPR!$A:$A,0),19),""),"")</f>
        <v/>
      </c>
      <c r="W23">
        <f>IFERROR(IF(ISNUMBER(INDEX(SPPR!$E:$Z,MATCH($A23,SPPR!$A:$A,0),20)),$C23*INDEX(SPPR!$E:$Z,MATCH($A23,SPPR!$A:$A,0),20),""),"")</f>
        <v/>
      </c>
      <c r="X23">
        <f>IFERROR(IF(ISNUMBER(INDEX(SPPR!$E:$Z,MATCH($A23,SPPR!$A:$A,0),21)),$C23*INDEX(SPPR!$E:$Z,MATCH($A23,SPPR!$A:$A,0),21),""),"")</f>
        <v/>
      </c>
      <c r="Y23">
        <f>IFERROR(IF(ISNUMBER(INDEX(SPPR!$E:$Z,MATCH($A23,SPPR!$A:$A,0),22)),$C23*INDEX(SPPR!$E:$Z,MATCH($A23,SPPR!$A:$A,0),22),""),"")</f>
        <v/>
      </c>
    </row>
    <row r="24">
      <c r="A24" t="inlineStr">
        <is>
          <t>Carangidae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IFERROR(IF(ISNUMBER(INDEX(SPPR!$E:$Z,MATCH($A24,SPPR!$A:$A,0),1)),$C24*INDEX(SPPR!$E:$Z,MATCH($A24,SPPR!$A:$A,0),1),""),"")</f>
        <v/>
      </c>
      <c r="E24">
        <f>IFERROR(IF(ISNUMBER(INDEX(SPPR!$E:$Z,MATCH($A24,SPPR!$A:$A,0),2)),$C24*INDEX(SPPR!$E:$Z,MATCH($A24,SPPR!$A:$A,0),2),""),"")</f>
        <v/>
      </c>
      <c r="F24">
        <f>IFERROR(IF(ISNUMBER(INDEX(SPPR!$E:$Z,MATCH($A24,SPPR!$A:$A,0),3)),$C24*INDEX(SPPR!$E:$Z,MATCH($A24,SPPR!$A:$A,0),3),""),"")</f>
        <v/>
      </c>
      <c r="G24">
        <f>IFERROR(IF(ISNUMBER(INDEX(SPPR!$E:$Z,MATCH($A24,SPPR!$A:$A,0),4)),$C24*INDEX(SPPR!$E:$Z,MATCH($A24,SPPR!$A:$A,0),4),""),"")</f>
        <v/>
      </c>
      <c r="H24">
        <f>IFERROR(IF(ISNUMBER(INDEX(SPPR!$E:$Z,MATCH($A24,SPPR!$A:$A,0),5)),$C24*INDEX(SPPR!$E:$Z,MATCH($A24,SPPR!$A:$A,0),5),""),"")</f>
        <v/>
      </c>
      <c r="I24">
        <f>IFERROR(IF(ISNUMBER(INDEX(SPPR!$E:$Z,MATCH($A24,SPPR!$A:$A,0),6)),$C24*INDEX(SPPR!$E:$Z,MATCH($A24,SPPR!$A:$A,0),6),""),"")</f>
        <v/>
      </c>
      <c r="J24">
        <f>IFERROR(IF(ISNUMBER(INDEX(SPPR!$E:$Z,MATCH($A24,SPPR!$A:$A,0),7)),$C24*INDEX(SPPR!$E:$Z,MATCH($A24,SPPR!$A:$A,0),7),""),"")</f>
        <v/>
      </c>
      <c r="K24">
        <f>IFERROR(IF(ISNUMBER(INDEX(SPPR!$E:$Z,MATCH($A24,SPPR!$A:$A,0),8)),$C24*INDEX(SPPR!$E:$Z,MATCH($A24,SPPR!$A:$A,0),8),""),"")</f>
        <v/>
      </c>
      <c r="L24">
        <f>IFERROR(IF(ISNUMBER(INDEX(SPPR!$E:$Z,MATCH($A24,SPPR!$A:$A,0),9)),$C24*INDEX(SPPR!$E:$Z,MATCH($A24,SPPR!$A:$A,0),9),""),"")</f>
        <v/>
      </c>
      <c r="M24">
        <f>IFERROR(IF(ISNUMBER(INDEX(SPPR!$E:$Z,MATCH($A24,SPPR!$A:$A,0),10)),$C24*INDEX(SPPR!$E:$Z,MATCH($A24,SPPR!$A:$A,0),10),""),"")</f>
        <v/>
      </c>
      <c r="N24">
        <f>IFERROR(IF(ISNUMBER(INDEX(SPPR!$E:$Z,MATCH($A24,SPPR!$A:$A,0),11)),$C24*INDEX(SPPR!$E:$Z,MATCH($A24,SPPR!$A:$A,0),11),""),"")</f>
        <v/>
      </c>
      <c r="O24">
        <f>IFERROR(IF(ISNUMBER(INDEX(SPPR!$E:$Z,MATCH($A24,SPPR!$A:$A,0),12)),$C24*INDEX(SPPR!$E:$Z,MATCH($A24,SPPR!$A:$A,0),12),""),"")</f>
        <v/>
      </c>
      <c r="P24">
        <f>IFERROR(IF(ISNUMBER(INDEX(SPPR!$E:$Z,MATCH($A24,SPPR!$A:$A,0),13)),$C24*INDEX(SPPR!$E:$Z,MATCH($A24,SPPR!$A:$A,0),13),""),"")</f>
        <v/>
      </c>
      <c r="Q24">
        <f>IFERROR(IF(ISNUMBER(INDEX(SPPR!$E:$Z,MATCH($A24,SPPR!$A:$A,0),14)),$C24*INDEX(SPPR!$E:$Z,MATCH($A24,SPPR!$A:$A,0),14),""),"")</f>
        <v/>
      </c>
      <c r="R24">
        <f>IFERROR(IF(ISNUMBER(INDEX(SPPR!$E:$Z,MATCH($A24,SPPR!$A:$A,0),15)),$C24*INDEX(SPPR!$E:$Z,MATCH($A24,SPPR!$A:$A,0),15),""),"")</f>
        <v/>
      </c>
      <c r="S24">
        <f>IFERROR(IF(ISNUMBER(INDEX(SPPR!$E:$Z,MATCH($A24,SPPR!$A:$A,0),16)),$C24*INDEX(SPPR!$E:$Z,MATCH($A24,SPPR!$A:$A,0),16),""),"")</f>
        <v/>
      </c>
      <c r="T24">
        <f>IFERROR(IF(ISNUMBER(INDEX(SPPR!$E:$Z,MATCH($A24,SPPR!$A:$A,0),17)),$C24*INDEX(SPPR!$E:$Z,MATCH($A24,SPPR!$A:$A,0),17),""),"")</f>
        <v/>
      </c>
      <c r="U24">
        <f>IFERROR(IF(ISNUMBER(INDEX(SPPR!$E:$Z,MATCH($A24,SPPR!$A:$A,0),18)),$C24*INDEX(SPPR!$E:$Z,MATCH($A24,SPPR!$A:$A,0),18),""),"")</f>
        <v/>
      </c>
      <c r="V24">
        <f>IFERROR(IF(ISNUMBER(INDEX(SPPR!$E:$Z,MATCH($A24,SPPR!$A:$A,0),19)),$C24*INDEX(SPPR!$E:$Z,MATCH($A24,SPPR!$A:$A,0),19),""),"")</f>
        <v/>
      </c>
      <c r="W24">
        <f>IFERROR(IF(ISNUMBER(INDEX(SPPR!$E:$Z,MATCH($A24,SPPR!$A:$A,0),20)),$C24*INDEX(SPPR!$E:$Z,MATCH($A24,SPPR!$A:$A,0),20),""),"")</f>
        <v/>
      </c>
      <c r="X24">
        <f>IFERROR(IF(ISNUMBER(INDEX(SPPR!$E:$Z,MATCH($A24,SPPR!$A:$A,0),21)),$C24*INDEX(SPPR!$E:$Z,MATCH($A24,SPPR!$A:$A,0),21),""),"")</f>
        <v/>
      </c>
      <c r="Y24">
        <f>IFERROR(IF(ISNUMBER(INDEX(SPPR!$E:$Z,MATCH($A24,SPPR!$A:$A,0),22)),$C24*INDEX(SPPR!$E:$Z,MATCH($A24,SPPR!$A:$A,0),22),""),"")</f>
        <v/>
      </c>
    </row>
    <row r="25">
      <c r="A25" t="inlineStr">
        <is>
          <t>Trichiurus lepturus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IFERROR(IF(ISNUMBER(INDEX(SPPR!$E:$Z,MATCH($A25,SPPR!$A:$A,0),1)),$C25*INDEX(SPPR!$E:$Z,MATCH($A25,SPPR!$A:$A,0),1),""),"")</f>
        <v/>
      </c>
      <c r="E25">
        <f>IFERROR(IF(ISNUMBER(INDEX(SPPR!$E:$Z,MATCH($A25,SPPR!$A:$A,0),2)),$C25*INDEX(SPPR!$E:$Z,MATCH($A25,SPPR!$A:$A,0),2),""),"")</f>
        <v/>
      </c>
      <c r="F25">
        <f>IFERROR(IF(ISNUMBER(INDEX(SPPR!$E:$Z,MATCH($A25,SPPR!$A:$A,0),3)),$C25*INDEX(SPPR!$E:$Z,MATCH($A25,SPPR!$A:$A,0),3),""),"")</f>
        <v/>
      </c>
      <c r="G25">
        <f>IFERROR(IF(ISNUMBER(INDEX(SPPR!$E:$Z,MATCH($A25,SPPR!$A:$A,0),4)),$C25*INDEX(SPPR!$E:$Z,MATCH($A25,SPPR!$A:$A,0),4),""),"")</f>
        <v/>
      </c>
      <c r="H25">
        <f>IFERROR(IF(ISNUMBER(INDEX(SPPR!$E:$Z,MATCH($A25,SPPR!$A:$A,0),5)),$C25*INDEX(SPPR!$E:$Z,MATCH($A25,SPPR!$A:$A,0),5),""),"")</f>
        <v/>
      </c>
      <c r="I25">
        <f>IFERROR(IF(ISNUMBER(INDEX(SPPR!$E:$Z,MATCH($A25,SPPR!$A:$A,0),6)),$C25*INDEX(SPPR!$E:$Z,MATCH($A25,SPPR!$A:$A,0),6),""),"")</f>
        <v/>
      </c>
      <c r="J25">
        <f>IFERROR(IF(ISNUMBER(INDEX(SPPR!$E:$Z,MATCH($A25,SPPR!$A:$A,0),7)),$C25*INDEX(SPPR!$E:$Z,MATCH($A25,SPPR!$A:$A,0),7),""),"")</f>
        <v/>
      </c>
      <c r="K25">
        <f>IFERROR(IF(ISNUMBER(INDEX(SPPR!$E:$Z,MATCH($A25,SPPR!$A:$A,0),8)),$C25*INDEX(SPPR!$E:$Z,MATCH($A25,SPPR!$A:$A,0),8),""),"")</f>
        <v/>
      </c>
      <c r="L25">
        <f>IFERROR(IF(ISNUMBER(INDEX(SPPR!$E:$Z,MATCH($A25,SPPR!$A:$A,0),9)),$C25*INDEX(SPPR!$E:$Z,MATCH($A25,SPPR!$A:$A,0),9),""),"")</f>
        <v/>
      </c>
      <c r="M25">
        <f>IFERROR(IF(ISNUMBER(INDEX(SPPR!$E:$Z,MATCH($A25,SPPR!$A:$A,0),10)),$C25*INDEX(SPPR!$E:$Z,MATCH($A25,SPPR!$A:$A,0),10),""),"")</f>
        <v/>
      </c>
      <c r="N25">
        <f>IFERROR(IF(ISNUMBER(INDEX(SPPR!$E:$Z,MATCH($A25,SPPR!$A:$A,0),11)),$C25*INDEX(SPPR!$E:$Z,MATCH($A25,SPPR!$A:$A,0),11),""),"")</f>
        <v/>
      </c>
      <c r="O25">
        <f>IFERROR(IF(ISNUMBER(INDEX(SPPR!$E:$Z,MATCH($A25,SPPR!$A:$A,0),12)),$C25*INDEX(SPPR!$E:$Z,MATCH($A25,SPPR!$A:$A,0),12),""),"")</f>
        <v/>
      </c>
      <c r="P25">
        <f>IFERROR(IF(ISNUMBER(INDEX(SPPR!$E:$Z,MATCH($A25,SPPR!$A:$A,0),13)),$C25*INDEX(SPPR!$E:$Z,MATCH($A25,SPPR!$A:$A,0),13),""),"")</f>
        <v/>
      </c>
      <c r="Q25">
        <f>IFERROR(IF(ISNUMBER(INDEX(SPPR!$E:$Z,MATCH($A25,SPPR!$A:$A,0),14)),$C25*INDEX(SPPR!$E:$Z,MATCH($A25,SPPR!$A:$A,0),14),""),"")</f>
        <v/>
      </c>
      <c r="R25">
        <f>IFERROR(IF(ISNUMBER(INDEX(SPPR!$E:$Z,MATCH($A25,SPPR!$A:$A,0),15)),$C25*INDEX(SPPR!$E:$Z,MATCH($A25,SPPR!$A:$A,0),15),""),"")</f>
        <v/>
      </c>
      <c r="S25">
        <f>IFERROR(IF(ISNUMBER(INDEX(SPPR!$E:$Z,MATCH($A25,SPPR!$A:$A,0),16)),$C25*INDEX(SPPR!$E:$Z,MATCH($A25,SPPR!$A:$A,0),16),""),"")</f>
        <v/>
      </c>
      <c r="T25">
        <f>IFERROR(IF(ISNUMBER(INDEX(SPPR!$E:$Z,MATCH($A25,SPPR!$A:$A,0),17)),$C25*INDEX(SPPR!$E:$Z,MATCH($A25,SPPR!$A:$A,0),17),""),"")</f>
        <v/>
      </c>
      <c r="U25">
        <f>IFERROR(IF(ISNUMBER(INDEX(SPPR!$E:$Z,MATCH($A25,SPPR!$A:$A,0),18)),$C25*INDEX(SPPR!$E:$Z,MATCH($A25,SPPR!$A:$A,0),18),""),"")</f>
        <v/>
      </c>
      <c r="V25">
        <f>IFERROR(IF(ISNUMBER(INDEX(SPPR!$E:$Z,MATCH($A25,SPPR!$A:$A,0),19)),$C25*INDEX(SPPR!$E:$Z,MATCH($A25,SPPR!$A:$A,0),19),""),"")</f>
        <v/>
      </c>
      <c r="W25">
        <f>IFERROR(IF(ISNUMBER(INDEX(SPPR!$E:$Z,MATCH($A25,SPPR!$A:$A,0),20)),$C25*INDEX(SPPR!$E:$Z,MATCH($A25,SPPR!$A:$A,0),20),""),"")</f>
        <v/>
      </c>
      <c r="X25">
        <f>IFERROR(IF(ISNUMBER(INDEX(SPPR!$E:$Z,MATCH($A25,SPPR!$A:$A,0),21)),$C25*INDEX(SPPR!$E:$Z,MATCH($A25,SPPR!$A:$A,0),21),""),"")</f>
        <v/>
      </c>
      <c r="Y25">
        <f>IFERROR(IF(ISNUMBER(INDEX(SPPR!$E:$Z,MATCH($A25,SPPR!$A:$A,0),22)),$C25*INDEX(SPPR!$E:$Z,MATCH($A25,SPPR!$A:$A,0),22),""),"")</f>
        <v/>
      </c>
    </row>
    <row r="26">
      <c r="A26" t="inlineStr">
        <is>
          <t>Sciaenidae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IFERROR(IF(ISNUMBER(INDEX(SPPR!$E:$Z,MATCH($A26,SPPR!$A:$A,0),1)),$C26*INDEX(SPPR!$E:$Z,MATCH($A26,SPPR!$A:$A,0),1),""),"")</f>
        <v/>
      </c>
      <c r="E26">
        <f>IFERROR(IF(ISNUMBER(INDEX(SPPR!$E:$Z,MATCH($A26,SPPR!$A:$A,0),2)),$C26*INDEX(SPPR!$E:$Z,MATCH($A26,SPPR!$A:$A,0),2),""),"")</f>
        <v/>
      </c>
      <c r="F26">
        <f>IFERROR(IF(ISNUMBER(INDEX(SPPR!$E:$Z,MATCH($A26,SPPR!$A:$A,0),3)),$C26*INDEX(SPPR!$E:$Z,MATCH($A26,SPPR!$A:$A,0),3),""),"")</f>
        <v/>
      </c>
      <c r="G26">
        <f>IFERROR(IF(ISNUMBER(INDEX(SPPR!$E:$Z,MATCH($A26,SPPR!$A:$A,0),4)),$C26*INDEX(SPPR!$E:$Z,MATCH($A26,SPPR!$A:$A,0),4),""),"")</f>
        <v/>
      </c>
      <c r="H26">
        <f>IFERROR(IF(ISNUMBER(INDEX(SPPR!$E:$Z,MATCH($A26,SPPR!$A:$A,0),5)),$C26*INDEX(SPPR!$E:$Z,MATCH($A26,SPPR!$A:$A,0),5),""),"")</f>
        <v/>
      </c>
      <c r="I26">
        <f>IFERROR(IF(ISNUMBER(INDEX(SPPR!$E:$Z,MATCH($A26,SPPR!$A:$A,0),6)),$C26*INDEX(SPPR!$E:$Z,MATCH($A26,SPPR!$A:$A,0),6),""),"")</f>
        <v/>
      </c>
      <c r="J26">
        <f>IFERROR(IF(ISNUMBER(INDEX(SPPR!$E:$Z,MATCH($A26,SPPR!$A:$A,0),7)),$C26*INDEX(SPPR!$E:$Z,MATCH($A26,SPPR!$A:$A,0),7),""),"")</f>
        <v/>
      </c>
      <c r="K26">
        <f>IFERROR(IF(ISNUMBER(INDEX(SPPR!$E:$Z,MATCH($A26,SPPR!$A:$A,0),8)),$C26*INDEX(SPPR!$E:$Z,MATCH($A26,SPPR!$A:$A,0),8),""),"")</f>
        <v/>
      </c>
      <c r="L26">
        <f>IFERROR(IF(ISNUMBER(INDEX(SPPR!$E:$Z,MATCH($A26,SPPR!$A:$A,0),9)),$C26*INDEX(SPPR!$E:$Z,MATCH($A26,SPPR!$A:$A,0),9),""),"")</f>
        <v/>
      </c>
      <c r="M26">
        <f>IFERROR(IF(ISNUMBER(INDEX(SPPR!$E:$Z,MATCH($A26,SPPR!$A:$A,0),10)),$C26*INDEX(SPPR!$E:$Z,MATCH($A26,SPPR!$A:$A,0),10),""),"")</f>
        <v/>
      </c>
      <c r="N26">
        <f>IFERROR(IF(ISNUMBER(INDEX(SPPR!$E:$Z,MATCH($A26,SPPR!$A:$A,0),11)),$C26*INDEX(SPPR!$E:$Z,MATCH($A26,SPPR!$A:$A,0),11),""),"")</f>
        <v/>
      </c>
      <c r="O26">
        <f>IFERROR(IF(ISNUMBER(INDEX(SPPR!$E:$Z,MATCH($A26,SPPR!$A:$A,0),12)),$C26*INDEX(SPPR!$E:$Z,MATCH($A26,SPPR!$A:$A,0),12),""),"")</f>
        <v/>
      </c>
      <c r="P26">
        <f>IFERROR(IF(ISNUMBER(INDEX(SPPR!$E:$Z,MATCH($A26,SPPR!$A:$A,0),13)),$C26*INDEX(SPPR!$E:$Z,MATCH($A26,SPPR!$A:$A,0),13),""),"")</f>
        <v/>
      </c>
      <c r="Q26">
        <f>IFERROR(IF(ISNUMBER(INDEX(SPPR!$E:$Z,MATCH($A26,SPPR!$A:$A,0),14)),$C26*INDEX(SPPR!$E:$Z,MATCH($A26,SPPR!$A:$A,0),14),""),"")</f>
        <v/>
      </c>
      <c r="R26">
        <f>IFERROR(IF(ISNUMBER(INDEX(SPPR!$E:$Z,MATCH($A26,SPPR!$A:$A,0),15)),$C26*INDEX(SPPR!$E:$Z,MATCH($A26,SPPR!$A:$A,0),15),""),"")</f>
        <v/>
      </c>
      <c r="S26">
        <f>IFERROR(IF(ISNUMBER(INDEX(SPPR!$E:$Z,MATCH($A26,SPPR!$A:$A,0),16)),$C26*INDEX(SPPR!$E:$Z,MATCH($A26,SPPR!$A:$A,0),16),""),"")</f>
        <v/>
      </c>
      <c r="T26">
        <f>IFERROR(IF(ISNUMBER(INDEX(SPPR!$E:$Z,MATCH($A26,SPPR!$A:$A,0),17)),$C26*INDEX(SPPR!$E:$Z,MATCH($A26,SPPR!$A:$A,0),17),""),"")</f>
        <v/>
      </c>
      <c r="U26">
        <f>IFERROR(IF(ISNUMBER(INDEX(SPPR!$E:$Z,MATCH($A26,SPPR!$A:$A,0),18)),$C26*INDEX(SPPR!$E:$Z,MATCH($A26,SPPR!$A:$A,0),18),""),"")</f>
        <v/>
      </c>
      <c r="V26">
        <f>IFERROR(IF(ISNUMBER(INDEX(SPPR!$E:$Z,MATCH($A26,SPPR!$A:$A,0),19)),$C26*INDEX(SPPR!$E:$Z,MATCH($A26,SPPR!$A:$A,0),19),""),"")</f>
        <v/>
      </c>
      <c r="W26">
        <f>IFERROR(IF(ISNUMBER(INDEX(SPPR!$E:$Z,MATCH($A26,SPPR!$A:$A,0),20)),$C26*INDEX(SPPR!$E:$Z,MATCH($A26,SPPR!$A:$A,0),20),""),"")</f>
        <v/>
      </c>
      <c r="X26">
        <f>IFERROR(IF(ISNUMBER(INDEX(SPPR!$E:$Z,MATCH($A26,SPPR!$A:$A,0),21)),$C26*INDEX(SPPR!$E:$Z,MATCH($A26,SPPR!$A:$A,0),21),""),"")</f>
        <v/>
      </c>
      <c r="Y26">
        <f>IFERROR(IF(ISNUMBER(INDEX(SPPR!$E:$Z,MATCH($A26,SPPR!$A:$A,0),22)),$C26*INDEX(SPPR!$E:$Z,MATCH($A26,SPPR!$A:$A,0),22),""),"")</f>
        <v/>
      </c>
    </row>
    <row r="27">
      <c r="A27" t="inlineStr">
        <is>
          <t>Chloroscombrus chrysurus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IFERROR(IF(ISNUMBER(INDEX(SPPR!$E:$Z,MATCH($A27,SPPR!$A:$A,0),1)),$C27*INDEX(SPPR!$E:$Z,MATCH($A27,SPPR!$A:$A,0),1),""),"")</f>
        <v/>
      </c>
      <c r="E27">
        <f>IFERROR(IF(ISNUMBER(INDEX(SPPR!$E:$Z,MATCH($A27,SPPR!$A:$A,0),2)),$C27*INDEX(SPPR!$E:$Z,MATCH($A27,SPPR!$A:$A,0),2),""),"")</f>
        <v/>
      </c>
      <c r="F27">
        <f>IFERROR(IF(ISNUMBER(INDEX(SPPR!$E:$Z,MATCH($A27,SPPR!$A:$A,0),3)),$C27*INDEX(SPPR!$E:$Z,MATCH($A27,SPPR!$A:$A,0),3),""),"")</f>
        <v/>
      </c>
      <c r="G27">
        <f>IFERROR(IF(ISNUMBER(INDEX(SPPR!$E:$Z,MATCH($A27,SPPR!$A:$A,0),4)),$C27*INDEX(SPPR!$E:$Z,MATCH($A27,SPPR!$A:$A,0),4),""),"")</f>
        <v/>
      </c>
      <c r="H27">
        <f>IFERROR(IF(ISNUMBER(INDEX(SPPR!$E:$Z,MATCH($A27,SPPR!$A:$A,0),5)),$C27*INDEX(SPPR!$E:$Z,MATCH($A27,SPPR!$A:$A,0),5),""),"")</f>
        <v/>
      </c>
      <c r="I27">
        <f>IFERROR(IF(ISNUMBER(INDEX(SPPR!$E:$Z,MATCH($A27,SPPR!$A:$A,0),6)),$C27*INDEX(SPPR!$E:$Z,MATCH($A27,SPPR!$A:$A,0),6),""),"")</f>
        <v/>
      </c>
      <c r="J27">
        <f>IFERROR(IF(ISNUMBER(INDEX(SPPR!$E:$Z,MATCH($A27,SPPR!$A:$A,0),7)),$C27*INDEX(SPPR!$E:$Z,MATCH($A27,SPPR!$A:$A,0),7),""),"")</f>
        <v/>
      </c>
      <c r="K27">
        <f>IFERROR(IF(ISNUMBER(INDEX(SPPR!$E:$Z,MATCH($A27,SPPR!$A:$A,0),8)),$C27*INDEX(SPPR!$E:$Z,MATCH($A27,SPPR!$A:$A,0),8),""),"")</f>
        <v/>
      </c>
      <c r="L27">
        <f>IFERROR(IF(ISNUMBER(INDEX(SPPR!$E:$Z,MATCH($A27,SPPR!$A:$A,0),9)),$C27*INDEX(SPPR!$E:$Z,MATCH($A27,SPPR!$A:$A,0),9),""),"")</f>
        <v/>
      </c>
      <c r="M27">
        <f>IFERROR(IF(ISNUMBER(INDEX(SPPR!$E:$Z,MATCH($A27,SPPR!$A:$A,0),10)),$C27*INDEX(SPPR!$E:$Z,MATCH($A27,SPPR!$A:$A,0),10),""),"")</f>
        <v/>
      </c>
      <c r="N27">
        <f>IFERROR(IF(ISNUMBER(INDEX(SPPR!$E:$Z,MATCH($A27,SPPR!$A:$A,0),11)),$C27*INDEX(SPPR!$E:$Z,MATCH($A27,SPPR!$A:$A,0),11),""),"")</f>
        <v/>
      </c>
      <c r="O27">
        <f>IFERROR(IF(ISNUMBER(INDEX(SPPR!$E:$Z,MATCH($A27,SPPR!$A:$A,0),12)),$C27*INDEX(SPPR!$E:$Z,MATCH($A27,SPPR!$A:$A,0),12),""),"")</f>
        <v/>
      </c>
      <c r="P27">
        <f>IFERROR(IF(ISNUMBER(INDEX(SPPR!$E:$Z,MATCH($A27,SPPR!$A:$A,0),13)),$C27*INDEX(SPPR!$E:$Z,MATCH($A27,SPPR!$A:$A,0),13),""),"")</f>
        <v/>
      </c>
      <c r="Q27">
        <f>IFERROR(IF(ISNUMBER(INDEX(SPPR!$E:$Z,MATCH($A27,SPPR!$A:$A,0),14)),$C27*INDEX(SPPR!$E:$Z,MATCH($A27,SPPR!$A:$A,0),14),""),"")</f>
        <v/>
      </c>
      <c r="R27">
        <f>IFERROR(IF(ISNUMBER(INDEX(SPPR!$E:$Z,MATCH($A27,SPPR!$A:$A,0),15)),$C27*INDEX(SPPR!$E:$Z,MATCH($A27,SPPR!$A:$A,0),15),""),"")</f>
        <v/>
      </c>
      <c r="S27">
        <f>IFERROR(IF(ISNUMBER(INDEX(SPPR!$E:$Z,MATCH($A27,SPPR!$A:$A,0),16)),$C27*INDEX(SPPR!$E:$Z,MATCH($A27,SPPR!$A:$A,0),16),""),"")</f>
        <v/>
      </c>
      <c r="T27">
        <f>IFERROR(IF(ISNUMBER(INDEX(SPPR!$E:$Z,MATCH($A27,SPPR!$A:$A,0),17)),$C27*INDEX(SPPR!$E:$Z,MATCH($A27,SPPR!$A:$A,0),17),""),"")</f>
        <v/>
      </c>
      <c r="U27">
        <f>IFERROR(IF(ISNUMBER(INDEX(SPPR!$E:$Z,MATCH($A27,SPPR!$A:$A,0),18)),$C27*INDEX(SPPR!$E:$Z,MATCH($A27,SPPR!$A:$A,0),18),""),"")</f>
        <v/>
      </c>
      <c r="V27">
        <f>IFERROR(IF(ISNUMBER(INDEX(SPPR!$E:$Z,MATCH($A27,SPPR!$A:$A,0),19)),$C27*INDEX(SPPR!$E:$Z,MATCH($A27,SPPR!$A:$A,0),19),""),"")</f>
        <v/>
      </c>
      <c r="W27">
        <f>IFERROR(IF(ISNUMBER(INDEX(SPPR!$E:$Z,MATCH($A27,SPPR!$A:$A,0),20)),$C27*INDEX(SPPR!$E:$Z,MATCH($A27,SPPR!$A:$A,0),20),""),"")</f>
        <v/>
      </c>
      <c r="X27">
        <f>IFERROR(IF(ISNUMBER(INDEX(SPPR!$E:$Z,MATCH($A27,SPPR!$A:$A,0),21)),$C27*INDEX(SPPR!$E:$Z,MATCH($A27,SPPR!$A:$A,0),21),""),"")</f>
        <v/>
      </c>
      <c r="Y27">
        <f>IFERROR(IF(ISNUMBER(INDEX(SPPR!$E:$Z,MATCH($A27,SPPR!$A:$A,0),22)),$C27*INDEX(SPPR!$E:$Z,MATCH($A27,SPPR!$A:$A,0),22),""),"")</f>
        <v/>
      </c>
    </row>
    <row r="28">
      <c r="A28" t="inlineStr">
        <is>
          <t>Sarotherodon melanotheron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IFERROR(IF(ISNUMBER(INDEX(SPPR!$E:$Z,MATCH($A28,SPPR!$A:$A,0),1)),$C28*INDEX(SPPR!$E:$Z,MATCH($A28,SPPR!$A:$A,0),1),""),"")</f>
        <v/>
      </c>
      <c r="E28">
        <f>IFERROR(IF(ISNUMBER(INDEX(SPPR!$E:$Z,MATCH($A28,SPPR!$A:$A,0),2)),$C28*INDEX(SPPR!$E:$Z,MATCH($A28,SPPR!$A:$A,0),2),""),"")</f>
        <v/>
      </c>
      <c r="F28">
        <f>IFERROR(IF(ISNUMBER(INDEX(SPPR!$E:$Z,MATCH($A28,SPPR!$A:$A,0),3)),$C28*INDEX(SPPR!$E:$Z,MATCH($A28,SPPR!$A:$A,0),3),""),"")</f>
        <v/>
      </c>
      <c r="G28">
        <f>IFERROR(IF(ISNUMBER(INDEX(SPPR!$E:$Z,MATCH($A28,SPPR!$A:$A,0),4)),$C28*INDEX(SPPR!$E:$Z,MATCH($A28,SPPR!$A:$A,0),4),""),"")</f>
        <v/>
      </c>
      <c r="H28">
        <f>IFERROR(IF(ISNUMBER(INDEX(SPPR!$E:$Z,MATCH($A28,SPPR!$A:$A,0),5)),$C28*INDEX(SPPR!$E:$Z,MATCH($A28,SPPR!$A:$A,0),5),""),"")</f>
        <v/>
      </c>
      <c r="I28">
        <f>IFERROR(IF(ISNUMBER(INDEX(SPPR!$E:$Z,MATCH($A28,SPPR!$A:$A,0),6)),$C28*INDEX(SPPR!$E:$Z,MATCH($A28,SPPR!$A:$A,0),6),""),"")</f>
        <v/>
      </c>
      <c r="J28">
        <f>IFERROR(IF(ISNUMBER(INDEX(SPPR!$E:$Z,MATCH($A28,SPPR!$A:$A,0),7)),$C28*INDEX(SPPR!$E:$Z,MATCH($A28,SPPR!$A:$A,0),7),""),"")</f>
        <v/>
      </c>
      <c r="K28">
        <f>IFERROR(IF(ISNUMBER(INDEX(SPPR!$E:$Z,MATCH($A28,SPPR!$A:$A,0),8)),$C28*INDEX(SPPR!$E:$Z,MATCH($A28,SPPR!$A:$A,0),8),""),"")</f>
        <v/>
      </c>
      <c r="L28">
        <f>IFERROR(IF(ISNUMBER(INDEX(SPPR!$E:$Z,MATCH($A28,SPPR!$A:$A,0),9)),$C28*INDEX(SPPR!$E:$Z,MATCH($A28,SPPR!$A:$A,0),9),""),"")</f>
        <v/>
      </c>
      <c r="M28">
        <f>IFERROR(IF(ISNUMBER(INDEX(SPPR!$E:$Z,MATCH($A28,SPPR!$A:$A,0),10)),$C28*INDEX(SPPR!$E:$Z,MATCH($A28,SPPR!$A:$A,0),10),""),"")</f>
        <v/>
      </c>
      <c r="N28">
        <f>IFERROR(IF(ISNUMBER(INDEX(SPPR!$E:$Z,MATCH($A28,SPPR!$A:$A,0),11)),$C28*INDEX(SPPR!$E:$Z,MATCH($A28,SPPR!$A:$A,0),11),""),"")</f>
        <v/>
      </c>
      <c r="O28">
        <f>IFERROR(IF(ISNUMBER(INDEX(SPPR!$E:$Z,MATCH($A28,SPPR!$A:$A,0),12)),$C28*INDEX(SPPR!$E:$Z,MATCH($A28,SPPR!$A:$A,0),12),""),"")</f>
        <v/>
      </c>
      <c r="P28">
        <f>IFERROR(IF(ISNUMBER(INDEX(SPPR!$E:$Z,MATCH($A28,SPPR!$A:$A,0),13)),$C28*INDEX(SPPR!$E:$Z,MATCH($A28,SPPR!$A:$A,0),13),""),"")</f>
        <v/>
      </c>
      <c r="Q28">
        <f>IFERROR(IF(ISNUMBER(INDEX(SPPR!$E:$Z,MATCH($A28,SPPR!$A:$A,0),14)),$C28*INDEX(SPPR!$E:$Z,MATCH($A28,SPPR!$A:$A,0),14),""),"")</f>
        <v/>
      </c>
      <c r="R28">
        <f>IFERROR(IF(ISNUMBER(INDEX(SPPR!$E:$Z,MATCH($A28,SPPR!$A:$A,0),15)),$C28*INDEX(SPPR!$E:$Z,MATCH($A28,SPPR!$A:$A,0),15),""),"")</f>
        <v/>
      </c>
      <c r="S28">
        <f>IFERROR(IF(ISNUMBER(INDEX(SPPR!$E:$Z,MATCH($A28,SPPR!$A:$A,0),16)),$C28*INDEX(SPPR!$E:$Z,MATCH($A28,SPPR!$A:$A,0),16),""),"")</f>
        <v/>
      </c>
      <c r="T28">
        <f>IFERROR(IF(ISNUMBER(INDEX(SPPR!$E:$Z,MATCH($A28,SPPR!$A:$A,0),17)),$C28*INDEX(SPPR!$E:$Z,MATCH($A28,SPPR!$A:$A,0),17),""),"")</f>
        <v/>
      </c>
      <c r="U28">
        <f>IFERROR(IF(ISNUMBER(INDEX(SPPR!$E:$Z,MATCH($A28,SPPR!$A:$A,0),18)),$C28*INDEX(SPPR!$E:$Z,MATCH($A28,SPPR!$A:$A,0),18),""),"")</f>
        <v/>
      </c>
      <c r="V28">
        <f>IFERROR(IF(ISNUMBER(INDEX(SPPR!$E:$Z,MATCH($A28,SPPR!$A:$A,0),19)),$C28*INDEX(SPPR!$E:$Z,MATCH($A28,SPPR!$A:$A,0),19),""),"")</f>
        <v/>
      </c>
      <c r="W28">
        <f>IFERROR(IF(ISNUMBER(INDEX(SPPR!$E:$Z,MATCH($A28,SPPR!$A:$A,0),20)),$C28*INDEX(SPPR!$E:$Z,MATCH($A28,SPPR!$A:$A,0),20),""),"")</f>
        <v/>
      </c>
      <c r="X28">
        <f>IFERROR(IF(ISNUMBER(INDEX(SPPR!$E:$Z,MATCH($A28,SPPR!$A:$A,0),21)),$C28*INDEX(SPPR!$E:$Z,MATCH($A28,SPPR!$A:$A,0),21),""),"")</f>
        <v/>
      </c>
      <c r="Y28">
        <f>IFERROR(IF(ISNUMBER(INDEX(SPPR!$E:$Z,MATCH($A28,SPPR!$A:$A,0),22)),$C28*INDEX(SPPR!$E:$Z,MATCH($A28,SPPR!$A:$A,0),22),""),"")</f>
        <v/>
      </c>
    </row>
    <row r="29">
      <c r="A29" t="inlineStr">
        <is>
          <t>Sepia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IFERROR(IF(ISNUMBER(INDEX(SPPR!$E:$Z,MATCH($A29,SPPR!$A:$A,0),1)),$C29*INDEX(SPPR!$E:$Z,MATCH($A29,SPPR!$A:$A,0),1),""),"")</f>
        <v/>
      </c>
      <c r="E29">
        <f>IFERROR(IF(ISNUMBER(INDEX(SPPR!$E:$Z,MATCH($A29,SPPR!$A:$A,0),2)),$C29*INDEX(SPPR!$E:$Z,MATCH($A29,SPPR!$A:$A,0),2),""),"")</f>
        <v/>
      </c>
      <c r="F29">
        <f>IFERROR(IF(ISNUMBER(INDEX(SPPR!$E:$Z,MATCH($A29,SPPR!$A:$A,0),3)),$C29*INDEX(SPPR!$E:$Z,MATCH($A29,SPPR!$A:$A,0),3),""),"")</f>
        <v/>
      </c>
      <c r="G29">
        <f>IFERROR(IF(ISNUMBER(INDEX(SPPR!$E:$Z,MATCH($A29,SPPR!$A:$A,0),4)),$C29*INDEX(SPPR!$E:$Z,MATCH($A29,SPPR!$A:$A,0),4),""),"")</f>
        <v/>
      </c>
      <c r="H29">
        <f>IFERROR(IF(ISNUMBER(INDEX(SPPR!$E:$Z,MATCH($A29,SPPR!$A:$A,0),5)),$C29*INDEX(SPPR!$E:$Z,MATCH($A29,SPPR!$A:$A,0),5),""),"")</f>
        <v/>
      </c>
      <c r="I29">
        <f>IFERROR(IF(ISNUMBER(INDEX(SPPR!$E:$Z,MATCH($A29,SPPR!$A:$A,0),6)),$C29*INDEX(SPPR!$E:$Z,MATCH($A29,SPPR!$A:$A,0),6),""),"")</f>
        <v/>
      </c>
      <c r="J29">
        <f>IFERROR(IF(ISNUMBER(INDEX(SPPR!$E:$Z,MATCH($A29,SPPR!$A:$A,0),7)),$C29*INDEX(SPPR!$E:$Z,MATCH($A29,SPPR!$A:$A,0),7),""),"")</f>
        <v/>
      </c>
      <c r="K29">
        <f>IFERROR(IF(ISNUMBER(INDEX(SPPR!$E:$Z,MATCH($A29,SPPR!$A:$A,0),8)),$C29*INDEX(SPPR!$E:$Z,MATCH($A29,SPPR!$A:$A,0),8),""),"")</f>
        <v/>
      </c>
      <c r="L29">
        <f>IFERROR(IF(ISNUMBER(INDEX(SPPR!$E:$Z,MATCH($A29,SPPR!$A:$A,0),9)),$C29*INDEX(SPPR!$E:$Z,MATCH($A29,SPPR!$A:$A,0),9),""),"")</f>
        <v/>
      </c>
      <c r="M29">
        <f>IFERROR(IF(ISNUMBER(INDEX(SPPR!$E:$Z,MATCH($A29,SPPR!$A:$A,0),10)),$C29*INDEX(SPPR!$E:$Z,MATCH($A29,SPPR!$A:$A,0),10),""),"")</f>
        <v/>
      </c>
      <c r="N29">
        <f>IFERROR(IF(ISNUMBER(INDEX(SPPR!$E:$Z,MATCH($A29,SPPR!$A:$A,0),11)),$C29*INDEX(SPPR!$E:$Z,MATCH($A29,SPPR!$A:$A,0),11),""),"")</f>
        <v/>
      </c>
      <c r="O29">
        <f>IFERROR(IF(ISNUMBER(INDEX(SPPR!$E:$Z,MATCH($A29,SPPR!$A:$A,0),12)),$C29*INDEX(SPPR!$E:$Z,MATCH($A29,SPPR!$A:$A,0),12),""),"")</f>
        <v/>
      </c>
      <c r="P29">
        <f>IFERROR(IF(ISNUMBER(INDEX(SPPR!$E:$Z,MATCH($A29,SPPR!$A:$A,0),13)),$C29*INDEX(SPPR!$E:$Z,MATCH($A29,SPPR!$A:$A,0),13),""),"")</f>
        <v/>
      </c>
      <c r="Q29">
        <f>IFERROR(IF(ISNUMBER(INDEX(SPPR!$E:$Z,MATCH($A29,SPPR!$A:$A,0),14)),$C29*INDEX(SPPR!$E:$Z,MATCH($A29,SPPR!$A:$A,0),14),""),"")</f>
        <v/>
      </c>
      <c r="R29">
        <f>IFERROR(IF(ISNUMBER(INDEX(SPPR!$E:$Z,MATCH($A29,SPPR!$A:$A,0),15)),$C29*INDEX(SPPR!$E:$Z,MATCH($A29,SPPR!$A:$A,0),15),""),"")</f>
        <v/>
      </c>
      <c r="S29">
        <f>IFERROR(IF(ISNUMBER(INDEX(SPPR!$E:$Z,MATCH($A29,SPPR!$A:$A,0),16)),$C29*INDEX(SPPR!$E:$Z,MATCH($A29,SPPR!$A:$A,0),16),""),"")</f>
        <v/>
      </c>
      <c r="T29">
        <f>IFERROR(IF(ISNUMBER(INDEX(SPPR!$E:$Z,MATCH($A29,SPPR!$A:$A,0),17)),$C29*INDEX(SPPR!$E:$Z,MATCH($A29,SPPR!$A:$A,0),17),""),"")</f>
        <v/>
      </c>
      <c r="U29">
        <f>IFERROR(IF(ISNUMBER(INDEX(SPPR!$E:$Z,MATCH($A29,SPPR!$A:$A,0),18)),$C29*INDEX(SPPR!$E:$Z,MATCH($A29,SPPR!$A:$A,0),18),""),"")</f>
        <v/>
      </c>
      <c r="V29">
        <f>IFERROR(IF(ISNUMBER(INDEX(SPPR!$E:$Z,MATCH($A29,SPPR!$A:$A,0),19)),$C29*INDEX(SPPR!$E:$Z,MATCH($A29,SPPR!$A:$A,0),19),""),"")</f>
        <v/>
      </c>
      <c r="W29">
        <f>IFERROR(IF(ISNUMBER(INDEX(SPPR!$E:$Z,MATCH($A29,SPPR!$A:$A,0),20)),$C29*INDEX(SPPR!$E:$Z,MATCH($A29,SPPR!$A:$A,0),20),""),"")</f>
        <v/>
      </c>
      <c r="X29">
        <f>IFERROR(IF(ISNUMBER(INDEX(SPPR!$E:$Z,MATCH($A29,SPPR!$A:$A,0),21)),$C29*INDEX(SPPR!$E:$Z,MATCH($A29,SPPR!$A:$A,0),21),""),"")</f>
        <v/>
      </c>
      <c r="Y29">
        <f>IFERROR(IF(ISNUMBER(INDEX(SPPR!$E:$Z,MATCH($A29,SPPR!$A:$A,0),22)),$C29*INDEX(SPPR!$E:$Z,MATCH($A29,SPPR!$A:$A,0),22),""),"")</f>
        <v/>
      </c>
    </row>
    <row r="30">
      <c r="A30" t="inlineStr">
        <is>
          <t>Clupeidae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IFERROR(IF(ISNUMBER(INDEX(SPPR!$E:$Z,MATCH($A30,SPPR!$A:$A,0),1)),$C30*INDEX(SPPR!$E:$Z,MATCH($A30,SPPR!$A:$A,0),1),""),"")</f>
        <v/>
      </c>
      <c r="E30">
        <f>IFERROR(IF(ISNUMBER(INDEX(SPPR!$E:$Z,MATCH($A30,SPPR!$A:$A,0),2)),$C30*INDEX(SPPR!$E:$Z,MATCH($A30,SPPR!$A:$A,0),2),""),"")</f>
        <v/>
      </c>
      <c r="F30">
        <f>IFERROR(IF(ISNUMBER(INDEX(SPPR!$E:$Z,MATCH($A30,SPPR!$A:$A,0),3)),$C30*INDEX(SPPR!$E:$Z,MATCH($A30,SPPR!$A:$A,0),3),""),"")</f>
        <v/>
      </c>
      <c r="G30">
        <f>IFERROR(IF(ISNUMBER(INDEX(SPPR!$E:$Z,MATCH($A30,SPPR!$A:$A,0),4)),$C30*INDEX(SPPR!$E:$Z,MATCH($A30,SPPR!$A:$A,0),4),""),"")</f>
        <v/>
      </c>
      <c r="H30">
        <f>IFERROR(IF(ISNUMBER(INDEX(SPPR!$E:$Z,MATCH($A30,SPPR!$A:$A,0),5)),$C30*INDEX(SPPR!$E:$Z,MATCH($A30,SPPR!$A:$A,0),5),""),"")</f>
        <v/>
      </c>
      <c r="I30">
        <f>IFERROR(IF(ISNUMBER(INDEX(SPPR!$E:$Z,MATCH($A30,SPPR!$A:$A,0),6)),$C30*INDEX(SPPR!$E:$Z,MATCH($A30,SPPR!$A:$A,0),6),""),"")</f>
        <v/>
      </c>
      <c r="J30">
        <f>IFERROR(IF(ISNUMBER(INDEX(SPPR!$E:$Z,MATCH($A30,SPPR!$A:$A,0),7)),$C30*INDEX(SPPR!$E:$Z,MATCH($A30,SPPR!$A:$A,0),7),""),"")</f>
        <v/>
      </c>
      <c r="K30">
        <f>IFERROR(IF(ISNUMBER(INDEX(SPPR!$E:$Z,MATCH($A30,SPPR!$A:$A,0),8)),$C30*INDEX(SPPR!$E:$Z,MATCH($A30,SPPR!$A:$A,0),8),""),"")</f>
        <v/>
      </c>
      <c r="L30">
        <f>IFERROR(IF(ISNUMBER(INDEX(SPPR!$E:$Z,MATCH($A30,SPPR!$A:$A,0),9)),$C30*INDEX(SPPR!$E:$Z,MATCH($A30,SPPR!$A:$A,0),9),""),"")</f>
        <v/>
      </c>
      <c r="M30">
        <f>IFERROR(IF(ISNUMBER(INDEX(SPPR!$E:$Z,MATCH($A30,SPPR!$A:$A,0),10)),$C30*INDEX(SPPR!$E:$Z,MATCH($A30,SPPR!$A:$A,0),10),""),"")</f>
        <v/>
      </c>
      <c r="N30">
        <f>IFERROR(IF(ISNUMBER(INDEX(SPPR!$E:$Z,MATCH($A30,SPPR!$A:$A,0),11)),$C30*INDEX(SPPR!$E:$Z,MATCH($A30,SPPR!$A:$A,0),11),""),"")</f>
        <v/>
      </c>
      <c r="O30">
        <f>IFERROR(IF(ISNUMBER(INDEX(SPPR!$E:$Z,MATCH($A30,SPPR!$A:$A,0),12)),$C30*INDEX(SPPR!$E:$Z,MATCH($A30,SPPR!$A:$A,0),12),""),"")</f>
        <v/>
      </c>
      <c r="P30">
        <f>IFERROR(IF(ISNUMBER(INDEX(SPPR!$E:$Z,MATCH($A30,SPPR!$A:$A,0),13)),$C30*INDEX(SPPR!$E:$Z,MATCH($A30,SPPR!$A:$A,0),13),""),"")</f>
        <v/>
      </c>
      <c r="Q30">
        <f>IFERROR(IF(ISNUMBER(INDEX(SPPR!$E:$Z,MATCH($A30,SPPR!$A:$A,0),14)),$C30*INDEX(SPPR!$E:$Z,MATCH($A30,SPPR!$A:$A,0),14),""),"")</f>
        <v/>
      </c>
      <c r="R30">
        <f>IFERROR(IF(ISNUMBER(INDEX(SPPR!$E:$Z,MATCH($A30,SPPR!$A:$A,0),15)),$C30*INDEX(SPPR!$E:$Z,MATCH($A30,SPPR!$A:$A,0),15),""),"")</f>
        <v/>
      </c>
      <c r="S30">
        <f>IFERROR(IF(ISNUMBER(INDEX(SPPR!$E:$Z,MATCH($A30,SPPR!$A:$A,0),16)),$C30*INDEX(SPPR!$E:$Z,MATCH($A30,SPPR!$A:$A,0),16),""),"")</f>
        <v/>
      </c>
      <c r="T30">
        <f>IFERROR(IF(ISNUMBER(INDEX(SPPR!$E:$Z,MATCH($A30,SPPR!$A:$A,0),17)),$C30*INDEX(SPPR!$E:$Z,MATCH($A30,SPPR!$A:$A,0),17),""),"")</f>
        <v/>
      </c>
      <c r="U30">
        <f>IFERROR(IF(ISNUMBER(INDEX(SPPR!$E:$Z,MATCH($A30,SPPR!$A:$A,0),18)),$C30*INDEX(SPPR!$E:$Z,MATCH($A30,SPPR!$A:$A,0),18),""),"")</f>
        <v/>
      </c>
      <c r="V30">
        <f>IFERROR(IF(ISNUMBER(INDEX(SPPR!$E:$Z,MATCH($A30,SPPR!$A:$A,0),19)),$C30*INDEX(SPPR!$E:$Z,MATCH($A30,SPPR!$A:$A,0),19),""),"")</f>
        <v/>
      </c>
      <c r="W30">
        <f>IFERROR(IF(ISNUMBER(INDEX(SPPR!$E:$Z,MATCH($A30,SPPR!$A:$A,0),20)),$C30*INDEX(SPPR!$E:$Z,MATCH($A30,SPPR!$A:$A,0),20),""),"")</f>
        <v/>
      </c>
      <c r="X30">
        <f>IFERROR(IF(ISNUMBER(INDEX(SPPR!$E:$Z,MATCH($A30,SPPR!$A:$A,0),21)),$C30*INDEX(SPPR!$E:$Z,MATCH($A30,SPPR!$A:$A,0),21),""),"")</f>
        <v/>
      </c>
      <c r="Y30">
        <f>IFERROR(IF(ISNUMBER(INDEX(SPPR!$E:$Z,MATCH($A30,SPPR!$A:$A,0),22)),$C30*INDEX(SPPR!$E:$Z,MATCH($A30,SPPR!$A:$A,0),22),""),"")</f>
        <v/>
      </c>
    </row>
    <row r="31">
      <c r="A31" t="inlineStr">
        <is>
          <t>Scombridae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IFERROR(IF(ISNUMBER(INDEX(SPPR!$E:$Z,MATCH($A31,SPPR!$A:$A,0),1)),$C31*INDEX(SPPR!$E:$Z,MATCH($A31,SPPR!$A:$A,0),1),""),"")</f>
        <v/>
      </c>
      <c r="E31">
        <f>IFERROR(IF(ISNUMBER(INDEX(SPPR!$E:$Z,MATCH($A31,SPPR!$A:$A,0),2)),$C31*INDEX(SPPR!$E:$Z,MATCH($A31,SPPR!$A:$A,0),2),""),"")</f>
        <v/>
      </c>
      <c r="F31">
        <f>IFERROR(IF(ISNUMBER(INDEX(SPPR!$E:$Z,MATCH($A31,SPPR!$A:$A,0),3)),$C31*INDEX(SPPR!$E:$Z,MATCH($A31,SPPR!$A:$A,0),3),""),"")</f>
        <v/>
      </c>
      <c r="G31">
        <f>IFERROR(IF(ISNUMBER(INDEX(SPPR!$E:$Z,MATCH($A31,SPPR!$A:$A,0),4)),$C31*INDEX(SPPR!$E:$Z,MATCH($A31,SPPR!$A:$A,0),4),""),"")</f>
        <v/>
      </c>
      <c r="H31">
        <f>IFERROR(IF(ISNUMBER(INDEX(SPPR!$E:$Z,MATCH($A31,SPPR!$A:$A,0),5)),$C31*INDEX(SPPR!$E:$Z,MATCH($A31,SPPR!$A:$A,0),5),""),"")</f>
        <v/>
      </c>
      <c r="I31">
        <f>IFERROR(IF(ISNUMBER(INDEX(SPPR!$E:$Z,MATCH($A31,SPPR!$A:$A,0),6)),$C31*INDEX(SPPR!$E:$Z,MATCH($A31,SPPR!$A:$A,0),6),""),"")</f>
        <v/>
      </c>
      <c r="J31">
        <f>IFERROR(IF(ISNUMBER(INDEX(SPPR!$E:$Z,MATCH($A31,SPPR!$A:$A,0),7)),$C31*INDEX(SPPR!$E:$Z,MATCH($A31,SPPR!$A:$A,0),7),""),"")</f>
        <v/>
      </c>
      <c r="K31">
        <f>IFERROR(IF(ISNUMBER(INDEX(SPPR!$E:$Z,MATCH($A31,SPPR!$A:$A,0),8)),$C31*INDEX(SPPR!$E:$Z,MATCH($A31,SPPR!$A:$A,0),8),""),"")</f>
        <v/>
      </c>
      <c r="L31">
        <f>IFERROR(IF(ISNUMBER(INDEX(SPPR!$E:$Z,MATCH($A31,SPPR!$A:$A,0),9)),$C31*INDEX(SPPR!$E:$Z,MATCH($A31,SPPR!$A:$A,0),9),""),"")</f>
        <v/>
      </c>
      <c r="M31">
        <f>IFERROR(IF(ISNUMBER(INDEX(SPPR!$E:$Z,MATCH($A31,SPPR!$A:$A,0),10)),$C31*INDEX(SPPR!$E:$Z,MATCH($A31,SPPR!$A:$A,0),10),""),"")</f>
        <v/>
      </c>
      <c r="N31">
        <f>IFERROR(IF(ISNUMBER(INDEX(SPPR!$E:$Z,MATCH($A31,SPPR!$A:$A,0),11)),$C31*INDEX(SPPR!$E:$Z,MATCH($A31,SPPR!$A:$A,0),11),""),"")</f>
        <v/>
      </c>
      <c r="O31">
        <f>IFERROR(IF(ISNUMBER(INDEX(SPPR!$E:$Z,MATCH($A31,SPPR!$A:$A,0),12)),$C31*INDEX(SPPR!$E:$Z,MATCH($A31,SPPR!$A:$A,0),12),""),"")</f>
        <v/>
      </c>
      <c r="P31">
        <f>IFERROR(IF(ISNUMBER(INDEX(SPPR!$E:$Z,MATCH($A31,SPPR!$A:$A,0),13)),$C31*INDEX(SPPR!$E:$Z,MATCH($A31,SPPR!$A:$A,0),13),""),"")</f>
        <v/>
      </c>
      <c r="Q31">
        <f>IFERROR(IF(ISNUMBER(INDEX(SPPR!$E:$Z,MATCH($A31,SPPR!$A:$A,0),14)),$C31*INDEX(SPPR!$E:$Z,MATCH($A31,SPPR!$A:$A,0),14),""),"")</f>
        <v/>
      </c>
      <c r="R31">
        <f>IFERROR(IF(ISNUMBER(INDEX(SPPR!$E:$Z,MATCH($A31,SPPR!$A:$A,0),15)),$C31*INDEX(SPPR!$E:$Z,MATCH($A31,SPPR!$A:$A,0),15),""),"")</f>
        <v/>
      </c>
      <c r="S31">
        <f>IFERROR(IF(ISNUMBER(INDEX(SPPR!$E:$Z,MATCH($A31,SPPR!$A:$A,0),16)),$C31*INDEX(SPPR!$E:$Z,MATCH($A31,SPPR!$A:$A,0),16),""),"")</f>
        <v/>
      </c>
      <c r="T31">
        <f>IFERROR(IF(ISNUMBER(INDEX(SPPR!$E:$Z,MATCH($A31,SPPR!$A:$A,0),17)),$C31*INDEX(SPPR!$E:$Z,MATCH($A31,SPPR!$A:$A,0),17),""),"")</f>
        <v/>
      </c>
      <c r="U31">
        <f>IFERROR(IF(ISNUMBER(INDEX(SPPR!$E:$Z,MATCH($A31,SPPR!$A:$A,0),18)),$C31*INDEX(SPPR!$E:$Z,MATCH($A31,SPPR!$A:$A,0),18),""),"")</f>
        <v/>
      </c>
      <c r="V31">
        <f>IFERROR(IF(ISNUMBER(INDEX(SPPR!$E:$Z,MATCH($A31,SPPR!$A:$A,0),19)),$C31*INDEX(SPPR!$E:$Z,MATCH($A31,SPPR!$A:$A,0),19),""),"")</f>
        <v/>
      </c>
      <c r="W31">
        <f>IFERROR(IF(ISNUMBER(INDEX(SPPR!$E:$Z,MATCH($A31,SPPR!$A:$A,0),20)),$C31*INDEX(SPPR!$E:$Z,MATCH($A31,SPPR!$A:$A,0),20),""),"")</f>
        <v/>
      </c>
      <c r="X31">
        <f>IFERROR(IF(ISNUMBER(INDEX(SPPR!$E:$Z,MATCH($A31,SPPR!$A:$A,0),21)),$C31*INDEX(SPPR!$E:$Z,MATCH($A31,SPPR!$A:$A,0),21),""),"")</f>
        <v/>
      </c>
      <c r="Y31">
        <f>IFERROR(IF(ISNUMBER(INDEX(SPPR!$E:$Z,MATCH($A31,SPPR!$A:$A,0),22)),$C31*INDEX(SPPR!$E:$Z,MATCH($A31,SPPR!$A:$A,0),22),""),"")</f>
        <v/>
      </c>
    </row>
    <row r="32">
      <c r="A32" t="inlineStr">
        <is>
          <t>Elasmobranchii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IFERROR(IF(ISNUMBER(INDEX(SPPR!$E:$Z,MATCH($A32,SPPR!$A:$A,0),1)),$C32*INDEX(SPPR!$E:$Z,MATCH($A32,SPPR!$A:$A,0),1),""),"")</f>
        <v/>
      </c>
      <c r="E32">
        <f>IFERROR(IF(ISNUMBER(INDEX(SPPR!$E:$Z,MATCH($A32,SPPR!$A:$A,0),2)),$C32*INDEX(SPPR!$E:$Z,MATCH($A32,SPPR!$A:$A,0),2),""),"")</f>
        <v/>
      </c>
      <c r="F32">
        <f>IFERROR(IF(ISNUMBER(INDEX(SPPR!$E:$Z,MATCH($A32,SPPR!$A:$A,0),3)),$C32*INDEX(SPPR!$E:$Z,MATCH($A32,SPPR!$A:$A,0),3),""),"")</f>
        <v/>
      </c>
      <c r="G32">
        <f>IFERROR(IF(ISNUMBER(INDEX(SPPR!$E:$Z,MATCH($A32,SPPR!$A:$A,0),4)),$C32*INDEX(SPPR!$E:$Z,MATCH($A32,SPPR!$A:$A,0),4),""),"")</f>
        <v/>
      </c>
      <c r="H32">
        <f>IFERROR(IF(ISNUMBER(INDEX(SPPR!$E:$Z,MATCH($A32,SPPR!$A:$A,0),5)),$C32*INDEX(SPPR!$E:$Z,MATCH($A32,SPPR!$A:$A,0),5),""),"")</f>
        <v/>
      </c>
      <c r="I32">
        <f>IFERROR(IF(ISNUMBER(INDEX(SPPR!$E:$Z,MATCH($A32,SPPR!$A:$A,0),6)),$C32*INDEX(SPPR!$E:$Z,MATCH($A32,SPPR!$A:$A,0),6),""),"")</f>
        <v/>
      </c>
      <c r="J32">
        <f>IFERROR(IF(ISNUMBER(INDEX(SPPR!$E:$Z,MATCH($A32,SPPR!$A:$A,0),7)),$C32*INDEX(SPPR!$E:$Z,MATCH($A32,SPPR!$A:$A,0),7),""),"")</f>
        <v/>
      </c>
      <c r="K32">
        <f>IFERROR(IF(ISNUMBER(INDEX(SPPR!$E:$Z,MATCH($A32,SPPR!$A:$A,0),8)),$C32*INDEX(SPPR!$E:$Z,MATCH($A32,SPPR!$A:$A,0),8),""),"")</f>
        <v/>
      </c>
      <c r="L32">
        <f>IFERROR(IF(ISNUMBER(INDEX(SPPR!$E:$Z,MATCH($A32,SPPR!$A:$A,0),9)),$C32*INDEX(SPPR!$E:$Z,MATCH($A32,SPPR!$A:$A,0),9),""),"")</f>
        <v/>
      </c>
      <c r="M32">
        <f>IFERROR(IF(ISNUMBER(INDEX(SPPR!$E:$Z,MATCH($A32,SPPR!$A:$A,0),10)),$C32*INDEX(SPPR!$E:$Z,MATCH($A32,SPPR!$A:$A,0),10),""),"")</f>
        <v/>
      </c>
      <c r="N32">
        <f>IFERROR(IF(ISNUMBER(INDEX(SPPR!$E:$Z,MATCH($A32,SPPR!$A:$A,0),11)),$C32*INDEX(SPPR!$E:$Z,MATCH($A32,SPPR!$A:$A,0),11),""),"")</f>
        <v/>
      </c>
      <c r="O32">
        <f>IFERROR(IF(ISNUMBER(INDEX(SPPR!$E:$Z,MATCH($A32,SPPR!$A:$A,0),12)),$C32*INDEX(SPPR!$E:$Z,MATCH($A32,SPPR!$A:$A,0),12),""),"")</f>
        <v/>
      </c>
      <c r="P32">
        <f>IFERROR(IF(ISNUMBER(INDEX(SPPR!$E:$Z,MATCH($A32,SPPR!$A:$A,0),13)),$C32*INDEX(SPPR!$E:$Z,MATCH($A32,SPPR!$A:$A,0),13),""),"")</f>
        <v/>
      </c>
      <c r="Q32">
        <f>IFERROR(IF(ISNUMBER(INDEX(SPPR!$E:$Z,MATCH($A32,SPPR!$A:$A,0),14)),$C32*INDEX(SPPR!$E:$Z,MATCH($A32,SPPR!$A:$A,0),14),""),"")</f>
        <v/>
      </c>
      <c r="R32">
        <f>IFERROR(IF(ISNUMBER(INDEX(SPPR!$E:$Z,MATCH($A32,SPPR!$A:$A,0),15)),$C32*INDEX(SPPR!$E:$Z,MATCH($A32,SPPR!$A:$A,0),15),""),"")</f>
        <v/>
      </c>
      <c r="S32">
        <f>IFERROR(IF(ISNUMBER(INDEX(SPPR!$E:$Z,MATCH($A32,SPPR!$A:$A,0),16)),$C32*INDEX(SPPR!$E:$Z,MATCH($A32,SPPR!$A:$A,0),16),""),"")</f>
        <v/>
      </c>
      <c r="T32">
        <f>IFERROR(IF(ISNUMBER(INDEX(SPPR!$E:$Z,MATCH($A32,SPPR!$A:$A,0),17)),$C32*INDEX(SPPR!$E:$Z,MATCH($A32,SPPR!$A:$A,0),17),""),"")</f>
        <v/>
      </c>
      <c r="U32">
        <f>IFERROR(IF(ISNUMBER(INDEX(SPPR!$E:$Z,MATCH($A32,SPPR!$A:$A,0),18)),$C32*INDEX(SPPR!$E:$Z,MATCH($A32,SPPR!$A:$A,0),18),""),"")</f>
        <v/>
      </c>
      <c r="V32">
        <f>IFERROR(IF(ISNUMBER(INDEX(SPPR!$E:$Z,MATCH($A32,SPPR!$A:$A,0),19)),$C32*INDEX(SPPR!$E:$Z,MATCH($A32,SPPR!$A:$A,0),19),""),"")</f>
        <v/>
      </c>
      <c r="W32">
        <f>IFERROR(IF(ISNUMBER(INDEX(SPPR!$E:$Z,MATCH($A32,SPPR!$A:$A,0),20)),$C32*INDEX(SPPR!$E:$Z,MATCH($A32,SPPR!$A:$A,0),20),""),"")</f>
        <v/>
      </c>
      <c r="X32">
        <f>IFERROR(IF(ISNUMBER(INDEX(SPPR!$E:$Z,MATCH($A32,SPPR!$A:$A,0),21)),$C32*INDEX(SPPR!$E:$Z,MATCH($A32,SPPR!$A:$A,0),21),""),"")</f>
        <v/>
      </c>
      <c r="Y32">
        <f>IFERROR(IF(ISNUMBER(INDEX(SPPR!$E:$Z,MATCH($A32,SPPR!$A:$A,0),22)),$C32*INDEX(SPPR!$E:$Z,MATCH($A32,SPPR!$A:$A,0),22),""),"")</f>
        <v/>
      </c>
    </row>
    <row r="33">
      <c r="A33" t="inlineStr">
        <is>
          <t>Polydactylus quadrifilis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IFERROR(IF(ISNUMBER(INDEX(SPPR!$E:$Z,MATCH($A33,SPPR!$A:$A,0),1)),$C33*INDEX(SPPR!$E:$Z,MATCH($A33,SPPR!$A:$A,0),1),""),"")</f>
        <v/>
      </c>
      <c r="E33">
        <f>IFERROR(IF(ISNUMBER(INDEX(SPPR!$E:$Z,MATCH($A33,SPPR!$A:$A,0),2)),$C33*INDEX(SPPR!$E:$Z,MATCH($A33,SPPR!$A:$A,0),2),""),"")</f>
        <v/>
      </c>
      <c r="F33">
        <f>IFERROR(IF(ISNUMBER(INDEX(SPPR!$E:$Z,MATCH($A33,SPPR!$A:$A,0),3)),$C33*INDEX(SPPR!$E:$Z,MATCH($A33,SPPR!$A:$A,0),3),""),"")</f>
        <v/>
      </c>
      <c r="G33">
        <f>IFERROR(IF(ISNUMBER(INDEX(SPPR!$E:$Z,MATCH($A33,SPPR!$A:$A,0),4)),$C33*INDEX(SPPR!$E:$Z,MATCH($A33,SPPR!$A:$A,0),4),""),"")</f>
        <v/>
      </c>
      <c r="H33">
        <f>IFERROR(IF(ISNUMBER(INDEX(SPPR!$E:$Z,MATCH($A33,SPPR!$A:$A,0),5)),$C33*INDEX(SPPR!$E:$Z,MATCH($A33,SPPR!$A:$A,0),5),""),"")</f>
        <v/>
      </c>
      <c r="I33">
        <f>IFERROR(IF(ISNUMBER(INDEX(SPPR!$E:$Z,MATCH($A33,SPPR!$A:$A,0),6)),$C33*INDEX(SPPR!$E:$Z,MATCH($A33,SPPR!$A:$A,0),6),""),"")</f>
        <v/>
      </c>
      <c r="J33">
        <f>IFERROR(IF(ISNUMBER(INDEX(SPPR!$E:$Z,MATCH($A33,SPPR!$A:$A,0),7)),$C33*INDEX(SPPR!$E:$Z,MATCH($A33,SPPR!$A:$A,0),7),""),"")</f>
        <v/>
      </c>
      <c r="K33">
        <f>IFERROR(IF(ISNUMBER(INDEX(SPPR!$E:$Z,MATCH($A33,SPPR!$A:$A,0),8)),$C33*INDEX(SPPR!$E:$Z,MATCH($A33,SPPR!$A:$A,0),8),""),"")</f>
        <v/>
      </c>
      <c r="L33">
        <f>IFERROR(IF(ISNUMBER(INDEX(SPPR!$E:$Z,MATCH($A33,SPPR!$A:$A,0),9)),$C33*INDEX(SPPR!$E:$Z,MATCH($A33,SPPR!$A:$A,0),9),""),"")</f>
        <v/>
      </c>
      <c r="M33">
        <f>IFERROR(IF(ISNUMBER(INDEX(SPPR!$E:$Z,MATCH($A33,SPPR!$A:$A,0),10)),$C33*INDEX(SPPR!$E:$Z,MATCH($A33,SPPR!$A:$A,0),10),""),"")</f>
        <v/>
      </c>
      <c r="N33">
        <f>IFERROR(IF(ISNUMBER(INDEX(SPPR!$E:$Z,MATCH($A33,SPPR!$A:$A,0),11)),$C33*INDEX(SPPR!$E:$Z,MATCH($A33,SPPR!$A:$A,0),11),""),"")</f>
        <v/>
      </c>
      <c r="O33">
        <f>IFERROR(IF(ISNUMBER(INDEX(SPPR!$E:$Z,MATCH($A33,SPPR!$A:$A,0),12)),$C33*INDEX(SPPR!$E:$Z,MATCH($A33,SPPR!$A:$A,0),12),""),"")</f>
        <v/>
      </c>
      <c r="P33">
        <f>IFERROR(IF(ISNUMBER(INDEX(SPPR!$E:$Z,MATCH($A33,SPPR!$A:$A,0),13)),$C33*INDEX(SPPR!$E:$Z,MATCH($A33,SPPR!$A:$A,0),13),""),"")</f>
        <v/>
      </c>
      <c r="Q33">
        <f>IFERROR(IF(ISNUMBER(INDEX(SPPR!$E:$Z,MATCH($A33,SPPR!$A:$A,0),14)),$C33*INDEX(SPPR!$E:$Z,MATCH($A33,SPPR!$A:$A,0),14),""),"")</f>
        <v/>
      </c>
      <c r="R33">
        <f>IFERROR(IF(ISNUMBER(INDEX(SPPR!$E:$Z,MATCH($A33,SPPR!$A:$A,0),15)),$C33*INDEX(SPPR!$E:$Z,MATCH($A33,SPPR!$A:$A,0),15),""),"")</f>
        <v/>
      </c>
      <c r="S33">
        <f>IFERROR(IF(ISNUMBER(INDEX(SPPR!$E:$Z,MATCH($A33,SPPR!$A:$A,0),16)),$C33*INDEX(SPPR!$E:$Z,MATCH($A33,SPPR!$A:$A,0),16),""),"")</f>
        <v/>
      </c>
      <c r="T33">
        <f>IFERROR(IF(ISNUMBER(INDEX(SPPR!$E:$Z,MATCH($A33,SPPR!$A:$A,0),17)),$C33*INDEX(SPPR!$E:$Z,MATCH($A33,SPPR!$A:$A,0),17),""),"")</f>
        <v/>
      </c>
      <c r="U33">
        <f>IFERROR(IF(ISNUMBER(INDEX(SPPR!$E:$Z,MATCH($A33,SPPR!$A:$A,0),18)),$C33*INDEX(SPPR!$E:$Z,MATCH($A33,SPPR!$A:$A,0),18),""),"")</f>
        <v/>
      </c>
      <c r="V33">
        <f>IFERROR(IF(ISNUMBER(INDEX(SPPR!$E:$Z,MATCH($A33,SPPR!$A:$A,0),19)),$C33*INDEX(SPPR!$E:$Z,MATCH($A33,SPPR!$A:$A,0),19),""),"")</f>
        <v/>
      </c>
      <c r="W33">
        <f>IFERROR(IF(ISNUMBER(INDEX(SPPR!$E:$Z,MATCH($A33,SPPR!$A:$A,0),20)),$C33*INDEX(SPPR!$E:$Z,MATCH($A33,SPPR!$A:$A,0),20),""),"")</f>
        <v/>
      </c>
      <c r="X33">
        <f>IFERROR(IF(ISNUMBER(INDEX(SPPR!$E:$Z,MATCH($A33,SPPR!$A:$A,0),21)),$C33*INDEX(SPPR!$E:$Z,MATCH($A33,SPPR!$A:$A,0),21),""),"")</f>
        <v/>
      </c>
      <c r="Y33">
        <f>IFERROR(IF(ISNUMBER(INDEX(SPPR!$E:$Z,MATCH($A33,SPPR!$A:$A,0),22)),$C33*INDEX(SPPR!$E:$Z,MATCH($A33,SPPR!$A:$A,0),22),""),"")</f>
        <v/>
      </c>
    </row>
    <row r="34">
      <c r="A34" t="inlineStr">
        <is>
          <t>Thunnus obesus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IFERROR(IF(ISNUMBER(INDEX(SPPR!$E:$Z,MATCH($A34,SPPR!$A:$A,0),1)),$C34*INDEX(SPPR!$E:$Z,MATCH($A34,SPPR!$A:$A,0),1),""),"")</f>
        <v/>
      </c>
      <c r="E34">
        <f>IFERROR(IF(ISNUMBER(INDEX(SPPR!$E:$Z,MATCH($A34,SPPR!$A:$A,0),2)),$C34*INDEX(SPPR!$E:$Z,MATCH($A34,SPPR!$A:$A,0),2),""),"")</f>
        <v/>
      </c>
      <c r="F34">
        <f>IFERROR(IF(ISNUMBER(INDEX(SPPR!$E:$Z,MATCH($A34,SPPR!$A:$A,0),3)),$C34*INDEX(SPPR!$E:$Z,MATCH($A34,SPPR!$A:$A,0),3),""),"")</f>
        <v/>
      </c>
      <c r="G34">
        <f>IFERROR(IF(ISNUMBER(INDEX(SPPR!$E:$Z,MATCH($A34,SPPR!$A:$A,0),4)),$C34*INDEX(SPPR!$E:$Z,MATCH($A34,SPPR!$A:$A,0),4),""),"")</f>
        <v/>
      </c>
      <c r="H34">
        <f>IFERROR(IF(ISNUMBER(INDEX(SPPR!$E:$Z,MATCH($A34,SPPR!$A:$A,0),5)),$C34*INDEX(SPPR!$E:$Z,MATCH($A34,SPPR!$A:$A,0),5),""),"")</f>
        <v/>
      </c>
      <c r="I34">
        <f>IFERROR(IF(ISNUMBER(INDEX(SPPR!$E:$Z,MATCH($A34,SPPR!$A:$A,0),6)),$C34*INDEX(SPPR!$E:$Z,MATCH($A34,SPPR!$A:$A,0),6),""),"")</f>
        <v/>
      </c>
      <c r="J34">
        <f>IFERROR(IF(ISNUMBER(INDEX(SPPR!$E:$Z,MATCH($A34,SPPR!$A:$A,0),7)),$C34*INDEX(SPPR!$E:$Z,MATCH($A34,SPPR!$A:$A,0),7),""),"")</f>
        <v/>
      </c>
      <c r="K34">
        <f>IFERROR(IF(ISNUMBER(INDEX(SPPR!$E:$Z,MATCH($A34,SPPR!$A:$A,0),8)),$C34*INDEX(SPPR!$E:$Z,MATCH($A34,SPPR!$A:$A,0),8),""),"")</f>
        <v/>
      </c>
      <c r="L34">
        <f>IFERROR(IF(ISNUMBER(INDEX(SPPR!$E:$Z,MATCH($A34,SPPR!$A:$A,0),9)),$C34*INDEX(SPPR!$E:$Z,MATCH($A34,SPPR!$A:$A,0),9),""),"")</f>
        <v/>
      </c>
      <c r="M34">
        <f>IFERROR(IF(ISNUMBER(INDEX(SPPR!$E:$Z,MATCH($A34,SPPR!$A:$A,0),10)),$C34*INDEX(SPPR!$E:$Z,MATCH($A34,SPPR!$A:$A,0),10),""),"")</f>
        <v/>
      </c>
      <c r="N34">
        <f>IFERROR(IF(ISNUMBER(INDEX(SPPR!$E:$Z,MATCH($A34,SPPR!$A:$A,0),11)),$C34*INDEX(SPPR!$E:$Z,MATCH($A34,SPPR!$A:$A,0),11),""),"")</f>
        <v/>
      </c>
      <c r="O34">
        <f>IFERROR(IF(ISNUMBER(INDEX(SPPR!$E:$Z,MATCH($A34,SPPR!$A:$A,0),12)),$C34*INDEX(SPPR!$E:$Z,MATCH($A34,SPPR!$A:$A,0),12),""),"")</f>
        <v/>
      </c>
      <c r="P34">
        <f>IFERROR(IF(ISNUMBER(INDEX(SPPR!$E:$Z,MATCH($A34,SPPR!$A:$A,0),13)),$C34*INDEX(SPPR!$E:$Z,MATCH($A34,SPPR!$A:$A,0),13),""),"")</f>
        <v/>
      </c>
      <c r="Q34">
        <f>IFERROR(IF(ISNUMBER(INDEX(SPPR!$E:$Z,MATCH($A34,SPPR!$A:$A,0),14)),$C34*INDEX(SPPR!$E:$Z,MATCH($A34,SPPR!$A:$A,0),14),""),"")</f>
        <v/>
      </c>
      <c r="R34">
        <f>IFERROR(IF(ISNUMBER(INDEX(SPPR!$E:$Z,MATCH($A34,SPPR!$A:$A,0),15)),$C34*INDEX(SPPR!$E:$Z,MATCH($A34,SPPR!$A:$A,0),15),""),"")</f>
        <v/>
      </c>
      <c r="S34">
        <f>IFERROR(IF(ISNUMBER(INDEX(SPPR!$E:$Z,MATCH($A34,SPPR!$A:$A,0),16)),$C34*INDEX(SPPR!$E:$Z,MATCH($A34,SPPR!$A:$A,0),16),""),"")</f>
        <v/>
      </c>
      <c r="T34">
        <f>IFERROR(IF(ISNUMBER(INDEX(SPPR!$E:$Z,MATCH($A34,SPPR!$A:$A,0),17)),$C34*INDEX(SPPR!$E:$Z,MATCH($A34,SPPR!$A:$A,0),17),""),"")</f>
        <v/>
      </c>
      <c r="U34">
        <f>IFERROR(IF(ISNUMBER(INDEX(SPPR!$E:$Z,MATCH($A34,SPPR!$A:$A,0),18)),$C34*INDEX(SPPR!$E:$Z,MATCH($A34,SPPR!$A:$A,0),18),""),"")</f>
        <v/>
      </c>
      <c r="V34">
        <f>IFERROR(IF(ISNUMBER(INDEX(SPPR!$E:$Z,MATCH($A34,SPPR!$A:$A,0),19)),$C34*INDEX(SPPR!$E:$Z,MATCH($A34,SPPR!$A:$A,0),19),""),"")</f>
        <v/>
      </c>
      <c r="W34">
        <f>IFERROR(IF(ISNUMBER(INDEX(SPPR!$E:$Z,MATCH($A34,SPPR!$A:$A,0),20)),$C34*INDEX(SPPR!$E:$Z,MATCH($A34,SPPR!$A:$A,0),20),""),"")</f>
        <v/>
      </c>
      <c r="X34">
        <f>IFERROR(IF(ISNUMBER(INDEX(SPPR!$E:$Z,MATCH($A34,SPPR!$A:$A,0),21)),$C34*INDEX(SPPR!$E:$Z,MATCH($A34,SPPR!$A:$A,0),21),""),"")</f>
        <v/>
      </c>
      <c r="Y34">
        <f>IFERROR(IF(ISNUMBER(INDEX(SPPR!$E:$Z,MATCH($A34,SPPR!$A:$A,0),22)),$C34*INDEX(SPPR!$E:$Z,MATCH($A34,SPPR!$A:$A,0),22),""),"")</f>
        <v/>
      </c>
    </row>
    <row r="35">
      <c r="A35" t="inlineStr">
        <is>
          <t>Mugilidae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IFERROR(IF(ISNUMBER(INDEX(SPPR!$E:$Z,MATCH($A35,SPPR!$A:$A,0),1)),$C35*INDEX(SPPR!$E:$Z,MATCH($A35,SPPR!$A:$A,0),1),""),"")</f>
        <v/>
      </c>
      <c r="E35">
        <f>IFERROR(IF(ISNUMBER(INDEX(SPPR!$E:$Z,MATCH($A35,SPPR!$A:$A,0),2)),$C35*INDEX(SPPR!$E:$Z,MATCH($A35,SPPR!$A:$A,0),2),""),"")</f>
        <v/>
      </c>
      <c r="F35">
        <f>IFERROR(IF(ISNUMBER(INDEX(SPPR!$E:$Z,MATCH($A35,SPPR!$A:$A,0),3)),$C35*INDEX(SPPR!$E:$Z,MATCH($A35,SPPR!$A:$A,0),3),""),"")</f>
        <v/>
      </c>
      <c r="G35">
        <f>IFERROR(IF(ISNUMBER(INDEX(SPPR!$E:$Z,MATCH($A35,SPPR!$A:$A,0),4)),$C35*INDEX(SPPR!$E:$Z,MATCH($A35,SPPR!$A:$A,0),4),""),"")</f>
        <v/>
      </c>
      <c r="H35">
        <f>IFERROR(IF(ISNUMBER(INDEX(SPPR!$E:$Z,MATCH($A35,SPPR!$A:$A,0),5)),$C35*INDEX(SPPR!$E:$Z,MATCH($A35,SPPR!$A:$A,0),5),""),"")</f>
        <v/>
      </c>
      <c r="I35">
        <f>IFERROR(IF(ISNUMBER(INDEX(SPPR!$E:$Z,MATCH($A35,SPPR!$A:$A,0),6)),$C35*INDEX(SPPR!$E:$Z,MATCH($A35,SPPR!$A:$A,0),6),""),"")</f>
        <v/>
      </c>
      <c r="J35">
        <f>IFERROR(IF(ISNUMBER(INDEX(SPPR!$E:$Z,MATCH($A35,SPPR!$A:$A,0),7)),$C35*INDEX(SPPR!$E:$Z,MATCH($A35,SPPR!$A:$A,0),7),""),"")</f>
        <v/>
      </c>
      <c r="K35">
        <f>IFERROR(IF(ISNUMBER(INDEX(SPPR!$E:$Z,MATCH($A35,SPPR!$A:$A,0),8)),$C35*INDEX(SPPR!$E:$Z,MATCH($A35,SPPR!$A:$A,0),8),""),"")</f>
        <v/>
      </c>
      <c r="L35">
        <f>IFERROR(IF(ISNUMBER(INDEX(SPPR!$E:$Z,MATCH($A35,SPPR!$A:$A,0),9)),$C35*INDEX(SPPR!$E:$Z,MATCH($A35,SPPR!$A:$A,0),9),""),"")</f>
        <v/>
      </c>
      <c r="M35">
        <f>IFERROR(IF(ISNUMBER(INDEX(SPPR!$E:$Z,MATCH($A35,SPPR!$A:$A,0),10)),$C35*INDEX(SPPR!$E:$Z,MATCH($A35,SPPR!$A:$A,0),10),""),"")</f>
        <v/>
      </c>
      <c r="N35">
        <f>IFERROR(IF(ISNUMBER(INDEX(SPPR!$E:$Z,MATCH($A35,SPPR!$A:$A,0),11)),$C35*INDEX(SPPR!$E:$Z,MATCH($A35,SPPR!$A:$A,0),11),""),"")</f>
        <v/>
      </c>
      <c r="O35">
        <f>IFERROR(IF(ISNUMBER(INDEX(SPPR!$E:$Z,MATCH($A35,SPPR!$A:$A,0),12)),$C35*INDEX(SPPR!$E:$Z,MATCH($A35,SPPR!$A:$A,0),12),""),"")</f>
        <v/>
      </c>
      <c r="P35">
        <f>IFERROR(IF(ISNUMBER(INDEX(SPPR!$E:$Z,MATCH($A35,SPPR!$A:$A,0),13)),$C35*INDEX(SPPR!$E:$Z,MATCH($A35,SPPR!$A:$A,0),13),""),"")</f>
        <v/>
      </c>
      <c r="Q35">
        <f>IFERROR(IF(ISNUMBER(INDEX(SPPR!$E:$Z,MATCH($A35,SPPR!$A:$A,0),14)),$C35*INDEX(SPPR!$E:$Z,MATCH($A35,SPPR!$A:$A,0),14),""),"")</f>
        <v/>
      </c>
      <c r="R35">
        <f>IFERROR(IF(ISNUMBER(INDEX(SPPR!$E:$Z,MATCH($A35,SPPR!$A:$A,0),15)),$C35*INDEX(SPPR!$E:$Z,MATCH($A35,SPPR!$A:$A,0),15),""),"")</f>
        <v/>
      </c>
      <c r="S35">
        <f>IFERROR(IF(ISNUMBER(INDEX(SPPR!$E:$Z,MATCH($A35,SPPR!$A:$A,0),16)),$C35*INDEX(SPPR!$E:$Z,MATCH($A35,SPPR!$A:$A,0),16),""),"")</f>
        <v/>
      </c>
      <c r="T35">
        <f>IFERROR(IF(ISNUMBER(INDEX(SPPR!$E:$Z,MATCH($A35,SPPR!$A:$A,0),17)),$C35*INDEX(SPPR!$E:$Z,MATCH($A35,SPPR!$A:$A,0),17),""),"")</f>
        <v/>
      </c>
      <c r="U35">
        <f>IFERROR(IF(ISNUMBER(INDEX(SPPR!$E:$Z,MATCH($A35,SPPR!$A:$A,0),18)),$C35*INDEX(SPPR!$E:$Z,MATCH($A35,SPPR!$A:$A,0),18),""),"")</f>
        <v/>
      </c>
      <c r="V35">
        <f>IFERROR(IF(ISNUMBER(INDEX(SPPR!$E:$Z,MATCH($A35,SPPR!$A:$A,0),19)),$C35*INDEX(SPPR!$E:$Z,MATCH($A35,SPPR!$A:$A,0),19),""),"")</f>
        <v/>
      </c>
      <c r="W35">
        <f>IFERROR(IF(ISNUMBER(INDEX(SPPR!$E:$Z,MATCH($A35,SPPR!$A:$A,0),20)),$C35*INDEX(SPPR!$E:$Z,MATCH($A35,SPPR!$A:$A,0),20),""),"")</f>
        <v/>
      </c>
      <c r="X35">
        <f>IFERROR(IF(ISNUMBER(INDEX(SPPR!$E:$Z,MATCH($A35,SPPR!$A:$A,0),21)),$C35*INDEX(SPPR!$E:$Z,MATCH($A35,SPPR!$A:$A,0),21),""),"")</f>
        <v/>
      </c>
      <c r="Y35">
        <f>IFERROR(IF(ISNUMBER(INDEX(SPPR!$E:$Z,MATCH($A35,SPPR!$A:$A,0),22)),$C35*INDEX(SPPR!$E:$Z,MATCH($A35,SPPR!$A:$A,0),22),""),"")</f>
        <v/>
      </c>
    </row>
    <row r="36">
      <c r="A36" t="inlineStr">
        <is>
          <t>Polynemidae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IFERROR(IF(ISNUMBER(INDEX(SPPR!$E:$Z,MATCH($A36,SPPR!$A:$A,0),1)),$C36*INDEX(SPPR!$E:$Z,MATCH($A36,SPPR!$A:$A,0),1),""),"")</f>
        <v/>
      </c>
      <c r="E36">
        <f>IFERROR(IF(ISNUMBER(INDEX(SPPR!$E:$Z,MATCH($A36,SPPR!$A:$A,0),2)),$C36*INDEX(SPPR!$E:$Z,MATCH($A36,SPPR!$A:$A,0),2),""),"")</f>
        <v/>
      </c>
      <c r="F36">
        <f>IFERROR(IF(ISNUMBER(INDEX(SPPR!$E:$Z,MATCH($A36,SPPR!$A:$A,0),3)),$C36*INDEX(SPPR!$E:$Z,MATCH($A36,SPPR!$A:$A,0),3),""),"")</f>
        <v/>
      </c>
      <c r="G36">
        <f>IFERROR(IF(ISNUMBER(INDEX(SPPR!$E:$Z,MATCH($A36,SPPR!$A:$A,0),4)),$C36*INDEX(SPPR!$E:$Z,MATCH($A36,SPPR!$A:$A,0),4),""),"")</f>
        <v/>
      </c>
      <c r="H36">
        <f>IFERROR(IF(ISNUMBER(INDEX(SPPR!$E:$Z,MATCH($A36,SPPR!$A:$A,0),5)),$C36*INDEX(SPPR!$E:$Z,MATCH($A36,SPPR!$A:$A,0),5),""),"")</f>
        <v/>
      </c>
      <c r="I36">
        <f>IFERROR(IF(ISNUMBER(INDEX(SPPR!$E:$Z,MATCH($A36,SPPR!$A:$A,0),6)),$C36*INDEX(SPPR!$E:$Z,MATCH($A36,SPPR!$A:$A,0),6),""),"")</f>
        <v/>
      </c>
      <c r="J36">
        <f>IFERROR(IF(ISNUMBER(INDEX(SPPR!$E:$Z,MATCH($A36,SPPR!$A:$A,0),7)),$C36*INDEX(SPPR!$E:$Z,MATCH($A36,SPPR!$A:$A,0),7),""),"")</f>
        <v/>
      </c>
      <c r="K36">
        <f>IFERROR(IF(ISNUMBER(INDEX(SPPR!$E:$Z,MATCH($A36,SPPR!$A:$A,0),8)),$C36*INDEX(SPPR!$E:$Z,MATCH($A36,SPPR!$A:$A,0),8),""),"")</f>
        <v/>
      </c>
      <c r="L36">
        <f>IFERROR(IF(ISNUMBER(INDEX(SPPR!$E:$Z,MATCH($A36,SPPR!$A:$A,0),9)),$C36*INDEX(SPPR!$E:$Z,MATCH($A36,SPPR!$A:$A,0),9),""),"")</f>
        <v/>
      </c>
      <c r="M36">
        <f>IFERROR(IF(ISNUMBER(INDEX(SPPR!$E:$Z,MATCH($A36,SPPR!$A:$A,0),10)),$C36*INDEX(SPPR!$E:$Z,MATCH($A36,SPPR!$A:$A,0),10),""),"")</f>
        <v/>
      </c>
      <c r="N36">
        <f>IFERROR(IF(ISNUMBER(INDEX(SPPR!$E:$Z,MATCH($A36,SPPR!$A:$A,0),11)),$C36*INDEX(SPPR!$E:$Z,MATCH($A36,SPPR!$A:$A,0),11),""),"")</f>
        <v/>
      </c>
      <c r="O36">
        <f>IFERROR(IF(ISNUMBER(INDEX(SPPR!$E:$Z,MATCH($A36,SPPR!$A:$A,0),12)),$C36*INDEX(SPPR!$E:$Z,MATCH($A36,SPPR!$A:$A,0),12),""),"")</f>
        <v/>
      </c>
      <c r="P36">
        <f>IFERROR(IF(ISNUMBER(INDEX(SPPR!$E:$Z,MATCH($A36,SPPR!$A:$A,0),13)),$C36*INDEX(SPPR!$E:$Z,MATCH($A36,SPPR!$A:$A,0),13),""),"")</f>
        <v/>
      </c>
      <c r="Q36">
        <f>IFERROR(IF(ISNUMBER(INDEX(SPPR!$E:$Z,MATCH($A36,SPPR!$A:$A,0),14)),$C36*INDEX(SPPR!$E:$Z,MATCH($A36,SPPR!$A:$A,0),14),""),"")</f>
        <v/>
      </c>
      <c r="R36">
        <f>IFERROR(IF(ISNUMBER(INDEX(SPPR!$E:$Z,MATCH($A36,SPPR!$A:$A,0),15)),$C36*INDEX(SPPR!$E:$Z,MATCH($A36,SPPR!$A:$A,0),15),""),"")</f>
        <v/>
      </c>
      <c r="S36">
        <f>IFERROR(IF(ISNUMBER(INDEX(SPPR!$E:$Z,MATCH($A36,SPPR!$A:$A,0),16)),$C36*INDEX(SPPR!$E:$Z,MATCH($A36,SPPR!$A:$A,0),16),""),"")</f>
        <v/>
      </c>
      <c r="T36">
        <f>IFERROR(IF(ISNUMBER(INDEX(SPPR!$E:$Z,MATCH($A36,SPPR!$A:$A,0),17)),$C36*INDEX(SPPR!$E:$Z,MATCH($A36,SPPR!$A:$A,0),17),""),"")</f>
        <v/>
      </c>
      <c r="U36">
        <f>IFERROR(IF(ISNUMBER(INDEX(SPPR!$E:$Z,MATCH($A36,SPPR!$A:$A,0),18)),$C36*INDEX(SPPR!$E:$Z,MATCH($A36,SPPR!$A:$A,0),18),""),"")</f>
        <v/>
      </c>
      <c r="V36">
        <f>IFERROR(IF(ISNUMBER(INDEX(SPPR!$E:$Z,MATCH($A36,SPPR!$A:$A,0),19)),$C36*INDEX(SPPR!$E:$Z,MATCH($A36,SPPR!$A:$A,0),19),""),"")</f>
        <v/>
      </c>
      <c r="W36">
        <f>IFERROR(IF(ISNUMBER(INDEX(SPPR!$E:$Z,MATCH($A36,SPPR!$A:$A,0),20)),$C36*INDEX(SPPR!$E:$Z,MATCH($A36,SPPR!$A:$A,0),20),""),"")</f>
        <v/>
      </c>
      <c r="X36">
        <f>IFERROR(IF(ISNUMBER(INDEX(SPPR!$E:$Z,MATCH($A36,SPPR!$A:$A,0),21)),$C36*INDEX(SPPR!$E:$Z,MATCH($A36,SPPR!$A:$A,0),21),""),"")</f>
        <v/>
      </c>
      <c r="Y36">
        <f>IFERROR(IF(ISNUMBER(INDEX(SPPR!$E:$Z,MATCH($A36,SPPR!$A:$A,0),22)),$C36*INDEX(SPPR!$E:$Z,MATCH($A36,SPPR!$A:$A,0),22),""),"")</f>
        <v/>
      </c>
    </row>
    <row r="37">
      <c r="A37" t="inlineStr">
        <is>
          <t>Balistidae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IFERROR(IF(ISNUMBER(INDEX(SPPR!$E:$Z,MATCH($A37,SPPR!$A:$A,0),1)),$C37*INDEX(SPPR!$E:$Z,MATCH($A37,SPPR!$A:$A,0),1),""),"")</f>
        <v/>
      </c>
      <c r="E37">
        <f>IFERROR(IF(ISNUMBER(INDEX(SPPR!$E:$Z,MATCH($A37,SPPR!$A:$A,0),2)),$C37*INDEX(SPPR!$E:$Z,MATCH($A37,SPPR!$A:$A,0),2),""),"")</f>
        <v/>
      </c>
      <c r="F37">
        <f>IFERROR(IF(ISNUMBER(INDEX(SPPR!$E:$Z,MATCH($A37,SPPR!$A:$A,0),3)),$C37*INDEX(SPPR!$E:$Z,MATCH($A37,SPPR!$A:$A,0),3),""),"")</f>
        <v/>
      </c>
      <c r="G37">
        <f>IFERROR(IF(ISNUMBER(INDEX(SPPR!$E:$Z,MATCH($A37,SPPR!$A:$A,0),4)),$C37*INDEX(SPPR!$E:$Z,MATCH($A37,SPPR!$A:$A,0),4),""),"")</f>
        <v/>
      </c>
      <c r="H37">
        <f>IFERROR(IF(ISNUMBER(INDEX(SPPR!$E:$Z,MATCH($A37,SPPR!$A:$A,0),5)),$C37*INDEX(SPPR!$E:$Z,MATCH($A37,SPPR!$A:$A,0),5),""),"")</f>
        <v/>
      </c>
      <c r="I37">
        <f>IFERROR(IF(ISNUMBER(INDEX(SPPR!$E:$Z,MATCH($A37,SPPR!$A:$A,0),6)),$C37*INDEX(SPPR!$E:$Z,MATCH($A37,SPPR!$A:$A,0),6),""),"")</f>
        <v/>
      </c>
      <c r="J37">
        <f>IFERROR(IF(ISNUMBER(INDEX(SPPR!$E:$Z,MATCH($A37,SPPR!$A:$A,0),7)),$C37*INDEX(SPPR!$E:$Z,MATCH($A37,SPPR!$A:$A,0),7),""),"")</f>
        <v/>
      </c>
      <c r="K37">
        <f>IFERROR(IF(ISNUMBER(INDEX(SPPR!$E:$Z,MATCH($A37,SPPR!$A:$A,0),8)),$C37*INDEX(SPPR!$E:$Z,MATCH($A37,SPPR!$A:$A,0),8),""),"")</f>
        <v/>
      </c>
      <c r="L37">
        <f>IFERROR(IF(ISNUMBER(INDEX(SPPR!$E:$Z,MATCH($A37,SPPR!$A:$A,0),9)),$C37*INDEX(SPPR!$E:$Z,MATCH($A37,SPPR!$A:$A,0),9),""),"")</f>
        <v/>
      </c>
      <c r="M37">
        <f>IFERROR(IF(ISNUMBER(INDEX(SPPR!$E:$Z,MATCH($A37,SPPR!$A:$A,0),10)),$C37*INDEX(SPPR!$E:$Z,MATCH($A37,SPPR!$A:$A,0),10),""),"")</f>
        <v/>
      </c>
      <c r="N37">
        <f>IFERROR(IF(ISNUMBER(INDEX(SPPR!$E:$Z,MATCH($A37,SPPR!$A:$A,0),11)),$C37*INDEX(SPPR!$E:$Z,MATCH($A37,SPPR!$A:$A,0),11),""),"")</f>
        <v/>
      </c>
      <c r="O37">
        <f>IFERROR(IF(ISNUMBER(INDEX(SPPR!$E:$Z,MATCH($A37,SPPR!$A:$A,0),12)),$C37*INDEX(SPPR!$E:$Z,MATCH($A37,SPPR!$A:$A,0),12),""),"")</f>
        <v/>
      </c>
      <c r="P37">
        <f>IFERROR(IF(ISNUMBER(INDEX(SPPR!$E:$Z,MATCH($A37,SPPR!$A:$A,0),13)),$C37*INDEX(SPPR!$E:$Z,MATCH($A37,SPPR!$A:$A,0),13),""),"")</f>
        <v/>
      </c>
      <c r="Q37">
        <f>IFERROR(IF(ISNUMBER(INDEX(SPPR!$E:$Z,MATCH($A37,SPPR!$A:$A,0),14)),$C37*INDEX(SPPR!$E:$Z,MATCH($A37,SPPR!$A:$A,0),14),""),"")</f>
        <v/>
      </c>
      <c r="R37">
        <f>IFERROR(IF(ISNUMBER(INDEX(SPPR!$E:$Z,MATCH($A37,SPPR!$A:$A,0),15)),$C37*INDEX(SPPR!$E:$Z,MATCH($A37,SPPR!$A:$A,0),15),""),"")</f>
        <v/>
      </c>
      <c r="S37">
        <f>IFERROR(IF(ISNUMBER(INDEX(SPPR!$E:$Z,MATCH($A37,SPPR!$A:$A,0),16)),$C37*INDEX(SPPR!$E:$Z,MATCH($A37,SPPR!$A:$A,0),16),""),"")</f>
        <v/>
      </c>
      <c r="T37">
        <f>IFERROR(IF(ISNUMBER(INDEX(SPPR!$E:$Z,MATCH($A37,SPPR!$A:$A,0),17)),$C37*INDEX(SPPR!$E:$Z,MATCH($A37,SPPR!$A:$A,0),17),""),"")</f>
        <v/>
      </c>
      <c r="U37">
        <f>IFERROR(IF(ISNUMBER(INDEX(SPPR!$E:$Z,MATCH($A37,SPPR!$A:$A,0),18)),$C37*INDEX(SPPR!$E:$Z,MATCH($A37,SPPR!$A:$A,0),18),""),"")</f>
        <v/>
      </c>
      <c r="V37">
        <f>IFERROR(IF(ISNUMBER(INDEX(SPPR!$E:$Z,MATCH($A37,SPPR!$A:$A,0),19)),$C37*INDEX(SPPR!$E:$Z,MATCH($A37,SPPR!$A:$A,0),19),""),"")</f>
        <v/>
      </c>
      <c r="W37">
        <f>IFERROR(IF(ISNUMBER(INDEX(SPPR!$E:$Z,MATCH($A37,SPPR!$A:$A,0),20)),$C37*INDEX(SPPR!$E:$Z,MATCH($A37,SPPR!$A:$A,0),20),""),"")</f>
        <v/>
      </c>
      <c r="X37">
        <f>IFERROR(IF(ISNUMBER(INDEX(SPPR!$E:$Z,MATCH($A37,SPPR!$A:$A,0),21)),$C37*INDEX(SPPR!$E:$Z,MATCH($A37,SPPR!$A:$A,0),21),""),"")</f>
        <v/>
      </c>
      <c r="Y37">
        <f>IFERROR(IF(ISNUMBER(INDEX(SPPR!$E:$Z,MATCH($A37,SPPR!$A:$A,0),22)),$C37*INDEX(SPPR!$E:$Z,MATCH($A37,SPPR!$A:$A,0),22),""),"")</f>
        <v/>
      </c>
    </row>
    <row r="38">
      <c r="A38" t="inlineStr">
        <is>
          <t>Nematocarcinus africanus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IFERROR(IF(ISNUMBER(INDEX(SPPR!$E:$Z,MATCH($A38,SPPR!$A:$A,0),1)),$C38*INDEX(SPPR!$E:$Z,MATCH($A38,SPPR!$A:$A,0),1),""),"")</f>
        <v/>
      </c>
      <c r="E38">
        <f>IFERROR(IF(ISNUMBER(INDEX(SPPR!$E:$Z,MATCH($A38,SPPR!$A:$A,0),2)),$C38*INDEX(SPPR!$E:$Z,MATCH($A38,SPPR!$A:$A,0),2),""),"")</f>
        <v/>
      </c>
      <c r="F38">
        <f>IFERROR(IF(ISNUMBER(INDEX(SPPR!$E:$Z,MATCH($A38,SPPR!$A:$A,0),3)),$C38*INDEX(SPPR!$E:$Z,MATCH($A38,SPPR!$A:$A,0),3),""),"")</f>
        <v/>
      </c>
      <c r="G38">
        <f>IFERROR(IF(ISNUMBER(INDEX(SPPR!$E:$Z,MATCH($A38,SPPR!$A:$A,0),4)),$C38*INDEX(SPPR!$E:$Z,MATCH($A38,SPPR!$A:$A,0),4),""),"")</f>
        <v/>
      </c>
      <c r="H38">
        <f>IFERROR(IF(ISNUMBER(INDEX(SPPR!$E:$Z,MATCH($A38,SPPR!$A:$A,0),5)),$C38*INDEX(SPPR!$E:$Z,MATCH($A38,SPPR!$A:$A,0),5),""),"")</f>
        <v/>
      </c>
      <c r="I38">
        <f>IFERROR(IF(ISNUMBER(INDEX(SPPR!$E:$Z,MATCH($A38,SPPR!$A:$A,0),6)),$C38*INDEX(SPPR!$E:$Z,MATCH($A38,SPPR!$A:$A,0),6),""),"")</f>
        <v/>
      </c>
      <c r="J38">
        <f>IFERROR(IF(ISNUMBER(INDEX(SPPR!$E:$Z,MATCH($A38,SPPR!$A:$A,0),7)),$C38*INDEX(SPPR!$E:$Z,MATCH($A38,SPPR!$A:$A,0),7),""),"")</f>
        <v/>
      </c>
      <c r="K38">
        <f>IFERROR(IF(ISNUMBER(INDEX(SPPR!$E:$Z,MATCH($A38,SPPR!$A:$A,0),8)),$C38*INDEX(SPPR!$E:$Z,MATCH($A38,SPPR!$A:$A,0),8),""),"")</f>
        <v/>
      </c>
      <c r="L38">
        <f>IFERROR(IF(ISNUMBER(INDEX(SPPR!$E:$Z,MATCH($A38,SPPR!$A:$A,0),9)),$C38*INDEX(SPPR!$E:$Z,MATCH($A38,SPPR!$A:$A,0),9),""),"")</f>
        <v/>
      </c>
      <c r="M38">
        <f>IFERROR(IF(ISNUMBER(INDEX(SPPR!$E:$Z,MATCH($A38,SPPR!$A:$A,0),10)),$C38*INDEX(SPPR!$E:$Z,MATCH($A38,SPPR!$A:$A,0),10),""),"")</f>
        <v/>
      </c>
      <c r="N38">
        <f>IFERROR(IF(ISNUMBER(INDEX(SPPR!$E:$Z,MATCH($A38,SPPR!$A:$A,0),11)),$C38*INDEX(SPPR!$E:$Z,MATCH($A38,SPPR!$A:$A,0),11),""),"")</f>
        <v/>
      </c>
      <c r="O38">
        <f>IFERROR(IF(ISNUMBER(INDEX(SPPR!$E:$Z,MATCH($A38,SPPR!$A:$A,0),12)),$C38*INDEX(SPPR!$E:$Z,MATCH($A38,SPPR!$A:$A,0),12),""),"")</f>
        <v/>
      </c>
      <c r="P38">
        <f>IFERROR(IF(ISNUMBER(INDEX(SPPR!$E:$Z,MATCH($A38,SPPR!$A:$A,0),13)),$C38*INDEX(SPPR!$E:$Z,MATCH($A38,SPPR!$A:$A,0),13),""),"")</f>
        <v/>
      </c>
      <c r="Q38">
        <f>IFERROR(IF(ISNUMBER(INDEX(SPPR!$E:$Z,MATCH($A38,SPPR!$A:$A,0),14)),$C38*INDEX(SPPR!$E:$Z,MATCH($A38,SPPR!$A:$A,0),14),""),"")</f>
        <v/>
      </c>
      <c r="R38">
        <f>IFERROR(IF(ISNUMBER(INDEX(SPPR!$E:$Z,MATCH($A38,SPPR!$A:$A,0),15)),$C38*INDEX(SPPR!$E:$Z,MATCH($A38,SPPR!$A:$A,0),15),""),"")</f>
        <v/>
      </c>
      <c r="S38">
        <f>IFERROR(IF(ISNUMBER(INDEX(SPPR!$E:$Z,MATCH($A38,SPPR!$A:$A,0),16)),$C38*INDEX(SPPR!$E:$Z,MATCH($A38,SPPR!$A:$A,0),16),""),"")</f>
        <v/>
      </c>
      <c r="T38">
        <f>IFERROR(IF(ISNUMBER(INDEX(SPPR!$E:$Z,MATCH($A38,SPPR!$A:$A,0),17)),$C38*INDEX(SPPR!$E:$Z,MATCH($A38,SPPR!$A:$A,0),17),""),"")</f>
        <v/>
      </c>
      <c r="U38">
        <f>IFERROR(IF(ISNUMBER(INDEX(SPPR!$E:$Z,MATCH($A38,SPPR!$A:$A,0),18)),$C38*INDEX(SPPR!$E:$Z,MATCH($A38,SPPR!$A:$A,0),18),""),"")</f>
        <v/>
      </c>
      <c r="V38">
        <f>IFERROR(IF(ISNUMBER(INDEX(SPPR!$E:$Z,MATCH($A38,SPPR!$A:$A,0),19)),$C38*INDEX(SPPR!$E:$Z,MATCH($A38,SPPR!$A:$A,0),19),""),"")</f>
        <v/>
      </c>
      <c r="W38">
        <f>IFERROR(IF(ISNUMBER(INDEX(SPPR!$E:$Z,MATCH($A38,SPPR!$A:$A,0),20)),$C38*INDEX(SPPR!$E:$Z,MATCH($A38,SPPR!$A:$A,0),20),""),"")</f>
        <v/>
      </c>
      <c r="X38">
        <f>IFERROR(IF(ISNUMBER(INDEX(SPPR!$E:$Z,MATCH($A38,SPPR!$A:$A,0),21)),$C38*INDEX(SPPR!$E:$Z,MATCH($A38,SPPR!$A:$A,0),21),""),"")</f>
        <v/>
      </c>
      <c r="Y38">
        <f>IFERROR(IF(ISNUMBER(INDEX(SPPR!$E:$Z,MATCH($A38,SPPR!$A:$A,0),22)),$C38*INDEX(SPPR!$E:$Z,MATCH($A38,SPPR!$A:$A,0),22),""),"")</f>
        <v/>
      </c>
    </row>
    <row r="39">
      <c r="A39" t="inlineStr">
        <is>
          <t>Haemulidae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IFERROR(IF(ISNUMBER(INDEX(SPPR!$E:$Z,MATCH($A39,SPPR!$A:$A,0),1)),$C39*INDEX(SPPR!$E:$Z,MATCH($A39,SPPR!$A:$A,0),1),""),"")</f>
        <v/>
      </c>
      <c r="E39">
        <f>IFERROR(IF(ISNUMBER(INDEX(SPPR!$E:$Z,MATCH($A39,SPPR!$A:$A,0),2)),$C39*INDEX(SPPR!$E:$Z,MATCH($A39,SPPR!$A:$A,0),2),""),"")</f>
        <v/>
      </c>
      <c r="F39">
        <f>IFERROR(IF(ISNUMBER(INDEX(SPPR!$E:$Z,MATCH($A39,SPPR!$A:$A,0),3)),$C39*INDEX(SPPR!$E:$Z,MATCH($A39,SPPR!$A:$A,0),3),""),"")</f>
        <v/>
      </c>
      <c r="G39">
        <f>IFERROR(IF(ISNUMBER(INDEX(SPPR!$E:$Z,MATCH($A39,SPPR!$A:$A,0),4)),$C39*INDEX(SPPR!$E:$Z,MATCH($A39,SPPR!$A:$A,0),4),""),"")</f>
        <v/>
      </c>
      <c r="H39">
        <f>IFERROR(IF(ISNUMBER(INDEX(SPPR!$E:$Z,MATCH($A39,SPPR!$A:$A,0),5)),$C39*INDEX(SPPR!$E:$Z,MATCH($A39,SPPR!$A:$A,0),5),""),"")</f>
        <v/>
      </c>
      <c r="I39">
        <f>IFERROR(IF(ISNUMBER(INDEX(SPPR!$E:$Z,MATCH($A39,SPPR!$A:$A,0),6)),$C39*INDEX(SPPR!$E:$Z,MATCH($A39,SPPR!$A:$A,0),6),""),"")</f>
        <v/>
      </c>
      <c r="J39">
        <f>IFERROR(IF(ISNUMBER(INDEX(SPPR!$E:$Z,MATCH($A39,SPPR!$A:$A,0),7)),$C39*INDEX(SPPR!$E:$Z,MATCH($A39,SPPR!$A:$A,0),7),""),"")</f>
        <v/>
      </c>
      <c r="K39">
        <f>IFERROR(IF(ISNUMBER(INDEX(SPPR!$E:$Z,MATCH($A39,SPPR!$A:$A,0),8)),$C39*INDEX(SPPR!$E:$Z,MATCH($A39,SPPR!$A:$A,0),8),""),"")</f>
        <v/>
      </c>
      <c r="L39">
        <f>IFERROR(IF(ISNUMBER(INDEX(SPPR!$E:$Z,MATCH($A39,SPPR!$A:$A,0),9)),$C39*INDEX(SPPR!$E:$Z,MATCH($A39,SPPR!$A:$A,0),9),""),"")</f>
        <v/>
      </c>
      <c r="M39">
        <f>IFERROR(IF(ISNUMBER(INDEX(SPPR!$E:$Z,MATCH($A39,SPPR!$A:$A,0),10)),$C39*INDEX(SPPR!$E:$Z,MATCH($A39,SPPR!$A:$A,0),10),""),"")</f>
        <v/>
      </c>
      <c r="N39">
        <f>IFERROR(IF(ISNUMBER(INDEX(SPPR!$E:$Z,MATCH($A39,SPPR!$A:$A,0),11)),$C39*INDEX(SPPR!$E:$Z,MATCH($A39,SPPR!$A:$A,0),11),""),"")</f>
        <v/>
      </c>
      <c r="O39">
        <f>IFERROR(IF(ISNUMBER(INDEX(SPPR!$E:$Z,MATCH($A39,SPPR!$A:$A,0),12)),$C39*INDEX(SPPR!$E:$Z,MATCH($A39,SPPR!$A:$A,0),12),""),"")</f>
        <v/>
      </c>
      <c r="P39">
        <f>IFERROR(IF(ISNUMBER(INDEX(SPPR!$E:$Z,MATCH($A39,SPPR!$A:$A,0),13)),$C39*INDEX(SPPR!$E:$Z,MATCH($A39,SPPR!$A:$A,0),13),""),"")</f>
        <v/>
      </c>
      <c r="Q39">
        <f>IFERROR(IF(ISNUMBER(INDEX(SPPR!$E:$Z,MATCH($A39,SPPR!$A:$A,0),14)),$C39*INDEX(SPPR!$E:$Z,MATCH($A39,SPPR!$A:$A,0),14),""),"")</f>
        <v/>
      </c>
      <c r="R39">
        <f>IFERROR(IF(ISNUMBER(INDEX(SPPR!$E:$Z,MATCH($A39,SPPR!$A:$A,0),15)),$C39*INDEX(SPPR!$E:$Z,MATCH($A39,SPPR!$A:$A,0),15),""),"")</f>
        <v/>
      </c>
      <c r="S39">
        <f>IFERROR(IF(ISNUMBER(INDEX(SPPR!$E:$Z,MATCH($A39,SPPR!$A:$A,0),16)),$C39*INDEX(SPPR!$E:$Z,MATCH($A39,SPPR!$A:$A,0),16),""),"")</f>
        <v/>
      </c>
      <c r="T39">
        <f>IFERROR(IF(ISNUMBER(INDEX(SPPR!$E:$Z,MATCH($A39,SPPR!$A:$A,0),17)),$C39*INDEX(SPPR!$E:$Z,MATCH($A39,SPPR!$A:$A,0),17),""),"")</f>
        <v/>
      </c>
      <c r="U39">
        <f>IFERROR(IF(ISNUMBER(INDEX(SPPR!$E:$Z,MATCH($A39,SPPR!$A:$A,0),18)),$C39*INDEX(SPPR!$E:$Z,MATCH($A39,SPPR!$A:$A,0),18),""),"")</f>
        <v/>
      </c>
      <c r="V39">
        <f>IFERROR(IF(ISNUMBER(INDEX(SPPR!$E:$Z,MATCH($A39,SPPR!$A:$A,0),19)),$C39*INDEX(SPPR!$E:$Z,MATCH($A39,SPPR!$A:$A,0),19),""),"")</f>
        <v/>
      </c>
      <c r="W39">
        <f>IFERROR(IF(ISNUMBER(INDEX(SPPR!$E:$Z,MATCH($A39,SPPR!$A:$A,0),20)),$C39*INDEX(SPPR!$E:$Z,MATCH($A39,SPPR!$A:$A,0),20),""),"")</f>
        <v/>
      </c>
      <c r="X39">
        <f>IFERROR(IF(ISNUMBER(INDEX(SPPR!$E:$Z,MATCH($A39,SPPR!$A:$A,0),21)),$C39*INDEX(SPPR!$E:$Z,MATCH($A39,SPPR!$A:$A,0),21),""),"")</f>
        <v/>
      </c>
      <c r="Y39">
        <f>IFERROR(IF(ISNUMBER(INDEX(SPPR!$E:$Z,MATCH($A39,SPPR!$A:$A,0),22)),$C39*INDEX(SPPR!$E:$Z,MATCH($A39,SPPR!$A:$A,0),22),""),"")</f>
        <v/>
      </c>
    </row>
    <row r="40">
      <c r="A40" t="inlineStr">
        <is>
          <t>Cynoglossus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IFERROR(IF(ISNUMBER(INDEX(SPPR!$E:$Z,MATCH($A40,SPPR!$A:$A,0),1)),$C40*INDEX(SPPR!$E:$Z,MATCH($A40,SPPR!$A:$A,0),1),""),"")</f>
        <v/>
      </c>
      <c r="E40">
        <f>IFERROR(IF(ISNUMBER(INDEX(SPPR!$E:$Z,MATCH($A40,SPPR!$A:$A,0),2)),$C40*INDEX(SPPR!$E:$Z,MATCH($A40,SPPR!$A:$A,0),2),""),"")</f>
        <v/>
      </c>
      <c r="F40">
        <f>IFERROR(IF(ISNUMBER(INDEX(SPPR!$E:$Z,MATCH($A40,SPPR!$A:$A,0),3)),$C40*INDEX(SPPR!$E:$Z,MATCH($A40,SPPR!$A:$A,0),3),""),"")</f>
        <v/>
      </c>
      <c r="G40">
        <f>IFERROR(IF(ISNUMBER(INDEX(SPPR!$E:$Z,MATCH($A40,SPPR!$A:$A,0),4)),$C40*INDEX(SPPR!$E:$Z,MATCH($A40,SPPR!$A:$A,0),4),""),"")</f>
        <v/>
      </c>
      <c r="H40">
        <f>IFERROR(IF(ISNUMBER(INDEX(SPPR!$E:$Z,MATCH($A40,SPPR!$A:$A,0),5)),$C40*INDEX(SPPR!$E:$Z,MATCH($A40,SPPR!$A:$A,0),5),""),"")</f>
        <v/>
      </c>
      <c r="I40">
        <f>IFERROR(IF(ISNUMBER(INDEX(SPPR!$E:$Z,MATCH($A40,SPPR!$A:$A,0),6)),$C40*INDEX(SPPR!$E:$Z,MATCH($A40,SPPR!$A:$A,0),6),""),"")</f>
        <v/>
      </c>
      <c r="J40">
        <f>IFERROR(IF(ISNUMBER(INDEX(SPPR!$E:$Z,MATCH($A40,SPPR!$A:$A,0),7)),$C40*INDEX(SPPR!$E:$Z,MATCH($A40,SPPR!$A:$A,0),7),""),"")</f>
        <v/>
      </c>
      <c r="K40">
        <f>IFERROR(IF(ISNUMBER(INDEX(SPPR!$E:$Z,MATCH($A40,SPPR!$A:$A,0),8)),$C40*INDEX(SPPR!$E:$Z,MATCH($A40,SPPR!$A:$A,0),8),""),"")</f>
        <v/>
      </c>
      <c r="L40">
        <f>IFERROR(IF(ISNUMBER(INDEX(SPPR!$E:$Z,MATCH($A40,SPPR!$A:$A,0),9)),$C40*INDEX(SPPR!$E:$Z,MATCH($A40,SPPR!$A:$A,0),9),""),"")</f>
        <v/>
      </c>
      <c r="M40">
        <f>IFERROR(IF(ISNUMBER(INDEX(SPPR!$E:$Z,MATCH($A40,SPPR!$A:$A,0),10)),$C40*INDEX(SPPR!$E:$Z,MATCH($A40,SPPR!$A:$A,0),10),""),"")</f>
        <v/>
      </c>
      <c r="N40">
        <f>IFERROR(IF(ISNUMBER(INDEX(SPPR!$E:$Z,MATCH($A40,SPPR!$A:$A,0),11)),$C40*INDEX(SPPR!$E:$Z,MATCH($A40,SPPR!$A:$A,0),11),""),"")</f>
        <v/>
      </c>
      <c r="O40">
        <f>IFERROR(IF(ISNUMBER(INDEX(SPPR!$E:$Z,MATCH($A40,SPPR!$A:$A,0),12)),$C40*INDEX(SPPR!$E:$Z,MATCH($A40,SPPR!$A:$A,0),12),""),"")</f>
        <v/>
      </c>
      <c r="P40">
        <f>IFERROR(IF(ISNUMBER(INDEX(SPPR!$E:$Z,MATCH($A40,SPPR!$A:$A,0),13)),$C40*INDEX(SPPR!$E:$Z,MATCH($A40,SPPR!$A:$A,0),13),""),"")</f>
        <v/>
      </c>
      <c r="Q40">
        <f>IFERROR(IF(ISNUMBER(INDEX(SPPR!$E:$Z,MATCH($A40,SPPR!$A:$A,0),14)),$C40*INDEX(SPPR!$E:$Z,MATCH($A40,SPPR!$A:$A,0),14),""),"")</f>
        <v/>
      </c>
      <c r="R40">
        <f>IFERROR(IF(ISNUMBER(INDEX(SPPR!$E:$Z,MATCH($A40,SPPR!$A:$A,0),15)),$C40*INDEX(SPPR!$E:$Z,MATCH($A40,SPPR!$A:$A,0),15),""),"")</f>
        <v/>
      </c>
      <c r="S40">
        <f>IFERROR(IF(ISNUMBER(INDEX(SPPR!$E:$Z,MATCH($A40,SPPR!$A:$A,0),16)),$C40*INDEX(SPPR!$E:$Z,MATCH($A40,SPPR!$A:$A,0),16),""),"")</f>
        <v/>
      </c>
      <c r="T40">
        <f>IFERROR(IF(ISNUMBER(INDEX(SPPR!$E:$Z,MATCH($A40,SPPR!$A:$A,0),17)),$C40*INDEX(SPPR!$E:$Z,MATCH($A40,SPPR!$A:$A,0),17),""),"")</f>
        <v/>
      </c>
      <c r="U40">
        <f>IFERROR(IF(ISNUMBER(INDEX(SPPR!$E:$Z,MATCH($A40,SPPR!$A:$A,0),18)),$C40*INDEX(SPPR!$E:$Z,MATCH($A40,SPPR!$A:$A,0),18),""),"")</f>
        <v/>
      </c>
      <c r="V40">
        <f>IFERROR(IF(ISNUMBER(INDEX(SPPR!$E:$Z,MATCH($A40,SPPR!$A:$A,0),19)),$C40*INDEX(SPPR!$E:$Z,MATCH($A40,SPPR!$A:$A,0),19),""),"")</f>
        <v/>
      </c>
      <c r="W40">
        <f>IFERROR(IF(ISNUMBER(INDEX(SPPR!$E:$Z,MATCH($A40,SPPR!$A:$A,0),20)),$C40*INDEX(SPPR!$E:$Z,MATCH($A40,SPPR!$A:$A,0),20),""),"")</f>
        <v/>
      </c>
      <c r="X40">
        <f>IFERROR(IF(ISNUMBER(INDEX(SPPR!$E:$Z,MATCH($A40,SPPR!$A:$A,0),21)),$C40*INDEX(SPPR!$E:$Z,MATCH($A40,SPPR!$A:$A,0),21),""),"")</f>
        <v/>
      </c>
      <c r="Y40">
        <f>IFERROR(IF(ISNUMBER(INDEX(SPPR!$E:$Z,MATCH($A40,SPPR!$A:$A,0),22)),$C40*INDEX(SPPR!$E:$Z,MATCH($A40,SPPR!$A:$A,0),22),""),"")</f>
        <v/>
      </c>
    </row>
    <row r="41">
      <c r="A41" t="inlineStr">
        <is>
          <t>Ilisha africana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IFERROR(IF(ISNUMBER(INDEX(SPPR!$E:$Z,MATCH($A41,SPPR!$A:$A,0),1)),$C41*INDEX(SPPR!$E:$Z,MATCH($A41,SPPR!$A:$A,0),1),""),"")</f>
        <v/>
      </c>
      <c r="E41">
        <f>IFERROR(IF(ISNUMBER(INDEX(SPPR!$E:$Z,MATCH($A41,SPPR!$A:$A,0),2)),$C41*INDEX(SPPR!$E:$Z,MATCH($A41,SPPR!$A:$A,0),2),""),"")</f>
        <v/>
      </c>
      <c r="F41">
        <f>IFERROR(IF(ISNUMBER(INDEX(SPPR!$E:$Z,MATCH($A41,SPPR!$A:$A,0),3)),$C41*INDEX(SPPR!$E:$Z,MATCH($A41,SPPR!$A:$A,0),3),""),"")</f>
        <v/>
      </c>
      <c r="G41">
        <f>IFERROR(IF(ISNUMBER(INDEX(SPPR!$E:$Z,MATCH($A41,SPPR!$A:$A,0),4)),$C41*INDEX(SPPR!$E:$Z,MATCH($A41,SPPR!$A:$A,0),4),""),"")</f>
        <v/>
      </c>
      <c r="H41">
        <f>IFERROR(IF(ISNUMBER(INDEX(SPPR!$E:$Z,MATCH($A41,SPPR!$A:$A,0),5)),$C41*INDEX(SPPR!$E:$Z,MATCH($A41,SPPR!$A:$A,0),5),""),"")</f>
        <v/>
      </c>
      <c r="I41">
        <f>IFERROR(IF(ISNUMBER(INDEX(SPPR!$E:$Z,MATCH($A41,SPPR!$A:$A,0),6)),$C41*INDEX(SPPR!$E:$Z,MATCH($A41,SPPR!$A:$A,0),6),""),"")</f>
        <v/>
      </c>
      <c r="J41">
        <f>IFERROR(IF(ISNUMBER(INDEX(SPPR!$E:$Z,MATCH($A41,SPPR!$A:$A,0),7)),$C41*INDEX(SPPR!$E:$Z,MATCH($A41,SPPR!$A:$A,0),7),""),"")</f>
        <v/>
      </c>
      <c r="K41">
        <f>IFERROR(IF(ISNUMBER(INDEX(SPPR!$E:$Z,MATCH($A41,SPPR!$A:$A,0),8)),$C41*INDEX(SPPR!$E:$Z,MATCH($A41,SPPR!$A:$A,0),8),""),"")</f>
        <v/>
      </c>
      <c r="L41">
        <f>IFERROR(IF(ISNUMBER(INDEX(SPPR!$E:$Z,MATCH($A41,SPPR!$A:$A,0),9)),$C41*INDEX(SPPR!$E:$Z,MATCH($A41,SPPR!$A:$A,0),9),""),"")</f>
        <v/>
      </c>
      <c r="M41">
        <f>IFERROR(IF(ISNUMBER(INDEX(SPPR!$E:$Z,MATCH($A41,SPPR!$A:$A,0),10)),$C41*INDEX(SPPR!$E:$Z,MATCH($A41,SPPR!$A:$A,0),10),""),"")</f>
        <v/>
      </c>
      <c r="N41">
        <f>IFERROR(IF(ISNUMBER(INDEX(SPPR!$E:$Z,MATCH($A41,SPPR!$A:$A,0),11)),$C41*INDEX(SPPR!$E:$Z,MATCH($A41,SPPR!$A:$A,0),11),""),"")</f>
        <v/>
      </c>
      <c r="O41">
        <f>IFERROR(IF(ISNUMBER(INDEX(SPPR!$E:$Z,MATCH($A41,SPPR!$A:$A,0),12)),$C41*INDEX(SPPR!$E:$Z,MATCH($A41,SPPR!$A:$A,0),12),""),"")</f>
        <v/>
      </c>
      <c r="P41">
        <f>IFERROR(IF(ISNUMBER(INDEX(SPPR!$E:$Z,MATCH($A41,SPPR!$A:$A,0),13)),$C41*INDEX(SPPR!$E:$Z,MATCH($A41,SPPR!$A:$A,0),13),""),"")</f>
        <v/>
      </c>
      <c r="Q41">
        <f>IFERROR(IF(ISNUMBER(INDEX(SPPR!$E:$Z,MATCH($A41,SPPR!$A:$A,0),14)),$C41*INDEX(SPPR!$E:$Z,MATCH($A41,SPPR!$A:$A,0),14),""),"")</f>
        <v/>
      </c>
      <c r="R41">
        <f>IFERROR(IF(ISNUMBER(INDEX(SPPR!$E:$Z,MATCH($A41,SPPR!$A:$A,0),15)),$C41*INDEX(SPPR!$E:$Z,MATCH($A41,SPPR!$A:$A,0),15),""),"")</f>
        <v/>
      </c>
      <c r="S41">
        <f>IFERROR(IF(ISNUMBER(INDEX(SPPR!$E:$Z,MATCH($A41,SPPR!$A:$A,0),16)),$C41*INDEX(SPPR!$E:$Z,MATCH($A41,SPPR!$A:$A,0),16),""),"")</f>
        <v/>
      </c>
      <c r="T41">
        <f>IFERROR(IF(ISNUMBER(INDEX(SPPR!$E:$Z,MATCH($A41,SPPR!$A:$A,0),17)),$C41*INDEX(SPPR!$E:$Z,MATCH($A41,SPPR!$A:$A,0),17),""),"")</f>
        <v/>
      </c>
      <c r="U41">
        <f>IFERROR(IF(ISNUMBER(INDEX(SPPR!$E:$Z,MATCH($A41,SPPR!$A:$A,0),18)),$C41*INDEX(SPPR!$E:$Z,MATCH($A41,SPPR!$A:$A,0),18),""),"")</f>
        <v/>
      </c>
      <c r="V41">
        <f>IFERROR(IF(ISNUMBER(INDEX(SPPR!$E:$Z,MATCH($A41,SPPR!$A:$A,0),19)),$C41*INDEX(SPPR!$E:$Z,MATCH($A41,SPPR!$A:$A,0),19),""),"")</f>
        <v/>
      </c>
      <c r="W41">
        <f>IFERROR(IF(ISNUMBER(INDEX(SPPR!$E:$Z,MATCH($A41,SPPR!$A:$A,0),20)),$C41*INDEX(SPPR!$E:$Z,MATCH($A41,SPPR!$A:$A,0),20),""),"")</f>
        <v/>
      </c>
      <c r="X41">
        <f>IFERROR(IF(ISNUMBER(INDEX(SPPR!$E:$Z,MATCH($A41,SPPR!$A:$A,0),21)),$C41*INDEX(SPPR!$E:$Z,MATCH($A41,SPPR!$A:$A,0),21),""),"")</f>
        <v/>
      </c>
      <c r="Y41">
        <f>IFERROR(IF(ISNUMBER(INDEX(SPPR!$E:$Z,MATCH($A41,SPPR!$A:$A,0),22)),$C41*INDEX(SPPR!$E:$Z,MATCH($A41,SPPR!$A:$A,0),22),""),"")</f>
        <v/>
      </c>
    </row>
    <row r="42">
      <c r="A42" t="inlineStr">
        <is>
          <t>Lutjanidae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IFERROR(IF(ISNUMBER(INDEX(SPPR!$E:$Z,MATCH($A42,SPPR!$A:$A,0),1)),$C42*INDEX(SPPR!$E:$Z,MATCH($A42,SPPR!$A:$A,0),1),""),"")</f>
        <v/>
      </c>
      <c r="E42">
        <f>IFERROR(IF(ISNUMBER(INDEX(SPPR!$E:$Z,MATCH($A42,SPPR!$A:$A,0),2)),$C42*INDEX(SPPR!$E:$Z,MATCH($A42,SPPR!$A:$A,0),2),""),"")</f>
        <v/>
      </c>
      <c r="F42">
        <f>IFERROR(IF(ISNUMBER(INDEX(SPPR!$E:$Z,MATCH($A42,SPPR!$A:$A,0),3)),$C42*INDEX(SPPR!$E:$Z,MATCH($A42,SPPR!$A:$A,0),3),""),"")</f>
        <v/>
      </c>
      <c r="G42">
        <f>IFERROR(IF(ISNUMBER(INDEX(SPPR!$E:$Z,MATCH($A42,SPPR!$A:$A,0),4)),$C42*INDEX(SPPR!$E:$Z,MATCH($A42,SPPR!$A:$A,0),4),""),"")</f>
        <v/>
      </c>
      <c r="H42">
        <f>IFERROR(IF(ISNUMBER(INDEX(SPPR!$E:$Z,MATCH($A42,SPPR!$A:$A,0),5)),$C42*INDEX(SPPR!$E:$Z,MATCH($A42,SPPR!$A:$A,0),5),""),"")</f>
        <v/>
      </c>
      <c r="I42">
        <f>IFERROR(IF(ISNUMBER(INDEX(SPPR!$E:$Z,MATCH($A42,SPPR!$A:$A,0),6)),$C42*INDEX(SPPR!$E:$Z,MATCH($A42,SPPR!$A:$A,0),6),""),"")</f>
        <v/>
      </c>
      <c r="J42">
        <f>IFERROR(IF(ISNUMBER(INDEX(SPPR!$E:$Z,MATCH($A42,SPPR!$A:$A,0),7)),$C42*INDEX(SPPR!$E:$Z,MATCH($A42,SPPR!$A:$A,0),7),""),"")</f>
        <v/>
      </c>
      <c r="K42">
        <f>IFERROR(IF(ISNUMBER(INDEX(SPPR!$E:$Z,MATCH($A42,SPPR!$A:$A,0),8)),$C42*INDEX(SPPR!$E:$Z,MATCH($A42,SPPR!$A:$A,0),8),""),"")</f>
        <v/>
      </c>
      <c r="L42">
        <f>IFERROR(IF(ISNUMBER(INDEX(SPPR!$E:$Z,MATCH($A42,SPPR!$A:$A,0),9)),$C42*INDEX(SPPR!$E:$Z,MATCH($A42,SPPR!$A:$A,0),9),""),"")</f>
        <v/>
      </c>
      <c r="M42">
        <f>IFERROR(IF(ISNUMBER(INDEX(SPPR!$E:$Z,MATCH($A42,SPPR!$A:$A,0),10)),$C42*INDEX(SPPR!$E:$Z,MATCH($A42,SPPR!$A:$A,0),10),""),"")</f>
        <v/>
      </c>
      <c r="N42">
        <f>IFERROR(IF(ISNUMBER(INDEX(SPPR!$E:$Z,MATCH($A42,SPPR!$A:$A,0),11)),$C42*INDEX(SPPR!$E:$Z,MATCH($A42,SPPR!$A:$A,0),11),""),"")</f>
        <v/>
      </c>
      <c r="O42">
        <f>IFERROR(IF(ISNUMBER(INDEX(SPPR!$E:$Z,MATCH($A42,SPPR!$A:$A,0),12)),$C42*INDEX(SPPR!$E:$Z,MATCH($A42,SPPR!$A:$A,0),12),""),"")</f>
        <v/>
      </c>
      <c r="P42">
        <f>IFERROR(IF(ISNUMBER(INDEX(SPPR!$E:$Z,MATCH($A42,SPPR!$A:$A,0),13)),$C42*INDEX(SPPR!$E:$Z,MATCH($A42,SPPR!$A:$A,0),13),""),"")</f>
        <v/>
      </c>
      <c r="Q42">
        <f>IFERROR(IF(ISNUMBER(INDEX(SPPR!$E:$Z,MATCH($A42,SPPR!$A:$A,0),14)),$C42*INDEX(SPPR!$E:$Z,MATCH($A42,SPPR!$A:$A,0),14),""),"")</f>
        <v/>
      </c>
      <c r="R42">
        <f>IFERROR(IF(ISNUMBER(INDEX(SPPR!$E:$Z,MATCH($A42,SPPR!$A:$A,0),15)),$C42*INDEX(SPPR!$E:$Z,MATCH($A42,SPPR!$A:$A,0),15),""),"")</f>
        <v/>
      </c>
      <c r="S42">
        <f>IFERROR(IF(ISNUMBER(INDEX(SPPR!$E:$Z,MATCH($A42,SPPR!$A:$A,0),16)),$C42*INDEX(SPPR!$E:$Z,MATCH($A42,SPPR!$A:$A,0),16),""),"")</f>
        <v/>
      </c>
      <c r="T42">
        <f>IFERROR(IF(ISNUMBER(INDEX(SPPR!$E:$Z,MATCH($A42,SPPR!$A:$A,0),17)),$C42*INDEX(SPPR!$E:$Z,MATCH($A42,SPPR!$A:$A,0),17),""),"")</f>
        <v/>
      </c>
      <c r="U42">
        <f>IFERROR(IF(ISNUMBER(INDEX(SPPR!$E:$Z,MATCH($A42,SPPR!$A:$A,0),18)),$C42*INDEX(SPPR!$E:$Z,MATCH($A42,SPPR!$A:$A,0),18),""),"")</f>
        <v/>
      </c>
      <c r="V42">
        <f>IFERROR(IF(ISNUMBER(INDEX(SPPR!$E:$Z,MATCH($A42,SPPR!$A:$A,0),19)),$C42*INDEX(SPPR!$E:$Z,MATCH($A42,SPPR!$A:$A,0),19),""),"")</f>
        <v/>
      </c>
      <c r="W42">
        <f>IFERROR(IF(ISNUMBER(INDEX(SPPR!$E:$Z,MATCH($A42,SPPR!$A:$A,0),20)),$C42*INDEX(SPPR!$E:$Z,MATCH($A42,SPPR!$A:$A,0),20),""),"")</f>
        <v/>
      </c>
      <c r="X42">
        <f>IFERROR(IF(ISNUMBER(INDEX(SPPR!$E:$Z,MATCH($A42,SPPR!$A:$A,0),21)),$C42*INDEX(SPPR!$E:$Z,MATCH($A42,SPPR!$A:$A,0),21),""),"")</f>
        <v/>
      </c>
      <c r="Y42">
        <f>IFERROR(IF(ISNUMBER(INDEX(SPPR!$E:$Z,MATCH($A42,SPPR!$A:$A,0),22)),$C42*INDEX(SPPR!$E:$Z,MATCH($A42,SPPR!$A:$A,0),22),""),"")</f>
        <v/>
      </c>
    </row>
    <row r="43">
      <c r="A43" t="inlineStr">
        <is>
          <t>Cynoglossus monodi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IFERROR(IF(ISNUMBER(INDEX(SPPR!$E:$Z,MATCH($A43,SPPR!$A:$A,0),1)),$C43*INDEX(SPPR!$E:$Z,MATCH($A43,SPPR!$A:$A,0),1),""),"")</f>
        <v/>
      </c>
      <c r="E43">
        <f>IFERROR(IF(ISNUMBER(INDEX(SPPR!$E:$Z,MATCH($A43,SPPR!$A:$A,0),2)),$C43*INDEX(SPPR!$E:$Z,MATCH($A43,SPPR!$A:$A,0),2),""),"")</f>
        <v/>
      </c>
      <c r="F43">
        <f>IFERROR(IF(ISNUMBER(INDEX(SPPR!$E:$Z,MATCH($A43,SPPR!$A:$A,0),3)),$C43*INDEX(SPPR!$E:$Z,MATCH($A43,SPPR!$A:$A,0),3),""),"")</f>
        <v/>
      </c>
      <c r="G43">
        <f>IFERROR(IF(ISNUMBER(INDEX(SPPR!$E:$Z,MATCH($A43,SPPR!$A:$A,0),4)),$C43*INDEX(SPPR!$E:$Z,MATCH($A43,SPPR!$A:$A,0),4),""),"")</f>
        <v/>
      </c>
      <c r="H43">
        <f>IFERROR(IF(ISNUMBER(INDEX(SPPR!$E:$Z,MATCH($A43,SPPR!$A:$A,0),5)),$C43*INDEX(SPPR!$E:$Z,MATCH($A43,SPPR!$A:$A,0),5),""),"")</f>
        <v/>
      </c>
      <c r="I43">
        <f>IFERROR(IF(ISNUMBER(INDEX(SPPR!$E:$Z,MATCH($A43,SPPR!$A:$A,0),6)),$C43*INDEX(SPPR!$E:$Z,MATCH($A43,SPPR!$A:$A,0),6),""),"")</f>
        <v/>
      </c>
      <c r="J43">
        <f>IFERROR(IF(ISNUMBER(INDEX(SPPR!$E:$Z,MATCH($A43,SPPR!$A:$A,0),7)),$C43*INDEX(SPPR!$E:$Z,MATCH($A43,SPPR!$A:$A,0),7),""),"")</f>
        <v/>
      </c>
      <c r="K43">
        <f>IFERROR(IF(ISNUMBER(INDEX(SPPR!$E:$Z,MATCH($A43,SPPR!$A:$A,0),8)),$C43*INDEX(SPPR!$E:$Z,MATCH($A43,SPPR!$A:$A,0),8),""),"")</f>
        <v/>
      </c>
      <c r="L43">
        <f>IFERROR(IF(ISNUMBER(INDEX(SPPR!$E:$Z,MATCH($A43,SPPR!$A:$A,0),9)),$C43*INDEX(SPPR!$E:$Z,MATCH($A43,SPPR!$A:$A,0),9),""),"")</f>
        <v/>
      </c>
      <c r="M43">
        <f>IFERROR(IF(ISNUMBER(INDEX(SPPR!$E:$Z,MATCH($A43,SPPR!$A:$A,0),10)),$C43*INDEX(SPPR!$E:$Z,MATCH($A43,SPPR!$A:$A,0),10),""),"")</f>
        <v/>
      </c>
      <c r="N43">
        <f>IFERROR(IF(ISNUMBER(INDEX(SPPR!$E:$Z,MATCH($A43,SPPR!$A:$A,0),11)),$C43*INDEX(SPPR!$E:$Z,MATCH($A43,SPPR!$A:$A,0),11),""),"")</f>
        <v/>
      </c>
      <c r="O43">
        <f>IFERROR(IF(ISNUMBER(INDEX(SPPR!$E:$Z,MATCH($A43,SPPR!$A:$A,0),12)),$C43*INDEX(SPPR!$E:$Z,MATCH($A43,SPPR!$A:$A,0),12),""),"")</f>
        <v/>
      </c>
      <c r="P43">
        <f>IFERROR(IF(ISNUMBER(INDEX(SPPR!$E:$Z,MATCH($A43,SPPR!$A:$A,0),13)),$C43*INDEX(SPPR!$E:$Z,MATCH($A43,SPPR!$A:$A,0),13),""),"")</f>
        <v/>
      </c>
      <c r="Q43">
        <f>IFERROR(IF(ISNUMBER(INDEX(SPPR!$E:$Z,MATCH($A43,SPPR!$A:$A,0),14)),$C43*INDEX(SPPR!$E:$Z,MATCH($A43,SPPR!$A:$A,0),14),""),"")</f>
        <v/>
      </c>
      <c r="R43">
        <f>IFERROR(IF(ISNUMBER(INDEX(SPPR!$E:$Z,MATCH($A43,SPPR!$A:$A,0),15)),$C43*INDEX(SPPR!$E:$Z,MATCH($A43,SPPR!$A:$A,0),15),""),"")</f>
        <v/>
      </c>
      <c r="S43">
        <f>IFERROR(IF(ISNUMBER(INDEX(SPPR!$E:$Z,MATCH($A43,SPPR!$A:$A,0),16)),$C43*INDEX(SPPR!$E:$Z,MATCH($A43,SPPR!$A:$A,0),16),""),"")</f>
        <v/>
      </c>
      <c r="T43">
        <f>IFERROR(IF(ISNUMBER(INDEX(SPPR!$E:$Z,MATCH($A43,SPPR!$A:$A,0),17)),$C43*INDEX(SPPR!$E:$Z,MATCH($A43,SPPR!$A:$A,0),17),""),"")</f>
        <v/>
      </c>
      <c r="U43">
        <f>IFERROR(IF(ISNUMBER(INDEX(SPPR!$E:$Z,MATCH($A43,SPPR!$A:$A,0),18)),$C43*INDEX(SPPR!$E:$Z,MATCH($A43,SPPR!$A:$A,0),18),""),"")</f>
        <v/>
      </c>
      <c r="V43">
        <f>IFERROR(IF(ISNUMBER(INDEX(SPPR!$E:$Z,MATCH($A43,SPPR!$A:$A,0),19)),$C43*INDEX(SPPR!$E:$Z,MATCH($A43,SPPR!$A:$A,0),19),""),"")</f>
        <v/>
      </c>
      <c r="W43">
        <f>IFERROR(IF(ISNUMBER(INDEX(SPPR!$E:$Z,MATCH($A43,SPPR!$A:$A,0),20)),$C43*INDEX(SPPR!$E:$Z,MATCH($A43,SPPR!$A:$A,0),20),""),"")</f>
        <v/>
      </c>
      <c r="X43">
        <f>IFERROR(IF(ISNUMBER(INDEX(SPPR!$E:$Z,MATCH($A43,SPPR!$A:$A,0),21)),$C43*INDEX(SPPR!$E:$Z,MATCH($A43,SPPR!$A:$A,0),21),""),"")</f>
        <v/>
      </c>
      <c r="Y43">
        <f>IFERROR(IF(ISNUMBER(INDEX(SPPR!$E:$Z,MATCH($A43,SPPR!$A:$A,0),22)),$C43*INDEX(SPPR!$E:$Z,MATCH($A43,SPPR!$A:$A,0),22),""),"")</f>
        <v/>
      </c>
    </row>
    <row r="44">
      <c r="A44" t="inlineStr">
        <is>
          <t>Rachycentron canadum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IFERROR(IF(ISNUMBER(INDEX(SPPR!$E:$Z,MATCH($A44,SPPR!$A:$A,0),1)),$C44*INDEX(SPPR!$E:$Z,MATCH($A44,SPPR!$A:$A,0),1),""),"")</f>
        <v/>
      </c>
      <c r="E44">
        <f>IFERROR(IF(ISNUMBER(INDEX(SPPR!$E:$Z,MATCH($A44,SPPR!$A:$A,0),2)),$C44*INDEX(SPPR!$E:$Z,MATCH($A44,SPPR!$A:$A,0),2),""),"")</f>
        <v/>
      </c>
      <c r="F44">
        <f>IFERROR(IF(ISNUMBER(INDEX(SPPR!$E:$Z,MATCH($A44,SPPR!$A:$A,0),3)),$C44*INDEX(SPPR!$E:$Z,MATCH($A44,SPPR!$A:$A,0),3),""),"")</f>
        <v/>
      </c>
      <c r="G44">
        <f>IFERROR(IF(ISNUMBER(INDEX(SPPR!$E:$Z,MATCH($A44,SPPR!$A:$A,0),4)),$C44*INDEX(SPPR!$E:$Z,MATCH($A44,SPPR!$A:$A,0),4),""),"")</f>
        <v/>
      </c>
      <c r="H44">
        <f>IFERROR(IF(ISNUMBER(INDEX(SPPR!$E:$Z,MATCH($A44,SPPR!$A:$A,0),5)),$C44*INDEX(SPPR!$E:$Z,MATCH($A44,SPPR!$A:$A,0),5),""),"")</f>
        <v/>
      </c>
      <c r="I44">
        <f>IFERROR(IF(ISNUMBER(INDEX(SPPR!$E:$Z,MATCH($A44,SPPR!$A:$A,0),6)),$C44*INDEX(SPPR!$E:$Z,MATCH($A44,SPPR!$A:$A,0),6),""),"")</f>
        <v/>
      </c>
      <c r="J44">
        <f>IFERROR(IF(ISNUMBER(INDEX(SPPR!$E:$Z,MATCH($A44,SPPR!$A:$A,0),7)),$C44*INDEX(SPPR!$E:$Z,MATCH($A44,SPPR!$A:$A,0),7),""),"")</f>
        <v/>
      </c>
      <c r="K44">
        <f>IFERROR(IF(ISNUMBER(INDEX(SPPR!$E:$Z,MATCH($A44,SPPR!$A:$A,0),8)),$C44*INDEX(SPPR!$E:$Z,MATCH($A44,SPPR!$A:$A,0),8),""),"")</f>
        <v/>
      </c>
      <c r="L44">
        <f>IFERROR(IF(ISNUMBER(INDEX(SPPR!$E:$Z,MATCH($A44,SPPR!$A:$A,0),9)),$C44*INDEX(SPPR!$E:$Z,MATCH($A44,SPPR!$A:$A,0),9),""),"")</f>
        <v/>
      </c>
      <c r="M44">
        <f>IFERROR(IF(ISNUMBER(INDEX(SPPR!$E:$Z,MATCH($A44,SPPR!$A:$A,0),10)),$C44*INDEX(SPPR!$E:$Z,MATCH($A44,SPPR!$A:$A,0),10),""),"")</f>
        <v/>
      </c>
      <c r="N44">
        <f>IFERROR(IF(ISNUMBER(INDEX(SPPR!$E:$Z,MATCH($A44,SPPR!$A:$A,0),11)),$C44*INDEX(SPPR!$E:$Z,MATCH($A44,SPPR!$A:$A,0),11),""),"")</f>
        <v/>
      </c>
      <c r="O44">
        <f>IFERROR(IF(ISNUMBER(INDEX(SPPR!$E:$Z,MATCH($A44,SPPR!$A:$A,0),12)),$C44*INDEX(SPPR!$E:$Z,MATCH($A44,SPPR!$A:$A,0),12),""),"")</f>
        <v/>
      </c>
      <c r="P44">
        <f>IFERROR(IF(ISNUMBER(INDEX(SPPR!$E:$Z,MATCH($A44,SPPR!$A:$A,0),13)),$C44*INDEX(SPPR!$E:$Z,MATCH($A44,SPPR!$A:$A,0),13),""),"")</f>
        <v/>
      </c>
      <c r="Q44">
        <f>IFERROR(IF(ISNUMBER(INDEX(SPPR!$E:$Z,MATCH($A44,SPPR!$A:$A,0),14)),$C44*INDEX(SPPR!$E:$Z,MATCH($A44,SPPR!$A:$A,0),14),""),"")</f>
        <v/>
      </c>
      <c r="R44">
        <f>IFERROR(IF(ISNUMBER(INDEX(SPPR!$E:$Z,MATCH($A44,SPPR!$A:$A,0),15)),$C44*INDEX(SPPR!$E:$Z,MATCH($A44,SPPR!$A:$A,0),15),""),"")</f>
        <v/>
      </c>
      <c r="S44">
        <f>IFERROR(IF(ISNUMBER(INDEX(SPPR!$E:$Z,MATCH($A44,SPPR!$A:$A,0),16)),$C44*INDEX(SPPR!$E:$Z,MATCH($A44,SPPR!$A:$A,0),16),""),"")</f>
        <v/>
      </c>
      <c r="T44">
        <f>IFERROR(IF(ISNUMBER(INDEX(SPPR!$E:$Z,MATCH($A44,SPPR!$A:$A,0),17)),$C44*INDEX(SPPR!$E:$Z,MATCH($A44,SPPR!$A:$A,0),17),""),"")</f>
        <v/>
      </c>
      <c r="U44">
        <f>IFERROR(IF(ISNUMBER(INDEX(SPPR!$E:$Z,MATCH($A44,SPPR!$A:$A,0),18)),$C44*INDEX(SPPR!$E:$Z,MATCH($A44,SPPR!$A:$A,0),18),""),"")</f>
        <v/>
      </c>
      <c r="V44">
        <f>IFERROR(IF(ISNUMBER(INDEX(SPPR!$E:$Z,MATCH($A44,SPPR!$A:$A,0),19)),$C44*INDEX(SPPR!$E:$Z,MATCH($A44,SPPR!$A:$A,0),19),""),"")</f>
        <v/>
      </c>
      <c r="W44">
        <f>IFERROR(IF(ISNUMBER(INDEX(SPPR!$E:$Z,MATCH($A44,SPPR!$A:$A,0),20)),$C44*INDEX(SPPR!$E:$Z,MATCH($A44,SPPR!$A:$A,0),20),""),"")</f>
        <v/>
      </c>
      <c r="X44">
        <f>IFERROR(IF(ISNUMBER(INDEX(SPPR!$E:$Z,MATCH($A44,SPPR!$A:$A,0),21)),$C44*INDEX(SPPR!$E:$Z,MATCH($A44,SPPR!$A:$A,0),21),""),"")</f>
        <v/>
      </c>
      <c r="Y44">
        <f>IFERROR(IF(ISNUMBER(INDEX(SPPR!$E:$Z,MATCH($A44,SPPR!$A:$A,0),22)),$C44*INDEX(SPPR!$E:$Z,MATCH($A44,SPPR!$A:$A,0),22),""),"")</f>
        <v/>
      </c>
    </row>
    <row r="45">
      <c r="A45" t="inlineStr">
        <is>
          <t>Perciformes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IFERROR(IF(ISNUMBER(INDEX(SPPR!$E:$Z,MATCH($A45,SPPR!$A:$A,0),1)),$C45*INDEX(SPPR!$E:$Z,MATCH($A45,SPPR!$A:$A,0),1),""),"")</f>
        <v/>
      </c>
      <c r="E45">
        <f>IFERROR(IF(ISNUMBER(INDEX(SPPR!$E:$Z,MATCH($A45,SPPR!$A:$A,0),2)),$C45*INDEX(SPPR!$E:$Z,MATCH($A45,SPPR!$A:$A,0),2),""),"")</f>
        <v/>
      </c>
      <c r="F45">
        <f>IFERROR(IF(ISNUMBER(INDEX(SPPR!$E:$Z,MATCH($A45,SPPR!$A:$A,0),3)),$C45*INDEX(SPPR!$E:$Z,MATCH($A45,SPPR!$A:$A,0),3),""),"")</f>
        <v/>
      </c>
      <c r="G45">
        <f>IFERROR(IF(ISNUMBER(INDEX(SPPR!$E:$Z,MATCH($A45,SPPR!$A:$A,0),4)),$C45*INDEX(SPPR!$E:$Z,MATCH($A45,SPPR!$A:$A,0),4),""),"")</f>
        <v/>
      </c>
      <c r="H45">
        <f>IFERROR(IF(ISNUMBER(INDEX(SPPR!$E:$Z,MATCH($A45,SPPR!$A:$A,0),5)),$C45*INDEX(SPPR!$E:$Z,MATCH($A45,SPPR!$A:$A,0),5),""),"")</f>
        <v/>
      </c>
      <c r="I45">
        <f>IFERROR(IF(ISNUMBER(INDEX(SPPR!$E:$Z,MATCH($A45,SPPR!$A:$A,0),6)),$C45*INDEX(SPPR!$E:$Z,MATCH($A45,SPPR!$A:$A,0),6),""),"")</f>
        <v/>
      </c>
      <c r="J45">
        <f>IFERROR(IF(ISNUMBER(INDEX(SPPR!$E:$Z,MATCH($A45,SPPR!$A:$A,0),7)),$C45*INDEX(SPPR!$E:$Z,MATCH($A45,SPPR!$A:$A,0),7),""),"")</f>
        <v/>
      </c>
      <c r="K45">
        <f>IFERROR(IF(ISNUMBER(INDEX(SPPR!$E:$Z,MATCH($A45,SPPR!$A:$A,0),8)),$C45*INDEX(SPPR!$E:$Z,MATCH($A45,SPPR!$A:$A,0),8),""),"")</f>
        <v/>
      </c>
      <c r="L45">
        <f>IFERROR(IF(ISNUMBER(INDEX(SPPR!$E:$Z,MATCH($A45,SPPR!$A:$A,0),9)),$C45*INDEX(SPPR!$E:$Z,MATCH($A45,SPPR!$A:$A,0),9),""),"")</f>
        <v/>
      </c>
      <c r="M45">
        <f>IFERROR(IF(ISNUMBER(INDEX(SPPR!$E:$Z,MATCH($A45,SPPR!$A:$A,0),10)),$C45*INDEX(SPPR!$E:$Z,MATCH($A45,SPPR!$A:$A,0),10),""),"")</f>
        <v/>
      </c>
      <c r="N45">
        <f>IFERROR(IF(ISNUMBER(INDEX(SPPR!$E:$Z,MATCH($A45,SPPR!$A:$A,0),11)),$C45*INDEX(SPPR!$E:$Z,MATCH($A45,SPPR!$A:$A,0),11),""),"")</f>
        <v/>
      </c>
      <c r="O45">
        <f>IFERROR(IF(ISNUMBER(INDEX(SPPR!$E:$Z,MATCH($A45,SPPR!$A:$A,0),12)),$C45*INDEX(SPPR!$E:$Z,MATCH($A45,SPPR!$A:$A,0),12),""),"")</f>
        <v/>
      </c>
      <c r="P45">
        <f>IFERROR(IF(ISNUMBER(INDEX(SPPR!$E:$Z,MATCH($A45,SPPR!$A:$A,0),13)),$C45*INDEX(SPPR!$E:$Z,MATCH($A45,SPPR!$A:$A,0),13),""),"")</f>
        <v/>
      </c>
      <c r="Q45">
        <f>IFERROR(IF(ISNUMBER(INDEX(SPPR!$E:$Z,MATCH($A45,SPPR!$A:$A,0),14)),$C45*INDEX(SPPR!$E:$Z,MATCH($A45,SPPR!$A:$A,0),14),""),"")</f>
        <v/>
      </c>
      <c r="R45">
        <f>IFERROR(IF(ISNUMBER(INDEX(SPPR!$E:$Z,MATCH($A45,SPPR!$A:$A,0),15)),$C45*INDEX(SPPR!$E:$Z,MATCH($A45,SPPR!$A:$A,0),15),""),"")</f>
        <v/>
      </c>
      <c r="S45">
        <f>IFERROR(IF(ISNUMBER(INDEX(SPPR!$E:$Z,MATCH($A45,SPPR!$A:$A,0),16)),$C45*INDEX(SPPR!$E:$Z,MATCH($A45,SPPR!$A:$A,0),16),""),"")</f>
        <v/>
      </c>
      <c r="T45">
        <f>IFERROR(IF(ISNUMBER(INDEX(SPPR!$E:$Z,MATCH($A45,SPPR!$A:$A,0),17)),$C45*INDEX(SPPR!$E:$Z,MATCH($A45,SPPR!$A:$A,0),17),""),"")</f>
        <v/>
      </c>
      <c r="U45">
        <f>IFERROR(IF(ISNUMBER(INDEX(SPPR!$E:$Z,MATCH($A45,SPPR!$A:$A,0),18)),$C45*INDEX(SPPR!$E:$Z,MATCH($A45,SPPR!$A:$A,0),18),""),"")</f>
        <v/>
      </c>
      <c r="V45">
        <f>IFERROR(IF(ISNUMBER(INDEX(SPPR!$E:$Z,MATCH($A45,SPPR!$A:$A,0),19)),$C45*INDEX(SPPR!$E:$Z,MATCH($A45,SPPR!$A:$A,0),19),""),"")</f>
        <v/>
      </c>
      <c r="W45">
        <f>IFERROR(IF(ISNUMBER(INDEX(SPPR!$E:$Z,MATCH($A45,SPPR!$A:$A,0),20)),$C45*INDEX(SPPR!$E:$Z,MATCH($A45,SPPR!$A:$A,0),20),""),"")</f>
        <v/>
      </c>
      <c r="X45">
        <f>IFERROR(IF(ISNUMBER(INDEX(SPPR!$E:$Z,MATCH($A45,SPPR!$A:$A,0),21)),$C45*INDEX(SPPR!$E:$Z,MATCH($A45,SPPR!$A:$A,0),21),""),"")</f>
        <v/>
      </c>
      <c r="Y45">
        <f>IFERROR(IF(ISNUMBER(INDEX(SPPR!$E:$Z,MATCH($A45,SPPR!$A:$A,0),22)),$C45*INDEX(SPPR!$E:$Z,MATCH($A45,SPPR!$A:$A,0),22),""),"")</f>
        <v/>
      </c>
    </row>
    <row r="46">
      <c r="A46" t="inlineStr">
        <is>
          <t>Caranx crysos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IFERROR(IF(ISNUMBER(INDEX(SPPR!$E:$Z,MATCH($A46,SPPR!$A:$A,0),1)),$C46*INDEX(SPPR!$E:$Z,MATCH($A46,SPPR!$A:$A,0),1),""),"")</f>
        <v/>
      </c>
      <c r="E46">
        <f>IFERROR(IF(ISNUMBER(INDEX(SPPR!$E:$Z,MATCH($A46,SPPR!$A:$A,0),2)),$C46*INDEX(SPPR!$E:$Z,MATCH($A46,SPPR!$A:$A,0),2),""),"")</f>
        <v/>
      </c>
      <c r="F46">
        <f>IFERROR(IF(ISNUMBER(INDEX(SPPR!$E:$Z,MATCH($A46,SPPR!$A:$A,0),3)),$C46*INDEX(SPPR!$E:$Z,MATCH($A46,SPPR!$A:$A,0),3),""),"")</f>
        <v/>
      </c>
      <c r="G46">
        <f>IFERROR(IF(ISNUMBER(INDEX(SPPR!$E:$Z,MATCH($A46,SPPR!$A:$A,0),4)),$C46*INDEX(SPPR!$E:$Z,MATCH($A46,SPPR!$A:$A,0),4),""),"")</f>
        <v/>
      </c>
      <c r="H46">
        <f>IFERROR(IF(ISNUMBER(INDEX(SPPR!$E:$Z,MATCH($A46,SPPR!$A:$A,0),5)),$C46*INDEX(SPPR!$E:$Z,MATCH($A46,SPPR!$A:$A,0),5),""),"")</f>
        <v/>
      </c>
      <c r="I46">
        <f>IFERROR(IF(ISNUMBER(INDEX(SPPR!$E:$Z,MATCH($A46,SPPR!$A:$A,0),6)),$C46*INDEX(SPPR!$E:$Z,MATCH($A46,SPPR!$A:$A,0),6),""),"")</f>
        <v/>
      </c>
      <c r="J46">
        <f>IFERROR(IF(ISNUMBER(INDEX(SPPR!$E:$Z,MATCH($A46,SPPR!$A:$A,0),7)),$C46*INDEX(SPPR!$E:$Z,MATCH($A46,SPPR!$A:$A,0),7),""),"")</f>
        <v/>
      </c>
      <c r="K46">
        <f>IFERROR(IF(ISNUMBER(INDEX(SPPR!$E:$Z,MATCH($A46,SPPR!$A:$A,0),8)),$C46*INDEX(SPPR!$E:$Z,MATCH($A46,SPPR!$A:$A,0),8),""),"")</f>
        <v/>
      </c>
      <c r="L46">
        <f>IFERROR(IF(ISNUMBER(INDEX(SPPR!$E:$Z,MATCH($A46,SPPR!$A:$A,0),9)),$C46*INDEX(SPPR!$E:$Z,MATCH($A46,SPPR!$A:$A,0),9),""),"")</f>
        <v/>
      </c>
      <c r="M46">
        <f>IFERROR(IF(ISNUMBER(INDEX(SPPR!$E:$Z,MATCH($A46,SPPR!$A:$A,0),10)),$C46*INDEX(SPPR!$E:$Z,MATCH($A46,SPPR!$A:$A,0),10),""),"")</f>
        <v/>
      </c>
      <c r="N46">
        <f>IFERROR(IF(ISNUMBER(INDEX(SPPR!$E:$Z,MATCH($A46,SPPR!$A:$A,0),11)),$C46*INDEX(SPPR!$E:$Z,MATCH($A46,SPPR!$A:$A,0),11),""),"")</f>
        <v/>
      </c>
      <c r="O46">
        <f>IFERROR(IF(ISNUMBER(INDEX(SPPR!$E:$Z,MATCH($A46,SPPR!$A:$A,0),12)),$C46*INDEX(SPPR!$E:$Z,MATCH($A46,SPPR!$A:$A,0),12),""),"")</f>
        <v/>
      </c>
      <c r="P46">
        <f>IFERROR(IF(ISNUMBER(INDEX(SPPR!$E:$Z,MATCH($A46,SPPR!$A:$A,0),13)),$C46*INDEX(SPPR!$E:$Z,MATCH($A46,SPPR!$A:$A,0),13),""),"")</f>
        <v/>
      </c>
      <c r="Q46">
        <f>IFERROR(IF(ISNUMBER(INDEX(SPPR!$E:$Z,MATCH($A46,SPPR!$A:$A,0),14)),$C46*INDEX(SPPR!$E:$Z,MATCH($A46,SPPR!$A:$A,0),14),""),"")</f>
        <v/>
      </c>
      <c r="R46">
        <f>IFERROR(IF(ISNUMBER(INDEX(SPPR!$E:$Z,MATCH($A46,SPPR!$A:$A,0),15)),$C46*INDEX(SPPR!$E:$Z,MATCH($A46,SPPR!$A:$A,0),15),""),"")</f>
        <v/>
      </c>
      <c r="S46">
        <f>IFERROR(IF(ISNUMBER(INDEX(SPPR!$E:$Z,MATCH($A46,SPPR!$A:$A,0),16)),$C46*INDEX(SPPR!$E:$Z,MATCH($A46,SPPR!$A:$A,0),16),""),"")</f>
        <v/>
      </c>
      <c r="T46">
        <f>IFERROR(IF(ISNUMBER(INDEX(SPPR!$E:$Z,MATCH($A46,SPPR!$A:$A,0),17)),$C46*INDEX(SPPR!$E:$Z,MATCH($A46,SPPR!$A:$A,0),17),""),"")</f>
        <v/>
      </c>
      <c r="U46">
        <f>IFERROR(IF(ISNUMBER(INDEX(SPPR!$E:$Z,MATCH($A46,SPPR!$A:$A,0),18)),$C46*INDEX(SPPR!$E:$Z,MATCH($A46,SPPR!$A:$A,0),18),""),"")</f>
        <v/>
      </c>
      <c r="V46">
        <f>IFERROR(IF(ISNUMBER(INDEX(SPPR!$E:$Z,MATCH($A46,SPPR!$A:$A,0),19)),$C46*INDEX(SPPR!$E:$Z,MATCH($A46,SPPR!$A:$A,0),19),""),"")</f>
        <v/>
      </c>
      <c r="W46">
        <f>IFERROR(IF(ISNUMBER(INDEX(SPPR!$E:$Z,MATCH($A46,SPPR!$A:$A,0),20)),$C46*INDEX(SPPR!$E:$Z,MATCH($A46,SPPR!$A:$A,0),20),""),"")</f>
        <v/>
      </c>
      <c r="X46">
        <f>IFERROR(IF(ISNUMBER(INDEX(SPPR!$E:$Z,MATCH($A46,SPPR!$A:$A,0),21)),$C46*INDEX(SPPR!$E:$Z,MATCH($A46,SPPR!$A:$A,0),21),""),"")</f>
        <v/>
      </c>
      <c r="Y46">
        <f>IFERROR(IF(ISNUMBER(INDEX(SPPR!$E:$Z,MATCH($A46,SPPR!$A:$A,0),22)),$C46*INDEX(SPPR!$E:$Z,MATCH($A46,SPPR!$A:$A,0),22),""),"")</f>
        <v/>
      </c>
    </row>
    <row r="47">
      <c r="A47" t="inlineStr">
        <is>
          <t>Scombroidei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IFERROR(IF(ISNUMBER(INDEX(SPPR!$E:$Z,MATCH($A47,SPPR!$A:$A,0),1)),$C47*INDEX(SPPR!$E:$Z,MATCH($A47,SPPR!$A:$A,0),1),""),"")</f>
        <v/>
      </c>
      <c r="E47">
        <f>IFERROR(IF(ISNUMBER(INDEX(SPPR!$E:$Z,MATCH($A47,SPPR!$A:$A,0),2)),$C47*INDEX(SPPR!$E:$Z,MATCH($A47,SPPR!$A:$A,0),2),""),"")</f>
        <v/>
      </c>
      <c r="F47">
        <f>IFERROR(IF(ISNUMBER(INDEX(SPPR!$E:$Z,MATCH($A47,SPPR!$A:$A,0),3)),$C47*INDEX(SPPR!$E:$Z,MATCH($A47,SPPR!$A:$A,0),3),""),"")</f>
        <v/>
      </c>
      <c r="G47">
        <f>IFERROR(IF(ISNUMBER(INDEX(SPPR!$E:$Z,MATCH($A47,SPPR!$A:$A,0),4)),$C47*INDEX(SPPR!$E:$Z,MATCH($A47,SPPR!$A:$A,0),4),""),"")</f>
        <v/>
      </c>
      <c r="H47">
        <f>IFERROR(IF(ISNUMBER(INDEX(SPPR!$E:$Z,MATCH($A47,SPPR!$A:$A,0),5)),$C47*INDEX(SPPR!$E:$Z,MATCH($A47,SPPR!$A:$A,0),5),""),"")</f>
        <v/>
      </c>
      <c r="I47">
        <f>IFERROR(IF(ISNUMBER(INDEX(SPPR!$E:$Z,MATCH($A47,SPPR!$A:$A,0),6)),$C47*INDEX(SPPR!$E:$Z,MATCH($A47,SPPR!$A:$A,0),6),""),"")</f>
        <v/>
      </c>
      <c r="J47">
        <f>IFERROR(IF(ISNUMBER(INDEX(SPPR!$E:$Z,MATCH($A47,SPPR!$A:$A,0),7)),$C47*INDEX(SPPR!$E:$Z,MATCH($A47,SPPR!$A:$A,0),7),""),"")</f>
        <v/>
      </c>
      <c r="K47">
        <f>IFERROR(IF(ISNUMBER(INDEX(SPPR!$E:$Z,MATCH($A47,SPPR!$A:$A,0),8)),$C47*INDEX(SPPR!$E:$Z,MATCH($A47,SPPR!$A:$A,0),8),""),"")</f>
        <v/>
      </c>
      <c r="L47">
        <f>IFERROR(IF(ISNUMBER(INDEX(SPPR!$E:$Z,MATCH($A47,SPPR!$A:$A,0),9)),$C47*INDEX(SPPR!$E:$Z,MATCH($A47,SPPR!$A:$A,0),9),""),"")</f>
        <v/>
      </c>
      <c r="M47">
        <f>IFERROR(IF(ISNUMBER(INDEX(SPPR!$E:$Z,MATCH($A47,SPPR!$A:$A,0),10)),$C47*INDEX(SPPR!$E:$Z,MATCH($A47,SPPR!$A:$A,0),10),""),"")</f>
        <v/>
      </c>
      <c r="N47">
        <f>IFERROR(IF(ISNUMBER(INDEX(SPPR!$E:$Z,MATCH($A47,SPPR!$A:$A,0),11)),$C47*INDEX(SPPR!$E:$Z,MATCH($A47,SPPR!$A:$A,0),11),""),"")</f>
        <v/>
      </c>
      <c r="O47">
        <f>IFERROR(IF(ISNUMBER(INDEX(SPPR!$E:$Z,MATCH($A47,SPPR!$A:$A,0),12)),$C47*INDEX(SPPR!$E:$Z,MATCH($A47,SPPR!$A:$A,0),12),""),"")</f>
        <v/>
      </c>
      <c r="P47">
        <f>IFERROR(IF(ISNUMBER(INDEX(SPPR!$E:$Z,MATCH($A47,SPPR!$A:$A,0),13)),$C47*INDEX(SPPR!$E:$Z,MATCH($A47,SPPR!$A:$A,0),13),""),"")</f>
        <v/>
      </c>
      <c r="Q47">
        <f>IFERROR(IF(ISNUMBER(INDEX(SPPR!$E:$Z,MATCH($A47,SPPR!$A:$A,0),14)),$C47*INDEX(SPPR!$E:$Z,MATCH($A47,SPPR!$A:$A,0),14),""),"")</f>
        <v/>
      </c>
      <c r="R47">
        <f>IFERROR(IF(ISNUMBER(INDEX(SPPR!$E:$Z,MATCH($A47,SPPR!$A:$A,0),15)),$C47*INDEX(SPPR!$E:$Z,MATCH($A47,SPPR!$A:$A,0),15),""),"")</f>
        <v/>
      </c>
      <c r="S47">
        <f>IFERROR(IF(ISNUMBER(INDEX(SPPR!$E:$Z,MATCH($A47,SPPR!$A:$A,0),16)),$C47*INDEX(SPPR!$E:$Z,MATCH($A47,SPPR!$A:$A,0),16),""),"")</f>
        <v/>
      </c>
      <c r="T47">
        <f>IFERROR(IF(ISNUMBER(INDEX(SPPR!$E:$Z,MATCH($A47,SPPR!$A:$A,0),17)),$C47*INDEX(SPPR!$E:$Z,MATCH($A47,SPPR!$A:$A,0),17),""),"")</f>
        <v/>
      </c>
      <c r="U47">
        <f>IFERROR(IF(ISNUMBER(INDEX(SPPR!$E:$Z,MATCH($A47,SPPR!$A:$A,0),18)),$C47*INDEX(SPPR!$E:$Z,MATCH($A47,SPPR!$A:$A,0),18),""),"")</f>
        <v/>
      </c>
      <c r="V47">
        <f>IFERROR(IF(ISNUMBER(INDEX(SPPR!$E:$Z,MATCH($A47,SPPR!$A:$A,0),19)),$C47*INDEX(SPPR!$E:$Z,MATCH($A47,SPPR!$A:$A,0),19),""),"")</f>
        <v/>
      </c>
      <c r="W47">
        <f>IFERROR(IF(ISNUMBER(INDEX(SPPR!$E:$Z,MATCH($A47,SPPR!$A:$A,0),20)),$C47*INDEX(SPPR!$E:$Z,MATCH($A47,SPPR!$A:$A,0),20),""),"")</f>
        <v/>
      </c>
      <c r="X47">
        <f>IFERROR(IF(ISNUMBER(INDEX(SPPR!$E:$Z,MATCH($A47,SPPR!$A:$A,0),21)),$C47*INDEX(SPPR!$E:$Z,MATCH($A47,SPPR!$A:$A,0),21),""),"")</f>
        <v/>
      </c>
      <c r="Y47">
        <f>IFERROR(IF(ISNUMBER(INDEX(SPPR!$E:$Z,MATCH($A47,SPPR!$A:$A,0),22)),$C47*INDEX(SPPR!$E:$Z,MATCH($A47,SPPR!$A:$A,0),22),""),"")</f>
        <v/>
      </c>
    </row>
    <row r="48">
      <c r="A48" t="inlineStr">
        <is>
          <t>Engraulidae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IFERROR(IF(ISNUMBER(INDEX(SPPR!$E:$Z,MATCH($A48,SPPR!$A:$A,0),1)),$C48*INDEX(SPPR!$E:$Z,MATCH($A48,SPPR!$A:$A,0),1),""),"")</f>
        <v/>
      </c>
      <c r="E48">
        <f>IFERROR(IF(ISNUMBER(INDEX(SPPR!$E:$Z,MATCH($A48,SPPR!$A:$A,0),2)),$C48*INDEX(SPPR!$E:$Z,MATCH($A48,SPPR!$A:$A,0),2),""),"")</f>
        <v/>
      </c>
      <c r="F48">
        <f>IFERROR(IF(ISNUMBER(INDEX(SPPR!$E:$Z,MATCH($A48,SPPR!$A:$A,0),3)),$C48*INDEX(SPPR!$E:$Z,MATCH($A48,SPPR!$A:$A,0),3),""),"")</f>
        <v/>
      </c>
      <c r="G48">
        <f>IFERROR(IF(ISNUMBER(INDEX(SPPR!$E:$Z,MATCH($A48,SPPR!$A:$A,0),4)),$C48*INDEX(SPPR!$E:$Z,MATCH($A48,SPPR!$A:$A,0),4),""),"")</f>
        <v/>
      </c>
      <c r="H48">
        <f>IFERROR(IF(ISNUMBER(INDEX(SPPR!$E:$Z,MATCH($A48,SPPR!$A:$A,0),5)),$C48*INDEX(SPPR!$E:$Z,MATCH($A48,SPPR!$A:$A,0),5),""),"")</f>
        <v/>
      </c>
      <c r="I48">
        <f>IFERROR(IF(ISNUMBER(INDEX(SPPR!$E:$Z,MATCH($A48,SPPR!$A:$A,0),6)),$C48*INDEX(SPPR!$E:$Z,MATCH($A48,SPPR!$A:$A,0),6),""),"")</f>
        <v/>
      </c>
      <c r="J48">
        <f>IFERROR(IF(ISNUMBER(INDEX(SPPR!$E:$Z,MATCH($A48,SPPR!$A:$A,0),7)),$C48*INDEX(SPPR!$E:$Z,MATCH($A48,SPPR!$A:$A,0),7),""),"")</f>
        <v/>
      </c>
      <c r="K48">
        <f>IFERROR(IF(ISNUMBER(INDEX(SPPR!$E:$Z,MATCH($A48,SPPR!$A:$A,0),8)),$C48*INDEX(SPPR!$E:$Z,MATCH($A48,SPPR!$A:$A,0),8),""),"")</f>
        <v/>
      </c>
      <c r="L48">
        <f>IFERROR(IF(ISNUMBER(INDEX(SPPR!$E:$Z,MATCH($A48,SPPR!$A:$A,0),9)),$C48*INDEX(SPPR!$E:$Z,MATCH($A48,SPPR!$A:$A,0),9),""),"")</f>
        <v/>
      </c>
      <c r="M48">
        <f>IFERROR(IF(ISNUMBER(INDEX(SPPR!$E:$Z,MATCH($A48,SPPR!$A:$A,0),10)),$C48*INDEX(SPPR!$E:$Z,MATCH($A48,SPPR!$A:$A,0),10),""),"")</f>
        <v/>
      </c>
      <c r="N48">
        <f>IFERROR(IF(ISNUMBER(INDEX(SPPR!$E:$Z,MATCH($A48,SPPR!$A:$A,0),11)),$C48*INDEX(SPPR!$E:$Z,MATCH($A48,SPPR!$A:$A,0),11),""),"")</f>
        <v/>
      </c>
      <c r="O48">
        <f>IFERROR(IF(ISNUMBER(INDEX(SPPR!$E:$Z,MATCH($A48,SPPR!$A:$A,0),12)),$C48*INDEX(SPPR!$E:$Z,MATCH($A48,SPPR!$A:$A,0),12),""),"")</f>
        <v/>
      </c>
      <c r="P48">
        <f>IFERROR(IF(ISNUMBER(INDEX(SPPR!$E:$Z,MATCH($A48,SPPR!$A:$A,0),13)),$C48*INDEX(SPPR!$E:$Z,MATCH($A48,SPPR!$A:$A,0),13),""),"")</f>
        <v/>
      </c>
      <c r="Q48">
        <f>IFERROR(IF(ISNUMBER(INDEX(SPPR!$E:$Z,MATCH($A48,SPPR!$A:$A,0),14)),$C48*INDEX(SPPR!$E:$Z,MATCH($A48,SPPR!$A:$A,0),14),""),"")</f>
        <v/>
      </c>
      <c r="R48">
        <f>IFERROR(IF(ISNUMBER(INDEX(SPPR!$E:$Z,MATCH($A48,SPPR!$A:$A,0),15)),$C48*INDEX(SPPR!$E:$Z,MATCH($A48,SPPR!$A:$A,0),15),""),"")</f>
        <v/>
      </c>
      <c r="S48">
        <f>IFERROR(IF(ISNUMBER(INDEX(SPPR!$E:$Z,MATCH($A48,SPPR!$A:$A,0),16)),$C48*INDEX(SPPR!$E:$Z,MATCH($A48,SPPR!$A:$A,0),16),""),"")</f>
        <v/>
      </c>
      <c r="T48">
        <f>IFERROR(IF(ISNUMBER(INDEX(SPPR!$E:$Z,MATCH($A48,SPPR!$A:$A,0),17)),$C48*INDEX(SPPR!$E:$Z,MATCH($A48,SPPR!$A:$A,0),17),""),"")</f>
        <v/>
      </c>
      <c r="U48">
        <f>IFERROR(IF(ISNUMBER(INDEX(SPPR!$E:$Z,MATCH($A48,SPPR!$A:$A,0),18)),$C48*INDEX(SPPR!$E:$Z,MATCH($A48,SPPR!$A:$A,0),18),""),"")</f>
        <v/>
      </c>
      <c r="V48">
        <f>IFERROR(IF(ISNUMBER(INDEX(SPPR!$E:$Z,MATCH($A48,SPPR!$A:$A,0),19)),$C48*INDEX(SPPR!$E:$Z,MATCH($A48,SPPR!$A:$A,0),19),""),"")</f>
        <v/>
      </c>
      <c r="W48">
        <f>IFERROR(IF(ISNUMBER(INDEX(SPPR!$E:$Z,MATCH($A48,SPPR!$A:$A,0),20)),$C48*INDEX(SPPR!$E:$Z,MATCH($A48,SPPR!$A:$A,0),20),""),"")</f>
        <v/>
      </c>
      <c r="X48">
        <f>IFERROR(IF(ISNUMBER(INDEX(SPPR!$E:$Z,MATCH($A48,SPPR!$A:$A,0),21)),$C48*INDEX(SPPR!$E:$Z,MATCH($A48,SPPR!$A:$A,0),21),""),"")</f>
        <v/>
      </c>
      <c r="Y48">
        <f>IFERROR(IF(ISNUMBER(INDEX(SPPR!$E:$Z,MATCH($A48,SPPR!$A:$A,0),22)),$C48*INDEX(SPPR!$E:$Z,MATCH($A48,SPPR!$A:$A,0),22),""),"")</f>
        <v/>
      </c>
    </row>
    <row r="49">
      <c r="A49" t="inlineStr">
        <is>
          <t>Auxis rochei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IFERROR(IF(ISNUMBER(INDEX(SPPR!$E:$Z,MATCH($A49,SPPR!$A:$A,0),1)),$C49*INDEX(SPPR!$E:$Z,MATCH($A49,SPPR!$A:$A,0),1),""),"")</f>
        <v/>
      </c>
      <c r="E49">
        <f>IFERROR(IF(ISNUMBER(INDEX(SPPR!$E:$Z,MATCH($A49,SPPR!$A:$A,0),2)),$C49*INDEX(SPPR!$E:$Z,MATCH($A49,SPPR!$A:$A,0),2),""),"")</f>
        <v/>
      </c>
      <c r="F49">
        <f>IFERROR(IF(ISNUMBER(INDEX(SPPR!$E:$Z,MATCH($A49,SPPR!$A:$A,0),3)),$C49*INDEX(SPPR!$E:$Z,MATCH($A49,SPPR!$A:$A,0),3),""),"")</f>
        <v/>
      </c>
      <c r="G49">
        <f>IFERROR(IF(ISNUMBER(INDEX(SPPR!$E:$Z,MATCH($A49,SPPR!$A:$A,0),4)),$C49*INDEX(SPPR!$E:$Z,MATCH($A49,SPPR!$A:$A,0),4),""),"")</f>
        <v/>
      </c>
      <c r="H49">
        <f>IFERROR(IF(ISNUMBER(INDEX(SPPR!$E:$Z,MATCH($A49,SPPR!$A:$A,0),5)),$C49*INDEX(SPPR!$E:$Z,MATCH($A49,SPPR!$A:$A,0),5),""),"")</f>
        <v/>
      </c>
      <c r="I49">
        <f>IFERROR(IF(ISNUMBER(INDEX(SPPR!$E:$Z,MATCH($A49,SPPR!$A:$A,0),6)),$C49*INDEX(SPPR!$E:$Z,MATCH($A49,SPPR!$A:$A,0),6),""),"")</f>
        <v/>
      </c>
      <c r="J49">
        <f>IFERROR(IF(ISNUMBER(INDEX(SPPR!$E:$Z,MATCH($A49,SPPR!$A:$A,0),7)),$C49*INDEX(SPPR!$E:$Z,MATCH($A49,SPPR!$A:$A,0),7),""),"")</f>
        <v/>
      </c>
      <c r="K49">
        <f>IFERROR(IF(ISNUMBER(INDEX(SPPR!$E:$Z,MATCH($A49,SPPR!$A:$A,0),8)),$C49*INDEX(SPPR!$E:$Z,MATCH($A49,SPPR!$A:$A,0),8),""),"")</f>
        <v/>
      </c>
      <c r="L49">
        <f>IFERROR(IF(ISNUMBER(INDEX(SPPR!$E:$Z,MATCH($A49,SPPR!$A:$A,0),9)),$C49*INDEX(SPPR!$E:$Z,MATCH($A49,SPPR!$A:$A,0),9),""),"")</f>
        <v/>
      </c>
      <c r="M49">
        <f>IFERROR(IF(ISNUMBER(INDEX(SPPR!$E:$Z,MATCH($A49,SPPR!$A:$A,0),10)),$C49*INDEX(SPPR!$E:$Z,MATCH($A49,SPPR!$A:$A,0),10),""),"")</f>
        <v/>
      </c>
      <c r="N49">
        <f>IFERROR(IF(ISNUMBER(INDEX(SPPR!$E:$Z,MATCH($A49,SPPR!$A:$A,0),11)),$C49*INDEX(SPPR!$E:$Z,MATCH($A49,SPPR!$A:$A,0),11),""),"")</f>
        <v/>
      </c>
      <c r="O49">
        <f>IFERROR(IF(ISNUMBER(INDEX(SPPR!$E:$Z,MATCH($A49,SPPR!$A:$A,0),12)),$C49*INDEX(SPPR!$E:$Z,MATCH($A49,SPPR!$A:$A,0),12),""),"")</f>
        <v/>
      </c>
      <c r="P49">
        <f>IFERROR(IF(ISNUMBER(INDEX(SPPR!$E:$Z,MATCH($A49,SPPR!$A:$A,0),13)),$C49*INDEX(SPPR!$E:$Z,MATCH($A49,SPPR!$A:$A,0),13),""),"")</f>
        <v/>
      </c>
      <c r="Q49">
        <f>IFERROR(IF(ISNUMBER(INDEX(SPPR!$E:$Z,MATCH($A49,SPPR!$A:$A,0),14)),$C49*INDEX(SPPR!$E:$Z,MATCH($A49,SPPR!$A:$A,0),14),""),"")</f>
        <v/>
      </c>
      <c r="R49">
        <f>IFERROR(IF(ISNUMBER(INDEX(SPPR!$E:$Z,MATCH($A49,SPPR!$A:$A,0),15)),$C49*INDEX(SPPR!$E:$Z,MATCH($A49,SPPR!$A:$A,0),15),""),"")</f>
        <v/>
      </c>
      <c r="S49">
        <f>IFERROR(IF(ISNUMBER(INDEX(SPPR!$E:$Z,MATCH($A49,SPPR!$A:$A,0),16)),$C49*INDEX(SPPR!$E:$Z,MATCH($A49,SPPR!$A:$A,0),16),""),"")</f>
        <v/>
      </c>
      <c r="T49">
        <f>IFERROR(IF(ISNUMBER(INDEX(SPPR!$E:$Z,MATCH($A49,SPPR!$A:$A,0),17)),$C49*INDEX(SPPR!$E:$Z,MATCH($A49,SPPR!$A:$A,0),17),""),"")</f>
        <v/>
      </c>
      <c r="U49">
        <f>IFERROR(IF(ISNUMBER(INDEX(SPPR!$E:$Z,MATCH($A49,SPPR!$A:$A,0),18)),$C49*INDEX(SPPR!$E:$Z,MATCH($A49,SPPR!$A:$A,0),18),""),"")</f>
        <v/>
      </c>
      <c r="V49">
        <f>IFERROR(IF(ISNUMBER(INDEX(SPPR!$E:$Z,MATCH($A49,SPPR!$A:$A,0),19)),$C49*INDEX(SPPR!$E:$Z,MATCH($A49,SPPR!$A:$A,0),19),""),"")</f>
        <v/>
      </c>
      <c r="W49">
        <f>IFERROR(IF(ISNUMBER(INDEX(SPPR!$E:$Z,MATCH($A49,SPPR!$A:$A,0),20)),$C49*INDEX(SPPR!$E:$Z,MATCH($A49,SPPR!$A:$A,0),20),""),"")</f>
        <v/>
      </c>
      <c r="X49">
        <f>IFERROR(IF(ISNUMBER(INDEX(SPPR!$E:$Z,MATCH($A49,SPPR!$A:$A,0),21)),$C49*INDEX(SPPR!$E:$Z,MATCH($A49,SPPR!$A:$A,0),21),""),"")</f>
        <v/>
      </c>
      <c r="Y49">
        <f>IFERROR(IF(ISNUMBER(INDEX(SPPR!$E:$Z,MATCH($A49,SPPR!$A:$A,0),22)),$C49*INDEX(SPPR!$E:$Z,MATCH($A49,SPPR!$A:$A,0),22),""),"")</f>
        <v/>
      </c>
    </row>
    <row r="50">
      <c r="A50" t="inlineStr">
        <is>
          <t>Diplodus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IFERROR(IF(ISNUMBER(INDEX(SPPR!$E:$Z,MATCH($A50,SPPR!$A:$A,0),1)),$C50*INDEX(SPPR!$E:$Z,MATCH($A50,SPPR!$A:$A,0),1),""),"")</f>
        <v/>
      </c>
      <c r="E50">
        <f>IFERROR(IF(ISNUMBER(INDEX(SPPR!$E:$Z,MATCH($A50,SPPR!$A:$A,0),2)),$C50*INDEX(SPPR!$E:$Z,MATCH($A50,SPPR!$A:$A,0),2),""),"")</f>
        <v/>
      </c>
      <c r="F50">
        <f>IFERROR(IF(ISNUMBER(INDEX(SPPR!$E:$Z,MATCH($A50,SPPR!$A:$A,0),3)),$C50*INDEX(SPPR!$E:$Z,MATCH($A50,SPPR!$A:$A,0),3),""),"")</f>
        <v/>
      </c>
      <c r="G50">
        <f>IFERROR(IF(ISNUMBER(INDEX(SPPR!$E:$Z,MATCH($A50,SPPR!$A:$A,0),4)),$C50*INDEX(SPPR!$E:$Z,MATCH($A50,SPPR!$A:$A,0),4),""),"")</f>
        <v/>
      </c>
      <c r="H50">
        <f>IFERROR(IF(ISNUMBER(INDEX(SPPR!$E:$Z,MATCH($A50,SPPR!$A:$A,0),5)),$C50*INDEX(SPPR!$E:$Z,MATCH($A50,SPPR!$A:$A,0),5),""),"")</f>
        <v/>
      </c>
      <c r="I50">
        <f>IFERROR(IF(ISNUMBER(INDEX(SPPR!$E:$Z,MATCH($A50,SPPR!$A:$A,0),6)),$C50*INDEX(SPPR!$E:$Z,MATCH($A50,SPPR!$A:$A,0),6),""),"")</f>
        <v/>
      </c>
      <c r="J50">
        <f>IFERROR(IF(ISNUMBER(INDEX(SPPR!$E:$Z,MATCH($A50,SPPR!$A:$A,0),7)),$C50*INDEX(SPPR!$E:$Z,MATCH($A50,SPPR!$A:$A,0),7),""),"")</f>
        <v/>
      </c>
      <c r="K50">
        <f>IFERROR(IF(ISNUMBER(INDEX(SPPR!$E:$Z,MATCH($A50,SPPR!$A:$A,0),8)),$C50*INDEX(SPPR!$E:$Z,MATCH($A50,SPPR!$A:$A,0),8),""),"")</f>
        <v/>
      </c>
      <c r="L50">
        <f>IFERROR(IF(ISNUMBER(INDEX(SPPR!$E:$Z,MATCH($A50,SPPR!$A:$A,0),9)),$C50*INDEX(SPPR!$E:$Z,MATCH($A50,SPPR!$A:$A,0),9),""),"")</f>
        <v/>
      </c>
      <c r="M50">
        <f>IFERROR(IF(ISNUMBER(INDEX(SPPR!$E:$Z,MATCH($A50,SPPR!$A:$A,0),10)),$C50*INDEX(SPPR!$E:$Z,MATCH($A50,SPPR!$A:$A,0),10),""),"")</f>
        <v/>
      </c>
      <c r="N50">
        <f>IFERROR(IF(ISNUMBER(INDEX(SPPR!$E:$Z,MATCH($A50,SPPR!$A:$A,0),11)),$C50*INDEX(SPPR!$E:$Z,MATCH($A50,SPPR!$A:$A,0),11),""),"")</f>
        <v/>
      </c>
      <c r="O50">
        <f>IFERROR(IF(ISNUMBER(INDEX(SPPR!$E:$Z,MATCH($A50,SPPR!$A:$A,0),12)),$C50*INDEX(SPPR!$E:$Z,MATCH($A50,SPPR!$A:$A,0),12),""),"")</f>
        <v/>
      </c>
      <c r="P50">
        <f>IFERROR(IF(ISNUMBER(INDEX(SPPR!$E:$Z,MATCH($A50,SPPR!$A:$A,0),13)),$C50*INDEX(SPPR!$E:$Z,MATCH($A50,SPPR!$A:$A,0),13),""),"")</f>
        <v/>
      </c>
      <c r="Q50">
        <f>IFERROR(IF(ISNUMBER(INDEX(SPPR!$E:$Z,MATCH($A50,SPPR!$A:$A,0),14)),$C50*INDEX(SPPR!$E:$Z,MATCH($A50,SPPR!$A:$A,0),14),""),"")</f>
        <v/>
      </c>
      <c r="R50">
        <f>IFERROR(IF(ISNUMBER(INDEX(SPPR!$E:$Z,MATCH($A50,SPPR!$A:$A,0),15)),$C50*INDEX(SPPR!$E:$Z,MATCH($A50,SPPR!$A:$A,0),15),""),"")</f>
        <v/>
      </c>
      <c r="S50">
        <f>IFERROR(IF(ISNUMBER(INDEX(SPPR!$E:$Z,MATCH($A50,SPPR!$A:$A,0),16)),$C50*INDEX(SPPR!$E:$Z,MATCH($A50,SPPR!$A:$A,0),16),""),"")</f>
        <v/>
      </c>
      <c r="T50">
        <f>IFERROR(IF(ISNUMBER(INDEX(SPPR!$E:$Z,MATCH($A50,SPPR!$A:$A,0),17)),$C50*INDEX(SPPR!$E:$Z,MATCH($A50,SPPR!$A:$A,0),17),""),"")</f>
        <v/>
      </c>
      <c r="U50">
        <f>IFERROR(IF(ISNUMBER(INDEX(SPPR!$E:$Z,MATCH($A50,SPPR!$A:$A,0),18)),$C50*INDEX(SPPR!$E:$Z,MATCH($A50,SPPR!$A:$A,0),18),""),"")</f>
        <v/>
      </c>
      <c r="V50">
        <f>IFERROR(IF(ISNUMBER(INDEX(SPPR!$E:$Z,MATCH($A50,SPPR!$A:$A,0),19)),$C50*INDEX(SPPR!$E:$Z,MATCH($A50,SPPR!$A:$A,0),19),""),"")</f>
        <v/>
      </c>
      <c r="W50">
        <f>IFERROR(IF(ISNUMBER(INDEX(SPPR!$E:$Z,MATCH($A50,SPPR!$A:$A,0),20)),$C50*INDEX(SPPR!$E:$Z,MATCH($A50,SPPR!$A:$A,0),20),""),"")</f>
        <v/>
      </c>
      <c r="X50">
        <f>IFERROR(IF(ISNUMBER(INDEX(SPPR!$E:$Z,MATCH($A50,SPPR!$A:$A,0),21)),$C50*INDEX(SPPR!$E:$Z,MATCH($A50,SPPR!$A:$A,0),21),""),"")</f>
        <v/>
      </c>
      <c r="Y50">
        <f>IFERROR(IF(ISNUMBER(INDEX(SPPR!$E:$Z,MATCH($A50,SPPR!$A:$A,0),22)),$C50*INDEX(SPPR!$E:$Z,MATCH($A50,SPPR!$A:$A,0),22),""),"")</f>
        <v/>
      </c>
    </row>
    <row r="51">
      <c r="A51" t="inlineStr">
        <is>
          <t>Dentex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IFERROR(IF(ISNUMBER(INDEX(SPPR!$E:$Z,MATCH($A51,SPPR!$A:$A,0),1)),$C51*INDEX(SPPR!$E:$Z,MATCH($A51,SPPR!$A:$A,0),1),""),"")</f>
        <v/>
      </c>
      <c r="E51">
        <f>IFERROR(IF(ISNUMBER(INDEX(SPPR!$E:$Z,MATCH($A51,SPPR!$A:$A,0),2)),$C51*INDEX(SPPR!$E:$Z,MATCH($A51,SPPR!$A:$A,0),2),""),"")</f>
        <v/>
      </c>
      <c r="F51">
        <f>IFERROR(IF(ISNUMBER(INDEX(SPPR!$E:$Z,MATCH($A51,SPPR!$A:$A,0),3)),$C51*INDEX(SPPR!$E:$Z,MATCH($A51,SPPR!$A:$A,0),3),""),"")</f>
        <v/>
      </c>
      <c r="G51">
        <f>IFERROR(IF(ISNUMBER(INDEX(SPPR!$E:$Z,MATCH($A51,SPPR!$A:$A,0),4)),$C51*INDEX(SPPR!$E:$Z,MATCH($A51,SPPR!$A:$A,0),4),""),"")</f>
        <v/>
      </c>
      <c r="H51">
        <f>IFERROR(IF(ISNUMBER(INDEX(SPPR!$E:$Z,MATCH($A51,SPPR!$A:$A,0),5)),$C51*INDEX(SPPR!$E:$Z,MATCH($A51,SPPR!$A:$A,0),5),""),"")</f>
        <v/>
      </c>
      <c r="I51">
        <f>IFERROR(IF(ISNUMBER(INDEX(SPPR!$E:$Z,MATCH($A51,SPPR!$A:$A,0),6)),$C51*INDEX(SPPR!$E:$Z,MATCH($A51,SPPR!$A:$A,0),6),""),"")</f>
        <v/>
      </c>
      <c r="J51">
        <f>IFERROR(IF(ISNUMBER(INDEX(SPPR!$E:$Z,MATCH($A51,SPPR!$A:$A,0),7)),$C51*INDEX(SPPR!$E:$Z,MATCH($A51,SPPR!$A:$A,0),7),""),"")</f>
        <v/>
      </c>
      <c r="K51">
        <f>IFERROR(IF(ISNUMBER(INDEX(SPPR!$E:$Z,MATCH($A51,SPPR!$A:$A,0),8)),$C51*INDEX(SPPR!$E:$Z,MATCH($A51,SPPR!$A:$A,0),8),""),"")</f>
        <v/>
      </c>
      <c r="L51">
        <f>IFERROR(IF(ISNUMBER(INDEX(SPPR!$E:$Z,MATCH($A51,SPPR!$A:$A,0),9)),$C51*INDEX(SPPR!$E:$Z,MATCH($A51,SPPR!$A:$A,0),9),""),"")</f>
        <v/>
      </c>
      <c r="M51">
        <f>IFERROR(IF(ISNUMBER(INDEX(SPPR!$E:$Z,MATCH($A51,SPPR!$A:$A,0),10)),$C51*INDEX(SPPR!$E:$Z,MATCH($A51,SPPR!$A:$A,0),10),""),"")</f>
        <v/>
      </c>
      <c r="N51">
        <f>IFERROR(IF(ISNUMBER(INDEX(SPPR!$E:$Z,MATCH($A51,SPPR!$A:$A,0),11)),$C51*INDEX(SPPR!$E:$Z,MATCH($A51,SPPR!$A:$A,0),11),""),"")</f>
        <v/>
      </c>
      <c r="O51">
        <f>IFERROR(IF(ISNUMBER(INDEX(SPPR!$E:$Z,MATCH($A51,SPPR!$A:$A,0),12)),$C51*INDEX(SPPR!$E:$Z,MATCH($A51,SPPR!$A:$A,0),12),""),"")</f>
        <v/>
      </c>
      <c r="P51">
        <f>IFERROR(IF(ISNUMBER(INDEX(SPPR!$E:$Z,MATCH($A51,SPPR!$A:$A,0),13)),$C51*INDEX(SPPR!$E:$Z,MATCH($A51,SPPR!$A:$A,0),13),""),"")</f>
        <v/>
      </c>
      <c r="Q51">
        <f>IFERROR(IF(ISNUMBER(INDEX(SPPR!$E:$Z,MATCH($A51,SPPR!$A:$A,0),14)),$C51*INDEX(SPPR!$E:$Z,MATCH($A51,SPPR!$A:$A,0),14),""),"")</f>
        <v/>
      </c>
      <c r="R51">
        <f>IFERROR(IF(ISNUMBER(INDEX(SPPR!$E:$Z,MATCH($A51,SPPR!$A:$A,0),15)),$C51*INDEX(SPPR!$E:$Z,MATCH($A51,SPPR!$A:$A,0),15),""),"")</f>
        <v/>
      </c>
      <c r="S51">
        <f>IFERROR(IF(ISNUMBER(INDEX(SPPR!$E:$Z,MATCH($A51,SPPR!$A:$A,0),16)),$C51*INDEX(SPPR!$E:$Z,MATCH($A51,SPPR!$A:$A,0),16),""),"")</f>
        <v/>
      </c>
      <c r="T51">
        <f>IFERROR(IF(ISNUMBER(INDEX(SPPR!$E:$Z,MATCH($A51,SPPR!$A:$A,0),17)),$C51*INDEX(SPPR!$E:$Z,MATCH($A51,SPPR!$A:$A,0),17),""),"")</f>
        <v/>
      </c>
      <c r="U51">
        <f>IFERROR(IF(ISNUMBER(INDEX(SPPR!$E:$Z,MATCH($A51,SPPR!$A:$A,0),18)),$C51*INDEX(SPPR!$E:$Z,MATCH($A51,SPPR!$A:$A,0),18),""),"")</f>
        <v/>
      </c>
      <c r="V51">
        <f>IFERROR(IF(ISNUMBER(INDEX(SPPR!$E:$Z,MATCH($A51,SPPR!$A:$A,0),19)),$C51*INDEX(SPPR!$E:$Z,MATCH($A51,SPPR!$A:$A,0),19),""),"")</f>
        <v/>
      </c>
      <c r="W51">
        <f>IFERROR(IF(ISNUMBER(INDEX(SPPR!$E:$Z,MATCH($A51,SPPR!$A:$A,0),20)),$C51*INDEX(SPPR!$E:$Z,MATCH($A51,SPPR!$A:$A,0),20),""),"")</f>
        <v/>
      </c>
      <c r="X51">
        <f>IFERROR(IF(ISNUMBER(INDEX(SPPR!$E:$Z,MATCH($A51,SPPR!$A:$A,0),21)),$C51*INDEX(SPPR!$E:$Z,MATCH($A51,SPPR!$A:$A,0),21),""),"")</f>
        <v/>
      </c>
      <c r="Y51">
        <f>IFERROR(IF(ISNUMBER(INDEX(SPPR!$E:$Z,MATCH($A51,SPPR!$A:$A,0),22)),$C51*INDEX(SPPR!$E:$Z,MATCH($A51,SPPR!$A:$A,0),22),""),"")</f>
        <v/>
      </c>
    </row>
    <row r="52">
      <c r="A52" t="inlineStr">
        <is>
          <t>Dendrobranchiata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IFERROR(IF(ISNUMBER(INDEX(SPPR!$E:$Z,MATCH($A52,SPPR!$A:$A,0),1)),$C52*INDEX(SPPR!$E:$Z,MATCH($A52,SPPR!$A:$A,0),1),""),"")</f>
        <v/>
      </c>
      <c r="E52">
        <f>IFERROR(IF(ISNUMBER(INDEX(SPPR!$E:$Z,MATCH($A52,SPPR!$A:$A,0),2)),$C52*INDEX(SPPR!$E:$Z,MATCH($A52,SPPR!$A:$A,0),2),""),"")</f>
        <v/>
      </c>
      <c r="F52">
        <f>IFERROR(IF(ISNUMBER(INDEX(SPPR!$E:$Z,MATCH($A52,SPPR!$A:$A,0),3)),$C52*INDEX(SPPR!$E:$Z,MATCH($A52,SPPR!$A:$A,0),3),""),"")</f>
        <v/>
      </c>
      <c r="G52">
        <f>IFERROR(IF(ISNUMBER(INDEX(SPPR!$E:$Z,MATCH($A52,SPPR!$A:$A,0),4)),$C52*INDEX(SPPR!$E:$Z,MATCH($A52,SPPR!$A:$A,0),4),""),"")</f>
        <v/>
      </c>
      <c r="H52">
        <f>IFERROR(IF(ISNUMBER(INDEX(SPPR!$E:$Z,MATCH($A52,SPPR!$A:$A,0),5)),$C52*INDEX(SPPR!$E:$Z,MATCH($A52,SPPR!$A:$A,0),5),""),"")</f>
        <v/>
      </c>
      <c r="I52">
        <f>IFERROR(IF(ISNUMBER(INDEX(SPPR!$E:$Z,MATCH($A52,SPPR!$A:$A,0),6)),$C52*INDEX(SPPR!$E:$Z,MATCH($A52,SPPR!$A:$A,0),6),""),"")</f>
        <v/>
      </c>
      <c r="J52">
        <f>IFERROR(IF(ISNUMBER(INDEX(SPPR!$E:$Z,MATCH($A52,SPPR!$A:$A,0),7)),$C52*INDEX(SPPR!$E:$Z,MATCH($A52,SPPR!$A:$A,0),7),""),"")</f>
        <v/>
      </c>
      <c r="K52">
        <f>IFERROR(IF(ISNUMBER(INDEX(SPPR!$E:$Z,MATCH($A52,SPPR!$A:$A,0),8)),$C52*INDEX(SPPR!$E:$Z,MATCH($A52,SPPR!$A:$A,0),8),""),"")</f>
        <v/>
      </c>
      <c r="L52">
        <f>IFERROR(IF(ISNUMBER(INDEX(SPPR!$E:$Z,MATCH($A52,SPPR!$A:$A,0),9)),$C52*INDEX(SPPR!$E:$Z,MATCH($A52,SPPR!$A:$A,0),9),""),"")</f>
        <v/>
      </c>
      <c r="M52">
        <f>IFERROR(IF(ISNUMBER(INDEX(SPPR!$E:$Z,MATCH($A52,SPPR!$A:$A,0),10)),$C52*INDEX(SPPR!$E:$Z,MATCH($A52,SPPR!$A:$A,0),10),""),"")</f>
        <v/>
      </c>
      <c r="N52">
        <f>IFERROR(IF(ISNUMBER(INDEX(SPPR!$E:$Z,MATCH($A52,SPPR!$A:$A,0),11)),$C52*INDEX(SPPR!$E:$Z,MATCH($A52,SPPR!$A:$A,0),11),""),"")</f>
        <v/>
      </c>
      <c r="O52">
        <f>IFERROR(IF(ISNUMBER(INDEX(SPPR!$E:$Z,MATCH($A52,SPPR!$A:$A,0),12)),$C52*INDEX(SPPR!$E:$Z,MATCH($A52,SPPR!$A:$A,0),12),""),"")</f>
        <v/>
      </c>
      <c r="P52">
        <f>IFERROR(IF(ISNUMBER(INDEX(SPPR!$E:$Z,MATCH($A52,SPPR!$A:$A,0),13)),$C52*INDEX(SPPR!$E:$Z,MATCH($A52,SPPR!$A:$A,0),13),""),"")</f>
        <v/>
      </c>
      <c r="Q52">
        <f>IFERROR(IF(ISNUMBER(INDEX(SPPR!$E:$Z,MATCH($A52,SPPR!$A:$A,0),14)),$C52*INDEX(SPPR!$E:$Z,MATCH($A52,SPPR!$A:$A,0),14),""),"")</f>
        <v/>
      </c>
      <c r="R52">
        <f>IFERROR(IF(ISNUMBER(INDEX(SPPR!$E:$Z,MATCH($A52,SPPR!$A:$A,0),15)),$C52*INDEX(SPPR!$E:$Z,MATCH($A52,SPPR!$A:$A,0),15),""),"")</f>
        <v/>
      </c>
      <c r="S52">
        <f>IFERROR(IF(ISNUMBER(INDEX(SPPR!$E:$Z,MATCH($A52,SPPR!$A:$A,0),16)),$C52*INDEX(SPPR!$E:$Z,MATCH($A52,SPPR!$A:$A,0),16),""),"")</f>
        <v/>
      </c>
      <c r="T52">
        <f>IFERROR(IF(ISNUMBER(INDEX(SPPR!$E:$Z,MATCH($A52,SPPR!$A:$A,0),17)),$C52*INDEX(SPPR!$E:$Z,MATCH($A52,SPPR!$A:$A,0),17),""),"")</f>
        <v/>
      </c>
      <c r="U52">
        <f>IFERROR(IF(ISNUMBER(INDEX(SPPR!$E:$Z,MATCH($A52,SPPR!$A:$A,0),18)),$C52*INDEX(SPPR!$E:$Z,MATCH($A52,SPPR!$A:$A,0),18),""),"")</f>
        <v/>
      </c>
      <c r="V52">
        <f>IFERROR(IF(ISNUMBER(INDEX(SPPR!$E:$Z,MATCH($A52,SPPR!$A:$A,0),19)),$C52*INDEX(SPPR!$E:$Z,MATCH($A52,SPPR!$A:$A,0),19),""),"")</f>
        <v/>
      </c>
      <c r="W52">
        <f>IFERROR(IF(ISNUMBER(INDEX(SPPR!$E:$Z,MATCH($A52,SPPR!$A:$A,0),20)),$C52*INDEX(SPPR!$E:$Z,MATCH($A52,SPPR!$A:$A,0),20),""),"")</f>
        <v/>
      </c>
      <c r="X52">
        <f>IFERROR(IF(ISNUMBER(INDEX(SPPR!$E:$Z,MATCH($A52,SPPR!$A:$A,0),21)),$C52*INDEX(SPPR!$E:$Z,MATCH($A52,SPPR!$A:$A,0),21),""),"")</f>
        <v/>
      </c>
      <c r="Y52">
        <f>IFERROR(IF(ISNUMBER(INDEX(SPPR!$E:$Z,MATCH($A52,SPPR!$A:$A,0),22)),$C52*INDEX(SPPR!$E:$Z,MATCH($A52,SPPR!$A:$A,0),22),""),"")</f>
        <v/>
      </c>
    </row>
    <row r="53">
      <c r="A53" t="inlineStr">
        <is>
          <t>Penaeus notialis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IFERROR(IF(ISNUMBER(INDEX(SPPR!$E:$Z,MATCH($A53,SPPR!$A:$A,0),1)),$C53*INDEX(SPPR!$E:$Z,MATCH($A53,SPPR!$A:$A,0),1),""),"")</f>
        <v/>
      </c>
      <c r="E53">
        <f>IFERROR(IF(ISNUMBER(INDEX(SPPR!$E:$Z,MATCH($A53,SPPR!$A:$A,0),2)),$C53*INDEX(SPPR!$E:$Z,MATCH($A53,SPPR!$A:$A,0),2),""),"")</f>
        <v/>
      </c>
      <c r="F53">
        <f>IFERROR(IF(ISNUMBER(INDEX(SPPR!$E:$Z,MATCH($A53,SPPR!$A:$A,0),3)),$C53*INDEX(SPPR!$E:$Z,MATCH($A53,SPPR!$A:$A,0),3),""),"")</f>
        <v/>
      </c>
      <c r="G53">
        <f>IFERROR(IF(ISNUMBER(INDEX(SPPR!$E:$Z,MATCH($A53,SPPR!$A:$A,0),4)),$C53*INDEX(SPPR!$E:$Z,MATCH($A53,SPPR!$A:$A,0),4),""),"")</f>
        <v/>
      </c>
      <c r="H53">
        <f>IFERROR(IF(ISNUMBER(INDEX(SPPR!$E:$Z,MATCH($A53,SPPR!$A:$A,0),5)),$C53*INDEX(SPPR!$E:$Z,MATCH($A53,SPPR!$A:$A,0),5),""),"")</f>
        <v/>
      </c>
      <c r="I53">
        <f>IFERROR(IF(ISNUMBER(INDEX(SPPR!$E:$Z,MATCH($A53,SPPR!$A:$A,0),6)),$C53*INDEX(SPPR!$E:$Z,MATCH($A53,SPPR!$A:$A,0),6),""),"")</f>
        <v/>
      </c>
      <c r="J53">
        <f>IFERROR(IF(ISNUMBER(INDEX(SPPR!$E:$Z,MATCH($A53,SPPR!$A:$A,0),7)),$C53*INDEX(SPPR!$E:$Z,MATCH($A53,SPPR!$A:$A,0),7),""),"")</f>
        <v/>
      </c>
      <c r="K53">
        <f>IFERROR(IF(ISNUMBER(INDEX(SPPR!$E:$Z,MATCH($A53,SPPR!$A:$A,0),8)),$C53*INDEX(SPPR!$E:$Z,MATCH($A53,SPPR!$A:$A,0),8),""),"")</f>
        <v/>
      </c>
      <c r="L53">
        <f>IFERROR(IF(ISNUMBER(INDEX(SPPR!$E:$Z,MATCH($A53,SPPR!$A:$A,0),9)),$C53*INDEX(SPPR!$E:$Z,MATCH($A53,SPPR!$A:$A,0),9),""),"")</f>
        <v/>
      </c>
      <c r="M53">
        <f>IFERROR(IF(ISNUMBER(INDEX(SPPR!$E:$Z,MATCH($A53,SPPR!$A:$A,0),10)),$C53*INDEX(SPPR!$E:$Z,MATCH($A53,SPPR!$A:$A,0),10),""),"")</f>
        <v/>
      </c>
      <c r="N53">
        <f>IFERROR(IF(ISNUMBER(INDEX(SPPR!$E:$Z,MATCH($A53,SPPR!$A:$A,0),11)),$C53*INDEX(SPPR!$E:$Z,MATCH($A53,SPPR!$A:$A,0),11),""),"")</f>
        <v/>
      </c>
      <c r="O53">
        <f>IFERROR(IF(ISNUMBER(INDEX(SPPR!$E:$Z,MATCH($A53,SPPR!$A:$A,0),12)),$C53*INDEX(SPPR!$E:$Z,MATCH($A53,SPPR!$A:$A,0),12),""),"")</f>
        <v/>
      </c>
      <c r="P53">
        <f>IFERROR(IF(ISNUMBER(INDEX(SPPR!$E:$Z,MATCH($A53,SPPR!$A:$A,0),13)),$C53*INDEX(SPPR!$E:$Z,MATCH($A53,SPPR!$A:$A,0),13),""),"")</f>
        <v/>
      </c>
      <c r="Q53">
        <f>IFERROR(IF(ISNUMBER(INDEX(SPPR!$E:$Z,MATCH($A53,SPPR!$A:$A,0),14)),$C53*INDEX(SPPR!$E:$Z,MATCH($A53,SPPR!$A:$A,0),14),""),"")</f>
        <v/>
      </c>
      <c r="R53">
        <f>IFERROR(IF(ISNUMBER(INDEX(SPPR!$E:$Z,MATCH($A53,SPPR!$A:$A,0),15)),$C53*INDEX(SPPR!$E:$Z,MATCH($A53,SPPR!$A:$A,0),15),""),"")</f>
        <v/>
      </c>
      <c r="S53">
        <f>IFERROR(IF(ISNUMBER(INDEX(SPPR!$E:$Z,MATCH($A53,SPPR!$A:$A,0),16)),$C53*INDEX(SPPR!$E:$Z,MATCH($A53,SPPR!$A:$A,0),16),""),"")</f>
        <v/>
      </c>
      <c r="T53">
        <f>IFERROR(IF(ISNUMBER(INDEX(SPPR!$E:$Z,MATCH($A53,SPPR!$A:$A,0),17)),$C53*INDEX(SPPR!$E:$Z,MATCH($A53,SPPR!$A:$A,0),17),""),"")</f>
        <v/>
      </c>
      <c r="U53">
        <f>IFERROR(IF(ISNUMBER(INDEX(SPPR!$E:$Z,MATCH($A53,SPPR!$A:$A,0),18)),$C53*INDEX(SPPR!$E:$Z,MATCH($A53,SPPR!$A:$A,0),18),""),"")</f>
        <v/>
      </c>
      <c r="V53">
        <f>IFERROR(IF(ISNUMBER(INDEX(SPPR!$E:$Z,MATCH($A53,SPPR!$A:$A,0),19)),$C53*INDEX(SPPR!$E:$Z,MATCH($A53,SPPR!$A:$A,0),19),""),"")</f>
        <v/>
      </c>
      <c r="W53">
        <f>IFERROR(IF(ISNUMBER(INDEX(SPPR!$E:$Z,MATCH($A53,SPPR!$A:$A,0),20)),$C53*INDEX(SPPR!$E:$Z,MATCH($A53,SPPR!$A:$A,0),20),""),"")</f>
        <v/>
      </c>
      <c r="X53">
        <f>IFERROR(IF(ISNUMBER(INDEX(SPPR!$E:$Z,MATCH($A53,SPPR!$A:$A,0),21)),$C53*INDEX(SPPR!$E:$Z,MATCH($A53,SPPR!$A:$A,0),21),""),"")</f>
        <v/>
      </c>
      <c r="Y53">
        <f>IFERROR(IF(ISNUMBER(INDEX(SPPR!$E:$Z,MATCH($A53,SPPR!$A:$A,0),22)),$C53*INDEX(SPPR!$E:$Z,MATCH($A53,SPPR!$A:$A,0),22),""),"")</f>
        <v/>
      </c>
    </row>
    <row r="54">
      <c r="A54" t="inlineStr">
        <is>
          <t>Sparidae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IFERROR(IF(ISNUMBER(INDEX(SPPR!$E:$Z,MATCH($A54,SPPR!$A:$A,0),1)),$C54*INDEX(SPPR!$E:$Z,MATCH($A54,SPPR!$A:$A,0),1),""),"")</f>
        <v/>
      </c>
      <c r="E54">
        <f>IFERROR(IF(ISNUMBER(INDEX(SPPR!$E:$Z,MATCH($A54,SPPR!$A:$A,0),2)),$C54*INDEX(SPPR!$E:$Z,MATCH($A54,SPPR!$A:$A,0),2),""),"")</f>
        <v/>
      </c>
      <c r="F54">
        <f>IFERROR(IF(ISNUMBER(INDEX(SPPR!$E:$Z,MATCH($A54,SPPR!$A:$A,0),3)),$C54*INDEX(SPPR!$E:$Z,MATCH($A54,SPPR!$A:$A,0),3),""),"")</f>
        <v/>
      </c>
      <c r="G54">
        <f>IFERROR(IF(ISNUMBER(INDEX(SPPR!$E:$Z,MATCH($A54,SPPR!$A:$A,0),4)),$C54*INDEX(SPPR!$E:$Z,MATCH($A54,SPPR!$A:$A,0),4),""),"")</f>
        <v/>
      </c>
      <c r="H54">
        <f>IFERROR(IF(ISNUMBER(INDEX(SPPR!$E:$Z,MATCH($A54,SPPR!$A:$A,0),5)),$C54*INDEX(SPPR!$E:$Z,MATCH($A54,SPPR!$A:$A,0),5),""),"")</f>
        <v/>
      </c>
      <c r="I54">
        <f>IFERROR(IF(ISNUMBER(INDEX(SPPR!$E:$Z,MATCH($A54,SPPR!$A:$A,0),6)),$C54*INDEX(SPPR!$E:$Z,MATCH($A54,SPPR!$A:$A,0),6),""),"")</f>
        <v/>
      </c>
      <c r="J54">
        <f>IFERROR(IF(ISNUMBER(INDEX(SPPR!$E:$Z,MATCH($A54,SPPR!$A:$A,0),7)),$C54*INDEX(SPPR!$E:$Z,MATCH($A54,SPPR!$A:$A,0),7),""),"")</f>
        <v/>
      </c>
      <c r="K54">
        <f>IFERROR(IF(ISNUMBER(INDEX(SPPR!$E:$Z,MATCH($A54,SPPR!$A:$A,0),8)),$C54*INDEX(SPPR!$E:$Z,MATCH($A54,SPPR!$A:$A,0),8),""),"")</f>
        <v/>
      </c>
      <c r="L54">
        <f>IFERROR(IF(ISNUMBER(INDEX(SPPR!$E:$Z,MATCH($A54,SPPR!$A:$A,0),9)),$C54*INDEX(SPPR!$E:$Z,MATCH($A54,SPPR!$A:$A,0),9),""),"")</f>
        <v/>
      </c>
      <c r="M54">
        <f>IFERROR(IF(ISNUMBER(INDEX(SPPR!$E:$Z,MATCH($A54,SPPR!$A:$A,0),10)),$C54*INDEX(SPPR!$E:$Z,MATCH($A54,SPPR!$A:$A,0),10),""),"")</f>
        <v/>
      </c>
      <c r="N54">
        <f>IFERROR(IF(ISNUMBER(INDEX(SPPR!$E:$Z,MATCH($A54,SPPR!$A:$A,0),11)),$C54*INDEX(SPPR!$E:$Z,MATCH($A54,SPPR!$A:$A,0),11),""),"")</f>
        <v/>
      </c>
      <c r="O54">
        <f>IFERROR(IF(ISNUMBER(INDEX(SPPR!$E:$Z,MATCH($A54,SPPR!$A:$A,0),12)),$C54*INDEX(SPPR!$E:$Z,MATCH($A54,SPPR!$A:$A,0),12),""),"")</f>
        <v/>
      </c>
      <c r="P54">
        <f>IFERROR(IF(ISNUMBER(INDEX(SPPR!$E:$Z,MATCH($A54,SPPR!$A:$A,0),13)),$C54*INDEX(SPPR!$E:$Z,MATCH($A54,SPPR!$A:$A,0),13),""),"")</f>
        <v/>
      </c>
      <c r="Q54">
        <f>IFERROR(IF(ISNUMBER(INDEX(SPPR!$E:$Z,MATCH($A54,SPPR!$A:$A,0),14)),$C54*INDEX(SPPR!$E:$Z,MATCH($A54,SPPR!$A:$A,0),14),""),"")</f>
        <v/>
      </c>
      <c r="R54">
        <f>IFERROR(IF(ISNUMBER(INDEX(SPPR!$E:$Z,MATCH($A54,SPPR!$A:$A,0),15)),$C54*INDEX(SPPR!$E:$Z,MATCH($A54,SPPR!$A:$A,0),15),""),"")</f>
        <v/>
      </c>
      <c r="S54">
        <f>IFERROR(IF(ISNUMBER(INDEX(SPPR!$E:$Z,MATCH($A54,SPPR!$A:$A,0),16)),$C54*INDEX(SPPR!$E:$Z,MATCH($A54,SPPR!$A:$A,0),16),""),"")</f>
        <v/>
      </c>
      <c r="T54">
        <f>IFERROR(IF(ISNUMBER(INDEX(SPPR!$E:$Z,MATCH($A54,SPPR!$A:$A,0),17)),$C54*INDEX(SPPR!$E:$Z,MATCH($A54,SPPR!$A:$A,0),17),""),"")</f>
        <v/>
      </c>
      <c r="U54">
        <f>IFERROR(IF(ISNUMBER(INDEX(SPPR!$E:$Z,MATCH($A54,SPPR!$A:$A,0),18)),$C54*INDEX(SPPR!$E:$Z,MATCH($A54,SPPR!$A:$A,0),18),""),"")</f>
        <v/>
      </c>
      <c r="V54">
        <f>IFERROR(IF(ISNUMBER(INDEX(SPPR!$E:$Z,MATCH($A54,SPPR!$A:$A,0),19)),$C54*INDEX(SPPR!$E:$Z,MATCH($A54,SPPR!$A:$A,0),19),""),"")</f>
        <v/>
      </c>
      <c r="W54">
        <f>IFERROR(IF(ISNUMBER(INDEX(SPPR!$E:$Z,MATCH($A54,SPPR!$A:$A,0),20)),$C54*INDEX(SPPR!$E:$Z,MATCH($A54,SPPR!$A:$A,0),20),""),"")</f>
        <v/>
      </c>
      <c r="X54">
        <f>IFERROR(IF(ISNUMBER(INDEX(SPPR!$E:$Z,MATCH($A54,SPPR!$A:$A,0),21)),$C54*INDEX(SPPR!$E:$Z,MATCH($A54,SPPR!$A:$A,0),21),""),"")</f>
        <v/>
      </c>
      <c r="Y54">
        <f>IFERROR(IF(ISNUMBER(INDEX(SPPR!$E:$Z,MATCH($A54,SPPR!$A:$A,0),22)),$C54*INDEX(SPPR!$E:$Z,MATCH($A54,SPPR!$A:$A,0),22),""),"")</f>
        <v/>
      </c>
    </row>
    <row r="55">
      <c r="A55" t="inlineStr">
        <is>
          <t>Trachurus trecae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IFERROR(IF(ISNUMBER(INDEX(SPPR!$E:$Z,MATCH($A55,SPPR!$A:$A,0),1)),$C55*INDEX(SPPR!$E:$Z,MATCH($A55,SPPR!$A:$A,0),1),""),"")</f>
        <v/>
      </c>
      <c r="E55">
        <f>IFERROR(IF(ISNUMBER(INDEX(SPPR!$E:$Z,MATCH($A55,SPPR!$A:$A,0),2)),$C55*INDEX(SPPR!$E:$Z,MATCH($A55,SPPR!$A:$A,0),2),""),"")</f>
        <v/>
      </c>
      <c r="F55">
        <f>IFERROR(IF(ISNUMBER(INDEX(SPPR!$E:$Z,MATCH($A55,SPPR!$A:$A,0),3)),$C55*INDEX(SPPR!$E:$Z,MATCH($A55,SPPR!$A:$A,0),3),""),"")</f>
        <v/>
      </c>
      <c r="G55">
        <f>IFERROR(IF(ISNUMBER(INDEX(SPPR!$E:$Z,MATCH($A55,SPPR!$A:$A,0),4)),$C55*INDEX(SPPR!$E:$Z,MATCH($A55,SPPR!$A:$A,0),4),""),"")</f>
        <v/>
      </c>
      <c r="H55">
        <f>IFERROR(IF(ISNUMBER(INDEX(SPPR!$E:$Z,MATCH($A55,SPPR!$A:$A,0),5)),$C55*INDEX(SPPR!$E:$Z,MATCH($A55,SPPR!$A:$A,0),5),""),"")</f>
        <v/>
      </c>
      <c r="I55">
        <f>IFERROR(IF(ISNUMBER(INDEX(SPPR!$E:$Z,MATCH($A55,SPPR!$A:$A,0),6)),$C55*INDEX(SPPR!$E:$Z,MATCH($A55,SPPR!$A:$A,0),6),""),"")</f>
        <v/>
      </c>
      <c r="J55">
        <f>IFERROR(IF(ISNUMBER(INDEX(SPPR!$E:$Z,MATCH($A55,SPPR!$A:$A,0),7)),$C55*INDEX(SPPR!$E:$Z,MATCH($A55,SPPR!$A:$A,0),7),""),"")</f>
        <v/>
      </c>
      <c r="K55">
        <f>IFERROR(IF(ISNUMBER(INDEX(SPPR!$E:$Z,MATCH($A55,SPPR!$A:$A,0),8)),$C55*INDEX(SPPR!$E:$Z,MATCH($A55,SPPR!$A:$A,0),8),""),"")</f>
        <v/>
      </c>
      <c r="L55">
        <f>IFERROR(IF(ISNUMBER(INDEX(SPPR!$E:$Z,MATCH($A55,SPPR!$A:$A,0),9)),$C55*INDEX(SPPR!$E:$Z,MATCH($A55,SPPR!$A:$A,0),9),""),"")</f>
        <v/>
      </c>
      <c r="M55">
        <f>IFERROR(IF(ISNUMBER(INDEX(SPPR!$E:$Z,MATCH($A55,SPPR!$A:$A,0),10)),$C55*INDEX(SPPR!$E:$Z,MATCH($A55,SPPR!$A:$A,0),10),""),"")</f>
        <v/>
      </c>
      <c r="N55">
        <f>IFERROR(IF(ISNUMBER(INDEX(SPPR!$E:$Z,MATCH($A55,SPPR!$A:$A,0),11)),$C55*INDEX(SPPR!$E:$Z,MATCH($A55,SPPR!$A:$A,0),11),""),"")</f>
        <v/>
      </c>
      <c r="O55">
        <f>IFERROR(IF(ISNUMBER(INDEX(SPPR!$E:$Z,MATCH($A55,SPPR!$A:$A,0),12)),$C55*INDEX(SPPR!$E:$Z,MATCH($A55,SPPR!$A:$A,0),12),""),"")</f>
        <v/>
      </c>
      <c r="P55">
        <f>IFERROR(IF(ISNUMBER(INDEX(SPPR!$E:$Z,MATCH($A55,SPPR!$A:$A,0),13)),$C55*INDEX(SPPR!$E:$Z,MATCH($A55,SPPR!$A:$A,0),13),""),"")</f>
        <v/>
      </c>
      <c r="Q55">
        <f>IFERROR(IF(ISNUMBER(INDEX(SPPR!$E:$Z,MATCH($A55,SPPR!$A:$A,0),14)),$C55*INDEX(SPPR!$E:$Z,MATCH($A55,SPPR!$A:$A,0),14),""),"")</f>
        <v/>
      </c>
      <c r="R55">
        <f>IFERROR(IF(ISNUMBER(INDEX(SPPR!$E:$Z,MATCH($A55,SPPR!$A:$A,0),15)),$C55*INDEX(SPPR!$E:$Z,MATCH($A55,SPPR!$A:$A,0),15),""),"")</f>
        <v/>
      </c>
      <c r="S55">
        <f>IFERROR(IF(ISNUMBER(INDEX(SPPR!$E:$Z,MATCH($A55,SPPR!$A:$A,0),16)),$C55*INDEX(SPPR!$E:$Z,MATCH($A55,SPPR!$A:$A,0),16),""),"")</f>
        <v/>
      </c>
      <c r="T55">
        <f>IFERROR(IF(ISNUMBER(INDEX(SPPR!$E:$Z,MATCH($A55,SPPR!$A:$A,0),17)),$C55*INDEX(SPPR!$E:$Z,MATCH($A55,SPPR!$A:$A,0),17),""),"")</f>
        <v/>
      </c>
      <c r="U55">
        <f>IFERROR(IF(ISNUMBER(INDEX(SPPR!$E:$Z,MATCH($A55,SPPR!$A:$A,0),18)),$C55*INDEX(SPPR!$E:$Z,MATCH($A55,SPPR!$A:$A,0),18),""),"")</f>
        <v/>
      </c>
      <c r="V55">
        <f>IFERROR(IF(ISNUMBER(INDEX(SPPR!$E:$Z,MATCH($A55,SPPR!$A:$A,0),19)),$C55*INDEX(SPPR!$E:$Z,MATCH($A55,SPPR!$A:$A,0),19),""),"")</f>
        <v/>
      </c>
      <c r="W55">
        <f>IFERROR(IF(ISNUMBER(INDEX(SPPR!$E:$Z,MATCH($A55,SPPR!$A:$A,0),20)),$C55*INDEX(SPPR!$E:$Z,MATCH($A55,SPPR!$A:$A,0),20),""),"")</f>
        <v/>
      </c>
      <c r="X55">
        <f>IFERROR(IF(ISNUMBER(INDEX(SPPR!$E:$Z,MATCH($A55,SPPR!$A:$A,0),21)),$C55*INDEX(SPPR!$E:$Z,MATCH($A55,SPPR!$A:$A,0),21),""),"")</f>
        <v/>
      </c>
      <c r="Y55">
        <f>IFERROR(IF(ISNUMBER(INDEX(SPPR!$E:$Z,MATCH($A55,SPPR!$A:$A,0),22)),$C55*INDEX(SPPR!$E:$Z,MATCH($A55,SPPR!$A:$A,0),22),""),"")</f>
        <v/>
      </c>
    </row>
    <row r="56">
      <c r="A56" t="inlineStr">
        <is>
          <t>Penaeidae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IFERROR(IF(ISNUMBER(INDEX(SPPR!$E:$Z,MATCH($A56,SPPR!$A:$A,0),1)),$C56*INDEX(SPPR!$E:$Z,MATCH($A56,SPPR!$A:$A,0),1),""),"")</f>
        <v/>
      </c>
      <c r="E56">
        <f>IFERROR(IF(ISNUMBER(INDEX(SPPR!$E:$Z,MATCH($A56,SPPR!$A:$A,0),2)),$C56*INDEX(SPPR!$E:$Z,MATCH($A56,SPPR!$A:$A,0),2),""),"")</f>
        <v/>
      </c>
      <c r="F56">
        <f>IFERROR(IF(ISNUMBER(INDEX(SPPR!$E:$Z,MATCH($A56,SPPR!$A:$A,0),3)),$C56*INDEX(SPPR!$E:$Z,MATCH($A56,SPPR!$A:$A,0),3),""),"")</f>
        <v/>
      </c>
      <c r="G56">
        <f>IFERROR(IF(ISNUMBER(INDEX(SPPR!$E:$Z,MATCH($A56,SPPR!$A:$A,0),4)),$C56*INDEX(SPPR!$E:$Z,MATCH($A56,SPPR!$A:$A,0),4),""),"")</f>
        <v/>
      </c>
      <c r="H56">
        <f>IFERROR(IF(ISNUMBER(INDEX(SPPR!$E:$Z,MATCH($A56,SPPR!$A:$A,0),5)),$C56*INDEX(SPPR!$E:$Z,MATCH($A56,SPPR!$A:$A,0),5),""),"")</f>
        <v/>
      </c>
      <c r="I56">
        <f>IFERROR(IF(ISNUMBER(INDEX(SPPR!$E:$Z,MATCH($A56,SPPR!$A:$A,0),6)),$C56*INDEX(SPPR!$E:$Z,MATCH($A56,SPPR!$A:$A,0),6),""),"")</f>
        <v/>
      </c>
      <c r="J56">
        <f>IFERROR(IF(ISNUMBER(INDEX(SPPR!$E:$Z,MATCH($A56,SPPR!$A:$A,0),7)),$C56*INDEX(SPPR!$E:$Z,MATCH($A56,SPPR!$A:$A,0),7),""),"")</f>
        <v/>
      </c>
      <c r="K56">
        <f>IFERROR(IF(ISNUMBER(INDEX(SPPR!$E:$Z,MATCH($A56,SPPR!$A:$A,0),8)),$C56*INDEX(SPPR!$E:$Z,MATCH($A56,SPPR!$A:$A,0),8),""),"")</f>
        <v/>
      </c>
      <c r="L56">
        <f>IFERROR(IF(ISNUMBER(INDEX(SPPR!$E:$Z,MATCH($A56,SPPR!$A:$A,0),9)),$C56*INDEX(SPPR!$E:$Z,MATCH($A56,SPPR!$A:$A,0),9),""),"")</f>
        <v/>
      </c>
      <c r="M56">
        <f>IFERROR(IF(ISNUMBER(INDEX(SPPR!$E:$Z,MATCH($A56,SPPR!$A:$A,0),10)),$C56*INDEX(SPPR!$E:$Z,MATCH($A56,SPPR!$A:$A,0),10),""),"")</f>
        <v/>
      </c>
      <c r="N56">
        <f>IFERROR(IF(ISNUMBER(INDEX(SPPR!$E:$Z,MATCH($A56,SPPR!$A:$A,0),11)),$C56*INDEX(SPPR!$E:$Z,MATCH($A56,SPPR!$A:$A,0),11),""),"")</f>
        <v/>
      </c>
      <c r="O56">
        <f>IFERROR(IF(ISNUMBER(INDEX(SPPR!$E:$Z,MATCH($A56,SPPR!$A:$A,0),12)),$C56*INDEX(SPPR!$E:$Z,MATCH($A56,SPPR!$A:$A,0),12),""),"")</f>
        <v/>
      </c>
      <c r="P56">
        <f>IFERROR(IF(ISNUMBER(INDEX(SPPR!$E:$Z,MATCH($A56,SPPR!$A:$A,0),13)),$C56*INDEX(SPPR!$E:$Z,MATCH($A56,SPPR!$A:$A,0),13),""),"")</f>
        <v/>
      </c>
      <c r="Q56">
        <f>IFERROR(IF(ISNUMBER(INDEX(SPPR!$E:$Z,MATCH($A56,SPPR!$A:$A,0),14)),$C56*INDEX(SPPR!$E:$Z,MATCH($A56,SPPR!$A:$A,0),14),""),"")</f>
        <v/>
      </c>
      <c r="R56">
        <f>IFERROR(IF(ISNUMBER(INDEX(SPPR!$E:$Z,MATCH($A56,SPPR!$A:$A,0),15)),$C56*INDEX(SPPR!$E:$Z,MATCH($A56,SPPR!$A:$A,0),15),""),"")</f>
        <v/>
      </c>
      <c r="S56">
        <f>IFERROR(IF(ISNUMBER(INDEX(SPPR!$E:$Z,MATCH($A56,SPPR!$A:$A,0),16)),$C56*INDEX(SPPR!$E:$Z,MATCH($A56,SPPR!$A:$A,0),16),""),"")</f>
        <v/>
      </c>
      <c r="T56">
        <f>IFERROR(IF(ISNUMBER(INDEX(SPPR!$E:$Z,MATCH($A56,SPPR!$A:$A,0),17)),$C56*INDEX(SPPR!$E:$Z,MATCH($A56,SPPR!$A:$A,0),17),""),"")</f>
        <v/>
      </c>
      <c r="U56">
        <f>IFERROR(IF(ISNUMBER(INDEX(SPPR!$E:$Z,MATCH($A56,SPPR!$A:$A,0),18)),$C56*INDEX(SPPR!$E:$Z,MATCH($A56,SPPR!$A:$A,0),18),""),"")</f>
        <v/>
      </c>
      <c r="V56">
        <f>IFERROR(IF(ISNUMBER(INDEX(SPPR!$E:$Z,MATCH($A56,SPPR!$A:$A,0),19)),$C56*INDEX(SPPR!$E:$Z,MATCH($A56,SPPR!$A:$A,0),19),""),"")</f>
        <v/>
      </c>
      <c r="W56">
        <f>IFERROR(IF(ISNUMBER(INDEX(SPPR!$E:$Z,MATCH($A56,SPPR!$A:$A,0),20)),$C56*INDEX(SPPR!$E:$Z,MATCH($A56,SPPR!$A:$A,0),20),""),"")</f>
        <v/>
      </c>
      <c r="X56">
        <f>IFERROR(IF(ISNUMBER(INDEX(SPPR!$E:$Z,MATCH($A56,SPPR!$A:$A,0),21)),$C56*INDEX(SPPR!$E:$Z,MATCH($A56,SPPR!$A:$A,0),21),""),"")</f>
        <v/>
      </c>
      <c r="Y56">
        <f>IFERROR(IF(ISNUMBER(INDEX(SPPR!$E:$Z,MATCH($A56,SPPR!$A:$A,0),22)),$C56*INDEX(SPPR!$E:$Z,MATCH($A56,SPPR!$A:$A,0),22),""),"")</f>
        <v/>
      </c>
    </row>
    <row r="57">
      <c r="A57" t="inlineStr">
        <is>
          <t>Pomadasys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IFERROR(IF(ISNUMBER(INDEX(SPPR!$E:$Z,MATCH($A57,SPPR!$A:$A,0),1)),$C57*INDEX(SPPR!$E:$Z,MATCH($A57,SPPR!$A:$A,0),1),""),"")</f>
        <v/>
      </c>
      <c r="E57">
        <f>IFERROR(IF(ISNUMBER(INDEX(SPPR!$E:$Z,MATCH($A57,SPPR!$A:$A,0),2)),$C57*INDEX(SPPR!$E:$Z,MATCH($A57,SPPR!$A:$A,0),2),""),"")</f>
        <v/>
      </c>
      <c r="F57">
        <f>IFERROR(IF(ISNUMBER(INDEX(SPPR!$E:$Z,MATCH($A57,SPPR!$A:$A,0),3)),$C57*INDEX(SPPR!$E:$Z,MATCH($A57,SPPR!$A:$A,0),3),""),"")</f>
        <v/>
      </c>
      <c r="G57">
        <f>IFERROR(IF(ISNUMBER(INDEX(SPPR!$E:$Z,MATCH($A57,SPPR!$A:$A,0),4)),$C57*INDEX(SPPR!$E:$Z,MATCH($A57,SPPR!$A:$A,0),4),""),"")</f>
        <v/>
      </c>
      <c r="H57">
        <f>IFERROR(IF(ISNUMBER(INDEX(SPPR!$E:$Z,MATCH($A57,SPPR!$A:$A,0),5)),$C57*INDEX(SPPR!$E:$Z,MATCH($A57,SPPR!$A:$A,0),5),""),"")</f>
        <v/>
      </c>
      <c r="I57">
        <f>IFERROR(IF(ISNUMBER(INDEX(SPPR!$E:$Z,MATCH($A57,SPPR!$A:$A,0),6)),$C57*INDEX(SPPR!$E:$Z,MATCH($A57,SPPR!$A:$A,0),6),""),"")</f>
        <v/>
      </c>
      <c r="J57">
        <f>IFERROR(IF(ISNUMBER(INDEX(SPPR!$E:$Z,MATCH($A57,SPPR!$A:$A,0),7)),$C57*INDEX(SPPR!$E:$Z,MATCH($A57,SPPR!$A:$A,0),7),""),"")</f>
        <v/>
      </c>
      <c r="K57">
        <f>IFERROR(IF(ISNUMBER(INDEX(SPPR!$E:$Z,MATCH($A57,SPPR!$A:$A,0),8)),$C57*INDEX(SPPR!$E:$Z,MATCH($A57,SPPR!$A:$A,0),8),""),"")</f>
        <v/>
      </c>
      <c r="L57">
        <f>IFERROR(IF(ISNUMBER(INDEX(SPPR!$E:$Z,MATCH($A57,SPPR!$A:$A,0),9)),$C57*INDEX(SPPR!$E:$Z,MATCH($A57,SPPR!$A:$A,0),9),""),"")</f>
        <v/>
      </c>
      <c r="M57">
        <f>IFERROR(IF(ISNUMBER(INDEX(SPPR!$E:$Z,MATCH($A57,SPPR!$A:$A,0),10)),$C57*INDEX(SPPR!$E:$Z,MATCH($A57,SPPR!$A:$A,0),10),""),"")</f>
        <v/>
      </c>
      <c r="N57">
        <f>IFERROR(IF(ISNUMBER(INDEX(SPPR!$E:$Z,MATCH($A57,SPPR!$A:$A,0),11)),$C57*INDEX(SPPR!$E:$Z,MATCH($A57,SPPR!$A:$A,0),11),""),"")</f>
        <v/>
      </c>
      <c r="O57">
        <f>IFERROR(IF(ISNUMBER(INDEX(SPPR!$E:$Z,MATCH($A57,SPPR!$A:$A,0),12)),$C57*INDEX(SPPR!$E:$Z,MATCH($A57,SPPR!$A:$A,0),12),""),"")</f>
        <v/>
      </c>
      <c r="P57">
        <f>IFERROR(IF(ISNUMBER(INDEX(SPPR!$E:$Z,MATCH($A57,SPPR!$A:$A,0),13)),$C57*INDEX(SPPR!$E:$Z,MATCH($A57,SPPR!$A:$A,0),13),""),"")</f>
        <v/>
      </c>
      <c r="Q57">
        <f>IFERROR(IF(ISNUMBER(INDEX(SPPR!$E:$Z,MATCH($A57,SPPR!$A:$A,0),14)),$C57*INDEX(SPPR!$E:$Z,MATCH($A57,SPPR!$A:$A,0),14),""),"")</f>
        <v/>
      </c>
      <c r="R57">
        <f>IFERROR(IF(ISNUMBER(INDEX(SPPR!$E:$Z,MATCH($A57,SPPR!$A:$A,0),15)),$C57*INDEX(SPPR!$E:$Z,MATCH($A57,SPPR!$A:$A,0),15),""),"")</f>
        <v/>
      </c>
      <c r="S57">
        <f>IFERROR(IF(ISNUMBER(INDEX(SPPR!$E:$Z,MATCH($A57,SPPR!$A:$A,0),16)),$C57*INDEX(SPPR!$E:$Z,MATCH($A57,SPPR!$A:$A,0),16),""),"")</f>
        <v/>
      </c>
      <c r="T57">
        <f>IFERROR(IF(ISNUMBER(INDEX(SPPR!$E:$Z,MATCH($A57,SPPR!$A:$A,0),17)),$C57*INDEX(SPPR!$E:$Z,MATCH($A57,SPPR!$A:$A,0),17),""),"")</f>
        <v/>
      </c>
      <c r="U57">
        <f>IFERROR(IF(ISNUMBER(INDEX(SPPR!$E:$Z,MATCH($A57,SPPR!$A:$A,0),18)),$C57*INDEX(SPPR!$E:$Z,MATCH($A57,SPPR!$A:$A,0),18),""),"")</f>
        <v/>
      </c>
      <c r="V57">
        <f>IFERROR(IF(ISNUMBER(INDEX(SPPR!$E:$Z,MATCH($A57,SPPR!$A:$A,0),19)),$C57*INDEX(SPPR!$E:$Z,MATCH($A57,SPPR!$A:$A,0),19),""),"")</f>
        <v/>
      </c>
      <c r="W57">
        <f>IFERROR(IF(ISNUMBER(INDEX(SPPR!$E:$Z,MATCH($A57,SPPR!$A:$A,0),20)),$C57*INDEX(SPPR!$E:$Z,MATCH($A57,SPPR!$A:$A,0),20),""),"")</f>
        <v/>
      </c>
      <c r="X57">
        <f>IFERROR(IF(ISNUMBER(INDEX(SPPR!$E:$Z,MATCH($A57,SPPR!$A:$A,0),21)),$C57*INDEX(SPPR!$E:$Z,MATCH($A57,SPPR!$A:$A,0),21),""),"")</f>
        <v/>
      </c>
      <c r="Y57">
        <f>IFERROR(IF(ISNUMBER(INDEX(SPPR!$E:$Z,MATCH($A57,SPPR!$A:$A,0),22)),$C57*INDEX(SPPR!$E:$Z,MATCH($A57,SPPR!$A:$A,0),22),""),"")</f>
        <v/>
      </c>
    </row>
    <row r="58">
      <c r="A58" t="inlineStr">
        <is>
          <t>Sphyraenidae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IFERROR(IF(ISNUMBER(INDEX(SPPR!$E:$Z,MATCH($A58,SPPR!$A:$A,0),1)),$C58*INDEX(SPPR!$E:$Z,MATCH($A58,SPPR!$A:$A,0),1),""),"")</f>
        <v/>
      </c>
      <c r="E58">
        <f>IFERROR(IF(ISNUMBER(INDEX(SPPR!$E:$Z,MATCH($A58,SPPR!$A:$A,0),2)),$C58*INDEX(SPPR!$E:$Z,MATCH($A58,SPPR!$A:$A,0),2),""),"")</f>
        <v/>
      </c>
      <c r="F58">
        <f>IFERROR(IF(ISNUMBER(INDEX(SPPR!$E:$Z,MATCH($A58,SPPR!$A:$A,0),3)),$C58*INDEX(SPPR!$E:$Z,MATCH($A58,SPPR!$A:$A,0),3),""),"")</f>
        <v/>
      </c>
      <c r="G58">
        <f>IFERROR(IF(ISNUMBER(INDEX(SPPR!$E:$Z,MATCH($A58,SPPR!$A:$A,0),4)),$C58*INDEX(SPPR!$E:$Z,MATCH($A58,SPPR!$A:$A,0),4),""),"")</f>
        <v/>
      </c>
      <c r="H58">
        <f>IFERROR(IF(ISNUMBER(INDEX(SPPR!$E:$Z,MATCH($A58,SPPR!$A:$A,0),5)),$C58*INDEX(SPPR!$E:$Z,MATCH($A58,SPPR!$A:$A,0),5),""),"")</f>
        <v/>
      </c>
      <c r="I58">
        <f>IFERROR(IF(ISNUMBER(INDEX(SPPR!$E:$Z,MATCH($A58,SPPR!$A:$A,0),6)),$C58*INDEX(SPPR!$E:$Z,MATCH($A58,SPPR!$A:$A,0),6),""),"")</f>
        <v/>
      </c>
      <c r="J58">
        <f>IFERROR(IF(ISNUMBER(INDEX(SPPR!$E:$Z,MATCH($A58,SPPR!$A:$A,0),7)),$C58*INDEX(SPPR!$E:$Z,MATCH($A58,SPPR!$A:$A,0),7),""),"")</f>
        <v/>
      </c>
      <c r="K58">
        <f>IFERROR(IF(ISNUMBER(INDEX(SPPR!$E:$Z,MATCH($A58,SPPR!$A:$A,0),8)),$C58*INDEX(SPPR!$E:$Z,MATCH($A58,SPPR!$A:$A,0),8),""),"")</f>
        <v/>
      </c>
      <c r="L58">
        <f>IFERROR(IF(ISNUMBER(INDEX(SPPR!$E:$Z,MATCH($A58,SPPR!$A:$A,0),9)),$C58*INDEX(SPPR!$E:$Z,MATCH($A58,SPPR!$A:$A,0),9),""),"")</f>
        <v/>
      </c>
      <c r="M58">
        <f>IFERROR(IF(ISNUMBER(INDEX(SPPR!$E:$Z,MATCH($A58,SPPR!$A:$A,0),10)),$C58*INDEX(SPPR!$E:$Z,MATCH($A58,SPPR!$A:$A,0),10),""),"")</f>
        <v/>
      </c>
      <c r="N58">
        <f>IFERROR(IF(ISNUMBER(INDEX(SPPR!$E:$Z,MATCH($A58,SPPR!$A:$A,0),11)),$C58*INDEX(SPPR!$E:$Z,MATCH($A58,SPPR!$A:$A,0),11),""),"")</f>
        <v/>
      </c>
      <c r="O58">
        <f>IFERROR(IF(ISNUMBER(INDEX(SPPR!$E:$Z,MATCH($A58,SPPR!$A:$A,0),12)),$C58*INDEX(SPPR!$E:$Z,MATCH($A58,SPPR!$A:$A,0),12),""),"")</f>
        <v/>
      </c>
      <c r="P58">
        <f>IFERROR(IF(ISNUMBER(INDEX(SPPR!$E:$Z,MATCH($A58,SPPR!$A:$A,0),13)),$C58*INDEX(SPPR!$E:$Z,MATCH($A58,SPPR!$A:$A,0),13),""),"")</f>
        <v/>
      </c>
      <c r="Q58">
        <f>IFERROR(IF(ISNUMBER(INDEX(SPPR!$E:$Z,MATCH($A58,SPPR!$A:$A,0),14)),$C58*INDEX(SPPR!$E:$Z,MATCH($A58,SPPR!$A:$A,0),14),""),"")</f>
        <v/>
      </c>
      <c r="R58">
        <f>IFERROR(IF(ISNUMBER(INDEX(SPPR!$E:$Z,MATCH($A58,SPPR!$A:$A,0),15)),$C58*INDEX(SPPR!$E:$Z,MATCH($A58,SPPR!$A:$A,0),15),""),"")</f>
        <v/>
      </c>
      <c r="S58">
        <f>IFERROR(IF(ISNUMBER(INDEX(SPPR!$E:$Z,MATCH($A58,SPPR!$A:$A,0),16)),$C58*INDEX(SPPR!$E:$Z,MATCH($A58,SPPR!$A:$A,0),16),""),"")</f>
        <v/>
      </c>
      <c r="T58">
        <f>IFERROR(IF(ISNUMBER(INDEX(SPPR!$E:$Z,MATCH($A58,SPPR!$A:$A,0),17)),$C58*INDEX(SPPR!$E:$Z,MATCH($A58,SPPR!$A:$A,0),17),""),"")</f>
        <v/>
      </c>
      <c r="U58">
        <f>IFERROR(IF(ISNUMBER(INDEX(SPPR!$E:$Z,MATCH($A58,SPPR!$A:$A,0),18)),$C58*INDEX(SPPR!$E:$Z,MATCH($A58,SPPR!$A:$A,0),18),""),"")</f>
        <v/>
      </c>
      <c r="V58">
        <f>IFERROR(IF(ISNUMBER(INDEX(SPPR!$E:$Z,MATCH($A58,SPPR!$A:$A,0),19)),$C58*INDEX(SPPR!$E:$Z,MATCH($A58,SPPR!$A:$A,0),19),""),"")</f>
        <v/>
      </c>
      <c r="W58">
        <f>IFERROR(IF(ISNUMBER(INDEX(SPPR!$E:$Z,MATCH($A58,SPPR!$A:$A,0),20)),$C58*INDEX(SPPR!$E:$Z,MATCH($A58,SPPR!$A:$A,0),20),""),"")</f>
        <v/>
      </c>
      <c r="X58">
        <f>IFERROR(IF(ISNUMBER(INDEX(SPPR!$E:$Z,MATCH($A58,SPPR!$A:$A,0),21)),$C58*INDEX(SPPR!$E:$Z,MATCH($A58,SPPR!$A:$A,0),21),""),"")</f>
        <v/>
      </c>
      <c r="Y58">
        <f>IFERROR(IF(ISNUMBER(INDEX(SPPR!$E:$Z,MATCH($A58,SPPR!$A:$A,0),22)),$C58*INDEX(SPPR!$E:$Z,MATCH($A58,SPPR!$A:$A,0),22),""),"")</f>
        <v/>
      </c>
    </row>
    <row r="59">
      <c r="A59" t="inlineStr">
        <is>
          <t>Sarda sarda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IFERROR(IF(ISNUMBER(INDEX(SPPR!$E:$Z,MATCH($A59,SPPR!$A:$A,0),1)),$C59*INDEX(SPPR!$E:$Z,MATCH($A59,SPPR!$A:$A,0),1),""),"")</f>
        <v/>
      </c>
      <c r="E59">
        <f>IFERROR(IF(ISNUMBER(INDEX(SPPR!$E:$Z,MATCH($A59,SPPR!$A:$A,0),2)),$C59*INDEX(SPPR!$E:$Z,MATCH($A59,SPPR!$A:$A,0),2),""),"")</f>
        <v/>
      </c>
      <c r="F59">
        <f>IFERROR(IF(ISNUMBER(INDEX(SPPR!$E:$Z,MATCH($A59,SPPR!$A:$A,0),3)),$C59*INDEX(SPPR!$E:$Z,MATCH($A59,SPPR!$A:$A,0),3),""),"")</f>
        <v/>
      </c>
      <c r="G59">
        <f>IFERROR(IF(ISNUMBER(INDEX(SPPR!$E:$Z,MATCH($A59,SPPR!$A:$A,0),4)),$C59*INDEX(SPPR!$E:$Z,MATCH($A59,SPPR!$A:$A,0),4),""),"")</f>
        <v/>
      </c>
      <c r="H59">
        <f>IFERROR(IF(ISNUMBER(INDEX(SPPR!$E:$Z,MATCH($A59,SPPR!$A:$A,0),5)),$C59*INDEX(SPPR!$E:$Z,MATCH($A59,SPPR!$A:$A,0),5),""),"")</f>
        <v/>
      </c>
      <c r="I59">
        <f>IFERROR(IF(ISNUMBER(INDEX(SPPR!$E:$Z,MATCH($A59,SPPR!$A:$A,0),6)),$C59*INDEX(SPPR!$E:$Z,MATCH($A59,SPPR!$A:$A,0),6),""),"")</f>
        <v/>
      </c>
      <c r="J59">
        <f>IFERROR(IF(ISNUMBER(INDEX(SPPR!$E:$Z,MATCH($A59,SPPR!$A:$A,0),7)),$C59*INDEX(SPPR!$E:$Z,MATCH($A59,SPPR!$A:$A,0),7),""),"")</f>
        <v/>
      </c>
      <c r="K59">
        <f>IFERROR(IF(ISNUMBER(INDEX(SPPR!$E:$Z,MATCH($A59,SPPR!$A:$A,0),8)),$C59*INDEX(SPPR!$E:$Z,MATCH($A59,SPPR!$A:$A,0),8),""),"")</f>
        <v/>
      </c>
      <c r="L59">
        <f>IFERROR(IF(ISNUMBER(INDEX(SPPR!$E:$Z,MATCH($A59,SPPR!$A:$A,0),9)),$C59*INDEX(SPPR!$E:$Z,MATCH($A59,SPPR!$A:$A,0),9),""),"")</f>
        <v/>
      </c>
      <c r="M59">
        <f>IFERROR(IF(ISNUMBER(INDEX(SPPR!$E:$Z,MATCH($A59,SPPR!$A:$A,0),10)),$C59*INDEX(SPPR!$E:$Z,MATCH($A59,SPPR!$A:$A,0),10),""),"")</f>
        <v/>
      </c>
      <c r="N59">
        <f>IFERROR(IF(ISNUMBER(INDEX(SPPR!$E:$Z,MATCH($A59,SPPR!$A:$A,0),11)),$C59*INDEX(SPPR!$E:$Z,MATCH($A59,SPPR!$A:$A,0),11),""),"")</f>
        <v/>
      </c>
      <c r="O59">
        <f>IFERROR(IF(ISNUMBER(INDEX(SPPR!$E:$Z,MATCH($A59,SPPR!$A:$A,0),12)),$C59*INDEX(SPPR!$E:$Z,MATCH($A59,SPPR!$A:$A,0),12),""),"")</f>
        <v/>
      </c>
      <c r="P59">
        <f>IFERROR(IF(ISNUMBER(INDEX(SPPR!$E:$Z,MATCH($A59,SPPR!$A:$A,0),13)),$C59*INDEX(SPPR!$E:$Z,MATCH($A59,SPPR!$A:$A,0),13),""),"")</f>
        <v/>
      </c>
      <c r="Q59">
        <f>IFERROR(IF(ISNUMBER(INDEX(SPPR!$E:$Z,MATCH($A59,SPPR!$A:$A,0),14)),$C59*INDEX(SPPR!$E:$Z,MATCH($A59,SPPR!$A:$A,0),14),""),"")</f>
        <v/>
      </c>
      <c r="R59">
        <f>IFERROR(IF(ISNUMBER(INDEX(SPPR!$E:$Z,MATCH($A59,SPPR!$A:$A,0),15)),$C59*INDEX(SPPR!$E:$Z,MATCH($A59,SPPR!$A:$A,0),15),""),"")</f>
        <v/>
      </c>
      <c r="S59">
        <f>IFERROR(IF(ISNUMBER(INDEX(SPPR!$E:$Z,MATCH($A59,SPPR!$A:$A,0),16)),$C59*INDEX(SPPR!$E:$Z,MATCH($A59,SPPR!$A:$A,0),16),""),"")</f>
        <v/>
      </c>
      <c r="T59">
        <f>IFERROR(IF(ISNUMBER(INDEX(SPPR!$E:$Z,MATCH($A59,SPPR!$A:$A,0),17)),$C59*INDEX(SPPR!$E:$Z,MATCH($A59,SPPR!$A:$A,0),17),""),"")</f>
        <v/>
      </c>
      <c r="U59">
        <f>IFERROR(IF(ISNUMBER(INDEX(SPPR!$E:$Z,MATCH($A59,SPPR!$A:$A,0),18)),$C59*INDEX(SPPR!$E:$Z,MATCH($A59,SPPR!$A:$A,0),18),""),"")</f>
        <v/>
      </c>
      <c r="V59">
        <f>IFERROR(IF(ISNUMBER(INDEX(SPPR!$E:$Z,MATCH($A59,SPPR!$A:$A,0),19)),$C59*INDEX(SPPR!$E:$Z,MATCH($A59,SPPR!$A:$A,0),19),""),"")</f>
        <v/>
      </c>
      <c r="W59">
        <f>IFERROR(IF(ISNUMBER(INDEX(SPPR!$E:$Z,MATCH($A59,SPPR!$A:$A,0),20)),$C59*INDEX(SPPR!$E:$Z,MATCH($A59,SPPR!$A:$A,0),20),""),"")</f>
        <v/>
      </c>
      <c r="X59">
        <f>IFERROR(IF(ISNUMBER(INDEX(SPPR!$E:$Z,MATCH($A59,SPPR!$A:$A,0),21)),$C59*INDEX(SPPR!$E:$Z,MATCH($A59,SPPR!$A:$A,0),21),""),"")</f>
        <v/>
      </c>
      <c r="Y59">
        <f>IFERROR(IF(ISNUMBER(INDEX(SPPR!$E:$Z,MATCH($A59,SPPR!$A:$A,0),22)),$C59*INDEX(SPPR!$E:$Z,MATCH($A59,SPPR!$A:$A,0),22),""),"")</f>
        <v/>
      </c>
    </row>
    <row r="60">
      <c r="A60" t="inlineStr">
        <is>
          <t>Dasyatidae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IFERROR(IF(ISNUMBER(INDEX(SPPR!$E:$Z,MATCH($A60,SPPR!$A:$A,0),1)),$C60*INDEX(SPPR!$E:$Z,MATCH($A60,SPPR!$A:$A,0),1),""),"")</f>
        <v/>
      </c>
      <c r="E60">
        <f>IFERROR(IF(ISNUMBER(INDEX(SPPR!$E:$Z,MATCH($A60,SPPR!$A:$A,0),2)),$C60*INDEX(SPPR!$E:$Z,MATCH($A60,SPPR!$A:$A,0),2),""),"")</f>
        <v/>
      </c>
      <c r="F60">
        <f>IFERROR(IF(ISNUMBER(INDEX(SPPR!$E:$Z,MATCH($A60,SPPR!$A:$A,0),3)),$C60*INDEX(SPPR!$E:$Z,MATCH($A60,SPPR!$A:$A,0),3),""),"")</f>
        <v/>
      </c>
      <c r="G60">
        <f>IFERROR(IF(ISNUMBER(INDEX(SPPR!$E:$Z,MATCH($A60,SPPR!$A:$A,0),4)),$C60*INDEX(SPPR!$E:$Z,MATCH($A60,SPPR!$A:$A,0),4),""),"")</f>
        <v/>
      </c>
      <c r="H60">
        <f>IFERROR(IF(ISNUMBER(INDEX(SPPR!$E:$Z,MATCH($A60,SPPR!$A:$A,0),5)),$C60*INDEX(SPPR!$E:$Z,MATCH($A60,SPPR!$A:$A,0),5),""),"")</f>
        <v/>
      </c>
      <c r="I60">
        <f>IFERROR(IF(ISNUMBER(INDEX(SPPR!$E:$Z,MATCH($A60,SPPR!$A:$A,0),6)),$C60*INDEX(SPPR!$E:$Z,MATCH($A60,SPPR!$A:$A,0),6),""),"")</f>
        <v/>
      </c>
      <c r="J60">
        <f>IFERROR(IF(ISNUMBER(INDEX(SPPR!$E:$Z,MATCH($A60,SPPR!$A:$A,0),7)),$C60*INDEX(SPPR!$E:$Z,MATCH($A60,SPPR!$A:$A,0),7),""),"")</f>
        <v/>
      </c>
      <c r="K60">
        <f>IFERROR(IF(ISNUMBER(INDEX(SPPR!$E:$Z,MATCH($A60,SPPR!$A:$A,0),8)),$C60*INDEX(SPPR!$E:$Z,MATCH($A60,SPPR!$A:$A,0),8),""),"")</f>
        <v/>
      </c>
      <c r="L60">
        <f>IFERROR(IF(ISNUMBER(INDEX(SPPR!$E:$Z,MATCH($A60,SPPR!$A:$A,0),9)),$C60*INDEX(SPPR!$E:$Z,MATCH($A60,SPPR!$A:$A,0),9),""),"")</f>
        <v/>
      </c>
      <c r="M60">
        <f>IFERROR(IF(ISNUMBER(INDEX(SPPR!$E:$Z,MATCH($A60,SPPR!$A:$A,0),10)),$C60*INDEX(SPPR!$E:$Z,MATCH($A60,SPPR!$A:$A,0),10),""),"")</f>
        <v/>
      </c>
      <c r="N60">
        <f>IFERROR(IF(ISNUMBER(INDEX(SPPR!$E:$Z,MATCH($A60,SPPR!$A:$A,0),11)),$C60*INDEX(SPPR!$E:$Z,MATCH($A60,SPPR!$A:$A,0),11),""),"")</f>
        <v/>
      </c>
      <c r="O60">
        <f>IFERROR(IF(ISNUMBER(INDEX(SPPR!$E:$Z,MATCH($A60,SPPR!$A:$A,0),12)),$C60*INDEX(SPPR!$E:$Z,MATCH($A60,SPPR!$A:$A,0),12),""),"")</f>
        <v/>
      </c>
      <c r="P60">
        <f>IFERROR(IF(ISNUMBER(INDEX(SPPR!$E:$Z,MATCH($A60,SPPR!$A:$A,0),13)),$C60*INDEX(SPPR!$E:$Z,MATCH($A60,SPPR!$A:$A,0),13),""),"")</f>
        <v/>
      </c>
      <c r="Q60">
        <f>IFERROR(IF(ISNUMBER(INDEX(SPPR!$E:$Z,MATCH($A60,SPPR!$A:$A,0),14)),$C60*INDEX(SPPR!$E:$Z,MATCH($A60,SPPR!$A:$A,0),14),""),"")</f>
        <v/>
      </c>
      <c r="R60">
        <f>IFERROR(IF(ISNUMBER(INDEX(SPPR!$E:$Z,MATCH($A60,SPPR!$A:$A,0),15)),$C60*INDEX(SPPR!$E:$Z,MATCH($A60,SPPR!$A:$A,0),15),""),"")</f>
        <v/>
      </c>
      <c r="S60">
        <f>IFERROR(IF(ISNUMBER(INDEX(SPPR!$E:$Z,MATCH($A60,SPPR!$A:$A,0),16)),$C60*INDEX(SPPR!$E:$Z,MATCH($A60,SPPR!$A:$A,0),16),""),"")</f>
        <v/>
      </c>
      <c r="T60">
        <f>IFERROR(IF(ISNUMBER(INDEX(SPPR!$E:$Z,MATCH($A60,SPPR!$A:$A,0),17)),$C60*INDEX(SPPR!$E:$Z,MATCH($A60,SPPR!$A:$A,0),17),""),"")</f>
        <v/>
      </c>
      <c r="U60">
        <f>IFERROR(IF(ISNUMBER(INDEX(SPPR!$E:$Z,MATCH($A60,SPPR!$A:$A,0),18)),$C60*INDEX(SPPR!$E:$Z,MATCH($A60,SPPR!$A:$A,0),18),""),"")</f>
        <v/>
      </c>
      <c r="V60">
        <f>IFERROR(IF(ISNUMBER(INDEX(SPPR!$E:$Z,MATCH($A60,SPPR!$A:$A,0),19)),$C60*INDEX(SPPR!$E:$Z,MATCH($A60,SPPR!$A:$A,0),19),""),"")</f>
        <v/>
      </c>
      <c r="W60">
        <f>IFERROR(IF(ISNUMBER(INDEX(SPPR!$E:$Z,MATCH($A60,SPPR!$A:$A,0),20)),$C60*INDEX(SPPR!$E:$Z,MATCH($A60,SPPR!$A:$A,0),20),""),"")</f>
        <v/>
      </c>
      <c r="X60">
        <f>IFERROR(IF(ISNUMBER(INDEX(SPPR!$E:$Z,MATCH($A60,SPPR!$A:$A,0),21)),$C60*INDEX(SPPR!$E:$Z,MATCH($A60,SPPR!$A:$A,0),21),""),"")</f>
        <v/>
      </c>
      <c r="Y60">
        <f>IFERROR(IF(ISNUMBER(INDEX(SPPR!$E:$Z,MATCH($A60,SPPR!$A:$A,0),22)),$C60*INDEX(SPPR!$E:$Z,MATCH($A60,SPPR!$A:$A,0),22),""),"")</f>
        <v/>
      </c>
    </row>
    <row r="61">
      <c r="A61" t="inlineStr">
        <is>
          <t>Pteroscion peli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IFERROR(IF(ISNUMBER(INDEX(SPPR!$E:$Z,MATCH($A61,SPPR!$A:$A,0),1)),$C61*INDEX(SPPR!$E:$Z,MATCH($A61,SPPR!$A:$A,0),1),""),"")</f>
        <v/>
      </c>
      <c r="E61">
        <f>IFERROR(IF(ISNUMBER(INDEX(SPPR!$E:$Z,MATCH($A61,SPPR!$A:$A,0),2)),$C61*INDEX(SPPR!$E:$Z,MATCH($A61,SPPR!$A:$A,0),2),""),"")</f>
        <v/>
      </c>
      <c r="F61">
        <f>IFERROR(IF(ISNUMBER(INDEX(SPPR!$E:$Z,MATCH($A61,SPPR!$A:$A,0),3)),$C61*INDEX(SPPR!$E:$Z,MATCH($A61,SPPR!$A:$A,0),3),""),"")</f>
        <v/>
      </c>
      <c r="G61">
        <f>IFERROR(IF(ISNUMBER(INDEX(SPPR!$E:$Z,MATCH($A61,SPPR!$A:$A,0),4)),$C61*INDEX(SPPR!$E:$Z,MATCH($A61,SPPR!$A:$A,0),4),""),"")</f>
        <v/>
      </c>
      <c r="H61">
        <f>IFERROR(IF(ISNUMBER(INDEX(SPPR!$E:$Z,MATCH($A61,SPPR!$A:$A,0),5)),$C61*INDEX(SPPR!$E:$Z,MATCH($A61,SPPR!$A:$A,0),5),""),"")</f>
        <v/>
      </c>
      <c r="I61">
        <f>IFERROR(IF(ISNUMBER(INDEX(SPPR!$E:$Z,MATCH($A61,SPPR!$A:$A,0),6)),$C61*INDEX(SPPR!$E:$Z,MATCH($A61,SPPR!$A:$A,0),6),""),"")</f>
        <v/>
      </c>
      <c r="J61">
        <f>IFERROR(IF(ISNUMBER(INDEX(SPPR!$E:$Z,MATCH($A61,SPPR!$A:$A,0),7)),$C61*INDEX(SPPR!$E:$Z,MATCH($A61,SPPR!$A:$A,0),7),""),"")</f>
        <v/>
      </c>
      <c r="K61">
        <f>IFERROR(IF(ISNUMBER(INDEX(SPPR!$E:$Z,MATCH($A61,SPPR!$A:$A,0),8)),$C61*INDEX(SPPR!$E:$Z,MATCH($A61,SPPR!$A:$A,0),8),""),"")</f>
        <v/>
      </c>
      <c r="L61">
        <f>IFERROR(IF(ISNUMBER(INDEX(SPPR!$E:$Z,MATCH($A61,SPPR!$A:$A,0),9)),$C61*INDEX(SPPR!$E:$Z,MATCH($A61,SPPR!$A:$A,0),9),""),"")</f>
        <v/>
      </c>
      <c r="M61">
        <f>IFERROR(IF(ISNUMBER(INDEX(SPPR!$E:$Z,MATCH($A61,SPPR!$A:$A,0),10)),$C61*INDEX(SPPR!$E:$Z,MATCH($A61,SPPR!$A:$A,0),10),""),"")</f>
        <v/>
      </c>
      <c r="N61">
        <f>IFERROR(IF(ISNUMBER(INDEX(SPPR!$E:$Z,MATCH($A61,SPPR!$A:$A,0),11)),$C61*INDEX(SPPR!$E:$Z,MATCH($A61,SPPR!$A:$A,0),11),""),"")</f>
        <v/>
      </c>
      <c r="O61">
        <f>IFERROR(IF(ISNUMBER(INDEX(SPPR!$E:$Z,MATCH($A61,SPPR!$A:$A,0),12)),$C61*INDEX(SPPR!$E:$Z,MATCH($A61,SPPR!$A:$A,0),12),""),"")</f>
        <v/>
      </c>
      <c r="P61">
        <f>IFERROR(IF(ISNUMBER(INDEX(SPPR!$E:$Z,MATCH($A61,SPPR!$A:$A,0),13)),$C61*INDEX(SPPR!$E:$Z,MATCH($A61,SPPR!$A:$A,0),13),""),"")</f>
        <v/>
      </c>
      <c r="Q61">
        <f>IFERROR(IF(ISNUMBER(INDEX(SPPR!$E:$Z,MATCH($A61,SPPR!$A:$A,0),14)),$C61*INDEX(SPPR!$E:$Z,MATCH($A61,SPPR!$A:$A,0),14),""),"")</f>
        <v/>
      </c>
      <c r="R61">
        <f>IFERROR(IF(ISNUMBER(INDEX(SPPR!$E:$Z,MATCH($A61,SPPR!$A:$A,0),15)),$C61*INDEX(SPPR!$E:$Z,MATCH($A61,SPPR!$A:$A,0),15),""),"")</f>
        <v/>
      </c>
      <c r="S61">
        <f>IFERROR(IF(ISNUMBER(INDEX(SPPR!$E:$Z,MATCH($A61,SPPR!$A:$A,0),16)),$C61*INDEX(SPPR!$E:$Z,MATCH($A61,SPPR!$A:$A,0),16),""),"")</f>
        <v/>
      </c>
      <c r="T61">
        <f>IFERROR(IF(ISNUMBER(INDEX(SPPR!$E:$Z,MATCH($A61,SPPR!$A:$A,0),17)),$C61*INDEX(SPPR!$E:$Z,MATCH($A61,SPPR!$A:$A,0),17),""),"")</f>
        <v/>
      </c>
      <c r="U61">
        <f>IFERROR(IF(ISNUMBER(INDEX(SPPR!$E:$Z,MATCH($A61,SPPR!$A:$A,0),18)),$C61*INDEX(SPPR!$E:$Z,MATCH($A61,SPPR!$A:$A,0),18),""),"")</f>
        <v/>
      </c>
      <c r="V61">
        <f>IFERROR(IF(ISNUMBER(INDEX(SPPR!$E:$Z,MATCH($A61,SPPR!$A:$A,0),19)),$C61*INDEX(SPPR!$E:$Z,MATCH($A61,SPPR!$A:$A,0),19),""),"")</f>
        <v/>
      </c>
      <c r="W61">
        <f>IFERROR(IF(ISNUMBER(INDEX(SPPR!$E:$Z,MATCH($A61,SPPR!$A:$A,0),20)),$C61*INDEX(SPPR!$E:$Z,MATCH($A61,SPPR!$A:$A,0),20),""),"")</f>
        <v/>
      </c>
      <c r="X61">
        <f>IFERROR(IF(ISNUMBER(INDEX(SPPR!$E:$Z,MATCH($A61,SPPR!$A:$A,0),21)),$C61*INDEX(SPPR!$E:$Z,MATCH($A61,SPPR!$A:$A,0),21),""),"")</f>
        <v/>
      </c>
      <c r="Y61">
        <f>IFERROR(IF(ISNUMBER(INDEX(SPPR!$E:$Z,MATCH($A61,SPPR!$A:$A,0),22)),$C61*INDEX(SPPR!$E:$Z,MATCH($A61,SPPR!$A:$A,0),22),""),"")</f>
        <v/>
      </c>
    </row>
    <row r="62">
      <c r="A62" t="inlineStr">
        <is>
          <t>Sarotherodon galilaeus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IFERROR(IF(ISNUMBER(INDEX(SPPR!$E:$Z,MATCH($A62,SPPR!$A:$A,0),1)),$C62*INDEX(SPPR!$E:$Z,MATCH($A62,SPPR!$A:$A,0),1),""),"")</f>
        <v/>
      </c>
      <c r="E62">
        <f>IFERROR(IF(ISNUMBER(INDEX(SPPR!$E:$Z,MATCH($A62,SPPR!$A:$A,0),2)),$C62*INDEX(SPPR!$E:$Z,MATCH($A62,SPPR!$A:$A,0),2),""),"")</f>
        <v/>
      </c>
      <c r="F62">
        <f>IFERROR(IF(ISNUMBER(INDEX(SPPR!$E:$Z,MATCH($A62,SPPR!$A:$A,0),3)),$C62*INDEX(SPPR!$E:$Z,MATCH($A62,SPPR!$A:$A,0),3),""),"")</f>
        <v/>
      </c>
      <c r="G62">
        <f>IFERROR(IF(ISNUMBER(INDEX(SPPR!$E:$Z,MATCH($A62,SPPR!$A:$A,0),4)),$C62*INDEX(SPPR!$E:$Z,MATCH($A62,SPPR!$A:$A,0),4),""),"")</f>
        <v/>
      </c>
      <c r="H62">
        <f>IFERROR(IF(ISNUMBER(INDEX(SPPR!$E:$Z,MATCH($A62,SPPR!$A:$A,0),5)),$C62*INDEX(SPPR!$E:$Z,MATCH($A62,SPPR!$A:$A,0),5),""),"")</f>
        <v/>
      </c>
      <c r="I62">
        <f>IFERROR(IF(ISNUMBER(INDEX(SPPR!$E:$Z,MATCH($A62,SPPR!$A:$A,0),6)),$C62*INDEX(SPPR!$E:$Z,MATCH($A62,SPPR!$A:$A,0),6),""),"")</f>
        <v/>
      </c>
      <c r="J62">
        <f>IFERROR(IF(ISNUMBER(INDEX(SPPR!$E:$Z,MATCH($A62,SPPR!$A:$A,0),7)),$C62*INDEX(SPPR!$E:$Z,MATCH($A62,SPPR!$A:$A,0),7),""),"")</f>
        <v/>
      </c>
      <c r="K62">
        <f>IFERROR(IF(ISNUMBER(INDEX(SPPR!$E:$Z,MATCH($A62,SPPR!$A:$A,0),8)),$C62*INDEX(SPPR!$E:$Z,MATCH($A62,SPPR!$A:$A,0),8),""),"")</f>
        <v/>
      </c>
      <c r="L62">
        <f>IFERROR(IF(ISNUMBER(INDEX(SPPR!$E:$Z,MATCH($A62,SPPR!$A:$A,0),9)),$C62*INDEX(SPPR!$E:$Z,MATCH($A62,SPPR!$A:$A,0),9),""),"")</f>
        <v/>
      </c>
      <c r="M62">
        <f>IFERROR(IF(ISNUMBER(INDEX(SPPR!$E:$Z,MATCH($A62,SPPR!$A:$A,0),10)),$C62*INDEX(SPPR!$E:$Z,MATCH($A62,SPPR!$A:$A,0),10),""),"")</f>
        <v/>
      </c>
      <c r="N62">
        <f>IFERROR(IF(ISNUMBER(INDEX(SPPR!$E:$Z,MATCH($A62,SPPR!$A:$A,0),11)),$C62*INDEX(SPPR!$E:$Z,MATCH($A62,SPPR!$A:$A,0),11),""),"")</f>
        <v/>
      </c>
      <c r="O62">
        <f>IFERROR(IF(ISNUMBER(INDEX(SPPR!$E:$Z,MATCH($A62,SPPR!$A:$A,0),12)),$C62*INDEX(SPPR!$E:$Z,MATCH($A62,SPPR!$A:$A,0),12),""),"")</f>
        <v/>
      </c>
      <c r="P62">
        <f>IFERROR(IF(ISNUMBER(INDEX(SPPR!$E:$Z,MATCH($A62,SPPR!$A:$A,0),13)),$C62*INDEX(SPPR!$E:$Z,MATCH($A62,SPPR!$A:$A,0),13),""),"")</f>
        <v/>
      </c>
      <c r="Q62">
        <f>IFERROR(IF(ISNUMBER(INDEX(SPPR!$E:$Z,MATCH($A62,SPPR!$A:$A,0),14)),$C62*INDEX(SPPR!$E:$Z,MATCH($A62,SPPR!$A:$A,0),14),""),"")</f>
        <v/>
      </c>
      <c r="R62">
        <f>IFERROR(IF(ISNUMBER(INDEX(SPPR!$E:$Z,MATCH($A62,SPPR!$A:$A,0),15)),$C62*INDEX(SPPR!$E:$Z,MATCH($A62,SPPR!$A:$A,0),15),""),"")</f>
        <v/>
      </c>
      <c r="S62">
        <f>IFERROR(IF(ISNUMBER(INDEX(SPPR!$E:$Z,MATCH($A62,SPPR!$A:$A,0),16)),$C62*INDEX(SPPR!$E:$Z,MATCH($A62,SPPR!$A:$A,0),16),""),"")</f>
        <v/>
      </c>
      <c r="T62">
        <f>IFERROR(IF(ISNUMBER(INDEX(SPPR!$E:$Z,MATCH($A62,SPPR!$A:$A,0),17)),$C62*INDEX(SPPR!$E:$Z,MATCH($A62,SPPR!$A:$A,0),17),""),"")</f>
        <v/>
      </c>
      <c r="U62">
        <f>IFERROR(IF(ISNUMBER(INDEX(SPPR!$E:$Z,MATCH($A62,SPPR!$A:$A,0),18)),$C62*INDEX(SPPR!$E:$Z,MATCH($A62,SPPR!$A:$A,0),18),""),"")</f>
        <v/>
      </c>
      <c r="V62">
        <f>IFERROR(IF(ISNUMBER(INDEX(SPPR!$E:$Z,MATCH($A62,SPPR!$A:$A,0),19)),$C62*INDEX(SPPR!$E:$Z,MATCH($A62,SPPR!$A:$A,0),19),""),"")</f>
        <v/>
      </c>
      <c r="W62">
        <f>IFERROR(IF(ISNUMBER(INDEX(SPPR!$E:$Z,MATCH($A62,SPPR!$A:$A,0),20)),$C62*INDEX(SPPR!$E:$Z,MATCH($A62,SPPR!$A:$A,0),20),""),"")</f>
        <v/>
      </c>
      <c r="X62">
        <f>IFERROR(IF(ISNUMBER(INDEX(SPPR!$E:$Z,MATCH($A62,SPPR!$A:$A,0),21)),$C62*INDEX(SPPR!$E:$Z,MATCH($A62,SPPR!$A:$A,0),21),""),"")</f>
        <v/>
      </c>
      <c r="Y62">
        <f>IFERROR(IF(ISNUMBER(INDEX(SPPR!$E:$Z,MATCH($A62,SPPR!$A:$A,0),22)),$C62*INDEX(SPPR!$E:$Z,MATCH($A62,SPPR!$A:$A,0),22),""),"")</f>
        <v/>
      </c>
    </row>
    <row r="63">
      <c r="A63" t="inlineStr">
        <is>
          <t>Pseudotolithus senegalensis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IFERROR(IF(ISNUMBER(INDEX(SPPR!$E:$Z,MATCH($A63,SPPR!$A:$A,0),1)),$C63*INDEX(SPPR!$E:$Z,MATCH($A63,SPPR!$A:$A,0),1),""),"")</f>
        <v/>
      </c>
      <c r="E63">
        <f>IFERROR(IF(ISNUMBER(INDEX(SPPR!$E:$Z,MATCH($A63,SPPR!$A:$A,0),2)),$C63*INDEX(SPPR!$E:$Z,MATCH($A63,SPPR!$A:$A,0),2),""),"")</f>
        <v/>
      </c>
      <c r="F63">
        <f>IFERROR(IF(ISNUMBER(INDEX(SPPR!$E:$Z,MATCH($A63,SPPR!$A:$A,0),3)),$C63*INDEX(SPPR!$E:$Z,MATCH($A63,SPPR!$A:$A,0),3),""),"")</f>
        <v/>
      </c>
      <c r="G63">
        <f>IFERROR(IF(ISNUMBER(INDEX(SPPR!$E:$Z,MATCH($A63,SPPR!$A:$A,0),4)),$C63*INDEX(SPPR!$E:$Z,MATCH($A63,SPPR!$A:$A,0),4),""),"")</f>
        <v/>
      </c>
      <c r="H63">
        <f>IFERROR(IF(ISNUMBER(INDEX(SPPR!$E:$Z,MATCH($A63,SPPR!$A:$A,0),5)),$C63*INDEX(SPPR!$E:$Z,MATCH($A63,SPPR!$A:$A,0),5),""),"")</f>
        <v/>
      </c>
      <c r="I63">
        <f>IFERROR(IF(ISNUMBER(INDEX(SPPR!$E:$Z,MATCH($A63,SPPR!$A:$A,0),6)),$C63*INDEX(SPPR!$E:$Z,MATCH($A63,SPPR!$A:$A,0),6),""),"")</f>
        <v/>
      </c>
      <c r="J63">
        <f>IFERROR(IF(ISNUMBER(INDEX(SPPR!$E:$Z,MATCH($A63,SPPR!$A:$A,0),7)),$C63*INDEX(SPPR!$E:$Z,MATCH($A63,SPPR!$A:$A,0),7),""),"")</f>
        <v/>
      </c>
      <c r="K63">
        <f>IFERROR(IF(ISNUMBER(INDEX(SPPR!$E:$Z,MATCH($A63,SPPR!$A:$A,0),8)),$C63*INDEX(SPPR!$E:$Z,MATCH($A63,SPPR!$A:$A,0),8),""),"")</f>
        <v/>
      </c>
      <c r="L63">
        <f>IFERROR(IF(ISNUMBER(INDEX(SPPR!$E:$Z,MATCH($A63,SPPR!$A:$A,0),9)),$C63*INDEX(SPPR!$E:$Z,MATCH($A63,SPPR!$A:$A,0),9),""),"")</f>
        <v/>
      </c>
      <c r="M63">
        <f>IFERROR(IF(ISNUMBER(INDEX(SPPR!$E:$Z,MATCH($A63,SPPR!$A:$A,0),10)),$C63*INDEX(SPPR!$E:$Z,MATCH($A63,SPPR!$A:$A,0),10),""),"")</f>
        <v/>
      </c>
      <c r="N63">
        <f>IFERROR(IF(ISNUMBER(INDEX(SPPR!$E:$Z,MATCH($A63,SPPR!$A:$A,0),11)),$C63*INDEX(SPPR!$E:$Z,MATCH($A63,SPPR!$A:$A,0),11),""),"")</f>
        <v/>
      </c>
      <c r="O63">
        <f>IFERROR(IF(ISNUMBER(INDEX(SPPR!$E:$Z,MATCH($A63,SPPR!$A:$A,0),12)),$C63*INDEX(SPPR!$E:$Z,MATCH($A63,SPPR!$A:$A,0),12),""),"")</f>
        <v/>
      </c>
      <c r="P63">
        <f>IFERROR(IF(ISNUMBER(INDEX(SPPR!$E:$Z,MATCH($A63,SPPR!$A:$A,0),13)),$C63*INDEX(SPPR!$E:$Z,MATCH($A63,SPPR!$A:$A,0),13),""),"")</f>
        <v/>
      </c>
      <c r="Q63">
        <f>IFERROR(IF(ISNUMBER(INDEX(SPPR!$E:$Z,MATCH($A63,SPPR!$A:$A,0),14)),$C63*INDEX(SPPR!$E:$Z,MATCH($A63,SPPR!$A:$A,0),14),""),"")</f>
        <v/>
      </c>
      <c r="R63">
        <f>IFERROR(IF(ISNUMBER(INDEX(SPPR!$E:$Z,MATCH($A63,SPPR!$A:$A,0),15)),$C63*INDEX(SPPR!$E:$Z,MATCH($A63,SPPR!$A:$A,0),15),""),"")</f>
        <v/>
      </c>
      <c r="S63">
        <f>IFERROR(IF(ISNUMBER(INDEX(SPPR!$E:$Z,MATCH($A63,SPPR!$A:$A,0),16)),$C63*INDEX(SPPR!$E:$Z,MATCH($A63,SPPR!$A:$A,0),16),""),"")</f>
        <v/>
      </c>
      <c r="T63">
        <f>IFERROR(IF(ISNUMBER(INDEX(SPPR!$E:$Z,MATCH($A63,SPPR!$A:$A,0),17)),$C63*INDEX(SPPR!$E:$Z,MATCH($A63,SPPR!$A:$A,0),17),""),"")</f>
        <v/>
      </c>
      <c r="U63">
        <f>IFERROR(IF(ISNUMBER(INDEX(SPPR!$E:$Z,MATCH($A63,SPPR!$A:$A,0),18)),$C63*INDEX(SPPR!$E:$Z,MATCH($A63,SPPR!$A:$A,0),18),""),"")</f>
        <v/>
      </c>
      <c r="V63">
        <f>IFERROR(IF(ISNUMBER(INDEX(SPPR!$E:$Z,MATCH($A63,SPPR!$A:$A,0),19)),$C63*INDEX(SPPR!$E:$Z,MATCH($A63,SPPR!$A:$A,0),19),""),"")</f>
        <v/>
      </c>
      <c r="W63">
        <f>IFERROR(IF(ISNUMBER(INDEX(SPPR!$E:$Z,MATCH($A63,SPPR!$A:$A,0),20)),$C63*INDEX(SPPR!$E:$Z,MATCH($A63,SPPR!$A:$A,0),20),""),"")</f>
        <v/>
      </c>
      <c r="X63">
        <f>IFERROR(IF(ISNUMBER(INDEX(SPPR!$E:$Z,MATCH($A63,SPPR!$A:$A,0),21)),$C63*INDEX(SPPR!$E:$Z,MATCH($A63,SPPR!$A:$A,0),21),""),"")</f>
        <v/>
      </c>
      <c r="Y63">
        <f>IFERROR(IF(ISNUMBER(INDEX(SPPR!$E:$Z,MATCH($A63,SPPR!$A:$A,0),22)),$C63*INDEX(SPPR!$E:$Z,MATCH($A63,SPPR!$A:$A,0),22),""),"")</f>
        <v/>
      </c>
    </row>
    <row r="64">
      <c r="A64" t="inlineStr">
        <is>
          <t>Parapenaeus longirostris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IFERROR(IF(ISNUMBER(INDEX(SPPR!$E:$Z,MATCH($A64,SPPR!$A:$A,0),1)),$C64*INDEX(SPPR!$E:$Z,MATCH($A64,SPPR!$A:$A,0),1),""),"")</f>
        <v/>
      </c>
      <c r="E64">
        <f>IFERROR(IF(ISNUMBER(INDEX(SPPR!$E:$Z,MATCH($A64,SPPR!$A:$A,0),2)),$C64*INDEX(SPPR!$E:$Z,MATCH($A64,SPPR!$A:$A,0),2),""),"")</f>
        <v/>
      </c>
      <c r="F64">
        <f>IFERROR(IF(ISNUMBER(INDEX(SPPR!$E:$Z,MATCH($A64,SPPR!$A:$A,0),3)),$C64*INDEX(SPPR!$E:$Z,MATCH($A64,SPPR!$A:$A,0),3),""),"")</f>
        <v/>
      </c>
      <c r="G64">
        <f>IFERROR(IF(ISNUMBER(INDEX(SPPR!$E:$Z,MATCH($A64,SPPR!$A:$A,0),4)),$C64*INDEX(SPPR!$E:$Z,MATCH($A64,SPPR!$A:$A,0),4),""),"")</f>
        <v/>
      </c>
      <c r="H64">
        <f>IFERROR(IF(ISNUMBER(INDEX(SPPR!$E:$Z,MATCH($A64,SPPR!$A:$A,0),5)),$C64*INDEX(SPPR!$E:$Z,MATCH($A64,SPPR!$A:$A,0),5),""),"")</f>
        <v/>
      </c>
      <c r="I64">
        <f>IFERROR(IF(ISNUMBER(INDEX(SPPR!$E:$Z,MATCH($A64,SPPR!$A:$A,0),6)),$C64*INDEX(SPPR!$E:$Z,MATCH($A64,SPPR!$A:$A,0),6),""),"")</f>
        <v/>
      </c>
      <c r="J64">
        <f>IFERROR(IF(ISNUMBER(INDEX(SPPR!$E:$Z,MATCH($A64,SPPR!$A:$A,0),7)),$C64*INDEX(SPPR!$E:$Z,MATCH($A64,SPPR!$A:$A,0),7),""),"")</f>
        <v/>
      </c>
      <c r="K64">
        <f>IFERROR(IF(ISNUMBER(INDEX(SPPR!$E:$Z,MATCH($A64,SPPR!$A:$A,0),8)),$C64*INDEX(SPPR!$E:$Z,MATCH($A64,SPPR!$A:$A,0),8),""),"")</f>
        <v/>
      </c>
      <c r="L64">
        <f>IFERROR(IF(ISNUMBER(INDEX(SPPR!$E:$Z,MATCH($A64,SPPR!$A:$A,0),9)),$C64*INDEX(SPPR!$E:$Z,MATCH($A64,SPPR!$A:$A,0),9),""),"")</f>
        <v/>
      </c>
      <c r="M64">
        <f>IFERROR(IF(ISNUMBER(INDEX(SPPR!$E:$Z,MATCH($A64,SPPR!$A:$A,0),10)),$C64*INDEX(SPPR!$E:$Z,MATCH($A64,SPPR!$A:$A,0),10),""),"")</f>
        <v/>
      </c>
      <c r="N64">
        <f>IFERROR(IF(ISNUMBER(INDEX(SPPR!$E:$Z,MATCH($A64,SPPR!$A:$A,0),11)),$C64*INDEX(SPPR!$E:$Z,MATCH($A64,SPPR!$A:$A,0),11),""),"")</f>
        <v/>
      </c>
      <c r="O64">
        <f>IFERROR(IF(ISNUMBER(INDEX(SPPR!$E:$Z,MATCH($A64,SPPR!$A:$A,0),12)),$C64*INDEX(SPPR!$E:$Z,MATCH($A64,SPPR!$A:$A,0),12),""),"")</f>
        <v/>
      </c>
      <c r="P64">
        <f>IFERROR(IF(ISNUMBER(INDEX(SPPR!$E:$Z,MATCH($A64,SPPR!$A:$A,0),13)),$C64*INDEX(SPPR!$E:$Z,MATCH($A64,SPPR!$A:$A,0),13),""),"")</f>
        <v/>
      </c>
      <c r="Q64">
        <f>IFERROR(IF(ISNUMBER(INDEX(SPPR!$E:$Z,MATCH($A64,SPPR!$A:$A,0),14)),$C64*INDEX(SPPR!$E:$Z,MATCH($A64,SPPR!$A:$A,0),14),""),"")</f>
        <v/>
      </c>
      <c r="R64">
        <f>IFERROR(IF(ISNUMBER(INDEX(SPPR!$E:$Z,MATCH($A64,SPPR!$A:$A,0),15)),$C64*INDEX(SPPR!$E:$Z,MATCH($A64,SPPR!$A:$A,0),15),""),"")</f>
        <v/>
      </c>
      <c r="S64">
        <f>IFERROR(IF(ISNUMBER(INDEX(SPPR!$E:$Z,MATCH($A64,SPPR!$A:$A,0),16)),$C64*INDEX(SPPR!$E:$Z,MATCH($A64,SPPR!$A:$A,0),16),""),"")</f>
        <v/>
      </c>
      <c r="T64">
        <f>IFERROR(IF(ISNUMBER(INDEX(SPPR!$E:$Z,MATCH($A64,SPPR!$A:$A,0),17)),$C64*INDEX(SPPR!$E:$Z,MATCH($A64,SPPR!$A:$A,0),17),""),"")</f>
        <v/>
      </c>
      <c r="U64">
        <f>IFERROR(IF(ISNUMBER(INDEX(SPPR!$E:$Z,MATCH($A64,SPPR!$A:$A,0),18)),$C64*INDEX(SPPR!$E:$Z,MATCH($A64,SPPR!$A:$A,0),18),""),"")</f>
        <v/>
      </c>
      <c r="V64">
        <f>IFERROR(IF(ISNUMBER(INDEX(SPPR!$E:$Z,MATCH($A64,SPPR!$A:$A,0),19)),$C64*INDEX(SPPR!$E:$Z,MATCH($A64,SPPR!$A:$A,0),19),""),"")</f>
        <v/>
      </c>
      <c r="W64">
        <f>IFERROR(IF(ISNUMBER(INDEX(SPPR!$E:$Z,MATCH($A64,SPPR!$A:$A,0),20)),$C64*INDEX(SPPR!$E:$Z,MATCH($A64,SPPR!$A:$A,0),20),""),"")</f>
        <v/>
      </c>
      <c r="X64">
        <f>IFERROR(IF(ISNUMBER(INDEX(SPPR!$E:$Z,MATCH($A64,SPPR!$A:$A,0),21)),$C64*INDEX(SPPR!$E:$Z,MATCH($A64,SPPR!$A:$A,0),21),""),"")</f>
        <v/>
      </c>
      <c r="Y64">
        <f>IFERROR(IF(ISNUMBER(INDEX(SPPR!$E:$Z,MATCH($A64,SPPR!$A:$A,0),22)),$C64*INDEX(SPPR!$E:$Z,MATCH($A64,SPPR!$A:$A,0),22),""),"")</f>
        <v/>
      </c>
    </row>
    <row r="65">
      <c r="A65" t="inlineStr">
        <is>
          <t>Caranx hippos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IFERROR(IF(ISNUMBER(INDEX(SPPR!$E:$Z,MATCH($A65,SPPR!$A:$A,0),1)),$C65*INDEX(SPPR!$E:$Z,MATCH($A65,SPPR!$A:$A,0),1),""),"")</f>
        <v/>
      </c>
      <c r="E65">
        <f>IFERROR(IF(ISNUMBER(INDEX(SPPR!$E:$Z,MATCH($A65,SPPR!$A:$A,0),2)),$C65*INDEX(SPPR!$E:$Z,MATCH($A65,SPPR!$A:$A,0),2),""),"")</f>
        <v/>
      </c>
      <c r="F65">
        <f>IFERROR(IF(ISNUMBER(INDEX(SPPR!$E:$Z,MATCH($A65,SPPR!$A:$A,0),3)),$C65*INDEX(SPPR!$E:$Z,MATCH($A65,SPPR!$A:$A,0),3),""),"")</f>
        <v/>
      </c>
      <c r="G65">
        <f>IFERROR(IF(ISNUMBER(INDEX(SPPR!$E:$Z,MATCH($A65,SPPR!$A:$A,0),4)),$C65*INDEX(SPPR!$E:$Z,MATCH($A65,SPPR!$A:$A,0),4),""),"")</f>
        <v/>
      </c>
      <c r="H65">
        <f>IFERROR(IF(ISNUMBER(INDEX(SPPR!$E:$Z,MATCH($A65,SPPR!$A:$A,0),5)),$C65*INDEX(SPPR!$E:$Z,MATCH($A65,SPPR!$A:$A,0),5),""),"")</f>
        <v/>
      </c>
      <c r="I65">
        <f>IFERROR(IF(ISNUMBER(INDEX(SPPR!$E:$Z,MATCH($A65,SPPR!$A:$A,0),6)),$C65*INDEX(SPPR!$E:$Z,MATCH($A65,SPPR!$A:$A,0),6),""),"")</f>
        <v/>
      </c>
      <c r="J65">
        <f>IFERROR(IF(ISNUMBER(INDEX(SPPR!$E:$Z,MATCH($A65,SPPR!$A:$A,0),7)),$C65*INDEX(SPPR!$E:$Z,MATCH($A65,SPPR!$A:$A,0),7),""),"")</f>
        <v/>
      </c>
      <c r="K65">
        <f>IFERROR(IF(ISNUMBER(INDEX(SPPR!$E:$Z,MATCH($A65,SPPR!$A:$A,0),8)),$C65*INDEX(SPPR!$E:$Z,MATCH($A65,SPPR!$A:$A,0),8),""),"")</f>
        <v/>
      </c>
      <c r="L65">
        <f>IFERROR(IF(ISNUMBER(INDEX(SPPR!$E:$Z,MATCH($A65,SPPR!$A:$A,0),9)),$C65*INDEX(SPPR!$E:$Z,MATCH($A65,SPPR!$A:$A,0),9),""),"")</f>
        <v/>
      </c>
      <c r="M65">
        <f>IFERROR(IF(ISNUMBER(INDEX(SPPR!$E:$Z,MATCH($A65,SPPR!$A:$A,0),10)),$C65*INDEX(SPPR!$E:$Z,MATCH($A65,SPPR!$A:$A,0),10),""),"")</f>
        <v/>
      </c>
      <c r="N65">
        <f>IFERROR(IF(ISNUMBER(INDEX(SPPR!$E:$Z,MATCH($A65,SPPR!$A:$A,0),11)),$C65*INDEX(SPPR!$E:$Z,MATCH($A65,SPPR!$A:$A,0),11),""),"")</f>
        <v/>
      </c>
      <c r="O65">
        <f>IFERROR(IF(ISNUMBER(INDEX(SPPR!$E:$Z,MATCH($A65,SPPR!$A:$A,0),12)),$C65*INDEX(SPPR!$E:$Z,MATCH($A65,SPPR!$A:$A,0),12),""),"")</f>
        <v/>
      </c>
      <c r="P65">
        <f>IFERROR(IF(ISNUMBER(INDEX(SPPR!$E:$Z,MATCH($A65,SPPR!$A:$A,0),13)),$C65*INDEX(SPPR!$E:$Z,MATCH($A65,SPPR!$A:$A,0),13),""),"")</f>
        <v/>
      </c>
      <c r="Q65">
        <f>IFERROR(IF(ISNUMBER(INDEX(SPPR!$E:$Z,MATCH($A65,SPPR!$A:$A,0),14)),$C65*INDEX(SPPR!$E:$Z,MATCH($A65,SPPR!$A:$A,0),14),""),"")</f>
        <v/>
      </c>
      <c r="R65">
        <f>IFERROR(IF(ISNUMBER(INDEX(SPPR!$E:$Z,MATCH($A65,SPPR!$A:$A,0),15)),$C65*INDEX(SPPR!$E:$Z,MATCH($A65,SPPR!$A:$A,0),15),""),"")</f>
        <v/>
      </c>
      <c r="S65">
        <f>IFERROR(IF(ISNUMBER(INDEX(SPPR!$E:$Z,MATCH($A65,SPPR!$A:$A,0),16)),$C65*INDEX(SPPR!$E:$Z,MATCH($A65,SPPR!$A:$A,0),16),""),"")</f>
        <v/>
      </c>
      <c r="T65">
        <f>IFERROR(IF(ISNUMBER(INDEX(SPPR!$E:$Z,MATCH($A65,SPPR!$A:$A,0),17)),$C65*INDEX(SPPR!$E:$Z,MATCH($A65,SPPR!$A:$A,0),17),""),"")</f>
        <v/>
      </c>
      <c r="U65">
        <f>IFERROR(IF(ISNUMBER(INDEX(SPPR!$E:$Z,MATCH($A65,SPPR!$A:$A,0),18)),$C65*INDEX(SPPR!$E:$Z,MATCH($A65,SPPR!$A:$A,0),18),""),"")</f>
        <v/>
      </c>
      <c r="V65">
        <f>IFERROR(IF(ISNUMBER(INDEX(SPPR!$E:$Z,MATCH($A65,SPPR!$A:$A,0),19)),$C65*INDEX(SPPR!$E:$Z,MATCH($A65,SPPR!$A:$A,0),19),""),"")</f>
        <v/>
      </c>
      <c r="W65">
        <f>IFERROR(IF(ISNUMBER(INDEX(SPPR!$E:$Z,MATCH($A65,SPPR!$A:$A,0),20)),$C65*INDEX(SPPR!$E:$Z,MATCH($A65,SPPR!$A:$A,0),20),""),"")</f>
        <v/>
      </c>
      <c r="X65">
        <f>IFERROR(IF(ISNUMBER(INDEX(SPPR!$E:$Z,MATCH($A65,SPPR!$A:$A,0),21)),$C65*INDEX(SPPR!$E:$Z,MATCH($A65,SPPR!$A:$A,0),21),""),"")</f>
        <v/>
      </c>
      <c r="Y65">
        <f>IFERROR(IF(ISNUMBER(INDEX(SPPR!$E:$Z,MATCH($A65,SPPR!$A:$A,0),22)),$C65*INDEX(SPPR!$E:$Z,MATCH($A65,SPPR!$A:$A,0),22),""),"")</f>
        <v/>
      </c>
    </row>
    <row r="66">
      <c r="A66" t="inlineStr">
        <is>
          <t>Marine pelagic fishes not identified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IFERROR(IF(ISNUMBER(INDEX(SPPR!$E:$Z,MATCH($A66,SPPR!$A:$A,0),1)),$C66*INDEX(SPPR!$E:$Z,MATCH($A66,SPPR!$A:$A,0),1),""),"")</f>
        <v/>
      </c>
      <c r="E66">
        <f>IFERROR(IF(ISNUMBER(INDEX(SPPR!$E:$Z,MATCH($A66,SPPR!$A:$A,0),2)),$C66*INDEX(SPPR!$E:$Z,MATCH($A66,SPPR!$A:$A,0),2),""),"")</f>
        <v/>
      </c>
      <c r="F66">
        <f>IFERROR(IF(ISNUMBER(INDEX(SPPR!$E:$Z,MATCH($A66,SPPR!$A:$A,0),3)),$C66*INDEX(SPPR!$E:$Z,MATCH($A66,SPPR!$A:$A,0),3),""),"")</f>
        <v/>
      </c>
      <c r="G66">
        <f>IFERROR(IF(ISNUMBER(INDEX(SPPR!$E:$Z,MATCH($A66,SPPR!$A:$A,0),4)),$C66*INDEX(SPPR!$E:$Z,MATCH($A66,SPPR!$A:$A,0),4),""),"")</f>
        <v/>
      </c>
      <c r="H66">
        <f>IFERROR(IF(ISNUMBER(INDEX(SPPR!$E:$Z,MATCH($A66,SPPR!$A:$A,0),5)),$C66*INDEX(SPPR!$E:$Z,MATCH($A66,SPPR!$A:$A,0),5),""),"")</f>
        <v/>
      </c>
      <c r="I66">
        <f>IFERROR(IF(ISNUMBER(INDEX(SPPR!$E:$Z,MATCH($A66,SPPR!$A:$A,0),6)),$C66*INDEX(SPPR!$E:$Z,MATCH($A66,SPPR!$A:$A,0),6),""),"")</f>
        <v/>
      </c>
      <c r="J66">
        <f>IFERROR(IF(ISNUMBER(INDEX(SPPR!$E:$Z,MATCH($A66,SPPR!$A:$A,0),7)),$C66*INDEX(SPPR!$E:$Z,MATCH($A66,SPPR!$A:$A,0),7),""),"")</f>
        <v/>
      </c>
      <c r="K66">
        <f>IFERROR(IF(ISNUMBER(INDEX(SPPR!$E:$Z,MATCH($A66,SPPR!$A:$A,0),8)),$C66*INDEX(SPPR!$E:$Z,MATCH($A66,SPPR!$A:$A,0),8),""),"")</f>
        <v/>
      </c>
      <c r="L66">
        <f>IFERROR(IF(ISNUMBER(INDEX(SPPR!$E:$Z,MATCH($A66,SPPR!$A:$A,0),9)),$C66*INDEX(SPPR!$E:$Z,MATCH($A66,SPPR!$A:$A,0),9),""),"")</f>
        <v/>
      </c>
      <c r="M66">
        <f>IFERROR(IF(ISNUMBER(INDEX(SPPR!$E:$Z,MATCH($A66,SPPR!$A:$A,0),10)),$C66*INDEX(SPPR!$E:$Z,MATCH($A66,SPPR!$A:$A,0),10),""),"")</f>
        <v/>
      </c>
      <c r="N66">
        <f>IFERROR(IF(ISNUMBER(INDEX(SPPR!$E:$Z,MATCH($A66,SPPR!$A:$A,0),11)),$C66*INDEX(SPPR!$E:$Z,MATCH($A66,SPPR!$A:$A,0),11),""),"")</f>
        <v/>
      </c>
      <c r="O66">
        <f>IFERROR(IF(ISNUMBER(INDEX(SPPR!$E:$Z,MATCH($A66,SPPR!$A:$A,0),12)),$C66*INDEX(SPPR!$E:$Z,MATCH($A66,SPPR!$A:$A,0),12),""),"")</f>
        <v/>
      </c>
      <c r="P66">
        <f>IFERROR(IF(ISNUMBER(INDEX(SPPR!$E:$Z,MATCH($A66,SPPR!$A:$A,0),13)),$C66*INDEX(SPPR!$E:$Z,MATCH($A66,SPPR!$A:$A,0),13),""),"")</f>
        <v/>
      </c>
      <c r="Q66">
        <f>IFERROR(IF(ISNUMBER(INDEX(SPPR!$E:$Z,MATCH($A66,SPPR!$A:$A,0),14)),$C66*INDEX(SPPR!$E:$Z,MATCH($A66,SPPR!$A:$A,0),14),""),"")</f>
        <v/>
      </c>
      <c r="R66">
        <f>IFERROR(IF(ISNUMBER(INDEX(SPPR!$E:$Z,MATCH($A66,SPPR!$A:$A,0),15)),$C66*INDEX(SPPR!$E:$Z,MATCH($A66,SPPR!$A:$A,0),15),""),"")</f>
        <v/>
      </c>
      <c r="S66">
        <f>IFERROR(IF(ISNUMBER(INDEX(SPPR!$E:$Z,MATCH($A66,SPPR!$A:$A,0),16)),$C66*INDEX(SPPR!$E:$Z,MATCH($A66,SPPR!$A:$A,0),16),""),"")</f>
        <v/>
      </c>
      <c r="T66">
        <f>IFERROR(IF(ISNUMBER(INDEX(SPPR!$E:$Z,MATCH($A66,SPPR!$A:$A,0),17)),$C66*INDEX(SPPR!$E:$Z,MATCH($A66,SPPR!$A:$A,0),17),""),"")</f>
        <v/>
      </c>
      <c r="U66">
        <f>IFERROR(IF(ISNUMBER(INDEX(SPPR!$E:$Z,MATCH($A66,SPPR!$A:$A,0),18)),$C66*INDEX(SPPR!$E:$Z,MATCH($A66,SPPR!$A:$A,0),18),""),"")</f>
        <v/>
      </c>
      <c r="V66">
        <f>IFERROR(IF(ISNUMBER(INDEX(SPPR!$E:$Z,MATCH($A66,SPPR!$A:$A,0),19)),$C66*INDEX(SPPR!$E:$Z,MATCH($A66,SPPR!$A:$A,0),19),""),"")</f>
        <v/>
      </c>
      <c r="W66">
        <f>IFERROR(IF(ISNUMBER(INDEX(SPPR!$E:$Z,MATCH($A66,SPPR!$A:$A,0),20)),$C66*INDEX(SPPR!$E:$Z,MATCH($A66,SPPR!$A:$A,0),20),""),"")</f>
        <v/>
      </c>
      <c r="X66">
        <f>IFERROR(IF(ISNUMBER(INDEX(SPPR!$E:$Z,MATCH($A66,SPPR!$A:$A,0),21)),$C66*INDEX(SPPR!$E:$Z,MATCH($A66,SPPR!$A:$A,0),21),""),"")</f>
        <v/>
      </c>
      <c r="Y66">
        <f>IFERROR(IF(ISNUMBER(INDEX(SPPR!$E:$Z,MATCH($A66,SPPR!$A:$A,0),22)),$C66*INDEX(SPPR!$E:$Z,MATCH($A66,SPPR!$A:$A,0),22),""),"")</f>
        <v/>
      </c>
    </row>
    <row r="67">
      <c r="A67" t="inlineStr">
        <is>
          <t>Pentheroscion mbizi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IFERROR(IF(ISNUMBER(INDEX(SPPR!$E:$Z,MATCH($A67,SPPR!$A:$A,0),1)),$C67*INDEX(SPPR!$E:$Z,MATCH($A67,SPPR!$A:$A,0),1),""),"")</f>
        <v/>
      </c>
      <c r="E67">
        <f>IFERROR(IF(ISNUMBER(INDEX(SPPR!$E:$Z,MATCH($A67,SPPR!$A:$A,0),2)),$C67*INDEX(SPPR!$E:$Z,MATCH($A67,SPPR!$A:$A,0),2),""),"")</f>
        <v/>
      </c>
      <c r="F67">
        <f>IFERROR(IF(ISNUMBER(INDEX(SPPR!$E:$Z,MATCH($A67,SPPR!$A:$A,0),3)),$C67*INDEX(SPPR!$E:$Z,MATCH($A67,SPPR!$A:$A,0),3),""),"")</f>
        <v/>
      </c>
      <c r="G67">
        <f>IFERROR(IF(ISNUMBER(INDEX(SPPR!$E:$Z,MATCH($A67,SPPR!$A:$A,0),4)),$C67*INDEX(SPPR!$E:$Z,MATCH($A67,SPPR!$A:$A,0),4),""),"")</f>
        <v/>
      </c>
      <c r="H67">
        <f>IFERROR(IF(ISNUMBER(INDEX(SPPR!$E:$Z,MATCH($A67,SPPR!$A:$A,0),5)),$C67*INDEX(SPPR!$E:$Z,MATCH($A67,SPPR!$A:$A,0),5),""),"")</f>
        <v/>
      </c>
      <c r="I67">
        <f>IFERROR(IF(ISNUMBER(INDEX(SPPR!$E:$Z,MATCH($A67,SPPR!$A:$A,0),6)),$C67*INDEX(SPPR!$E:$Z,MATCH($A67,SPPR!$A:$A,0),6),""),"")</f>
        <v/>
      </c>
      <c r="J67">
        <f>IFERROR(IF(ISNUMBER(INDEX(SPPR!$E:$Z,MATCH($A67,SPPR!$A:$A,0),7)),$C67*INDEX(SPPR!$E:$Z,MATCH($A67,SPPR!$A:$A,0),7),""),"")</f>
        <v/>
      </c>
      <c r="K67">
        <f>IFERROR(IF(ISNUMBER(INDEX(SPPR!$E:$Z,MATCH($A67,SPPR!$A:$A,0),8)),$C67*INDEX(SPPR!$E:$Z,MATCH($A67,SPPR!$A:$A,0),8),""),"")</f>
        <v/>
      </c>
      <c r="L67">
        <f>IFERROR(IF(ISNUMBER(INDEX(SPPR!$E:$Z,MATCH($A67,SPPR!$A:$A,0),9)),$C67*INDEX(SPPR!$E:$Z,MATCH($A67,SPPR!$A:$A,0),9),""),"")</f>
        <v/>
      </c>
      <c r="M67">
        <f>IFERROR(IF(ISNUMBER(INDEX(SPPR!$E:$Z,MATCH($A67,SPPR!$A:$A,0),10)),$C67*INDEX(SPPR!$E:$Z,MATCH($A67,SPPR!$A:$A,0),10),""),"")</f>
        <v/>
      </c>
      <c r="N67">
        <f>IFERROR(IF(ISNUMBER(INDEX(SPPR!$E:$Z,MATCH($A67,SPPR!$A:$A,0),11)),$C67*INDEX(SPPR!$E:$Z,MATCH($A67,SPPR!$A:$A,0),11),""),"")</f>
        <v/>
      </c>
      <c r="O67">
        <f>IFERROR(IF(ISNUMBER(INDEX(SPPR!$E:$Z,MATCH($A67,SPPR!$A:$A,0),12)),$C67*INDEX(SPPR!$E:$Z,MATCH($A67,SPPR!$A:$A,0),12),""),"")</f>
        <v/>
      </c>
      <c r="P67">
        <f>IFERROR(IF(ISNUMBER(INDEX(SPPR!$E:$Z,MATCH($A67,SPPR!$A:$A,0),13)),$C67*INDEX(SPPR!$E:$Z,MATCH($A67,SPPR!$A:$A,0),13),""),"")</f>
        <v/>
      </c>
      <c r="Q67">
        <f>IFERROR(IF(ISNUMBER(INDEX(SPPR!$E:$Z,MATCH($A67,SPPR!$A:$A,0),14)),$C67*INDEX(SPPR!$E:$Z,MATCH($A67,SPPR!$A:$A,0),14),""),"")</f>
        <v/>
      </c>
      <c r="R67">
        <f>IFERROR(IF(ISNUMBER(INDEX(SPPR!$E:$Z,MATCH($A67,SPPR!$A:$A,0),15)),$C67*INDEX(SPPR!$E:$Z,MATCH($A67,SPPR!$A:$A,0),15),""),"")</f>
        <v/>
      </c>
      <c r="S67">
        <f>IFERROR(IF(ISNUMBER(INDEX(SPPR!$E:$Z,MATCH($A67,SPPR!$A:$A,0),16)),$C67*INDEX(SPPR!$E:$Z,MATCH($A67,SPPR!$A:$A,0),16),""),"")</f>
        <v/>
      </c>
      <c r="T67">
        <f>IFERROR(IF(ISNUMBER(INDEX(SPPR!$E:$Z,MATCH($A67,SPPR!$A:$A,0),17)),$C67*INDEX(SPPR!$E:$Z,MATCH($A67,SPPR!$A:$A,0),17),""),"")</f>
        <v/>
      </c>
      <c r="U67">
        <f>IFERROR(IF(ISNUMBER(INDEX(SPPR!$E:$Z,MATCH($A67,SPPR!$A:$A,0),18)),$C67*INDEX(SPPR!$E:$Z,MATCH($A67,SPPR!$A:$A,0),18),""),"")</f>
        <v/>
      </c>
      <c r="V67">
        <f>IFERROR(IF(ISNUMBER(INDEX(SPPR!$E:$Z,MATCH($A67,SPPR!$A:$A,0),19)),$C67*INDEX(SPPR!$E:$Z,MATCH($A67,SPPR!$A:$A,0),19),""),"")</f>
        <v/>
      </c>
      <c r="W67">
        <f>IFERROR(IF(ISNUMBER(INDEX(SPPR!$E:$Z,MATCH($A67,SPPR!$A:$A,0),20)),$C67*INDEX(SPPR!$E:$Z,MATCH($A67,SPPR!$A:$A,0),20),""),"")</f>
        <v/>
      </c>
      <c r="X67">
        <f>IFERROR(IF(ISNUMBER(INDEX(SPPR!$E:$Z,MATCH($A67,SPPR!$A:$A,0),21)),$C67*INDEX(SPPR!$E:$Z,MATCH($A67,SPPR!$A:$A,0),21),""),"")</f>
        <v/>
      </c>
      <c r="Y67">
        <f>IFERROR(IF(ISNUMBER(INDEX(SPPR!$E:$Z,MATCH($A67,SPPR!$A:$A,0),22)),$C67*INDEX(SPPR!$E:$Z,MATCH($A67,SPPR!$A:$A,0),22),""),"")</f>
        <v/>
      </c>
    </row>
    <row r="68">
      <c r="A68" t="inlineStr">
        <is>
          <t>Pentanemus quinquarius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IFERROR(IF(ISNUMBER(INDEX(SPPR!$E:$Z,MATCH($A68,SPPR!$A:$A,0),1)),$C68*INDEX(SPPR!$E:$Z,MATCH($A68,SPPR!$A:$A,0),1),""),"")</f>
        <v/>
      </c>
      <c r="E68">
        <f>IFERROR(IF(ISNUMBER(INDEX(SPPR!$E:$Z,MATCH($A68,SPPR!$A:$A,0),2)),$C68*INDEX(SPPR!$E:$Z,MATCH($A68,SPPR!$A:$A,0),2),""),"")</f>
        <v/>
      </c>
      <c r="F68">
        <f>IFERROR(IF(ISNUMBER(INDEX(SPPR!$E:$Z,MATCH($A68,SPPR!$A:$A,0),3)),$C68*INDEX(SPPR!$E:$Z,MATCH($A68,SPPR!$A:$A,0),3),""),"")</f>
        <v/>
      </c>
      <c r="G68">
        <f>IFERROR(IF(ISNUMBER(INDEX(SPPR!$E:$Z,MATCH($A68,SPPR!$A:$A,0),4)),$C68*INDEX(SPPR!$E:$Z,MATCH($A68,SPPR!$A:$A,0),4),""),"")</f>
        <v/>
      </c>
      <c r="H68">
        <f>IFERROR(IF(ISNUMBER(INDEX(SPPR!$E:$Z,MATCH($A68,SPPR!$A:$A,0),5)),$C68*INDEX(SPPR!$E:$Z,MATCH($A68,SPPR!$A:$A,0),5),""),"")</f>
        <v/>
      </c>
      <c r="I68">
        <f>IFERROR(IF(ISNUMBER(INDEX(SPPR!$E:$Z,MATCH($A68,SPPR!$A:$A,0),6)),$C68*INDEX(SPPR!$E:$Z,MATCH($A68,SPPR!$A:$A,0),6),""),"")</f>
        <v/>
      </c>
      <c r="J68">
        <f>IFERROR(IF(ISNUMBER(INDEX(SPPR!$E:$Z,MATCH($A68,SPPR!$A:$A,0),7)),$C68*INDEX(SPPR!$E:$Z,MATCH($A68,SPPR!$A:$A,0),7),""),"")</f>
        <v/>
      </c>
      <c r="K68">
        <f>IFERROR(IF(ISNUMBER(INDEX(SPPR!$E:$Z,MATCH($A68,SPPR!$A:$A,0),8)),$C68*INDEX(SPPR!$E:$Z,MATCH($A68,SPPR!$A:$A,0),8),""),"")</f>
        <v/>
      </c>
      <c r="L68">
        <f>IFERROR(IF(ISNUMBER(INDEX(SPPR!$E:$Z,MATCH($A68,SPPR!$A:$A,0),9)),$C68*INDEX(SPPR!$E:$Z,MATCH($A68,SPPR!$A:$A,0),9),""),"")</f>
        <v/>
      </c>
      <c r="M68">
        <f>IFERROR(IF(ISNUMBER(INDEX(SPPR!$E:$Z,MATCH($A68,SPPR!$A:$A,0),10)),$C68*INDEX(SPPR!$E:$Z,MATCH($A68,SPPR!$A:$A,0),10),""),"")</f>
        <v/>
      </c>
      <c r="N68">
        <f>IFERROR(IF(ISNUMBER(INDEX(SPPR!$E:$Z,MATCH($A68,SPPR!$A:$A,0),11)),$C68*INDEX(SPPR!$E:$Z,MATCH($A68,SPPR!$A:$A,0),11),""),"")</f>
        <v/>
      </c>
      <c r="O68">
        <f>IFERROR(IF(ISNUMBER(INDEX(SPPR!$E:$Z,MATCH($A68,SPPR!$A:$A,0),12)),$C68*INDEX(SPPR!$E:$Z,MATCH($A68,SPPR!$A:$A,0),12),""),"")</f>
        <v/>
      </c>
      <c r="P68">
        <f>IFERROR(IF(ISNUMBER(INDEX(SPPR!$E:$Z,MATCH($A68,SPPR!$A:$A,0),13)),$C68*INDEX(SPPR!$E:$Z,MATCH($A68,SPPR!$A:$A,0),13),""),"")</f>
        <v/>
      </c>
      <c r="Q68">
        <f>IFERROR(IF(ISNUMBER(INDEX(SPPR!$E:$Z,MATCH($A68,SPPR!$A:$A,0),14)),$C68*INDEX(SPPR!$E:$Z,MATCH($A68,SPPR!$A:$A,0),14),""),"")</f>
        <v/>
      </c>
      <c r="R68">
        <f>IFERROR(IF(ISNUMBER(INDEX(SPPR!$E:$Z,MATCH($A68,SPPR!$A:$A,0),15)),$C68*INDEX(SPPR!$E:$Z,MATCH($A68,SPPR!$A:$A,0),15),""),"")</f>
        <v/>
      </c>
      <c r="S68">
        <f>IFERROR(IF(ISNUMBER(INDEX(SPPR!$E:$Z,MATCH($A68,SPPR!$A:$A,0),16)),$C68*INDEX(SPPR!$E:$Z,MATCH($A68,SPPR!$A:$A,0),16),""),"")</f>
        <v/>
      </c>
      <c r="T68">
        <f>IFERROR(IF(ISNUMBER(INDEX(SPPR!$E:$Z,MATCH($A68,SPPR!$A:$A,0),17)),$C68*INDEX(SPPR!$E:$Z,MATCH($A68,SPPR!$A:$A,0),17),""),"")</f>
        <v/>
      </c>
      <c r="U68">
        <f>IFERROR(IF(ISNUMBER(INDEX(SPPR!$E:$Z,MATCH($A68,SPPR!$A:$A,0),18)),$C68*INDEX(SPPR!$E:$Z,MATCH($A68,SPPR!$A:$A,0),18),""),"")</f>
        <v/>
      </c>
      <c r="V68">
        <f>IFERROR(IF(ISNUMBER(INDEX(SPPR!$E:$Z,MATCH($A68,SPPR!$A:$A,0),19)),$C68*INDEX(SPPR!$E:$Z,MATCH($A68,SPPR!$A:$A,0),19),""),"")</f>
        <v/>
      </c>
      <c r="W68">
        <f>IFERROR(IF(ISNUMBER(INDEX(SPPR!$E:$Z,MATCH($A68,SPPR!$A:$A,0),20)),$C68*INDEX(SPPR!$E:$Z,MATCH($A68,SPPR!$A:$A,0),20),""),"")</f>
        <v/>
      </c>
      <c r="X68">
        <f>IFERROR(IF(ISNUMBER(INDEX(SPPR!$E:$Z,MATCH($A68,SPPR!$A:$A,0),21)),$C68*INDEX(SPPR!$E:$Z,MATCH($A68,SPPR!$A:$A,0),21),""),"")</f>
        <v/>
      </c>
      <c r="Y68">
        <f>IFERROR(IF(ISNUMBER(INDEX(SPPR!$E:$Z,MATCH($A68,SPPR!$A:$A,0),22)),$C68*INDEX(SPPR!$E:$Z,MATCH($A68,SPPR!$A:$A,0),22),""),"")</f>
        <v/>
      </c>
    </row>
    <row r="69">
      <c r="A69" t="inlineStr">
        <is>
          <t>Caranx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IFERROR(IF(ISNUMBER(INDEX(SPPR!$E:$Z,MATCH($A69,SPPR!$A:$A,0),1)),$C69*INDEX(SPPR!$E:$Z,MATCH($A69,SPPR!$A:$A,0),1),""),"")</f>
        <v/>
      </c>
      <c r="E69">
        <f>IFERROR(IF(ISNUMBER(INDEX(SPPR!$E:$Z,MATCH($A69,SPPR!$A:$A,0),2)),$C69*INDEX(SPPR!$E:$Z,MATCH($A69,SPPR!$A:$A,0),2),""),"")</f>
        <v/>
      </c>
      <c r="F69">
        <f>IFERROR(IF(ISNUMBER(INDEX(SPPR!$E:$Z,MATCH($A69,SPPR!$A:$A,0),3)),$C69*INDEX(SPPR!$E:$Z,MATCH($A69,SPPR!$A:$A,0),3),""),"")</f>
        <v/>
      </c>
      <c r="G69">
        <f>IFERROR(IF(ISNUMBER(INDEX(SPPR!$E:$Z,MATCH($A69,SPPR!$A:$A,0),4)),$C69*INDEX(SPPR!$E:$Z,MATCH($A69,SPPR!$A:$A,0),4),""),"")</f>
        <v/>
      </c>
      <c r="H69">
        <f>IFERROR(IF(ISNUMBER(INDEX(SPPR!$E:$Z,MATCH($A69,SPPR!$A:$A,0),5)),$C69*INDEX(SPPR!$E:$Z,MATCH($A69,SPPR!$A:$A,0),5),""),"")</f>
        <v/>
      </c>
      <c r="I69">
        <f>IFERROR(IF(ISNUMBER(INDEX(SPPR!$E:$Z,MATCH($A69,SPPR!$A:$A,0),6)),$C69*INDEX(SPPR!$E:$Z,MATCH($A69,SPPR!$A:$A,0),6),""),"")</f>
        <v/>
      </c>
      <c r="J69">
        <f>IFERROR(IF(ISNUMBER(INDEX(SPPR!$E:$Z,MATCH($A69,SPPR!$A:$A,0),7)),$C69*INDEX(SPPR!$E:$Z,MATCH($A69,SPPR!$A:$A,0),7),""),"")</f>
        <v/>
      </c>
      <c r="K69">
        <f>IFERROR(IF(ISNUMBER(INDEX(SPPR!$E:$Z,MATCH($A69,SPPR!$A:$A,0),8)),$C69*INDEX(SPPR!$E:$Z,MATCH($A69,SPPR!$A:$A,0),8),""),"")</f>
        <v/>
      </c>
      <c r="L69">
        <f>IFERROR(IF(ISNUMBER(INDEX(SPPR!$E:$Z,MATCH($A69,SPPR!$A:$A,0),9)),$C69*INDEX(SPPR!$E:$Z,MATCH($A69,SPPR!$A:$A,0),9),""),"")</f>
        <v/>
      </c>
      <c r="M69">
        <f>IFERROR(IF(ISNUMBER(INDEX(SPPR!$E:$Z,MATCH($A69,SPPR!$A:$A,0),10)),$C69*INDEX(SPPR!$E:$Z,MATCH($A69,SPPR!$A:$A,0),10),""),"")</f>
        <v/>
      </c>
      <c r="N69">
        <f>IFERROR(IF(ISNUMBER(INDEX(SPPR!$E:$Z,MATCH($A69,SPPR!$A:$A,0),11)),$C69*INDEX(SPPR!$E:$Z,MATCH($A69,SPPR!$A:$A,0),11),""),"")</f>
        <v/>
      </c>
      <c r="O69">
        <f>IFERROR(IF(ISNUMBER(INDEX(SPPR!$E:$Z,MATCH($A69,SPPR!$A:$A,0),12)),$C69*INDEX(SPPR!$E:$Z,MATCH($A69,SPPR!$A:$A,0),12),""),"")</f>
        <v/>
      </c>
      <c r="P69">
        <f>IFERROR(IF(ISNUMBER(INDEX(SPPR!$E:$Z,MATCH($A69,SPPR!$A:$A,0),13)),$C69*INDEX(SPPR!$E:$Z,MATCH($A69,SPPR!$A:$A,0),13),""),"")</f>
        <v/>
      </c>
      <c r="Q69">
        <f>IFERROR(IF(ISNUMBER(INDEX(SPPR!$E:$Z,MATCH($A69,SPPR!$A:$A,0),14)),$C69*INDEX(SPPR!$E:$Z,MATCH($A69,SPPR!$A:$A,0),14),""),"")</f>
        <v/>
      </c>
      <c r="R69">
        <f>IFERROR(IF(ISNUMBER(INDEX(SPPR!$E:$Z,MATCH($A69,SPPR!$A:$A,0),15)),$C69*INDEX(SPPR!$E:$Z,MATCH($A69,SPPR!$A:$A,0),15),""),"")</f>
        <v/>
      </c>
      <c r="S69">
        <f>IFERROR(IF(ISNUMBER(INDEX(SPPR!$E:$Z,MATCH($A69,SPPR!$A:$A,0),16)),$C69*INDEX(SPPR!$E:$Z,MATCH($A69,SPPR!$A:$A,0),16),""),"")</f>
        <v/>
      </c>
      <c r="T69">
        <f>IFERROR(IF(ISNUMBER(INDEX(SPPR!$E:$Z,MATCH($A69,SPPR!$A:$A,0),17)),$C69*INDEX(SPPR!$E:$Z,MATCH($A69,SPPR!$A:$A,0),17),""),"")</f>
        <v/>
      </c>
      <c r="U69">
        <f>IFERROR(IF(ISNUMBER(INDEX(SPPR!$E:$Z,MATCH($A69,SPPR!$A:$A,0),18)),$C69*INDEX(SPPR!$E:$Z,MATCH($A69,SPPR!$A:$A,0),18),""),"")</f>
        <v/>
      </c>
      <c r="V69">
        <f>IFERROR(IF(ISNUMBER(INDEX(SPPR!$E:$Z,MATCH($A69,SPPR!$A:$A,0),19)),$C69*INDEX(SPPR!$E:$Z,MATCH($A69,SPPR!$A:$A,0),19),""),"")</f>
        <v/>
      </c>
      <c r="W69">
        <f>IFERROR(IF(ISNUMBER(INDEX(SPPR!$E:$Z,MATCH($A69,SPPR!$A:$A,0),20)),$C69*INDEX(SPPR!$E:$Z,MATCH($A69,SPPR!$A:$A,0),20),""),"")</f>
        <v/>
      </c>
      <c r="X69">
        <f>IFERROR(IF(ISNUMBER(INDEX(SPPR!$E:$Z,MATCH($A69,SPPR!$A:$A,0),21)),$C69*INDEX(SPPR!$E:$Z,MATCH($A69,SPPR!$A:$A,0),21),""),"")</f>
        <v/>
      </c>
      <c r="Y69">
        <f>IFERROR(IF(ISNUMBER(INDEX(SPPR!$E:$Z,MATCH($A69,SPPR!$A:$A,0),22)),$C69*INDEX(SPPR!$E:$Z,MATCH($A69,SPPR!$A:$A,0),22),""),"")</f>
        <v/>
      </c>
    </row>
    <row r="70">
      <c r="A70" t="inlineStr">
        <is>
          <t>Carlarius heudelotii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IFERROR(IF(ISNUMBER(INDEX(SPPR!$E:$Z,MATCH($A70,SPPR!$A:$A,0),1)),$C70*INDEX(SPPR!$E:$Z,MATCH($A70,SPPR!$A:$A,0),1),""),"")</f>
        <v/>
      </c>
      <c r="E70">
        <f>IFERROR(IF(ISNUMBER(INDEX(SPPR!$E:$Z,MATCH($A70,SPPR!$A:$A,0),2)),$C70*INDEX(SPPR!$E:$Z,MATCH($A70,SPPR!$A:$A,0),2),""),"")</f>
        <v/>
      </c>
      <c r="F70">
        <f>IFERROR(IF(ISNUMBER(INDEX(SPPR!$E:$Z,MATCH($A70,SPPR!$A:$A,0),3)),$C70*INDEX(SPPR!$E:$Z,MATCH($A70,SPPR!$A:$A,0),3),""),"")</f>
        <v/>
      </c>
      <c r="G70">
        <f>IFERROR(IF(ISNUMBER(INDEX(SPPR!$E:$Z,MATCH($A70,SPPR!$A:$A,0),4)),$C70*INDEX(SPPR!$E:$Z,MATCH($A70,SPPR!$A:$A,0),4),""),"")</f>
        <v/>
      </c>
      <c r="H70">
        <f>IFERROR(IF(ISNUMBER(INDEX(SPPR!$E:$Z,MATCH($A70,SPPR!$A:$A,0),5)),$C70*INDEX(SPPR!$E:$Z,MATCH($A70,SPPR!$A:$A,0),5),""),"")</f>
        <v/>
      </c>
      <c r="I70">
        <f>IFERROR(IF(ISNUMBER(INDEX(SPPR!$E:$Z,MATCH($A70,SPPR!$A:$A,0),6)),$C70*INDEX(SPPR!$E:$Z,MATCH($A70,SPPR!$A:$A,0),6),""),"")</f>
        <v/>
      </c>
      <c r="J70">
        <f>IFERROR(IF(ISNUMBER(INDEX(SPPR!$E:$Z,MATCH($A70,SPPR!$A:$A,0),7)),$C70*INDEX(SPPR!$E:$Z,MATCH($A70,SPPR!$A:$A,0),7),""),"")</f>
        <v/>
      </c>
      <c r="K70">
        <f>IFERROR(IF(ISNUMBER(INDEX(SPPR!$E:$Z,MATCH($A70,SPPR!$A:$A,0),8)),$C70*INDEX(SPPR!$E:$Z,MATCH($A70,SPPR!$A:$A,0),8),""),"")</f>
        <v/>
      </c>
      <c r="L70">
        <f>IFERROR(IF(ISNUMBER(INDEX(SPPR!$E:$Z,MATCH($A70,SPPR!$A:$A,0),9)),$C70*INDEX(SPPR!$E:$Z,MATCH($A70,SPPR!$A:$A,0),9),""),"")</f>
        <v/>
      </c>
      <c r="M70">
        <f>IFERROR(IF(ISNUMBER(INDEX(SPPR!$E:$Z,MATCH($A70,SPPR!$A:$A,0),10)),$C70*INDEX(SPPR!$E:$Z,MATCH($A70,SPPR!$A:$A,0),10),""),"")</f>
        <v/>
      </c>
      <c r="N70">
        <f>IFERROR(IF(ISNUMBER(INDEX(SPPR!$E:$Z,MATCH($A70,SPPR!$A:$A,0),11)),$C70*INDEX(SPPR!$E:$Z,MATCH($A70,SPPR!$A:$A,0),11),""),"")</f>
        <v/>
      </c>
      <c r="O70">
        <f>IFERROR(IF(ISNUMBER(INDEX(SPPR!$E:$Z,MATCH($A70,SPPR!$A:$A,0),12)),$C70*INDEX(SPPR!$E:$Z,MATCH($A70,SPPR!$A:$A,0),12),""),"")</f>
        <v/>
      </c>
      <c r="P70">
        <f>IFERROR(IF(ISNUMBER(INDEX(SPPR!$E:$Z,MATCH($A70,SPPR!$A:$A,0),13)),$C70*INDEX(SPPR!$E:$Z,MATCH($A70,SPPR!$A:$A,0),13),""),"")</f>
        <v/>
      </c>
      <c r="Q70">
        <f>IFERROR(IF(ISNUMBER(INDEX(SPPR!$E:$Z,MATCH($A70,SPPR!$A:$A,0),14)),$C70*INDEX(SPPR!$E:$Z,MATCH($A70,SPPR!$A:$A,0),14),""),"")</f>
        <v/>
      </c>
      <c r="R70">
        <f>IFERROR(IF(ISNUMBER(INDEX(SPPR!$E:$Z,MATCH($A70,SPPR!$A:$A,0),15)),$C70*INDEX(SPPR!$E:$Z,MATCH($A70,SPPR!$A:$A,0),15),""),"")</f>
        <v/>
      </c>
      <c r="S70">
        <f>IFERROR(IF(ISNUMBER(INDEX(SPPR!$E:$Z,MATCH($A70,SPPR!$A:$A,0),16)),$C70*INDEX(SPPR!$E:$Z,MATCH($A70,SPPR!$A:$A,0),16),""),"")</f>
        <v/>
      </c>
      <c r="T70">
        <f>IFERROR(IF(ISNUMBER(INDEX(SPPR!$E:$Z,MATCH($A70,SPPR!$A:$A,0),17)),$C70*INDEX(SPPR!$E:$Z,MATCH($A70,SPPR!$A:$A,0),17),""),"")</f>
        <v/>
      </c>
      <c r="U70">
        <f>IFERROR(IF(ISNUMBER(INDEX(SPPR!$E:$Z,MATCH($A70,SPPR!$A:$A,0),18)),$C70*INDEX(SPPR!$E:$Z,MATCH($A70,SPPR!$A:$A,0),18),""),"")</f>
        <v/>
      </c>
      <c r="V70">
        <f>IFERROR(IF(ISNUMBER(INDEX(SPPR!$E:$Z,MATCH($A70,SPPR!$A:$A,0),19)),$C70*INDEX(SPPR!$E:$Z,MATCH($A70,SPPR!$A:$A,0),19),""),"")</f>
        <v/>
      </c>
      <c r="W70">
        <f>IFERROR(IF(ISNUMBER(INDEX(SPPR!$E:$Z,MATCH($A70,SPPR!$A:$A,0),20)),$C70*INDEX(SPPR!$E:$Z,MATCH($A70,SPPR!$A:$A,0),20),""),"")</f>
        <v/>
      </c>
      <c r="X70">
        <f>IFERROR(IF(ISNUMBER(INDEX(SPPR!$E:$Z,MATCH($A70,SPPR!$A:$A,0),21)),$C70*INDEX(SPPR!$E:$Z,MATCH($A70,SPPR!$A:$A,0),21),""),"")</f>
        <v/>
      </c>
      <c r="Y70">
        <f>IFERROR(IF(ISNUMBER(INDEX(SPPR!$E:$Z,MATCH($A70,SPPR!$A:$A,0),22)),$C70*INDEX(SPPR!$E:$Z,MATCH($A70,SPPR!$A:$A,0),22),""),"")</f>
        <v/>
      </c>
    </row>
    <row r="71">
      <c r="A71" t="inlineStr">
        <is>
          <t>Scomber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IFERROR(IF(ISNUMBER(INDEX(SPPR!$E:$Z,MATCH($A71,SPPR!$A:$A,0),1)),$C71*INDEX(SPPR!$E:$Z,MATCH($A71,SPPR!$A:$A,0),1),""),"")</f>
        <v/>
      </c>
      <c r="E71">
        <f>IFERROR(IF(ISNUMBER(INDEX(SPPR!$E:$Z,MATCH($A71,SPPR!$A:$A,0),2)),$C71*INDEX(SPPR!$E:$Z,MATCH($A71,SPPR!$A:$A,0),2),""),"")</f>
        <v/>
      </c>
      <c r="F71">
        <f>IFERROR(IF(ISNUMBER(INDEX(SPPR!$E:$Z,MATCH($A71,SPPR!$A:$A,0),3)),$C71*INDEX(SPPR!$E:$Z,MATCH($A71,SPPR!$A:$A,0),3),""),"")</f>
        <v/>
      </c>
      <c r="G71">
        <f>IFERROR(IF(ISNUMBER(INDEX(SPPR!$E:$Z,MATCH($A71,SPPR!$A:$A,0),4)),$C71*INDEX(SPPR!$E:$Z,MATCH($A71,SPPR!$A:$A,0),4),""),"")</f>
        <v/>
      </c>
      <c r="H71">
        <f>IFERROR(IF(ISNUMBER(INDEX(SPPR!$E:$Z,MATCH($A71,SPPR!$A:$A,0),5)),$C71*INDEX(SPPR!$E:$Z,MATCH($A71,SPPR!$A:$A,0),5),""),"")</f>
        <v/>
      </c>
      <c r="I71">
        <f>IFERROR(IF(ISNUMBER(INDEX(SPPR!$E:$Z,MATCH($A71,SPPR!$A:$A,0),6)),$C71*INDEX(SPPR!$E:$Z,MATCH($A71,SPPR!$A:$A,0),6),""),"")</f>
        <v/>
      </c>
      <c r="J71">
        <f>IFERROR(IF(ISNUMBER(INDEX(SPPR!$E:$Z,MATCH($A71,SPPR!$A:$A,0),7)),$C71*INDEX(SPPR!$E:$Z,MATCH($A71,SPPR!$A:$A,0),7),""),"")</f>
        <v/>
      </c>
      <c r="K71">
        <f>IFERROR(IF(ISNUMBER(INDEX(SPPR!$E:$Z,MATCH($A71,SPPR!$A:$A,0),8)),$C71*INDEX(SPPR!$E:$Z,MATCH($A71,SPPR!$A:$A,0),8),""),"")</f>
        <v/>
      </c>
      <c r="L71">
        <f>IFERROR(IF(ISNUMBER(INDEX(SPPR!$E:$Z,MATCH($A71,SPPR!$A:$A,0),9)),$C71*INDEX(SPPR!$E:$Z,MATCH($A71,SPPR!$A:$A,0),9),""),"")</f>
        <v/>
      </c>
      <c r="M71">
        <f>IFERROR(IF(ISNUMBER(INDEX(SPPR!$E:$Z,MATCH($A71,SPPR!$A:$A,0),10)),$C71*INDEX(SPPR!$E:$Z,MATCH($A71,SPPR!$A:$A,0),10),""),"")</f>
        <v/>
      </c>
      <c r="N71">
        <f>IFERROR(IF(ISNUMBER(INDEX(SPPR!$E:$Z,MATCH($A71,SPPR!$A:$A,0),11)),$C71*INDEX(SPPR!$E:$Z,MATCH($A71,SPPR!$A:$A,0),11),""),"")</f>
        <v/>
      </c>
      <c r="O71">
        <f>IFERROR(IF(ISNUMBER(INDEX(SPPR!$E:$Z,MATCH($A71,SPPR!$A:$A,0),12)),$C71*INDEX(SPPR!$E:$Z,MATCH($A71,SPPR!$A:$A,0),12),""),"")</f>
        <v/>
      </c>
      <c r="P71">
        <f>IFERROR(IF(ISNUMBER(INDEX(SPPR!$E:$Z,MATCH($A71,SPPR!$A:$A,0),13)),$C71*INDEX(SPPR!$E:$Z,MATCH($A71,SPPR!$A:$A,0),13),""),"")</f>
        <v/>
      </c>
      <c r="Q71">
        <f>IFERROR(IF(ISNUMBER(INDEX(SPPR!$E:$Z,MATCH($A71,SPPR!$A:$A,0),14)),$C71*INDEX(SPPR!$E:$Z,MATCH($A71,SPPR!$A:$A,0),14),""),"")</f>
        <v/>
      </c>
      <c r="R71">
        <f>IFERROR(IF(ISNUMBER(INDEX(SPPR!$E:$Z,MATCH($A71,SPPR!$A:$A,0),15)),$C71*INDEX(SPPR!$E:$Z,MATCH($A71,SPPR!$A:$A,0),15),""),"")</f>
        <v/>
      </c>
      <c r="S71">
        <f>IFERROR(IF(ISNUMBER(INDEX(SPPR!$E:$Z,MATCH($A71,SPPR!$A:$A,0),16)),$C71*INDEX(SPPR!$E:$Z,MATCH($A71,SPPR!$A:$A,0),16),""),"")</f>
        <v/>
      </c>
      <c r="T71">
        <f>IFERROR(IF(ISNUMBER(INDEX(SPPR!$E:$Z,MATCH($A71,SPPR!$A:$A,0),17)),$C71*INDEX(SPPR!$E:$Z,MATCH($A71,SPPR!$A:$A,0),17),""),"")</f>
        <v/>
      </c>
      <c r="U71">
        <f>IFERROR(IF(ISNUMBER(INDEX(SPPR!$E:$Z,MATCH($A71,SPPR!$A:$A,0),18)),$C71*INDEX(SPPR!$E:$Z,MATCH($A71,SPPR!$A:$A,0),18),""),"")</f>
        <v/>
      </c>
      <c r="V71">
        <f>IFERROR(IF(ISNUMBER(INDEX(SPPR!$E:$Z,MATCH($A71,SPPR!$A:$A,0),19)),$C71*INDEX(SPPR!$E:$Z,MATCH($A71,SPPR!$A:$A,0),19),""),"")</f>
        <v/>
      </c>
      <c r="W71">
        <f>IFERROR(IF(ISNUMBER(INDEX(SPPR!$E:$Z,MATCH($A71,SPPR!$A:$A,0),20)),$C71*INDEX(SPPR!$E:$Z,MATCH($A71,SPPR!$A:$A,0),20),""),"")</f>
        <v/>
      </c>
      <c r="X71">
        <f>IFERROR(IF(ISNUMBER(INDEX(SPPR!$E:$Z,MATCH($A71,SPPR!$A:$A,0),21)),$C71*INDEX(SPPR!$E:$Z,MATCH($A71,SPPR!$A:$A,0),21),""),"")</f>
        <v/>
      </c>
      <c r="Y71">
        <f>IFERROR(IF(ISNUMBER(INDEX(SPPR!$E:$Z,MATCH($A71,SPPR!$A:$A,0),22)),$C71*INDEX(SPPR!$E:$Z,MATCH($A71,SPPR!$A:$A,0),22),""),"")</f>
        <v/>
      </c>
    </row>
    <row r="72">
      <c r="A72" t="inlineStr">
        <is>
          <t>Pagellus bellottii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IFERROR(IF(ISNUMBER(INDEX(SPPR!$E:$Z,MATCH($A72,SPPR!$A:$A,0),1)),$C72*INDEX(SPPR!$E:$Z,MATCH($A72,SPPR!$A:$A,0),1),""),"")</f>
        <v/>
      </c>
      <c r="E72">
        <f>IFERROR(IF(ISNUMBER(INDEX(SPPR!$E:$Z,MATCH($A72,SPPR!$A:$A,0),2)),$C72*INDEX(SPPR!$E:$Z,MATCH($A72,SPPR!$A:$A,0),2),""),"")</f>
        <v/>
      </c>
      <c r="F72">
        <f>IFERROR(IF(ISNUMBER(INDEX(SPPR!$E:$Z,MATCH($A72,SPPR!$A:$A,0),3)),$C72*INDEX(SPPR!$E:$Z,MATCH($A72,SPPR!$A:$A,0),3),""),"")</f>
        <v/>
      </c>
      <c r="G72">
        <f>IFERROR(IF(ISNUMBER(INDEX(SPPR!$E:$Z,MATCH($A72,SPPR!$A:$A,0),4)),$C72*INDEX(SPPR!$E:$Z,MATCH($A72,SPPR!$A:$A,0),4),""),"")</f>
        <v/>
      </c>
      <c r="H72">
        <f>IFERROR(IF(ISNUMBER(INDEX(SPPR!$E:$Z,MATCH($A72,SPPR!$A:$A,0),5)),$C72*INDEX(SPPR!$E:$Z,MATCH($A72,SPPR!$A:$A,0),5),""),"")</f>
        <v/>
      </c>
      <c r="I72">
        <f>IFERROR(IF(ISNUMBER(INDEX(SPPR!$E:$Z,MATCH($A72,SPPR!$A:$A,0),6)),$C72*INDEX(SPPR!$E:$Z,MATCH($A72,SPPR!$A:$A,0),6),""),"")</f>
        <v/>
      </c>
      <c r="J72">
        <f>IFERROR(IF(ISNUMBER(INDEX(SPPR!$E:$Z,MATCH($A72,SPPR!$A:$A,0),7)),$C72*INDEX(SPPR!$E:$Z,MATCH($A72,SPPR!$A:$A,0),7),""),"")</f>
        <v/>
      </c>
      <c r="K72">
        <f>IFERROR(IF(ISNUMBER(INDEX(SPPR!$E:$Z,MATCH($A72,SPPR!$A:$A,0),8)),$C72*INDEX(SPPR!$E:$Z,MATCH($A72,SPPR!$A:$A,0),8),""),"")</f>
        <v/>
      </c>
      <c r="L72">
        <f>IFERROR(IF(ISNUMBER(INDEX(SPPR!$E:$Z,MATCH($A72,SPPR!$A:$A,0),9)),$C72*INDEX(SPPR!$E:$Z,MATCH($A72,SPPR!$A:$A,0),9),""),"")</f>
        <v/>
      </c>
      <c r="M72">
        <f>IFERROR(IF(ISNUMBER(INDEX(SPPR!$E:$Z,MATCH($A72,SPPR!$A:$A,0),10)),$C72*INDEX(SPPR!$E:$Z,MATCH($A72,SPPR!$A:$A,0),10),""),"")</f>
        <v/>
      </c>
      <c r="N72">
        <f>IFERROR(IF(ISNUMBER(INDEX(SPPR!$E:$Z,MATCH($A72,SPPR!$A:$A,0),11)),$C72*INDEX(SPPR!$E:$Z,MATCH($A72,SPPR!$A:$A,0),11),""),"")</f>
        <v/>
      </c>
      <c r="O72">
        <f>IFERROR(IF(ISNUMBER(INDEX(SPPR!$E:$Z,MATCH($A72,SPPR!$A:$A,0),12)),$C72*INDEX(SPPR!$E:$Z,MATCH($A72,SPPR!$A:$A,0),12),""),"")</f>
        <v/>
      </c>
      <c r="P72">
        <f>IFERROR(IF(ISNUMBER(INDEX(SPPR!$E:$Z,MATCH($A72,SPPR!$A:$A,0),13)),$C72*INDEX(SPPR!$E:$Z,MATCH($A72,SPPR!$A:$A,0),13),""),"")</f>
        <v/>
      </c>
      <c r="Q72">
        <f>IFERROR(IF(ISNUMBER(INDEX(SPPR!$E:$Z,MATCH($A72,SPPR!$A:$A,0),14)),$C72*INDEX(SPPR!$E:$Z,MATCH($A72,SPPR!$A:$A,0),14),""),"")</f>
        <v/>
      </c>
      <c r="R72">
        <f>IFERROR(IF(ISNUMBER(INDEX(SPPR!$E:$Z,MATCH($A72,SPPR!$A:$A,0),15)),$C72*INDEX(SPPR!$E:$Z,MATCH($A72,SPPR!$A:$A,0),15),""),"")</f>
        <v/>
      </c>
      <c r="S72">
        <f>IFERROR(IF(ISNUMBER(INDEX(SPPR!$E:$Z,MATCH($A72,SPPR!$A:$A,0),16)),$C72*INDEX(SPPR!$E:$Z,MATCH($A72,SPPR!$A:$A,0),16),""),"")</f>
        <v/>
      </c>
      <c r="T72">
        <f>IFERROR(IF(ISNUMBER(INDEX(SPPR!$E:$Z,MATCH($A72,SPPR!$A:$A,0),17)),$C72*INDEX(SPPR!$E:$Z,MATCH($A72,SPPR!$A:$A,0),17),""),"")</f>
        <v/>
      </c>
      <c r="U72">
        <f>IFERROR(IF(ISNUMBER(INDEX(SPPR!$E:$Z,MATCH($A72,SPPR!$A:$A,0),18)),$C72*INDEX(SPPR!$E:$Z,MATCH($A72,SPPR!$A:$A,0),18),""),"")</f>
        <v/>
      </c>
      <c r="V72">
        <f>IFERROR(IF(ISNUMBER(INDEX(SPPR!$E:$Z,MATCH($A72,SPPR!$A:$A,0),19)),$C72*INDEX(SPPR!$E:$Z,MATCH($A72,SPPR!$A:$A,0),19),""),"")</f>
        <v/>
      </c>
      <c r="W72">
        <f>IFERROR(IF(ISNUMBER(INDEX(SPPR!$E:$Z,MATCH($A72,SPPR!$A:$A,0),20)),$C72*INDEX(SPPR!$E:$Z,MATCH($A72,SPPR!$A:$A,0),20),""),"")</f>
        <v/>
      </c>
      <c r="X72">
        <f>IFERROR(IF(ISNUMBER(INDEX(SPPR!$E:$Z,MATCH($A72,SPPR!$A:$A,0),21)),$C72*INDEX(SPPR!$E:$Z,MATCH($A72,SPPR!$A:$A,0),21),""),"")</f>
        <v/>
      </c>
      <c r="Y72">
        <f>IFERROR(IF(ISNUMBER(INDEX(SPPR!$E:$Z,MATCH($A72,SPPR!$A:$A,0),22)),$C72*INDEX(SPPR!$E:$Z,MATCH($A72,SPPR!$A:$A,0),22),""),"")</f>
        <v/>
      </c>
    </row>
    <row r="73">
      <c r="A73" t="inlineStr">
        <is>
          <t>Pagrus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IFERROR(IF(ISNUMBER(INDEX(SPPR!$E:$Z,MATCH($A73,SPPR!$A:$A,0),1)),$C73*INDEX(SPPR!$E:$Z,MATCH($A73,SPPR!$A:$A,0),1),""),"")</f>
        <v/>
      </c>
      <c r="E73">
        <f>IFERROR(IF(ISNUMBER(INDEX(SPPR!$E:$Z,MATCH($A73,SPPR!$A:$A,0),2)),$C73*INDEX(SPPR!$E:$Z,MATCH($A73,SPPR!$A:$A,0),2),""),"")</f>
        <v/>
      </c>
      <c r="F73">
        <f>IFERROR(IF(ISNUMBER(INDEX(SPPR!$E:$Z,MATCH($A73,SPPR!$A:$A,0),3)),$C73*INDEX(SPPR!$E:$Z,MATCH($A73,SPPR!$A:$A,0),3),""),"")</f>
        <v/>
      </c>
      <c r="G73">
        <f>IFERROR(IF(ISNUMBER(INDEX(SPPR!$E:$Z,MATCH($A73,SPPR!$A:$A,0),4)),$C73*INDEX(SPPR!$E:$Z,MATCH($A73,SPPR!$A:$A,0),4),""),"")</f>
        <v/>
      </c>
      <c r="H73">
        <f>IFERROR(IF(ISNUMBER(INDEX(SPPR!$E:$Z,MATCH($A73,SPPR!$A:$A,0),5)),$C73*INDEX(SPPR!$E:$Z,MATCH($A73,SPPR!$A:$A,0),5),""),"")</f>
        <v/>
      </c>
      <c r="I73">
        <f>IFERROR(IF(ISNUMBER(INDEX(SPPR!$E:$Z,MATCH($A73,SPPR!$A:$A,0),6)),$C73*INDEX(SPPR!$E:$Z,MATCH($A73,SPPR!$A:$A,0),6),""),"")</f>
        <v/>
      </c>
      <c r="J73">
        <f>IFERROR(IF(ISNUMBER(INDEX(SPPR!$E:$Z,MATCH($A73,SPPR!$A:$A,0),7)),$C73*INDEX(SPPR!$E:$Z,MATCH($A73,SPPR!$A:$A,0),7),""),"")</f>
        <v/>
      </c>
      <c r="K73">
        <f>IFERROR(IF(ISNUMBER(INDEX(SPPR!$E:$Z,MATCH($A73,SPPR!$A:$A,0),8)),$C73*INDEX(SPPR!$E:$Z,MATCH($A73,SPPR!$A:$A,0),8),""),"")</f>
        <v/>
      </c>
      <c r="L73">
        <f>IFERROR(IF(ISNUMBER(INDEX(SPPR!$E:$Z,MATCH($A73,SPPR!$A:$A,0),9)),$C73*INDEX(SPPR!$E:$Z,MATCH($A73,SPPR!$A:$A,0),9),""),"")</f>
        <v/>
      </c>
      <c r="M73">
        <f>IFERROR(IF(ISNUMBER(INDEX(SPPR!$E:$Z,MATCH($A73,SPPR!$A:$A,0),10)),$C73*INDEX(SPPR!$E:$Z,MATCH($A73,SPPR!$A:$A,0),10),""),"")</f>
        <v/>
      </c>
      <c r="N73">
        <f>IFERROR(IF(ISNUMBER(INDEX(SPPR!$E:$Z,MATCH($A73,SPPR!$A:$A,0),11)),$C73*INDEX(SPPR!$E:$Z,MATCH($A73,SPPR!$A:$A,0),11),""),"")</f>
        <v/>
      </c>
      <c r="O73">
        <f>IFERROR(IF(ISNUMBER(INDEX(SPPR!$E:$Z,MATCH($A73,SPPR!$A:$A,0),12)),$C73*INDEX(SPPR!$E:$Z,MATCH($A73,SPPR!$A:$A,0),12),""),"")</f>
        <v/>
      </c>
      <c r="P73">
        <f>IFERROR(IF(ISNUMBER(INDEX(SPPR!$E:$Z,MATCH($A73,SPPR!$A:$A,0),13)),$C73*INDEX(SPPR!$E:$Z,MATCH($A73,SPPR!$A:$A,0),13),""),"")</f>
        <v/>
      </c>
      <c r="Q73">
        <f>IFERROR(IF(ISNUMBER(INDEX(SPPR!$E:$Z,MATCH($A73,SPPR!$A:$A,0),14)),$C73*INDEX(SPPR!$E:$Z,MATCH($A73,SPPR!$A:$A,0),14),""),"")</f>
        <v/>
      </c>
      <c r="R73">
        <f>IFERROR(IF(ISNUMBER(INDEX(SPPR!$E:$Z,MATCH($A73,SPPR!$A:$A,0),15)),$C73*INDEX(SPPR!$E:$Z,MATCH($A73,SPPR!$A:$A,0),15),""),"")</f>
        <v/>
      </c>
      <c r="S73">
        <f>IFERROR(IF(ISNUMBER(INDEX(SPPR!$E:$Z,MATCH($A73,SPPR!$A:$A,0),16)),$C73*INDEX(SPPR!$E:$Z,MATCH($A73,SPPR!$A:$A,0),16),""),"")</f>
        <v/>
      </c>
      <c r="T73">
        <f>IFERROR(IF(ISNUMBER(INDEX(SPPR!$E:$Z,MATCH($A73,SPPR!$A:$A,0),17)),$C73*INDEX(SPPR!$E:$Z,MATCH($A73,SPPR!$A:$A,0),17),""),"")</f>
        <v/>
      </c>
      <c r="U73">
        <f>IFERROR(IF(ISNUMBER(INDEX(SPPR!$E:$Z,MATCH($A73,SPPR!$A:$A,0),18)),$C73*INDEX(SPPR!$E:$Z,MATCH($A73,SPPR!$A:$A,0),18),""),"")</f>
        <v/>
      </c>
      <c r="V73">
        <f>IFERROR(IF(ISNUMBER(INDEX(SPPR!$E:$Z,MATCH($A73,SPPR!$A:$A,0),19)),$C73*INDEX(SPPR!$E:$Z,MATCH($A73,SPPR!$A:$A,0),19),""),"")</f>
        <v/>
      </c>
      <c r="W73">
        <f>IFERROR(IF(ISNUMBER(INDEX(SPPR!$E:$Z,MATCH($A73,SPPR!$A:$A,0),20)),$C73*INDEX(SPPR!$E:$Z,MATCH($A73,SPPR!$A:$A,0),20),""),"")</f>
        <v/>
      </c>
      <c r="X73">
        <f>IFERROR(IF(ISNUMBER(INDEX(SPPR!$E:$Z,MATCH($A73,SPPR!$A:$A,0),21)),$C73*INDEX(SPPR!$E:$Z,MATCH($A73,SPPR!$A:$A,0),21),""),"")</f>
        <v/>
      </c>
      <c r="Y73">
        <f>IFERROR(IF(ISNUMBER(INDEX(SPPR!$E:$Z,MATCH($A73,SPPR!$A:$A,0),22)),$C73*INDEX(SPPR!$E:$Z,MATCH($A73,SPPR!$A:$A,0),22),""),"")</f>
        <v/>
      </c>
    </row>
    <row r="74">
      <c r="A74" t="inlineStr">
        <is>
          <t>Pomadasys jubelini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IFERROR(IF(ISNUMBER(INDEX(SPPR!$E:$Z,MATCH($A74,SPPR!$A:$A,0),1)),$C74*INDEX(SPPR!$E:$Z,MATCH($A74,SPPR!$A:$A,0),1),""),"")</f>
        <v/>
      </c>
      <c r="E74">
        <f>IFERROR(IF(ISNUMBER(INDEX(SPPR!$E:$Z,MATCH($A74,SPPR!$A:$A,0),2)),$C74*INDEX(SPPR!$E:$Z,MATCH($A74,SPPR!$A:$A,0),2),""),"")</f>
        <v/>
      </c>
      <c r="F74">
        <f>IFERROR(IF(ISNUMBER(INDEX(SPPR!$E:$Z,MATCH($A74,SPPR!$A:$A,0),3)),$C74*INDEX(SPPR!$E:$Z,MATCH($A74,SPPR!$A:$A,0),3),""),"")</f>
        <v/>
      </c>
      <c r="G74">
        <f>IFERROR(IF(ISNUMBER(INDEX(SPPR!$E:$Z,MATCH($A74,SPPR!$A:$A,0),4)),$C74*INDEX(SPPR!$E:$Z,MATCH($A74,SPPR!$A:$A,0),4),""),"")</f>
        <v/>
      </c>
      <c r="H74">
        <f>IFERROR(IF(ISNUMBER(INDEX(SPPR!$E:$Z,MATCH($A74,SPPR!$A:$A,0),5)),$C74*INDEX(SPPR!$E:$Z,MATCH($A74,SPPR!$A:$A,0),5),""),"")</f>
        <v/>
      </c>
      <c r="I74">
        <f>IFERROR(IF(ISNUMBER(INDEX(SPPR!$E:$Z,MATCH($A74,SPPR!$A:$A,0),6)),$C74*INDEX(SPPR!$E:$Z,MATCH($A74,SPPR!$A:$A,0),6),""),"")</f>
        <v/>
      </c>
      <c r="J74">
        <f>IFERROR(IF(ISNUMBER(INDEX(SPPR!$E:$Z,MATCH($A74,SPPR!$A:$A,0),7)),$C74*INDEX(SPPR!$E:$Z,MATCH($A74,SPPR!$A:$A,0),7),""),"")</f>
        <v/>
      </c>
      <c r="K74">
        <f>IFERROR(IF(ISNUMBER(INDEX(SPPR!$E:$Z,MATCH($A74,SPPR!$A:$A,0),8)),$C74*INDEX(SPPR!$E:$Z,MATCH($A74,SPPR!$A:$A,0),8),""),"")</f>
        <v/>
      </c>
      <c r="L74">
        <f>IFERROR(IF(ISNUMBER(INDEX(SPPR!$E:$Z,MATCH($A74,SPPR!$A:$A,0),9)),$C74*INDEX(SPPR!$E:$Z,MATCH($A74,SPPR!$A:$A,0),9),""),"")</f>
        <v/>
      </c>
      <c r="M74">
        <f>IFERROR(IF(ISNUMBER(INDEX(SPPR!$E:$Z,MATCH($A74,SPPR!$A:$A,0),10)),$C74*INDEX(SPPR!$E:$Z,MATCH($A74,SPPR!$A:$A,0),10),""),"")</f>
        <v/>
      </c>
      <c r="N74">
        <f>IFERROR(IF(ISNUMBER(INDEX(SPPR!$E:$Z,MATCH($A74,SPPR!$A:$A,0),11)),$C74*INDEX(SPPR!$E:$Z,MATCH($A74,SPPR!$A:$A,0),11),""),"")</f>
        <v/>
      </c>
      <c r="O74">
        <f>IFERROR(IF(ISNUMBER(INDEX(SPPR!$E:$Z,MATCH($A74,SPPR!$A:$A,0),12)),$C74*INDEX(SPPR!$E:$Z,MATCH($A74,SPPR!$A:$A,0),12),""),"")</f>
        <v/>
      </c>
      <c r="P74">
        <f>IFERROR(IF(ISNUMBER(INDEX(SPPR!$E:$Z,MATCH($A74,SPPR!$A:$A,0),13)),$C74*INDEX(SPPR!$E:$Z,MATCH($A74,SPPR!$A:$A,0),13),""),"")</f>
        <v/>
      </c>
      <c r="Q74">
        <f>IFERROR(IF(ISNUMBER(INDEX(SPPR!$E:$Z,MATCH($A74,SPPR!$A:$A,0),14)),$C74*INDEX(SPPR!$E:$Z,MATCH($A74,SPPR!$A:$A,0),14),""),"")</f>
        <v/>
      </c>
      <c r="R74">
        <f>IFERROR(IF(ISNUMBER(INDEX(SPPR!$E:$Z,MATCH($A74,SPPR!$A:$A,0),15)),$C74*INDEX(SPPR!$E:$Z,MATCH($A74,SPPR!$A:$A,0),15),""),"")</f>
        <v/>
      </c>
      <c r="S74">
        <f>IFERROR(IF(ISNUMBER(INDEX(SPPR!$E:$Z,MATCH($A74,SPPR!$A:$A,0),16)),$C74*INDEX(SPPR!$E:$Z,MATCH($A74,SPPR!$A:$A,0),16),""),"")</f>
        <v/>
      </c>
      <c r="T74">
        <f>IFERROR(IF(ISNUMBER(INDEX(SPPR!$E:$Z,MATCH($A74,SPPR!$A:$A,0),17)),$C74*INDEX(SPPR!$E:$Z,MATCH($A74,SPPR!$A:$A,0),17),""),"")</f>
        <v/>
      </c>
      <c r="U74">
        <f>IFERROR(IF(ISNUMBER(INDEX(SPPR!$E:$Z,MATCH($A74,SPPR!$A:$A,0),18)),$C74*INDEX(SPPR!$E:$Z,MATCH($A74,SPPR!$A:$A,0),18),""),"")</f>
        <v/>
      </c>
      <c r="V74">
        <f>IFERROR(IF(ISNUMBER(INDEX(SPPR!$E:$Z,MATCH($A74,SPPR!$A:$A,0),19)),$C74*INDEX(SPPR!$E:$Z,MATCH($A74,SPPR!$A:$A,0),19),""),"")</f>
        <v/>
      </c>
      <c r="W74">
        <f>IFERROR(IF(ISNUMBER(INDEX(SPPR!$E:$Z,MATCH($A74,SPPR!$A:$A,0),20)),$C74*INDEX(SPPR!$E:$Z,MATCH($A74,SPPR!$A:$A,0),20),""),"")</f>
        <v/>
      </c>
      <c r="X74">
        <f>IFERROR(IF(ISNUMBER(INDEX(SPPR!$E:$Z,MATCH($A74,SPPR!$A:$A,0),21)),$C74*INDEX(SPPR!$E:$Z,MATCH($A74,SPPR!$A:$A,0),21),""),"")</f>
        <v/>
      </c>
      <c r="Y74">
        <f>IFERROR(IF(ISNUMBER(INDEX(SPPR!$E:$Z,MATCH($A74,SPPR!$A:$A,0),22)),$C74*INDEX(SPPR!$E:$Z,MATCH($A74,SPPR!$A:$A,0),22),""),"")</f>
        <v/>
      </c>
    </row>
    <row r="75">
      <c r="A75" t="inlineStr">
        <is>
          <t>Auxis thazard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IFERROR(IF(ISNUMBER(INDEX(SPPR!$E:$Z,MATCH($A75,SPPR!$A:$A,0),1)),$C75*INDEX(SPPR!$E:$Z,MATCH($A75,SPPR!$A:$A,0),1),""),"")</f>
        <v/>
      </c>
      <c r="E75">
        <f>IFERROR(IF(ISNUMBER(INDEX(SPPR!$E:$Z,MATCH($A75,SPPR!$A:$A,0),2)),$C75*INDEX(SPPR!$E:$Z,MATCH($A75,SPPR!$A:$A,0),2),""),"")</f>
        <v/>
      </c>
      <c r="F75">
        <f>IFERROR(IF(ISNUMBER(INDEX(SPPR!$E:$Z,MATCH($A75,SPPR!$A:$A,0),3)),$C75*INDEX(SPPR!$E:$Z,MATCH($A75,SPPR!$A:$A,0),3),""),"")</f>
        <v/>
      </c>
      <c r="G75">
        <f>IFERROR(IF(ISNUMBER(INDEX(SPPR!$E:$Z,MATCH($A75,SPPR!$A:$A,0),4)),$C75*INDEX(SPPR!$E:$Z,MATCH($A75,SPPR!$A:$A,0),4),""),"")</f>
        <v/>
      </c>
      <c r="H75">
        <f>IFERROR(IF(ISNUMBER(INDEX(SPPR!$E:$Z,MATCH($A75,SPPR!$A:$A,0),5)),$C75*INDEX(SPPR!$E:$Z,MATCH($A75,SPPR!$A:$A,0),5),""),"")</f>
        <v/>
      </c>
      <c r="I75">
        <f>IFERROR(IF(ISNUMBER(INDEX(SPPR!$E:$Z,MATCH($A75,SPPR!$A:$A,0),6)),$C75*INDEX(SPPR!$E:$Z,MATCH($A75,SPPR!$A:$A,0),6),""),"")</f>
        <v/>
      </c>
      <c r="J75">
        <f>IFERROR(IF(ISNUMBER(INDEX(SPPR!$E:$Z,MATCH($A75,SPPR!$A:$A,0),7)),$C75*INDEX(SPPR!$E:$Z,MATCH($A75,SPPR!$A:$A,0),7),""),"")</f>
        <v/>
      </c>
      <c r="K75">
        <f>IFERROR(IF(ISNUMBER(INDEX(SPPR!$E:$Z,MATCH($A75,SPPR!$A:$A,0),8)),$C75*INDEX(SPPR!$E:$Z,MATCH($A75,SPPR!$A:$A,0),8),""),"")</f>
        <v/>
      </c>
      <c r="L75">
        <f>IFERROR(IF(ISNUMBER(INDEX(SPPR!$E:$Z,MATCH($A75,SPPR!$A:$A,0),9)),$C75*INDEX(SPPR!$E:$Z,MATCH($A75,SPPR!$A:$A,0),9),""),"")</f>
        <v/>
      </c>
      <c r="M75">
        <f>IFERROR(IF(ISNUMBER(INDEX(SPPR!$E:$Z,MATCH($A75,SPPR!$A:$A,0),10)),$C75*INDEX(SPPR!$E:$Z,MATCH($A75,SPPR!$A:$A,0),10),""),"")</f>
        <v/>
      </c>
      <c r="N75">
        <f>IFERROR(IF(ISNUMBER(INDEX(SPPR!$E:$Z,MATCH($A75,SPPR!$A:$A,0),11)),$C75*INDEX(SPPR!$E:$Z,MATCH($A75,SPPR!$A:$A,0),11),""),"")</f>
        <v/>
      </c>
      <c r="O75">
        <f>IFERROR(IF(ISNUMBER(INDEX(SPPR!$E:$Z,MATCH($A75,SPPR!$A:$A,0),12)),$C75*INDEX(SPPR!$E:$Z,MATCH($A75,SPPR!$A:$A,0),12),""),"")</f>
        <v/>
      </c>
      <c r="P75">
        <f>IFERROR(IF(ISNUMBER(INDEX(SPPR!$E:$Z,MATCH($A75,SPPR!$A:$A,0),13)),$C75*INDEX(SPPR!$E:$Z,MATCH($A75,SPPR!$A:$A,0),13),""),"")</f>
        <v/>
      </c>
      <c r="Q75">
        <f>IFERROR(IF(ISNUMBER(INDEX(SPPR!$E:$Z,MATCH($A75,SPPR!$A:$A,0),14)),$C75*INDEX(SPPR!$E:$Z,MATCH($A75,SPPR!$A:$A,0),14),""),"")</f>
        <v/>
      </c>
      <c r="R75">
        <f>IFERROR(IF(ISNUMBER(INDEX(SPPR!$E:$Z,MATCH($A75,SPPR!$A:$A,0),15)),$C75*INDEX(SPPR!$E:$Z,MATCH($A75,SPPR!$A:$A,0),15),""),"")</f>
        <v/>
      </c>
      <c r="S75">
        <f>IFERROR(IF(ISNUMBER(INDEX(SPPR!$E:$Z,MATCH($A75,SPPR!$A:$A,0),16)),$C75*INDEX(SPPR!$E:$Z,MATCH($A75,SPPR!$A:$A,0),16),""),"")</f>
        <v/>
      </c>
      <c r="T75">
        <f>IFERROR(IF(ISNUMBER(INDEX(SPPR!$E:$Z,MATCH($A75,SPPR!$A:$A,0),17)),$C75*INDEX(SPPR!$E:$Z,MATCH($A75,SPPR!$A:$A,0),17),""),"")</f>
        <v/>
      </c>
      <c r="U75">
        <f>IFERROR(IF(ISNUMBER(INDEX(SPPR!$E:$Z,MATCH($A75,SPPR!$A:$A,0),18)),$C75*INDEX(SPPR!$E:$Z,MATCH($A75,SPPR!$A:$A,0),18),""),"")</f>
        <v/>
      </c>
      <c r="V75">
        <f>IFERROR(IF(ISNUMBER(INDEX(SPPR!$E:$Z,MATCH($A75,SPPR!$A:$A,0),19)),$C75*INDEX(SPPR!$E:$Z,MATCH($A75,SPPR!$A:$A,0),19),""),"")</f>
        <v/>
      </c>
      <c r="W75">
        <f>IFERROR(IF(ISNUMBER(INDEX(SPPR!$E:$Z,MATCH($A75,SPPR!$A:$A,0),20)),$C75*INDEX(SPPR!$E:$Z,MATCH($A75,SPPR!$A:$A,0),20),""),"")</f>
        <v/>
      </c>
      <c r="X75">
        <f>IFERROR(IF(ISNUMBER(INDEX(SPPR!$E:$Z,MATCH($A75,SPPR!$A:$A,0),21)),$C75*INDEX(SPPR!$E:$Z,MATCH($A75,SPPR!$A:$A,0),21),""),"")</f>
        <v/>
      </c>
      <c r="Y75">
        <f>IFERROR(IF(ISNUMBER(INDEX(SPPR!$E:$Z,MATCH($A75,SPPR!$A:$A,0),22)),$C75*INDEX(SPPR!$E:$Z,MATCH($A75,SPPR!$A:$A,0),22),""),"")</f>
        <v/>
      </c>
    </row>
    <row r="76">
      <c r="A76" t="inlineStr">
        <is>
          <t>Elops lacerta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IFERROR(IF(ISNUMBER(INDEX(SPPR!$E:$Z,MATCH($A76,SPPR!$A:$A,0),1)),$C76*INDEX(SPPR!$E:$Z,MATCH($A76,SPPR!$A:$A,0),1),""),"")</f>
        <v/>
      </c>
      <c r="E76">
        <f>IFERROR(IF(ISNUMBER(INDEX(SPPR!$E:$Z,MATCH($A76,SPPR!$A:$A,0),2)),$C76*INDEX(SPPR!$E:$Z,MATCH($A76,SPPR!$A:$A,0),2),""),"")</f>
        <v/>
      </c>
      <c r="F76">
        <f>IFERROR(IF(ISNUMBER(INDEX(SPPR!$E:$Z,MATCH($A76,SPPR!$A:$A,0),3)),$C76*INDEX(SPPR!$E:$Z,MATCH($A76,SPPR!$A:$A,0),3),""),"")</f>
        <v/>
      </c>
      <c r="G76">
        <f>IFERROR(IF(ISNUMBER(INDEX(SPPR!$E:$Z,MATCH($A76,SPPR!$A:$A,0),4)),$C76*INDEX(SPPR!$E:$Z,MATCH($A76,SPPR!$A:$A,0),4),""),"")</f>
        <v/>
      </c>
      <c r="H76">
        <f>IFERROR(IF(ISNUMBER(INDEX(SPPR!$E:$Z,MATCH($A76,SPPR!$A:$A,0),5)),$C76*INDEX(SPPR!$E:$Z,MATCH($A76,SPPR!$A:$A,0),5),""),"")</f>
        <v/>
      </c>
      <c r="I76">
        <f>IFERROR(IF(ISNUMBER(INDEX(SPPR!$E:$Z,MATCH($A76,SPPR!$A:$A,0),6)),$C76*INDEX(SPPR!$E:$Z,MATCH($A76,SPPR!$A:$A,0),6),""),"")</f>
        <v/>
      </c>
      <c r="J76">
        <f>IFERROR(IF(ISNUMBER(INDEX(SPPR!$E:$Z,MATCH($A76,SPPR!$A:$A,0),7)),$C76*INDEX(SPPR!$E:$Z,MATCH($A76,SPPR!$A:$A,0),7),""),"")</f>
        <v/>
      </c>
      <c r="K76">
        <f>IFERROR(IF(ISNUMBER(INDEX(SPPR!$E:$Z,MATCH($A76,SPPR!$A:$A,0),8)),$C76*INDEX(SPPR!$E:$Z,MATCH($A76,SPPR!$A:$A,0),8),""),"")</f>
        <v/>
      </c>
      <c r="L76">
        <f>IFERROR(IF(ISNUMBER(INDEX(SPPR!$E:$Z,MATCH($A76,SPPR!$A:$A,0),9)),$C76*INDEX(SPPR!$E:$Z,MATCH($A76,SPPR!$A:$A,0),9),""),"")</f>
        <v/>
      </c>
      <c r="M76">
        <f>IFERROR(IF(ISNUMBER(INDEX(SPPR!$E:$Z,MATCH($A76,SPPR!$A:$A,0),10)),$C76*INDEX(SPPR!$E:$Z,MATCH($A76,SPPR!$A:$A,0),10),""),"")</f>
        <v/>
      </c>
      <c r="N76">
        <f>IFERROR(IF(ISNUMBER(INDEX(SPPR!$E:$Z,MATCH($A76,SPPR!$A:$A,0),11)),$C76*INDEX(SPPR!$E:$Z,MATCH($A76,SPPR!$A:$A,0),11),""),"")</f>
        <v/>
      </c>
      <c r="O76">
        <f>IFERROR(IF(ISNUMBER(INDEX(SPPR!$E:$Z,MATCH($A76,SPPR!$A:$A,0),12)),$C76*INDEX(SPPR!$E:$Z,MATCH($A76,SPPR!$A:$A,0),12),""),"")</f>
        <v/>
      </c>
      <c r="P76">
        <f>IFERROR(IF(ISNUMBER(INDEX(SPPR!$E:$Z,MATCH($A76,SPPR!$A:$A,0),13)),$C76*INDEX(SPPR!$E:$Z,MATCH($A76,SPPR!$A:$A,0),13),""),"")</f>
        <v/>
      </c>
      <c r="Q76">
        <f>IFERROR(IF(ISNUMBER(INDEX(SPPR!$E:$Z,MATCH($A76,SPPR!$A:$A,0),14)),$C76*INDEX(SPPR!$E:$Z,MATCH($A76,SPPR!$A:$A,0),14),""),"")</f>
        <v/>
      </c>
      <c r="R76">
        <f>IFERROR(IF(ISNUMBER(INDEX(SPPR!$E:$Z,MATCH($A76,SPPR!$A:$A,0),15)),$C76*INDEX(SPPR!$E:$Z,MATCH($A76,SPPR!$A:$A,0),15),""),"")</f>
        <v/>
      </c>
      <c r="S76">
        <f>IFERROR(IF(ISNUMBER(INDEX(SPPR!$E:$Z,MATCH($A76,SPPR!$A:$A,0),16)),$C76*INDEX(SPPR!$E:$Z,MATCH($A76,SPPR!$A:$A,0),16),""),"")</f>
        <v/>
      </c>
      <c r="T76">
        <f>IFERROR(IF(ISNUMBER(INDEX(SPPR!$E:$Z,MATCH($A76,SPPR!$A:$A,0),17)),$C76*INDEX(SPPR!$E:$Z,MATCH($A76,SPPR!$A:$A,0),17),""),"")</f>
        <v/>
      </c>
      <c r="U76">
        <f>IFERROR(IF(ISNUMBER(INDEX(SPPR!$E:$Z,MATCH($A76,SPPR!$A:$A,0),18)),$C76*INDEX(SPPR!$E:$Z,MATCH($A76,SPPR!$A:$A,0),18),""),"")</f>
        <v/>
      </c>
      <c r="V76">
        <f>IFERROR(IF(ISNUMBER(INDEX(SPPR!$E:$Z,MATCH($A76,SPPR!$A:$A,0),19)),$C76*INDEX(SPPR!$E:$Z,MATCH($A76,SPPR!$A:$A,0),19),""),"")</f>
        <v/>
      </c>
      <c r="W76">
        <f>IFERROR(IF(ISNUMBER(INDEX(SPPR!$E:$Z,MATCH($A76,SPPR!$A:$A,0),20)),$C76*INDEX(SPPR!$E:$Z,MATCH($A76,SPPR!$A:$A,0),20),""),"")</f>
        <v/>
      </c>
      <c r="X76">
        <f>IFERROR(IF(ISNUMBER(INDEX(SPPR!$E:$Z,MATCH($A76,SPPR!$A:$A,0),21)),$C76*INDEX(SPPR!$E:$Z,MATCH($A76,SPPR!$A:$A,0),21),""),"")</f>
        <v/>
      </c>
      <c r="Y76">
        <f>IFERROR(IF(ISNUMBER(INDEX(SPPR!$E:$Z,MATCH($A76,SPPR!$A:$A,0),22)),$C76*INDEX(SPPR!$E:$Z,MATCH($A76,SPPR!$A:$A,0),22),""),"")</f>
        <v/>
      </c>
    </row>
    <row r="77">
      <c r="A77" t="inlineStr">
        <is>
          <t>Pseudotolithus typus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IFERROR(IF(ISNUMBER(INDEX(SPPR!$E:$Z,MATCH($A77,SPPR!$A:$A,0),1)),$C77*INDEX(SPPR!$E:$Z,MATCH($A77,SPPR!$A:$A,0),1),""),"")</f>
        <v/>
      </c>
      <c r="E77">
        <f>IFERROR(IF(ISNUMBER(INDEX(SPPR!$E:$Z,MATCH($A77,SPPR!$A:$A,0),2)),$C77*INDEX(SPPR!$E:$Z,MATCH($A77,SPPR!$A:$A,0),2),""),"")</f>
        <v/>
      </c>
      <c r="F77">
        <f>IFERROR(IF(ISNUMBER(INDEX(SPPR!$E:$Z,MATCH($A77,SPPR!$A:$A,0),3)),$C77*INDEX(SPPR!$E:$Z,MATCH($A77,SPPR!$A:$A,0),3),""),"")</f>
        <v/>
      </c>
      <c r="G77">
        <f>IFERROR(IF(ISNUMBER(INDEX(SPPR!$E:$Z,MATCH($A77,SPPR!$A:$A,0),4)),$C77*INDEX(SPPR!$E:$Z,MATCH($A77,SPPR!$A:$A,0),4),""),"")</f>
        <v/>
      </c>
      <c r="H77">
        <f>IFERROR(IF(ISNUMBER(INDEX(SPPR!$E:$Z,MATCH($A77,SPPR!$A:$A,0),5)),$C77*INDEX(SPPR!$E:$Z,MATCH($A77,SPPR!$A:$A,0),5),""),"")</f>
        <v/>
      </c>
      <c r="I77">
        <f>IFERROR(IF(ISNUMBER(INDEX(SPPR!$E:$Z,MATCH($A77,SPPR!$A:$A,0),6)),$C77*INDEX(SPPR!$E:$Z,MATCH($A77,SPPR!$A:$A,0),6),""),"")</f>
        <v/>
      </c>
      <c r="J77">
        <f>IFERROR(IF(ISNUMBER(INDEX(SPPR!$E:$Z,MATCH($A77,SPPR!$A:$A,0),7)),$C77*INDEX(SPPR!$E:$Z,MATCH($A77,SPPR!$A:$A,0),7),""),"")</f>
        <v/>
      </c>
      <c r="K77">
        <f>IFERROR(IF(ISNUMBER(INDEX(SPPR!$E:$Z,MATCH($A77,SPPR!$A:$A,0),8)),$C77*INDEX(SPPR!$E:$Z,MATCH($A77,SPPR!$A:$A,0),8),""),"")</f>
        <v/>
      </c>
      <c r="L77">
        <f>IFERROR(IF(ISNUMBER(INDEX(SPPR!$E:$Z,MATCH($A77,SPPR!$A:$A,0),9)),$C77*INDEX(SPPR!$E:$Z,MATCH($A77,SPPR!$A:$A,0),9),""),"")</f>
        <v/>
      </c>
      <c r="M77">
        <f>IFERROR(IF(ISNUMBER(INDEX(SPPR!$E:$Z,MATCH($A77,SPPR!$A:$A,0),10)),$C77*INDEX(SPPR!$E:$Z,MATCH($A77,SPPR!$A:$A,0),10),""),"")</f>
        <v/>
      </c>
      <c r="N77">
        <f>IFERROR(IF(ISNUMBER(INDEX(SPPR!$E:$Z,MATCH($A77,SPPR!$A:$A,0),11)),$C77*INDEX(SPPR!$E:$Z,MATCH($A77,SPPR!$A:$A,0),11),""),"")</f>
        <v/>
      </c>
      <c r="O77">
        <f>IFERROR(IF(ISNUMBER(INDEX(SPPR!$E:$Z,MATCH($A77,SPPR!$A:$A,0),12)),$C77*INDEX(SPPR!$E:$Z,MATCH($A77,SPPR!$A:$A,0),12),""),"")</f>
        <v/>
      </c>
      <c r="P77">
        <f>IFERROR(IF(ISNUMBER(INDEX(SPPR!$E:$Z,MATCH($A77,SPPR!$A:$A,0),13)),$C77*INDEX(SPPR!$E:$Z,MATCH($A77,SPPR!$A:$A,0),13),""),"")</f>
        <v/>
      </c>
      <c r="Q77">
        <f>IFERROR(IF(ISNUMBER(INDEX(SPPR!$E:$Z,MATCH($A77,SPPR!$A:$A,0),14)),$C77*INDEX(SPPR!$E:$Z,MATCH($A77,SPPR!$A:$A,0),14),""),"")</f>
        <v/>
      </c>
      <c r="R77">
        <f>IFERROR(IF(ISNUMBER(INDEX(SPPR!$E:$Z,MATCH($A77,SPPR!$A:$A,0),15)),$C77*INDEX(SPPR!$E:$Z,MATCH($A77,SPPR!$A:$A,0),15),""),"")</f>
        <v/>
      </c>
      <c r="S77">
        <f>IFERROR(IF(ISNUMBER(INDEX(SPPR!$E:$Z,MATCH($A77,SPPR!$A:$A,0),16)),$C77*INDEX(SPPR!$E:$Z,MATCH($A77,SPPR!$A:$A,0),16),""),"")</f>
        <v/>
      </c>
      <c r="T77">
        <f>IFERROR(IF(ISNUMBER(INDEX(SPPR!$E:$Z,MATCH($A77,SPPR!$A:$A,0),17)),$C77*INDEX(SPPR!$E:$Z,MATCH($A77,SPPR!$A:$A,0),17),""),"")</f>
        <v/>
      </c>
      <c r="U77">
        <f>IFERROR(IF(ISNUMBER(INDEX(SPPR!$E:$Z,MATCH($A77,SPPR!$A:$A,0),18)),$C77*INDEX(SPPR!$E:$Z,MATCH($A77,SPPR!$A:$A,0),18),""),"")</f>
        <v/>
      </c>
      <c r="V77">
        <f>IFERROR(IF(ISNUMBER(INDEX(SPPR!$E:$Z,MATCH($A77,SPPR!$A:$A,0),19)),$C77*INDEX(SPPR!$E:$Z,MATCH($A77,SPPR!$A:$A,0),19),""),"")</f>
        <v/>
      </c>
      <c r="W77">
        <f>IFERROR(IF(ISNUMBER(INDEX(SPPR!$E:$Z,MATCH($A77,SPPR!$A:$A,0),20)),$C77*INDEX(SPPR!$E:$Z,MATCH($A77,SPPR!$A:$A,0),20),""),"")</f>
        <v/>
      </c>
      <c r="X77">
        <f>IFERROR(IF(ISNUMBER(INDEX(SPPR!$E:$Z,MATCH($A77,SPPR!$A:$A,0),21)),$C77*INDEX(SPPR!$E:$Z,MATCH($A77,SPPR!$A:$A,0),21),""),"")</f>
        <v/>
      </c>
      <c r="Y77">
        <f>IFERROR(IF(ISNUMBER(INDEX(SPPR!$E:$Z,MATCH($A77,SPPR!$A:$A,0),22)),$C77*INDEX(SPPR!$E:$Z,MATCH($A77,SPPR!$A:$A,0),22),""),"")</f>
        <v/>
      </c>
    </row>
    <row r="78">
      <c r="A78" t="inlineStr">
        <is>
          <t>Octopus vulgaris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IFERROR(IF(ISNUMBER(INDEX(SPPR!$E:$Z,MATCH($A78,SPPR!$A:$A,0),1)),$C78*INDEX(SPPR!$E:$Z,MATCH($A78,SPPR!$A:$A,0),1),""),"")</f>
        <v/>
      </c>
      <c r="E78">
        <f>IFERROR(IF(ISNUMBER(INDEX(SPPR!$E:$Z,MATCH($A78,SPPR!$A:$A,0),2)),$C78*INDEX(SPPR!$E:$Z,MATCH($A78,SPPR!$A:$A,0),2),""),"")</f>
        <v/>
      </c>
      <c r="F78">
        <f>IFERROR(IF(ISNUMBER(INDEX(SPPR!$E:$Z,MATCH($A78,SPPR!$A:$A,0),3)),$C78*INDEX(SPPR!$E:$Z,MATCH($A78,SPPR!$A:$A,0),3),""),"")</f>
        <v/>
      </c>
      <c r="G78">
        <f>IFERROR(IF(ISNUMBER(INDEX(SPPR!$E:$Z,MATCH($A78,SPPR!$A:$A,0),4)),$C78*INDEX(SPPR!$E:$Z,MATCH($A78,SPPR!$A:$A,0),4),""),"")</f>
        <v/>
      </c>
      <c r="H78">
        <f>IFERROR(IF(ISNUMBER(INDEX(SPPR!$E:$Z,MATCH($A78,SPPR!$A:$A,0),5)),$C78*INDEX(SPPR!$E:$Z,MATCH($A78,SPPR!$A:$A,0),5),""),"")</f>
        <v/>
      </c>
      <c r="I78">
        <f>IFERROR(IF(ISNUMBER(INDEX(SPPR!$E:$Z,MATCH($A78,SPPR!$A:$A,0),6)),$C78*INDEX(SPPR!$E:$Z,MATCH($A78,SPPR!$A:$A,0),6),""),"")</f>
        <v/>
      </c>
      <c r="J78">
        <f>IFERROR(IF(ISNUMBER(INDEX(SPPR!$E:$Z,MATCH($A78,SPPR!$A:$A,0),7)),$C78*INDEX(SPPR!$E:$Z,MATCH($A78,SPPR!$A:$A,0),7),""),"")</f>
        <v/>
      </c>
      <c r="K78">
        <f>IFERROR(IF(ISNUMBER(INDEX(SPPR!$E:$Z,MATCH($A78,SPPR!$A:$A,0),8)),$C78*INDEX(SPPR!$E:$Z,MATCH($A78,SPPR!$A:$A,0),8),""),"")</f>
        <v/>
      </c>
      <c r="L78">
        <f>IFERROR(IF(ISNUMBER(INDEX(SPPR!$E:$Z,MATCH($A78,SPPR!$A:$A,0),9)),$C78*INDEX(SPPR!$E:$Z,MATCH($A78,SPPR!$A:$A,0),9),""),"")</f>
        <v/>
      </c>
      <c r="M78">
        <f>IFERROR(IF(ISNUMBER(INDEX(SPPR!$E:$Z,MATCH($A78,SPPR!$A:$A,0),10)),$C78*INDEX(SPPR!$E:$Z,MATCH($A78,SPPR!$A:$A,0),10),""),"")</f>
        <v/>
      </c>
      <c r="N78">
        <f>IFERROR(IF(ISNUMBER(INDEX(SPPR!$E:$Z,MATCH($A78,SPPR!$A:$A,0),11)),$C78*INDEX(SPPR!$E:$Z,MATCH($A78,SPPR!$A:$A,0),11),""),"")</f>
        <v/>
      </c>
      <c r="O78">
        <f>IFERROR(IF(ISNUMBER(INDEX(SPPR!$E:$Z,MATCH($A78,SPPR!$A:$A,0),12)),$C78*INDEX(SPPR!$E:$Z,MATCH($A78,SPPR!$A:$A,0),12),""),"")</f>
        <v/>
      </c>
      <c r="P78">
        <f>IFERROR(IF(ISNUMBER(INDEX(SPPR!$E:$Z,MATCH($A78,SPPR!$A:$A,0),13)),$C78*INDEX(SPPR!$E:$Z,MATCH($A78,SPPR!$A:$A,0),13),""),"")</f>
        <v/>
      </c>
      <c r="Q78">
        <f>IFERROR(IF(ISNUMBER(INDEX(SPPR!$E:$Z,MATCH($A78,SPPR!$A:$A,0),14)),$C78*INDEX(SPPR!$E:$Z,MATCH($A78,SPPR!$A:$A,0),14),""),"")</f>
        <v/>
      </c>
      <c r="R78">
        <f>IFERROR(IF(ISNUMBER(INDEX(SPPR!$E:$Z,MATCH($A78,SPPR!$A:$A,0),15)),$C78*INDEX(SPPR!$E:$Z,MATCH($A78,SPPR!$A:$A,0),15),""),"")</f>
        <v/>
      </c>
      <c r="S78">
        <f>IFERROR(IF(ISNUMBER(INDEX(SPPR!$E:$Z,MATCH($A78,SPPR!$A:$A,0),16)),$C78*INDEX(SPPR!$E:$Z,MATCH($A78,SPPR!$A:$A,0),16),""),"")</f>
        <v/>
      </c>
      <c r="T78">
        <f>IFERROR(IF(ISNUMBER(INDEX(SPPR!$E:$Z,MATCH($A78,SPPR!$A:$A,0),17)),$C78*INDEX(SPPR!$E:$Z,MATCH($A78,SPPR!$A:$A,0),17),""),"")</f>
        <v/>
      </c>
      <c r="U78">
        <f>IFERROR(IF(ISNUMBER(INDEX(SPPR!$E:$Z,MATCH($A78,SPPR!$A:$A,0),18)),$C78*INDEX(SPPR!$E:$Z,MATCH($A78,SPPR!$A:$A,0),18),""),"")</f>
        <v/>
      </c>
      <c r="V78">
        <f>IFERROR(IF(ISNUMBER(INDEX(SPPR!$E:$Z,MATCH($A78,SPPR!$A:$A,0),19)),$C78*INDEX(SPPR!$E:$Z,MATCH($A78,SPPR!$A:$A,0),19),""),"")</f>
        <v/>
      </c>
      <c r="W78">
        <f>IFERROR(IF(ISNUMBER(INDEX(SPPR!$E:$Z,MATCH($A78,SPPR!$A:$A,0),20)),$C78*INDEX(SPPR!$E:$Z,MATCH($A78,SPPR!$A:$A,0),20),""),"")</f>
        <v/>
      </c>
      <c r="X78">
        <f>IFERROR(IF(ISNUMBER(INDEX(SPPR!$E:$Z,MATCH($A78,SPPR!$A:$A,0),21)),$C78*INDEX(SPPR!$E:$Z,MATCH($A78,SPPR!$A:$A,0),21),""),"")</f>
        <v/>
      </c>
      <c r="Y78">
        <f>IFERROR(IF(ISNUMBER(INDEX(SPPR!$E:$Z,MATCH($A78,SPPR!$A:$A,0),22)),$C78*INDEX(SPPR!$E:$Z,MATCH($A78,SPPR!$A:$A,0),22),""),"")</f>
        <v/>
      </c>
    </row>
    <row r="79">
      <c r="A79" t="inlineStr">
        <is>
          <t>Lutjanus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IFERROR(IF(ISNUMBER(INDEX(SPPR!$E:$Z,MATCH($A79,SPPR!$A:$A,0),1)),$C79*INDEX(SPPR!$E:$Z,MATCH($A79,SPPR!$A:$A,0),1),""),"")</f>
        <v/>
      </c>
      <c r="E79">
        <f>IFERROR(IF(ISNUMBER(INDEX(SPPR!$E:$Z,MATCH($A79,SPPR!$A:$A,0),2)),$C79*INDEX(SPPR!$E:$Z,MATCH($A79,SPPR!$A:$A,0),2),""),"")</f>
        <v/>
      </c>
      <c r="F79">
        <f>IFERROR(IF(ISNUMBER(INDEX(SPPR!$E:$Z,MATCH($A79,SPPR!$A:$A,0),3)),$C79*INDEX(SPPR!$E:$Z,MATCH($A79,SPPR!$A:$A,0),3),""),"")</f>
        <v/>
      </c>
      <c r="G79">
        <f>IFERROR(IF(ISNUMBER(INDEX(SPPR!$E:$Z,MATCH($A79,SPPR!$A:$A,0),4)),$C79*INDEX(SPPR!$E:$Z,MATCH($A79,SPPR!$A:$A,0),4),""),"")</f>
        <v/>
      </c>
      <c r="H79">
        <f>IFERROR(IF(ISNUMBER(INDEX(SPPR!$E:$Z,MATCH($A79,SPPR!$A:$A,0),5)),$C79*INDEX(SPPR!$E:$Z,MATCH($A79,SPPR!$A:$A,0),5),""),"")</f>
        <v/>
      </c>
      <c r="I79">
        <f>IFERROR(IF(ISNUMBER(INDEX(SPPR!$E:$Z,MATCH($A79,SPPR!$A:$A,0),6)),$C79*INDEX(SPPR!$E:$Z,MATCH($A79,SPPR!$A:$A,0),6),""),"")</f>
        <v/>
      </c>
      <c r="J79">
        <f>IFERROR(IF(ISNUMBER(INDEX(SPPR!$E:$Z,MATCH($A79,SPPR!$A:$A,0),7)),$C79*INDEX(SPPR!$E:$Z,MATCH($A79,SPPR!$A:$A,0),7),""),"")</f>
        <v/>
      </c>
      <c r="K79">
        <f>IFERROR(IF(ISNUMBER(INDEX(SPPR!$E:$Z,MATCH($A79,SPPR!$A:$A,0),8)),$C79*INDEX(SPPR!$E:$Z,MATCH($A79,SPPR!$A:$A,0),8),""),"")</f>
        <v/>
      </c>
      <c r="L79">
        <f>IFERROR(IF(ISNUMBER(INDEX(SPPR!$E:$Z,MATCH($A79,SPPR!$A:$A,0),9)),$C79*INDEX(SPPR!$E:$Z,MATCH($A79,SPPR!$A:$A,0),9),""),"")</f>
        <v/>
      </c>
      <c r="M79">
        <f>IFERROR(IF(ISNUMBER(INDEX(SPPR!$E:$Z,MATCH($A79,SPPR!$A:$A,0),10)),$C79*INDEX(SPPR!$E:$Z,MATCH($A79,SPPR!$A:$A,0),10),""),"")</f>
        <v/>
      </c>
      <c r="N79">
        <f>IFERROR(IF(ISNUMBER(INDEX(SPPR!$E:$Z,MATCH($A79,SPPR!$A:$A,0),11)),$C79*INDEX(SPPR!$E:$Z,MATCH($A79,SPPR!$A:$A,0),11),""),"")</f>
        <v/>
      </c>
      <c r="O79">
        <f>IFERROR(IF(ISNUMBER(INDEX(SPPR!$E:$Z,MATCH($A79,SPPR!$A:$A,0),12)),$C79*INDEX(SPPR!$E:$Z,MATCH($A79,SPPR!$A:$A,0),12),""),"")</f>
        <v/>
      </c>
      <c r="P79">
        <f>IFERROR(IF(ISNUMBER(INDEX(SPPR!$E:$Z,MATCH($A79,SPPR!$A:$A,0),13)),$C79*INDEX(SPPR!$E:$Z,MATCH($A79,SPPR!$A:$A,0),13),""),"")</f>
        <v/>
      </c>
      <c r="Q79">
        <f>IFERROR(IF(ISNUMBER(INDEX(SPPR!$E:$Z,MATCH($A79,SPPR!$A:$A,0),14)),$C79*INDEX(SPPR!$E:$Z,MATCH($A79,SPPR!$A:$A,0),14),""),"")</f>
        <v/>
      </c>
      <c r="R79">
        <f>IFERROR(IF(ISNUMBER(INDEX(SPPR!$E:$Z,MATCH($A79,SPPR!$A:$A,0),15)),$C79*INDEX(SPPR!$E:$Z,MATCH($A79,SPPR!$A:$A,0),15),""),"")</f>
        <v/>
      </c>
      <c r="S79">
        <f>IFERROR(IF(ISNUMBER(INDEX(SPPR!$E:$Z,MATCH($A79,SPPR!$A:$A,0),16)),$C79*INDEX(SPPR!$E:$Z,MATCH($A79,SPPR!$A:$A,0),16),""),"")</f>
        <v/>
      </c>
      <c r="T79">
        <f>IFERROR(IF(ISNUMBER(INDEX(SPPR!$E:$Z,MATCH($A79,SPPR!$A:$A,0),17)),$C79*INDEX(SPPR!$E:$Z,MATCH($A79,SPPR!$A:$A,0),17),""),"")</f>
        <v/>
      </c>
      <c r="U79">
        <f>IFERROR(IF(ISNUMBER(INDEX(SPPR!$E:$Z,MATCH($A79,SPPR!$A:$A,0),18)),$C79*INDEX(SPPR!$E:$Z,MATCH($A79,SPPR!$A:$A,0),18),""),"")</f>
        <v/>
      </c>
      <c r="V79">
        <f>IFERROR(IF(ISNUMBER(INDEX(SPPR!$E:$Z,MATCH($A79,SPPR!$A:$A,0),19)),$C79*INDEX(SPPR!$E:$Z,MATCH($A79,SPPR!$A:$A,0),19),""),"")</f>
        <v/>
      </c>
      <c r="W79">
        <f>IFERROR(IF(ISNUMBER(INDEX(SPPR!$E:$Z,MATCH($A79,SPPR!$A:$A,0),20)),$C79*INDEX(SPPR!$E:$Z,MATCH($A79,SPPR!$A:$A,0),20),""),"")</f>
        <v/>
      </c>
      <c r="X79">
        <f>IFERROR(IF(ISNUMBER(INDEX(SPPR!$E:$Z,MATCH($A79,SPPR!$A:$A,0),21)),$C79*INDEX(SPPR!$E:$Z,MATCH($A79,SPPR!$A:$A,0),21),""),"")</f>
        <v/>
      </c>
      <c r="Y79">
        <f>IFERROR(IF(ISNUMBER(INDEX(SPPR!$E:$Z,MATCH($A79,SPPR!$A:$A,0),22)),$C79*INDEX(SPPR!$E:$Z,MATCH($A79,SPPR!$A:$A,0),22),""),"")</f>
        <v/>
      </c>
    </row>
    <row r="80">
      <c r="A80" t="inlineStr">
        <is>
          <t>Drepane africana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IFERROR(IF(ISNUMBER(INDEX(SPPR!$E:$Z,MATCH($A80,SPPR!$A:$A,0),1)),$C80*INDEX(SPPR!$E:$Z,MATCH($A80,SPPR!$A:$A,0),1),""),"")</f>
        <v/>
      </c>
      <c r="E80">
        <f>IFERROR(IF(ISNUMBER(INDEX(SPPR!$E:$Z,MATCH($A80,SPPR!$A:$A,0),2)),$C80*INDEX(SPPR!$E:$Z,MATCH($A80,SPPR!$A:$A,0),2),""),"")</f>
        <v/>
      </c>
      <c r="F80">
        <f>IFERROR(IF(ISNUMBER(INDEX(SPPR!$E:$Z,MATCH($A80,SPPR!$A:$A,0),3)),$C80*INDEX(SPPR!$E:$Z,MATCH($A80,SPPR!$A:$A,0),3),""),"")</f>
        <v/>
      </c>
      <c r="G80">
        <f>IFERROR(IF(ISNUMBER(INDEX(SPPR!$E:$Z,MATCH($A80,SPPR!$A:$A,0),4)),$C80*INDEX(SPPR!$E:$Z,MATCH($A80,SPPR!$A:$A,0),4),""),"")</f>
        <v/>
      </c>
      <c r="H80">
        <f>IFERROR(IF(ISNUMBER(INDEX(SPPR!$E:$Z,MATCH($A80,SPPR!$A:$A,0),5)),$C80*INDEX(SPPR!$E:$Z,MATCH($A80,SPPR!$A:$A,0),5),""),"")</f>
        <v/>
      </c>
      <c r="I80">
        <f>IFERROR(IF(ISNUMBER(INDEX(SPPR!$E:$Z,MATCH($A80,SPPR!$A:$A,0),6)),$C80*INDEX(SPPR!$E:$Z,MATCH($A80,SPPR!$A:$A,0),6),""),"")</f>
        <v/>
      </c>
      <c r="J80">
        <f>IFERROR(IF(ISNUMBER(INDEX(SPPR!$E:$Z,MATCH($A80,SPPR!$A:$A,0),7)),$C80*INDEX(SPPR!$E:$Z,MATCH($A80,SPPR!$A:$A,0),7),""),"")</f>
        <v/>
      </c>
      <c r="K80">
        <f>IFERROR(IF(ISNUMBER(INDEX(SPPR!$E:$Z,MATCH($A80,SPPR!$A:$A,0),8)),$C80*INDEX(SPPR!$E:$Z,MATCH($A80,SPPR!$A:$A,0),8),""),"")</f>
        <v/>
      </c>
      <c r="L80">
        <f>IFERROR(IF(ISNUMBER(INDEX(SPPR!$E:$Z,MATCH($A80,SPPR!$A:$A,0),9)),$C80*INDEX(SPPR!$E:$Z,MATCH($A80,SPPR!$A:$A,0),9),""),"")</f>
        <v/>
      </c>
      <c r="M80">
        <f>IFERROR(IF(ISNUMBER(INDEX(SPPR!$E:$Z,MATCH($A80,SPPR!$A:$A,0),10)),$C80*INDEX(SPPR!$E:$Z,MATCH($A80,SPPR!$A:$A,0),10),""),"")</f>
        <v/>
      </c>
      <c r="N80">
        <f>IFERROR(IF(ISNUMBER(INDEX(SPPR!$E:$Z,MATCH($A80,SPPR!$A:$A,0),11)),$C80*INDEX(SPPR!$E:$Z,MATCH($A80,SPPR!$A:$A,0),11),""),"")</f>
        <v/>
      </c>
      <c r="O80">
        <f>IFERROR(IF(ISNUMBER(INDEX(SPPR!$E:$Z,MATCH($A80,SPPR!$A:$A,0),12)),$C80*INDEX(SPPR!$E:$Z,MATCH($A80,SPPR!$A:$A,0),12),""),"")</f>
        <v/>
      </c>
      <c r="P80">
        <f>IFERROR(IF(ISNUMBER(INDEX(SPPR!$E:$Z,MATCH($A80,SPPR!$A:$A,0),13)),$C80*INDEX(SPPR!$E:$Z,MATCH($A80,SPPR!$A:$A,0),13),""),"")</f>
        <v/>
      </c>
      <c r="Q80">
        <f>IFERROR(IF(ISNUMBER(INDEX(SPPR!$E:$Z,MATCH($A80,SPPR!$A:$A,0),14)),$C80*INDEX(SPPR!$E:$Z,MATCH($A80,SPPR!$A:$A,0),14),""),"")</f>
        <v/>
      </c>
      <c r="R80">
        <f>IFERROR(IF(ISNUMBER(INDEX(SPPR!$E:$Z,MATCH($A80,SPPR!$A:$A,0),15)),$C80*INDEX(SPPR!$E:$Z,MATCH($A80,SPPR!$A:$A,0),15),""),"")</f>
        <v/>
      </c>
      <c r="S80">
        <f>IFERROR(IF(ISNUMBER(INDEX(SPPR!$E:$Z,MATCH($A80,SPPR!$A:$A,0),16)),$C80*INDEX(SPPR!$E:$Z,MATCH($A80,SPPR!$A:$A,0),16),""),"")</f>
        <v/>
      </c>
      <c r="T80">
        <f>IFERROR(IF(ISNUMBER(INDEX(SPPR!$E:$Z,MATCH($A80,SPPR!$A:$A,0),17)),$C80*INDEX(SPPR!$E:$Z,MATCH($A80,SPPR!$A:$A,0),17),""),"")</f>
        <v/>
      </c>
      <c r="U80">
        <f>IFERROR(IF(ISNUMBER(INDEX(SPPR!$E:$Z,MATCH($A80,SPPR!$A:$A,0),18)),$C80*INDEX(SPPR!$E:$Z,MATCH($A80,SPPR!$A:$A,0),18),""),"")</f>
        <v/>
      </c>
      <c r="V80">
        <f>IFERROR(IF(ISNUMBER(INDEX(SPPR!$E:$Z,MATCH($A80,SPPR!$A:$A,0),19)),$C80*INDEX(SPPR!$E:$Z,MATCH($A80,SPPR!$A:$A,0),19),""),"")</f>
        <v/>
      </c>
      <c r="W80">
        <f>IFERROR(IF(ISNUMBER(INDEX(SPPR!$E:$Z,MATCH($A80,SPPR!$A:$A,0),20)),$C80*INDEX(SPPR!$E:$Z,MATCH($A80,SPPR!$A:$A,0),20),""),"")</f>
        <v/>
      </c>
      <c r="X80">
        <f>IFERROR(IF(ISNUMBER(INDEX(SPPR!$E:$Z,MATCH($A80,SPPR!$A:$A,0),21)),$C80*INDEX(SPPR!$E:$Z,MATCH($A80,SPPR!$A:$A,0),21),""),"")</f>
        <v/>
      </c>
      <c r="Y80">
        <f>IFERROR(IF(ISNUMBER(INDEX(SPPR!$E:$Z,MATCH($A80,SPPR!$A:$A,0),22)),$C80*INDEX(SPPR!$E:$Z,MATCH($A80,SPPR!$A:$A,0),22),""),"")</f>
        <v/>
      </c>
    </row>
    <row r="81">
      <c r="A81" t="inlineStr">
        <is>
          <t>Scomber colias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IFERROR(IF(ISNUMBER(INDEX(SPPR!$E:$Z,MATCH($A81,SPPR!$A:$A,0),1)),$C81*INDEX(SPPR!$E:$Z,MATCH($A81,SPPR!$A:$A,0),1),""),"")</f>
        <v/>
      </c>
      <c r="E81">
        <f>IFERROR(IF(ISNUMBER(INDEX(SPPR!$E:$Z,MATCH($A81,SPPR!$A:$A,0),2)),$C81*INDEX(SPPR!$E:$Z,MATCH($A81,SPPR!$A:$A,0),2),""),"")</f>
        <v/>
      </c>
      <c r="F81">
        <f>IFERROR(IF(ISNUMBER(INDEX(SPPR!$E:$Z,MATCH($A81,SPPR!$A:$A,0),3)),$C81*INDEX(SPPR!$E:$Z,MATCH($A81,SPPR!$A:$A,0),3),""),"")</f>
        <v/>
      </c>
      <c r="G81">
        <f>IFERROR(IF(ISNUMBER(INDEX(SPPR!$E:$Z,MATCH($A81,SPPR!$A:$A,0),4)),$C81*INDEX(SPPR!$E:$Z,MATCH($A81,SPPR!$A:$A,0),4),""),"")</f>
        <v/>
      </c>
      <c r="H81">
        <f>IFERROR(IF(ISNUMBER(INDEX(SPPR!$E:$Z,MATCH($A81,SPPR!$A:$A,0),5)),$C81*INDEX(SPPR!$E:$Z,MATCH($A81,SPPR!$A:$A,0),5),""),"")</f>
        <v/>
      </c>
      <c r="I81">
        <f>IFERROR(IF(ISNUMBER(INDEX(SPPR!$E:$Z,MATCH($A81,SPPR!$A:$A,0),6)),$C81*INDEX(SPPR!$E:$Z,MATCH($A81,SPPR!$A:$A,0),6),""),"")</f>
        <v/>
      </c>
      <c r="J81">
        <f>IFERROR(IF(ISNUMBER(INDEX(SPPR!$E:$Z,MATCH($A81,SPPR!$A:$A,0),7)),$C81*INDEX(SPPR!$E:$Z,MATCH($A81,SPPR!$A:$A,0),7),""),"")</f>
        <v/>
      </c>
      <c r="K81">
        <f>IFERROR(IF(ISNUMBER(INDEX(SPPR!$E:$Z,MATCH($A81,SPPR!$A:$A,0),8)),$C81*INDEX(SPPR!$E:$Z,MATCH($A81,SPPR!$A:$A,0),8),""),"")</f>
        <v/>
      </c>
      <c r="L81">
        <f>IFERROR(IF(ISNUMBER(INDEX(SPPR!$E:$Z,MATCH($A81,SPPR!$A:$A,0),9)),$C81*INDEX(SPPR!$E:$Z,MATCH($A81,SPPR!$A:$A,0),9),""),"")</f>
        <v/>
      </c>
      <c r="M81">
        <f>IFERROR(IF(ISNUMBER(INDEX(SPPR!$E:$Z,MATCH($A81,SPPR!$A:$A,0),10)),$C81*INDEX(SPPR!$E:$Z,MATCH($A81,SPPR!$A:$A,0),10),""),"")</f>
        <v/>
      </c>
      <c r="N81">
        <f>IFERROR(IF(ISNUMBER(INDEX(SPPR!$E:$Z,MATCH($A81,SPPR!$A:$A,0),11)),$C81*INDEX(SPPR!$E:$Z,MATCH($A81,SPPR!$A:$A,0),11),""),"")</f>
        <v/>
      </c>
      <c r="O81">
        <f>IFERROR(IF(ISNUMBER(INDEX(SPPR!$E:$Z,MATCH($A81,SPPR!$A:$A,0),12)),$C81*INDEX(SPPR!$E:$Z,MATCH($A81,SPPR!$A:$A,0),12),""),"")</f>
        <v/>
      </c>
      <c r="P81">
        <f>IFERROR(IF(ISNUMBER(INDEX(SPPR!$E:$Z,MATCH($A81,SPPR!$A:$A,0),13)),$C81*INDEX(SPPR!$E:$Z,MATCH($A81,SPPR!$A:$A,0),13),""),"")</f>
        <v/>
      </c>
      <c r="Q81">
        <f>IFERROR(IF(ISNUMBER(INDEX(SPPR!$E:$Z,MATCH($A81,SPPR!$A:$A,0),14)),$C81*INDEX(SPPR!$E:$Z,MATCH($A81,SPPR!$A:$A,0),14),""),"")</f>
        <v/>
      </c>
      <c r="R81">
        <f>IFERROR(IF(ISNUMBER(INDEX(SPPR!$E:$Z,MATCH($A81,SPPR!$A:$A,0),15)),$C81*INDEX(SPPR!$E:$Z,MATCH($A81,SPPR!$A:$A,0),15),""),"")</f>
        <v/>
      </c>
      <c r="S81">
        <f>IFERROR(IF(ISNUMBER(INDEX(SPPR!$E:$Z,MATCH($A81,SPPR!$A:$A,0),16)),$C81*INDEX(SPPR!$E:$Z,MATCH($A81,SPPR!$A:$A,0),16),""),"")</f>
        <v/>
      </c>
      <c r="T81">
        <f>IFERROR(IF(ISNUMBER(INDEX(SPPR!$E:$Z,MATCH($A81,SPPR!$A:$A,0),17)),$C81*INDEX(SPPR!$E:$Z,MATCH($A81,SPPR!$A:$A,0),17),""),"")</f>
        <v/>
      </c>
      <c r="U81">
        <f>IFERROR(IF(ISNUMBER(INDEX(SPPR!$E:$Z,MATCH($A81,SPPR!$A:$A,0),18)),$C81*INDEX(SPPR!$E:$Z,MATCH($A81,SPPR!$A:$A,0),18),""),"")</f>
        <v/>
      </c>
      <c r="V81">
        <f>IFERROR(IF(ISNUMBER(INDEX(SPPR!$E:$Z,MATCH($A81,SPPR!$A:$A,0),19)),$C81*INDEX(SPPR!$E:$Z,MATCH($A81,SPPR!$A:$A,0),19),""),"")</f>
        <v/>
      </c>
      <c r="W81">
        <f>IFERROR(IF(ISNUMBER(INDEX(SPPR!$E:$Z,MATCH($A81,SPPR!$A:$A,0),20)),$C81*INDEX(SPPR!$E:$Z,MATCH($A81,SPPR!$A:$A,0),20),""),"")</f>
        <v/>
      </c>
      <c r="X81">
        <f>IFERROR(IF(ISNUMBER(INDEX(SPPR!$E:$Z,MATCH($A81,SPPR!$A:$A,0),21)),$C81*INDEX(SPPR!$E:$Z,MATCH($A81,SPPR!$A:$A,0),21),""),"")</f>
        <v/>
      </c>
      <c r="Y81">
        <f>IFERROR(IF(ISNUMBER(INDEX(SPPR!$E:$Z,MATCH($A81,SPPR!$A:$A,0),22)),$C81*INDEX(SPPR!$E:$Z,MATCH($A81,SPPR!$A:$A,0),22),""),"")</f>
        <v/>
      </c>
    </row>
    <row r="82">
      <c r="A82" t="inlineStr">
        <is>
          <t>Epinephelus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IFERROR(IF(ISNUMBER(INDEX(SPPR!$E:$Z,MATCH($A82,SPPR!$A:$A,0),1)),$C82*INDEX(SPPR!$E:$Z,MATCH($A82,SPPR!$A:$A,0),1),""),"")</f>
        <v/>
      </c>
      <c r="E82">
        <f>IFERROR(IF(ISNUMBER(INDEX(SPPR!$E:$Z,MATCH($A82,SPPR!$A:$A,0),2)),$C82*INDEX(SPPR!$E:$Z,MATCH($A82,SPPR!$A:$A,0),2),""),"")</f>
        <v/>
      </c>
      <c r="F82">
        <f>IFERROR(IF(ISNUMBER(INDEX(SPPR!$E:$Z,MATCH($A82,SPPR!$A:$A,0),3)),$C82*INDEX(SPPR!$E:$Z,MATCH($A82,SPPR!$A:$A,0),3),""),"")</f>
        <v/>
      </c>
      <c r="G82">
        <f>IFERROR(IF(ISNUMBER(INDEX(SPPR!$E:$Z,MATCH($A82,SPPR!$A:$A,0),4)),$C82*INDEX(SPPR!$E:$Z,MATCH($A82,SPPR!$A:$A,0),4),""),"")</f>
        <v/>
      </c>
      <c r="H82">
        <f>IFERROR(IF(ISNUMBER(INDEX(SPPR!$E:$Z,MATCH($A82,SPPR!$A:$A,0),5)),$C82*INDEX(SPPR!$E:$Z,MATCH($A82,SPPR!$A:$A,0),5),""),"")</f>
        <v/>
      </c>
      <c r="I82">
        <f>IFERROR(IF(ISNUMBER(INDEX(SPPR!$E:$Z,MATCH($A82,SPPR!$A:$A,0),6)),$C82*INDEX(SPPR!$E:$Z,MATCH($A82,SPPR!$A:$A,0),6),""),"")</f>
        <v/>
      </c>
      <c r="J82">
        <f>IFERROR(IF(ISNUMBER(INDEX(SPPR!$E:$Z,MATCH($A82,SPPR!$A:$A,0),7)),$C82*INDEX(SPPR!$E:$Z,MATCH($A82,SPPR!$A:$A,0),7),""),"")</f>
        <v/>
      </c>
      <c r="K82">
        <f>IFERROR(IF(ISNUMBER(INDEX(SPPR!$E:$Z,MATCH($A82,SPPR!$A:$A,0),8)),$C82*INDEX(SPPR!$E:$Z,MATCH($A82,SPPR!$A:$A,0),8),""),"")</f>
        <v/>
      </c>
      <c r="L82">
        <f>IFERROR(IF(ISNUMBER(INDEX(SPPR!$E:$Z,MATCH($A82,SPPR!$A:$A,0),9)),$C82*INDEX(SPPR!$E:$Z,MATCH($A82,SPPR!$A:$A,0),9),""),"")</f>
        <v/>
      </c>
      <c r="M82">
        <f>IFERROR(IF(ISNUMBER(INDEX(SPPR!$E:$Z,MATCH($A82,SPPR!$A:$A,0),10)),$C82*INDEX(SPPR!$E:$Z,MATCH($A82,SPPR!$A:$A,0),10),""),"")</f>
        <v/>
      </c>
      <c r="N82">
        <f>IFERROR(IF(ISNUMBER(INDEX(SPPR!$E:$Z,MATCH($A82,SPPR!$A:$A,0),11)),$C82*INDEX(SPPR!$E:$Z,MATCH($A82,SPPR!$A:$A,0),11),""),"")</f>
        <v/>
      </c>
      <c r="O82">
        <f>IFERROR(IF(ISNUMBER(INDEX(SPPR!$E:$Z,MATCH($A82,SPPR!$A:$A,0),12)),$C82*INDEX(SPPR!$E:$Z,MATCH($A82,SPPR!$A:$A,0),12),""),"")</f>
        <v/>
      </c>
      <c r="P82">
        <f>IFERROR(IF(ISNUMBER(INDEX(SPPR!$E:$Z,MATCH($A82,SPPR!$A:$A,0),13)),$C82*INDEX(SPPR!$E:$Z,MATCH($A82,SPPR!$A:$A,0),13),""),"")</f>
        <v/>
      </c>
      <c r="Q82">
        <f>IFERROR(IF(ISNUMBER(INDEX(SPPR!$E:$Z,MATCH($A82,SPPR!$A:$A,0),14)),$C82*INDEX(SPPR!$E:$Z,MATCH($A82,SPPR!$A:$A,0),14),""),"")</f>
        <v/>
      </c>
      <c r="R82">
        <f>IFERROR(IF(ISNUMBER(INDEX(SPPR!$E:$Z,MATCH($A82,SPPR!$A:$A,0),15)),$C82*INDEX(SPPR!$E:$Z,MATCH($A82,SPPR!$A:$A,0),15),""),"")</f>
        <v/>
      </c>
      <c r="S82">
        <f>IFERROR(IF(ISNUMBER(INDEX(SPPR!$E:$Z,MATCH($A82,SPPR!$A:$A,0),16)),$C82*INDEX(SPPR!$E:$Z,MATCH($A82,SPPR!$A:$A,0),16),""),"")</f>
        <v/>
      </c>
      <c r="T82">
        <f>IFERROR(IF(ISNUMBER(INDEX(SPPR!$E:$Z,MATCH($A82,SPPR!$A:$A,0),17)),$C82*INDEX(SPPR!$E:$Z,MATCH($A82,SPPR!$A:$A,0),17),""),"")</f>
        <v/>
      </c>
      <c r="U82">
        <f>IFERROR(IF(ISNUMBER(INDEX(SPPR!$E:$Z,MATCH($A82,SPPR!$A:$A,0),18)),$C82*INDEX(SPPR!$E:$Z,MATCH($A82,SPPR!$A:$A,0),18),""),"")</f>
        <v/>
      </c>
      <c r="V82">
        <f>IFERROR(IF(ISNUMBER(INDEX(SPPR!$E:$Z,MATCH($A82,SPPR!$A:$A,0),19)),$C82*INDEX(SPPR!$E:$Z,MATCH($A82,SPPR!$A:$A,0),19),""),"")</f>
        <v/>
      </c>
      <c r="W82">
        <f>IFERROR(IF(ISNUMBER(INDEX(SPPR!$E:$Z,MATCH($A82,SPPR!$A:$A,0),20)),$C82*INDEX(SPPR!$E:$Z,MATCH($A82,SPPR!$A:$A,0),20),""),"")</f>
        <v/>
      </c>
      <c r="X82">
        <f>IFERROR(IF(ISNUMBER(INDEX(SPPR!$E:$Z,MATCH($A82,SPPR!$A:$A,0),21)),$C82*INDEX(SPPR!$E:$Z,MATCH($A82,SPPR!$A:$A,0),21),""),"")</f>
        <v/>
      </c>
      <c r="Y82">
        <f>IFERROR(IF(ISNUMBER(INDEX(SPPR!$E:$Z,MATCH($A82,SPPR!$A:$A,0),22)),$C82*INDEX(SPPR!$E:$Z,MATCH($A82,SPPR!$A:$A,0),22),""),"")</f>
        <v/>
      </c>
    </row>
    <row r="83">
      <c r="A83" t="inlineStr">
        <is>
          <t>Trachurus trachurus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IFERROR(IF(ISNUMBER(INDEX(SPPR!$E:$Z,MATCH($A83,SPPR!$A:$A,0),1)),$C83*INDEX(SPPR!$E:$Z,MATCH($A83,SPPR!$A:$A,0),1),""),"")</f>
        <v/>
      </c>
      <c r="E83">
        <f>IFERROR(IF(ISNUMBER(INDEX(SPPR!$E:$Z,MATCH($A83,SPPR!$A:$A,0),2)),$C83*INDEX(SPPR!$E:$Z,MATCH($A83,SPPR!$A:$A,0),2),""),"")</f>
        <v/>
      </c>
      <c r="F83">
        <f>IFERROR(IF(ISNUMBER(INDEX(SPPR!$E:$Z,MATCH($A83,SPPR!$A:$A,0),3)),$C83*INDEX(SPPR!$E:$Z,MATCH($A83,SPPR!$A:$A,0),3),""),"")</f>
        <v/>
      </c>
      <c r="G83">
        <f>IFERROR(IF(ISNUMBER(INDEX(SPPR!$E:$Z,MATCH($A83,SPPR!$A:$A,0),4)),$C83*INDEX(SPPR!$E:$Z,MATCH($A83,SPPR!$A:$A,0),4),""),"")</f>
        <v/>
      </c>
      <c r="H83">
        <f>IFERROR(IF(ISNUMBER(INDEX(SPPR!$E:$Z,MATCH($A83,SPPR!$A:$A,0),5)),$C83*INDEX(SPPR!$E:$Z,MATCH($A83,SPPR!$A:$A,0),5),""),"")</f>
        <v/>
      </c>
      <c r="I83">
        <f>IFERROR(IF(ISNUMBER(INDEX(SPPR!$E:$Z,MATCH($A83,SPPR!$A:$A,0),6)),$C83*INDEX(SPPR!$E:$Z,MATCH($A83,SPPR!$A:$A,0),6),""),"")</f>
        <v/>
      </c>
      <c r="J83">
        <f>IFERROR(IF(ISNUMBER(INDEX(SPPR!$E:$Z,MATCH($A83,SPPR!$A:$A,0),7)),$C83*INDEX(SPPR!$E:$Z,MATCH($A83,SPPR!$A:$A,0),7),""),"")</f>
        <v/>
      </c>
      <c r="K83">
        <f>IFERROR(IF(ISNUMBER(INDEX(SPPR!$E:$Z,MATCH($A83,SPPR!$A:$A,0),8)),$C83*INDEX(SPPR!$E:$Z,MATCH($A83,SPPR!$A:$A,0),8),""),"")</f>
        <v/>
      </c>
      <c r="L83">
        <f>IFERROR(IF(ISNUMBER(INDEX(SPPR!$E:$Z,MATCH($A83,SPPR!$A:$A,0),9)),$C83*INDEX(SPPR!$E:$Z,MATCH($A83,SPPR!$A:$A,0),9),""),"")</f>
        <v/>
      </c>
      <c r="M83">
        <f>IFERROR(IF(ISNUMBER(INDEX(SPPR!$E:$Z,MATCH($A83,SPPR!$A:$A,0),10)),$C83*INDEX(SPPR!$E:$Z,MATCH($A83,SPPR!$A:$A,0),10),""),"")</f>
        <v/>
      </c>
      <c r="N83">
        <f>IFERROR(IF(ISNUMBER(INDEX(SPPR!$E:$Z,MATCH($A83,SPPR!$A:$A,0),11)),$C83*INDEX(SPPR!$E:$Z,MATCH($A83,SPPR!$A:$A,0),11),""),"")</f>
        <v/>
      </c>
      <c r="O83">
        <f>IFERROR(IF(ISNUMBER(INDEX(SPPR!$E:$Z,MATCH($A83,SPPR!$A:$A,0),12)),$C83*INDEX(SPPR!$E:$Z,MATCH($A83,SPPR!$A:$A,0),12),""),"")</f>
        <v/>
      </c>
      <c r="P83">
        <f>IFERROR(IF(ISNUMBER(INDEX(SPPR!$E:$Z,MATCH($A83,SPPR!$A:$A,0),13)),$C83*INDEX(SPPR!$E:$Z,MATCH($A83,SPPR!$A:$A,0),13),""),"")</f>
        <v/>
      </c>
      <c r="Q83">
        <f>IFERROR(IF(ISNUMBER(INDEX(SPPR!$E:$Z,MATCH($A83,SPPR!$A:$A,0),14)),$C83*INDEX(SPPR!$E:$Z,MATCH($A83,SPPR!$A:$A,0),14),""),"")</f>
        <v/>
      </c>
      <c r="R83">
        <f>IFERROR(IF(ISNUMBER(INDEX(SPPR!$E:$Z,MATCH($A83,SPPR!$A:$A,0),15)),$C83*INDEX(SPPR!$E:$Z,MATCH($A83,SPPR!$A:$A,0),15),""),"")</f>
        <v/>
      </c>
      <c r="S83">
        <f>IFERROR(IF(ISNUMBER(INDEX(SPPR!$E:$Z,MATCH($A83,SPPR!$A:$A,0),16)),$C83*INDEX(SPPR!$E:$Z,MATCH($A83,SPPR!$A:$A,0),16),""),"")</f>
        <v/>
      </c>
      <c r="T83">
        <f>IFERROR(IF(ISNUMBER(INDEX(SPPR!$E:$Z,MATCH($A83,SPPR!$A:$A,0),17)),$C83*INDEX(SPPR!$E:$Z,MATCH($A83,SPPR!$A:$A,0),17),""),"")</f>
        <v/>
      </c>
      <c r="U83">
        <f>IFERROR(IF(ISNUMBER(INDEX(SPPR!$E:$Z,MATCH($A83,SPPR!$A:$A,0),18)),$C83*INDEX(SPPR!$E:$Z,MATCH($A83,SPPR!$A:$A,0),18),""),"")</f>
        <v/>
      </c>
      <c r="V83">
        <f>IFERROR(IF(ISNUMBER(INDEX(SPPR!$E:$Z,MATCH($A83,SPPR!$A:$A,0),19)),$C83*INDEX(SPPR!$E:$Z,MATCH($A83,SPPR!$A:$A,0),19),""),"")</f>
        <v/>
      </c>
      <c r="W83">
        <f>IFERROR(IF(ISNUMBER(INDEX(SPPR!$E:$Z,MATCH($A83,SPPR!$A:$A,0),20)),$C83*INDEX(SPPR!$E:$Z,MATCH($A83,SPPR!$A:$A,0),20),""),"")</f>
        <v/>
      </c>
      <c r="X83">
        <f>IFERROR(IF(ISNUMBER(INDEX(SPPR!$E:$Z,MATCH($A83,SPPR!$A:$A,0),21)),$C83*INDEX(SPPR!$E:$Z,MATCH($A83,SPPR!$A:$A,0),21),""),"")</f>
        <v/>
      </c>
      <c r="Y83">
        <f>IFERROR(IF(ISNUMBER(INDEX(SPPR!$E:$Z,MATCH($A83,SPPR!$A:$A,0),22)),$C83*INDEX(SPPR!$E:$Z,MATCH($A83,SPPR!$A:$A,0),22),""),"")</f>
        <v/>
      </c>
    </row>
    <row r="84">
      <c r="A84" t="inlineStr">
        <is>
          <t>Argyrosomus regius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IFERROR(IF(ISNUMBER(INDEX(SPPR!$E:$Z,MATCH($A84,SPPR!$A:$A,0),1)),$C84*INDEX(SPPR!$E:$Z,MATCH($A84,SPPR!$A:$A,0),1),""),"")</f>
        <v/>
      </c>
      <c r="E84">
        <f>IFERROR(IF(ISNUMBER(INDEX(SPPR!$E:$Z,MATCH($A84,SPPR!$A:$A,0),2)),$C84*INDEX(SPPR!$E:$Z,MATCH($A84,SPPR!$A:$A,0),2),""),"")</f>
        <v/>
      </c>
      <c r="F84">
        <f>IFERROR(IF(ISNUMBER(INDEX(SPPR!$E:$Z,MATCH($A84,SPPR!$A:$A,0),3)),$C84*INDEX(SPPR!$E:$Z,MATCH($A84,SPPR!$A:$A,0),3),""),"")</f>
        <v/>
      </c>
      <c r="G84">
        <f>IFERROR(IF(ISNUMBER(INDEX(SPPR!$E:$Z,MATCH($A84,SPPR!$A:$A,0),4)),$C84*INDEX(SPPR!$E:$Z,MATCH($A84,SPPR!$A:$A,0),4),""),"")</f>
        <v/>
      </c>
      <c r="H84">
        <f>IFERROR(IF(ISNUMBER(INDEX(SPPR!$E:$Z,MATCH($A84,SPPR!$A:$A,0),5)),$C84*INDEX(SPPR!$E:$Z,MATCH($A84,SPPR!$A:$A,0),5),""),"")</f>
        <v/>
      </c>
      <c r="I84">
        <f>IFERROR(IF(ISNUMBER(INDEX(SPPR!$E:$Z,MATCH($A84,SPPR!$A:$A,0),6)),$C84*INDEX(SPPR!$E:$Z,MATCH($A84,SPPR!$A:$A,0),6),""),"")</f>
        <v/>
      </c>
      <c r="J84">
        <f>IFERROR(IF(ISNUMBER(INDEX(SPPR!$E:$Z,MATCH($A84,SPPR!$A:$A,0),7)),$C84*INDEX(SPPR!$E:$Z,MATCH($A84,SPPR!$A:$A,0),7),""),"")</f>
        <v/>
      </c>
      <c r="K84">
        <f>IFERROR(IF(ISNUMBER(INDEX(SPPR!$E:$Z,MATCH($A84,SPPR!$A:$A,0),8)),$C84*INDEX(SPPR!$E:$Z,MATCH($A84,SPPR!$A:$A,0),8),""),"")</f>
        <v/>
      </c>
      <c r="L84">
        <f>IFERROR(IF(ISNUMBER(INDEX(SPPR!$E:$Z,MATCH($A84,SPPR!$A:$A,0),9)),$C84*INDEX(SPPR!$E:$Z,MATCH($A84,SPPR!$A:$A,0),9),""),"")</f>
        <v/>
      </c>
      <c r="M84">
        <f>IFERROR(IF(ISNUMBER(INDEX(SPPR!$E:$Z,MATCH($A84,SPPR!$A:$A,0),10)),$C84*INDEX(SPPR!$E:$Z,MATCH($A84,SPPR!$A:$A,0),10),""),"")</f>
        <v/>
      </c>
      <c r="N84">
        <f>IFERROR(IF(ISNUMBER(INDEX(SPPR!$E:$Z,MATCH($A84,SPPR!$A:$A,0),11)),$C84*INDEX(SPPR!$E:$Z,MATCH($A84,SPPR!$A:$A,0),11),""),"")</f>
        <v/>
      </c>
      <c r="O84">
        <f>IFERROR(IF(ISNUMBER(INDEX(SPPR!$E:$Z,MATCH($A84,SPPR!$A:$A,0),12)),$C84*INDEX(SPPR!$E:$Z,MATCH($A84,SPPR!$A:$A,0),12),""),"")</f>
        <v/>
      </c>
      <c r="P84">
        <f>IFERROR(IF(ISNUMBER(INDEX(SPPR!$E:$Z,MATCH($A84,SPPR!$A:$A,0),13)),$C84*INDEX(SPPR!$E:$Z,MATCH($A84,SPPR!$A:$A,0),13),""),"")</f>
        <v/>
      </c>
      <c r="Q84">
        <f>IFERROR(IF(ISNUMBER(INDEX(SPPR!$E:$Z,MATCH($A84,SPPR!$A:$A,0),14)),$C84*INDEX(SPPR!$E:$Z,MATCH($A84,SPPR!$A:$A,0),14),""),"")</f>
        <v/>
      </c>
      <c r="R84">
        <f>IFERROR(IF(ISNUMBER(INDEX(SPPR!$E:$Z,MATCH($A84,SPPR!$A:$A,0),15)),$C84*INDEX(SPPR!$E:$Z,MATCH($A84,SPPR!$A:$A,0),15),""),"")</f>
        <v/>
      </c>
      <c r="S84">
        <f>IFERROR(IF(ISNUMBER(INDEX(SPPR!$E:$Z,MATCH($A84,SPPR!$A:$A,0),16)),$C84*INDEX(SPPR!$E:$Z,MATCH($A84,SPPR!$A:$A,0),16),""),"")</f>
        <v/>
      </c>
      <c r="T84">
        <f>IFERROR(IF(ISNUMBER(INDEX(SPPR!$E:$Z,MATCH($A84,SPPR!$A:$A,0),17)),$C84*INDEX(SPPR!$E:$Z,MATCH($A84,SPPR!$A:$A,0),17),""),"")</f>
        <v/>
      </c>
      <c r="U84">
        <f>IFERROR(IF(ISNUMBER(INDEX(SPPR!$E:$Z,MATCH($A84,SPPR!$A:$A,0),18)),$C84*INDEX(SPPR!$E:$Z,MATCH($A84,SPPR!$A:$A,0),18),""),"")</f>
        <v/>
      </c>
      <c r="V84">
        <f>IFERROR(IF(ISNUMBER(INDEX(SPPR!$E:$Z,MATCH($A84,SPPR!$A:$A,0),19)),$C84*INDEX(SPPR!$E:$Z,MATCH($A84,SPPR!$A:$A,0),19),""),"")</f>
        <v/>
      </c>
      <c r="W84">
        <f>IFERROR(IF(ISNUMBER(INDEX(SPPR!$E:$Z,MATCH($A84,SPPR!$A:$A,0),20)),$C84*INDEX(SPPR!$E:$Z,MATCH($A84,SPPR!$A:$A,0),20),""),"")</f>
        <v/>
      </c>
      <c r="X84">
        <f>IFERROR(IF(ISNUMBER(INDEX(SPPR!$E:$Z,MATCH($A84,SPPR!$A:$A,0),21)),$C84*INDEX(SPPR!$E:$Z,MATCH($A84,SPPR!$A:$A,0),21),""),"")</f>
        <v/>
      </c>
      <c r="Y84">
        <f>IFERROR(IF(ISNUMBER(INDEX(SPPR!$E:$Z,MATCH($A84,SPPR!$A:$A,0),22)),$C84*INDEX(SPPR!$E:$Z,MATCH($A84,SPPR!$A:$A,0),22),""),"")</f>
        <v/>
      </c>
    </row>
    <row r="85">
      <c r="A85" t="inlineStr">
        <is>
          <t>Scyris alexandrina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IFERROR(IF(ISNUMBER(INDEX(SPPR!$E:$Z,MATCH($A85,SPPR!$A:$A,0),1)),$C85*INDEX(SPPR!$E:$Z,MATCH($A85,SPPR!$A:$A,0),1),""),"")</f>
        <v/>
      </c>
      <c r="E85">
        <f>IFERROR(IF(ISNUMBER(INDEX(SPPR!$E:$Z,MATCH($A85,SPPR!$A:$A,0),2)),$C85*INDEX(SPPR!$E:$Z,MATCH($A85,SPPR!$A:$A,0),2),""),"")</f>
        <v/>
      </c>
      <c r="F85">
        <f>IFERROR(IF(ISNUMBER(INDEX(SPPR!$E:$Z,MATCH($A85,SPPR!$A:$A,0),3)),$C85*INDEX(SPPR!$E:$Z,MATCH($A85,SPPR!$A:$A,0),3),""),"")</f>
        <v/>
      </c>
      <c r="G85">
        <f>IFERROR(IF(ISNUMBER(INDEX(SPPR!$E:$Z,MATCH($A85,SPPR!$A:$A,0),4)),$C85*INDEX(SPPR!$E:$Z,MATCH($A85,SPPR!$A:$A,0),4),""),"")</f>
        <v/>
      </c>
      <c r="H85">
        <f>IFERROR(IF(ISNUMBER(INDEX(SPPR!$E:$Z,MATCH($A85,SPPR!$A:$A,0),5)),$C85*INDEX(SPPR!$E:$Z,MATCH($A85,SPPR!$A:$A,0),5),""),"")</f>
        <v/>
      </c>
      <c r="I85">
        <f>IFERROR(IF(ISNUMBER(INDEX(SPPR!$E:$Z,MATCH($A85,SPPR!$A:$A,0),6)),$C85*INDEX(SPPR!$E:$Z,MATCH($A85,SPPR!$A:$A,0),6),""),"")</f>
        <v/>
      </c>
      <c r="J85">
        <f>IFERROR(IF(ISNUMBER(INDEX(SPPR!$E:$Z,MATCH($A85,SPPR!$A:$A,0),7)),$C85*INDEX(SPPR!$E:$Z,MATCH($A85,SPPR!$A:$A,0),7),""),"")</f>
        <v/>
      </c>
      <c r="K85">
        <f>IFERROR(IF(ISNUMBER(INDEX(SPPR!$E:$Z,MATCH($A85,SPPR!$A:$A,0),8)),$C85*INDEX(SPPR!$E:$Z,MATCH($A85,SPPR!$A:$A,0),8),""),"")</f>
        <v/>
      </c>
      <c r="L85">
        <f>IFERROR(IF(ISNUMBER(INDEX(SPPR!$E:$Z,MATCH($A85,SPPR!$A:$A,0),9)),$C85*INDEX(SPPR!$E:$Z,MATCH($A85,SPPR!$A:$A,0),9),""),"")</f>
        <v/>
      </c>
      <c r="M85">
        <f>IFERROR(IF(ISNUMBER(INDEX(SPPR!$E:$Z,MATCH($A85,SPPR!$A:$A,0),10)),$C85*INDEX(SPPR!$E:$Z,MATCH($A85,SPPR!$A:$A,0),10),""),"")</f>
        <v/>
      </c>
      <c r="N85">
        <f>IFERROR(IF(ISNUMBER(INDEX(SPPR!$E:$Z,MATCH($A85,SPPR!$A:$A,0),11)),$C85*INDEX(SPPR!$E:$Z,MATCH($A85,SPPR!$A:$A,0),11),""),"")</f>
        <v/>
      </c>
      <c r="O85">
        <f>IFERROR(IF(ISNUMBER(INDEX(SPPR!$E:$Z,MATCH($A85,SPPR!$A:$A,0),12)),$C85*INDEX(SPPR!$E:$Z,MATCH($A85,SPPR!$A:$A,0),12),""),"")</f>
        <v/>
      </c>
      <c r="P85">
        <f>IFERROR(IF(ISNUMBER(INDEX(SPPR!$E:$Z,MATCH($A85,SPPR!$A:$A,0),13)),$C85*INDEX(SPPR!$E:$Z,MATCH($A85,SPPR!$A:$A,0),13),""),"")</f>
        <v/>
      </c>
      <c r="Q85">
        <f>IFERROR(IF(ISNUMBER(INDEX(SPPR!$E:$Z,MATCH($A85,SPPR!$A:$A,0),14)),$C85*INDEX(SPPR!$E:$Z,MATCH($A85,SPPR!$A:$A,0),14),""),"")</f>
        <v/>
      </c>
      <c r="R85">
        <f>IFERROR(IF(ISNUMBER(INDEX(SPPR!$E:$Z,MATCH($A85,SPPR!$A:$A,0),15)),$C85*INDEX(SPPR!$E:$Z,MATCH($A85,SPPR!$A:$A,0),15),""),"")</f>
        <v/>
      </c>
      <c r="S85">
        <f>IFERROR(IF(ISNUMBER(INDEX(SPPR!$E:$Z,MATCH($A85,SPPR!$A:$A,0),16)),$C85*INDEX(SPPR!$E:$Z,MATCH($A85,SPPR!$A:$A,0),16),""),"")</f>
        <v/>
      </c>
      <c r="T85">
        <f>IFERROR(IF(ISNUMBER(INDEX(SPPR!$E:$Z,MATCH($A85,SPPR!$A:$A,0),17)),$C85*INDEX(SPPR!$E:$Z,MATCH($A85,SPPR!$A:$A,0),17),""),"")</f>
        <v/>
      </c>
      <c r="U85">
        <f>IFERROR(IF(ISNUMBER(INDEX(SPPR!$E:$Z,MATCH($A85,SPPR!$A:$A,0),18)),$C85*INDEX(SPPR!$E:$Z,MATCH($A85,SPPR!$A:$A,0),18),""),"")</f>
        <v/>
      </c>
      <c r="V85">
        <f>IFERROR(IF(ISNUMBER(INDEX(SPPR!$E:$Z,MATCH($A85,SPPR!$A:$A,0),19)),$C85*INDEX(SPPR!$E:$Z,MATCH($A85,SPPR!$A:$A,0),19),""),"")</f>
        <v/>
      </c>
      <c r="W85">
        <f>IFERROR(IF(ISNUMBER(INDEX(SPPR!$E:$Z,MATCH($A85,SPPR!$A:$A,0),20)),$C85*INDEX(SPPR!$E:$Z,MATCH($A85,SPPR!$A:$A,0),20),""),"")</f>
        <v/>
      </c>
      <c r="X85">
        <f>IFERROR(IF(ISNUMBER(INDEX(SPPR!$E:$Z,MATCH($A85,SPPR!$A:$A,0),21)),$C85*INDEX(SPPR!$E:$Z,MATCH($A85,SPPR!$A:$A,0),21),""),"")</f>
        <v/>
      </c>
      <c r="Y85">
        <f>IFERROR(IF(ISNUMBER(INDEX(SPPR!$E:$Z,MATCH($A85,SPPR!$A:$A,0),22)),$C85*INDEX(SPPR!$E:$Z,MATCH($A85,SPPR!$A:$A,0),22),""),"")</f>
        <v/>
      </c>
    </row>
    <row r="86">
      <c r="A86" t="inlineStr">
        <is>
          <t>Squalidae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IFERROR(IF(ISNUMBER(INDEX(SPPR!$E:$Z,MATCH($A86,SPPR!$A:$A,0),1)),$C86*INDEX(SPPR!$E:$Z,MATCH($A86,SPPR!$A:$A,0),1),""),"")</f>
        <v/>
      </c>
      <c r="E86">
        <f>IFERROR(IF(ISNUMBER(INDEX(SPPR!$E:$Z,MATCH($A86,SPPR!$A:$A,0),2)),$C86*INDEX(SPPR!$E:$Z,MATCH($A86,SPPR!$A:$A,0),2),""),"")</f>
        <v/>
      </c>
      <c r="F86">
        <f>IFERROR(IF(ISNUMBER(INDEX(SPPR!$E:$Z,MATCH($A86,SPPR!$A:$A,0),3)),$C86*INDEX(SPPR!$E:$Z,MATCH($A86,SPPR!$A:$A,0),3),""),"")</f>
        <v/>
      </c>
      <c r="G86">
        <f>IFERROR(IF(ISNUMBER(INDEX(SPPR!$E:$Z,MATCH($A86,SPPR!$A:$A,0),4)),$C86*INDEX(SPPR!$E:$Z,MATCH($A86,SPPR!$A:$A,0),4),""),"")</f>
        <v/>
      </c>
      <c r="H86">
        <f>IFERROR(IF(ISNUMBER(INDEX(SPPR!$E:$Z,MATCH($A86,SPPR!$A:$A,0),5)),$C86*INDEX(SPPR!$E:$Z,MATCH($A86,SPPR!$A:$A,0),5),""),"")</f>
        <v/>
      </c>
      <c r="I86">
        <f>IFERROR(IF(ISNUMBER(INDEX(SPPR!$E:$Z,MATCH($A86,SPPR!$A:$A,0),6)),$C86*INDEX(SPPR!$E:$Z,MATCH($A86,SPPR!$A:$A,0),6),""),"")</f>
        <v/>
      </c>
      <c r="J86">
        <f>IFERROR(IF(ISNUMBER(INDEX(SPPR!$E:$Z,MATCH($A86,SPPR!$A:$A,0),7)),$C86*INDEX(SPPR!$E:$Z,MATCH($A86,SPPR!$A:$A,0),7),""),"")</f>
        <v/>
      </c>
      <c r="K86">
        <f>IFERROR(IF(ISNUMBER(INDEX(SPPR!$E:$Z,MATCH($A86,SPPR!$A:$A,0),8)),$C86*INDEX(SPPR!$E:$Z,MATCH($A86,SPPR!$A:$A,0),8),""),"")</f>
        <v/>
      </c>
      <c r="L86">
        <f>IFERROR(IF(ISNUMBER(INDEX(SPPR!$E:$Z,MATCH($A86,SPPR!$A:$A,0),9)),$C86*INDEX(SPPR!$E:$Z,MATCH($A86,SPPR!$A:$A,0),9),""),"")</f>
        <v/>
      </c>
      <c r="M86">
        <f>IFERROR(IF(ISNUMBER(INDEX(SPPR!$E:$Z,MATCH($A86,SPPR!$A:$A,0),10)),$C86*INDEX(SPPR!$E:$Z,MATCH($A86,SPPR!$A:$A,0),10),""),"")</f>
        <v/>
      </c>
      <c r="N86">
        <f>IFERROR(IF(ISNUMBER(INDEX(SPPR!$E:$Z,MATCH($A86,SPPR!$A:$A,0),11)),$C86*INDEX(SPPR!$E:$Z,MATCH($A86,SPPR!$A:$A,0),11),""),"")</f>
        <v/>
      </c>
      <c r="O86">
        <f>IFERROR(IF(ISNUMBER(INDEX(SPPR!$E:$Z,MATCH($A86,SPPR!$A:$A,0),12)),$C86*INDEX(SPPR!$E:$Z,MATCH($A86,SPPR!$A:$A,0),12),""),"")</f>
        <v/>
      </c>
      <c r="P86">
        <f>IFERROR(IF(ISNUMBER(INDEX(SPPR!$E:$Z,MATCH($A86,SPPR!$A:$A,0),13)),$C86*INDEX(SPPR!$E:$Z,MATCH($A86,SPPR!$A:$A,0),13),""),"")</f>
        <v/>
      </c>
      <c r="Q86">
        <f>IFERROR(IF(ISNUMBER(INDEX(SPPR!$E:$Z,MATCH($A86,SPPR!$A:$A,0),14)),$C86*INDEX(SPPR!$E:$Z,MATCH($A86,SPPR!$A:$A,0),14),""),"")</f>
        <v/>
      </c>
      <c r="R86">
        <f>IFERROR(IF(ISNUMBER(INDEX(SPPR!$E:$Z,MATCH($A86,SPPR!$A:$A,0),15)),$C86*INDEX(SPPR!$E:$Z,MATCH($A86,SPPR!$A:$A,0),15),""),"")</f>
        <v/>
      </c>
      <c r="S86">
        <f>IFERROR(IF(ISNUMBER(INDEX(SPPR!$E:$Z,MATCH($A86,SPPR!$A:$A,0),16)),$C86*INDEX(SPPR!$E:$Z,MATCH($A86,SPPR!$A:$A,0),16),""),"")</f>
        <v/>
      </c>
      <c r="T86">
        <f>IFERROR(IF(ISNUMBER(INDEX(SPPR!$E:$Z,MATCH($A86,SPPR!$A:$A,0),17)),$C86*INDEX(SPPR!$E:$Z,MATCH($A86,SPPR!$A:$A,0),17),""),"")</f>
        <v/>
      </c>
      <c r="U86">
        <f>IFERROR(IF(ISNUMBER(INDEX(SPPR!$E:$Z,MATCH($A86,SPPR!$A:$A,0),18)),$C86*INDEX(SPPR!$E:$Z,MATCH($A86,SPPR!$A:$A,0),18),""),"")</f>
        <v/>
      </c>
      <c r="V86">
        <f>IFERROR(IF(ISNUMBER(INDEX(SPPR!$E:$Z,MATCH($A86,SPPR!$A:$A,0),19)),$C86*INDEX(SPPR!$E:$Z,MATCH($A86,SPPR!$A:$A,0),19),""),"")</f>
        <v/>
      </c>
      <c r="W86">
        <f>IFERROR(IF(ISNUMBER(INDEX(SPPR!$E:$Z,MATCH($A86,SPPR!$A:$A,0),20)),$C86*INDEX(SPPR!$E:$Z,MATCH($A86,SPPR!$A:$A,0),20),""),"")</f>
        <v/>
      </c>
      <c r="X86">
        <f>IFERROR(IF(ISNUMBER(INDEX(SPPR!$E:$Z,MATCH($A86,SPPR!$A:$A,0),21)),$C86*INDEX(SPPR!$E:$Z,MATCH($A86,SPPR!$A:$A,0),21),""),"")</f>
        <v/>
      </c>
      <c r="Y86">
        <f>IFERROR(IF(ISNUMBER(INDEX(SPPR!$E:$Z,MATCH($A86,SPPR!$A:$A,0),22)),$C86*INDEX(SPPR!$E:$Z,MATCH($A86,SPPR!$A:$A,0),22),""),"")</f>
        <v/>
      </c>
    </row>
    <row r="87">
      <c r="A87" t="inlineStr">
        <is>
          <t>Scomberomorus tritor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IFERROR(IF(ISNUMBER(INDEX(SPPR!$E:$Z,MATCH($A87,SPPR!$A:$A,0),1)),$C87*INDEX(SPPR!$E:$Z,MATCH($A87,SPPR!$A:$A,0),1),""),"")</f>
        <v/>
      </c>
      <c r="E87">
        <f>IFERROR(IF(ISNUMBER(INDEX(SPPR!$E:$Z,MATCH($A87,SPPR!$A:$A,0),2)),$C87*INDEX(SPPR!$E:$Z,MATCH($A87,SPPR!$A:$A,0),2),""),"")</f>
        <v/>
      </c>
      <c r="F87">
        <f>IFERROR(IF(ISNUMBER(INDEX(SPPR!$E:$Z,MATCH($A87,SPPR!$A:$A,0),3)),$C87*INDEX(SPPR!$E:$Z,MATCH($A87,SPPR!$A:$A,0),3),""),"")</f>
        <v/>
      </c>
      <c r="G87">
        <f>IFERROR(IF(ISNUMBER(INDEX(SPPR!$E:$Z,MATCH($A87,SPPR!$A:$A,0),4)),$C87*INDEX(SPPR!$E:$Z,MATCH($A87,SPPR!$A:$A,0),4),""),"")</f>
        <v/>
      </c>
      <c r="H87">
        <f>IFERROR(IF(ISNUMBER(INDEX(SPPR!$E:$Z,MATCH($A87,SPPR!$A:$A,0),5)),$C87*INDEX(SPPR!$E:$Z,MATCH($A87,SPPR!$A:$A,0),5),""),"")</f>
        <v/>
      </c>
      <c r="I87">
        <f>IFERROR(IF(ISNUMBER(INDEX(SPPR!$E:$Z,MATCH($A87,SPPR!$A:$A,0),6)),$C87*INDEX(SPPR!$E:$Z,MATCH($A87,SPPR!$A:$A,0),6),""),"")</f>
        <v/>
      </c>
      <c r="J87">
        <f>IFERROR(IF(ISNUMBER(INDEX(SPPR!$E:$Z,MATCH($A87,SPPR!$A:$A,0),7)),$C87*INDEX(SPPR!$E:$Z,MATCH($A87,SPPR!$A:$A,0),7),""),"")</f>
        <v/>
      </c>
      <c r="K87">
        <f>IFERROR(IF(ISNUMBER(INDEX(SPPR!$E:$Z,MATCH($A87,SPPR!$A:$A,0),8)),$C87*INDEX(SPPR!$E:$Z,MATCH($A87,SPPR!$A:$A,0),8),""),"")</f>
        <v/>
      </c>
      <c r="L87">
        <f>IFERROR(IF(ISNUMBER(INDEX(SPPR!$E:$Z,MATCH($A87,SPPR!$A:$A,0),9)),$C87*INDEX(SPPR!$E:$Z,MATCH($A87,SPPR!$A:$A,0),9),""),"")</f>
        <v/>
      </c>
      <c r="M87">
        <f>IFERROR(IF(ISNUMBER(INDEX(SPPR!$E:$Z,MATCH($A87,SPPR!$A:$A,0),10)),$C87*INDEX(SPPR!$E:$Z,MATCH($A87,SPPR!$A:$A,0),10),""),"")</f>
        <v/>
      </c>
      <c r="N87">
        <f>IFERROR(IF(ISNUMBER(INDEX(SPPR!$E:$Z,MATCH($A87,SPPR!$A:$A,0),11)),$C87*INDEX(SPPR!$E:$Z,MATCH($A87,SPPR!$A:$A,0),11),""),"")</f>
        <v/>
      </c>
      <c r="O87">
        <f>IFERROR(IF(ISNUMBER(INDEX(SPPR!$E:$Z,MATCH($A87,SPPR!$A:$A,0),12)),$C87*INDEX(SPPR!$E:$Z,MATCH($A87,SPPR!$A:$A,0),12),""),"")</f>
        <v/>
      </c>
      <c r="P87">
        <f>IFERROR(IF(ISNUMBER(INDEX(SPPR!$E:$Z,MATCH($A87,SPPR!$A:$A,0),13)),$C87*INDEX(SPPR!$E:$Z,MATCH($A87,SPPR!$A:$A,0),13),""),"")</f>
        <v/>
      </c>
      <c r="Q87">
        <f>IFERROR(IF(ISNUMBER(INDEX(SPPR!$E:$Z,MATCH($A87,SPPR!$A:$A,0),14)),$C87*INDEX(SPPR!$E:$Z,MATCH($A87,SPPR!$A:$A,0),14),""),"")</f>
        <v/>
      </c>
      <c r="R87">
        <f>IFERROR(IF(ISNUMBER(INDEX(SPPR!$E:$Z,MATCH($A87,SPPR!$A:$A,0),15)),$C87*INDEX(SPPR!$E:$Z,MATCH($A87,SPPR!$A:$A,0),15),""),"")</f>
        <v/>
      </c>
      <c r="S87">
        <f>IFERROR(IF(ISNUMBER(INDEX(SPPR!$E:$Z,MATCH($A87,SPPR!$A:$A,0),16)),$C87*INDEX(SPPR!$E:$Z,MATCH($A87,SPPR!$A:$A,0),16),""),"")</f>
        <v/>
      </c>
      <c r="T87">
        <f>IFERROR(IF(ISNUMBER(INDEX(SPPR!$E:$Z,MATCH($A87,SPPR!$A:$A,0),17)),$C87*INDEX(SPPR!$E:$Z,MATCH($A87,SPPR!$A:$A,0),17),""),"")</f>
        <v/>
      </c>
      <c r="U87">
        <f>IFERROR(IF(ISNUMBER(INDEX(SPPR!$E:$Z,MATCH($A87,SPPR!$A:$A,0),18)),$C87*INDEX(SPPR!$E:$Z,MATCH($A87,SPPR!$A:$A,0),18),""),"")</f>
        <v/>
      </c>
      <c r="V87">
        <f>IFERROR(IF(ISNUMBER(INDEX(SPPR!$E:$Z,MATCH($A87,SPPR!$A:$A,0),19)),$C87*INDEX(SPPR!$E:$Z,MATCH($A87,SPPR!$A:$A,0),19),""),"")</f>
        <v/>
      </c>
      <c r="W87">
        <f>IFERROR(IF(ISNUMBER(INDEX(SPPR!$E:$Z,MATCH($A87,SPPR!$A:$A,0),20)),$C87*INDEX(SPPR!$E:$Z,MATCH($A87,SPPR!$A:$A,0),20),""),"")</f>
        <v/>
      </c>
      <c r="X87">
        <f>IFERROR(IF(ISNUMBER(INDEX(SPPR!$E:$Z,MATCH($A87,SPPR!$A:$A,0),21)),$C87*INDEX(SPPR!$E:$Z,MATCH($A87,SPPR!$A:$A,0),21),""),"")</f>
        <v/>
      </c>
      <c r="Y87">
        <f>IFERROR(IF(ISNUMBER(INDEX(SPPR!$E:$Z,MATCH($A87,SPPR!$A:$A,0),22)),$C87*INDEX(SPPR!$E:$Z,MATCH($A87,SPPR!$A:$A,0),22),""),"")</f>
        <v/>
      </c>
    </row>
    <row r="88">
      <c r="A88" t="inlineStr">
        <is>
          <t>Pagellus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IFERROR(IF(ISNUMBER(INDEX(SPPR!$E:$Z,MATCH($A88,SPPR!$A:$A,0),1)),$C88*INDEX(SPPR!$E:$Z,MATCH($A88,SPPR!$A:$A,0),1),""),"")</f>
        <v/>
      </c>
      <c r="E88">
        <f>IFERROR(IF(ISNUMBER(INDEX(SPPR!$E:$Z,MATCH($A88,SPPR!$A:$A,0),2)),$C88*INDEX(SPPR!$E:$Z,MATCH($A88,SPPR!$A:$A,0),2),""),"")</f>
        <v/>
      </c>
      <c r="F88">
        <f>IFERROR(IF(ISNUMBER(INDEX(SPPR!$E:$Z,MATCH($A88,SPPR!$A:$A,0),3)),$C88*INDEX(SPPR!$E:$Z,MATCH($A88,SPPR!$A:$A,0),3),""),"")</f>
        <v/>
      </c>
      <c r="G88">
        <f>IFERROR(IF(ISNUMBER(INDEX(SPPR!$E:$Z,MATCH($A88,SPPR!$A:$A,0),4)),$C88*INDEX(SPPR!$E:$Z,MATCH($A88,SPPR!$A:$A,0),4),""),"")</f>
        <v/>
      </c>
      <c r="H88">
        <f>IFERROR(IF(ISNUMBER(INDEX(SPPR!$E:$Z,MATCH($A88,SPPR!$A:$A,0),5)),$C88*INDEX(SPPR!$E:$Z,MATCH($A88,SPPR!$A:$A,0),5),""),"")</f>
        <v/>
      </c>
      <c r="I88">
        <f>IFERROR(IF(ISNUMBER(INDEX(SPPR!$E:$Z,MATCH($A88,SPPR!$A:$A,0),6)),$C88*INDEX(SPPR!$E:$Z,MATCH($A88,SPPR!$A:$A,0),6),""),"")</f>
        <v/>
      </c>
      <c r="J88">
        <f>IFERROR(IF(ISNUMBER(INDEX(SPPR!$E:$Z,MATCH($A88,SPPR!$A:$A,0),7)),$C88*INDEX(SPPR!$E:$Z,MATCH($A88,SPPR!$A:$A,0),7),""),"")</f>
        <v/>
      </c>
      <c r="K88">
        <f>IFERROR(IF(ISNUMBER(INDEX(SPPR!$E:$Z,MATCH($A88,SPPR!$A:$A,0),8)),$C88*INDEX(SPPR!$E:$Z,MATCH($A88,SPPR!$A:$A,0),8),""),"")</f>
        <v/>
      </c>
      <c r="L88">
        <f>IFERROR(IF(ISNUMBER(INDEX(SPPR!$E:$Z,MATCH($A88,SPPR!$A:$A,0),9)),$C88*INDEX(SPPR!$E:$Z,MATCH($A88,SPPR!$A:$A,0),9),""),"")</f>
        <v/>
      </c>
      <c r="M88">
        <f>IFERROR(IF(ISNUMBER(INDEX(SPPR!$E:$Z,MATCH($A88,SPPR!$A:$A,0),10)),$C88*INDEX(SPPR!$E:$Z,MATCH($A88,SPPR!$A:$A,0),10),""),"")</f>
        <v/>
      </c>
      <c r="N88">
        <f>IFERROR(IF(ISNUMBER(INDEX(SPPR!$E:$Z,MATCH($A88,SPPR!$A:$A,0),11)),$C88*INDEX(SPPR!$E:$Z,MATCH($A88,SPPR!$A:$A,0),11),""),"")</f>
        <v/>
      </c>
      <c r="O88">
        <f>IFERROR(IF(ISNUMBER(INDEX(SPPR!$E:$Z,MATCH($A88,SPPR!$A:$A,0),12)),$C88*INDEX(SPPR!$E:$Z,MATCH($A88,SPPR!$A:$A,0),12),""),"")</f>
        <v/>
      </c>
      <c r="P88">
        <f>IFERROR(IF(ISNUMBER(INDEX(SPPR!$E:$Z,MATCH($A88,SPPR!$A:$A,0),13)),$C88*INDEX(SPPR!$E:$Z,MATCH($A88,SPPR!$A:$A,0),13),""),"")</f>
        <v/>
      </c>
      <c r="Q88">
        <f>IFERROR(IF(ISNUMBER(INDEX(SPPR!$E:$Z,MATCH($A88,SPPR!$A:$A,0),14)),$C88*INDEX(SPPR!$E:$Z,MATCH($A88,SPPR!$A:$A,0),14),""),"")</f>
        <v/>
      </c>
      <c r="R88">
        <f>IFERROR(IF(ISNUMBER(INDEX(SPPR!$E:$Z,MATCH($A88,SPPR!$A:$A,0),15)),$C88*INDEX(SPPR!$E:$Z,MATCH($A88,SPPR!$A:$A,0),15),""),"")</f>
        <v/>
      </c>
      <c r="S88">
        <f>IFERROR(IF(ISNUMBER(INDEX(SPPR!$E:$Z,MATCH($A88,SPPR!$A:$A,0),16)),$C88*INDEX(SPPR!$E:$Z,MATCH($A88,SPPR!$A:$A,0),16),""),"")</f>
        <v/>
      </c>
      <c r="T88">
        <f>IFERROR(IF(ISNUMBER(INDEX(SPPR!$E:$Z,MATCH($A88,SPPR!$A:$A,0),17)),$C88*INDEX(SPPR!$E:$Z,MATCH($A88,SPPR!$A:$A,0),17),""),"")</f>
        <v/>
      </c>
      <c r="U88">
        <f>IFERROR(IF(ISNUMBER(INDEX(SPPR!$E:$Z,MATCH($A88,SPPR!$A:$A,0),18)),$C88*INDEX(SPPR!$E:$Z,MATCH($A88,SPPR!$A:$A,0),18),""),"")</f>
        <v/>
      </c>
      <c r="V88">
        <f>IFERROR(IF(ISNUMBER(INDEX(SPPR!$E:$Z,MATCH($A88,SPPR!$A:$A,0),19)),$C88*INDEX(SPPR!$E:$Z,MATCH($A88,SPPR!$A:$A,0),19),""),"")</f>
        <v/>
      </c>
      <c r="W88">
        <f>IFERROR(IF(ISNUMBER(INDEX(SPPR!$E:$Z,MATCH($A88,SPPR!$A:$A,0),20)),$C88*INDEX(SPPR!$E:$Z,MATCH($A88,SPPR!$A:$A,0),20),""),"")</f>
        <v/>
      </c>
      <c r="X88">
        <f>IFERROR(IF(ISNUMBER(INDEX(SPPR!$E:$Z,MATCH($A88,SPPR!$A:$A,0),21)),$C88*INDEX(SPPR!$E:$Z,MATCH($A88,SPPR!$A:$A,0),21),""),"")</f>
        <v/>
      </c>
      <c r="Y88">
        <f>IFERROR(IF(ISNUMBER(INDEX(SPPR!$E:$Z,MATCH($A88,SPPR!$A:$A,0),22)),$C88*INDEX(SPPR!$E:$Z,MATCH($A88,SPPR!$A:$A,0),22),""),"")</f>
        <v/>
      </c>
    </row>
    <row r="89">
      <c r="A89" t="inlineStr">
        <is>
          <t>Nematopalaemon hastatus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IFERROR(IF(ISNUMBER(INDEX(SPPR!$E:$Z,MATCH($A89,SPPR!$A:$A,0),1)),$C89*INDEX(SPPR!$E:$Z,MATCH($A89,SPPR!$A:$A,0),1),""),"")</f>
        <v/>
      </c>
      <c r="E89">
        <f>IFERROR(IF(ISNUMBER(INDEX(SPPR!$E:$Z,MATCH($A89,SPPR!$A:$A,0),2)),$C89*INDEX(SPPR!$E:$Z,MATCH($A89,SPPR!$A:$A,0),2),""),"")</f>
        <v/>
      </c>
      <c r="F89">
        <f>IFERROR(IF(ISNUMBER(INDEX(SPPR!$E:$Z,MATCH($A89,SPPR!$A:$A,0),3)),$C89*INDEX(SPPR!$E:$Z,MATCH($A89,SPPR!$A:$A,0),3),""),"")</f>
        <v/>
      </c>
      <c r="G89">
        <f>IFERROR(IF(ISNUMBER(INDEX(SPPR!$E:$Z,MATCH($A89,SPPR!$A:$A,0),4)),$C89*INDEX(SPPR!$E:$Z,MATCH($A89,SPPR!$A:$A,0),4),""),"")</f>
        <v/>
      </c>
      <c r="H89">
        <f>IFERROR(IF(ISNUMBER(INDEX(SPPR!$E:$Z,MATCH($A89,SPPR!$A:$A,0),5)),$C89*INDEX(SPPR!$E:$Z,MATCH($A89,SPPR!$A:$A,0),5),""),"")</f>
        <v/>
      </c>
      <c r="I89">
        <f>IFERROR(IF(ISNUMBER(INDEX(SPPR!$E:$Z,MATCH($A89,SPPR!$A:$A,0),6)),$C89*INDEX(SPPR!$E:$Z,MATCH($A89,SPPR!$A:$A,0),6),""),"")</f>
        <v/>
      </c>
      <c r="J89">
        <f>IFERROR(IF(ISNUMBER(INDEX(SPPR!$E:$Z,MATCH($A89,SPPR!$A:$A,0),7)),$C89*INDEX(SPPR!$E:$Z,MATCH($A89,SPPR!$A:$A,0),7),""),"")</f>
        <v/>
      </c>
      <c r="K89">
        <f>IFERROR(IF(ISNUMBER(INDEX(SPPR!$E:$Z,MATCH($A89,SPPR!$A:$A,0),8)),$C89*INDEX(SPPR!$E:$Z,MATCH($A89,SPPR!$A:$A,0),8),""),"")</f>
        <v/>
      </c>
      <c r="L89">
        <f>IFERROR(IF(ISNUMBER(INDEX(SPPR!$E:$Z,MATCH($A89,SPPR!$A:$A,0),9)),$C89*INDEX(SPPR!$E:$Z,MATCH($A89,SPPR!$A:$A,0),9),""),"")</f>
        <v/>
      </c>
      <c r="M89">
        <f>IFERROR(IF(ISNUMBER(INDEX(SPPR!$E:$Z,MATCH($A89,SPPR!$A:$A,0),10)),$C89*INDEX(SPPR!$E:$Z,MATCH($A89,SPPR!$A:$A,0),10),""),"")</f>
        <v/>
      </c>
      <c r="N89">
        <f>IFERROR(IF(ISNUMBER(INDEX(SPPR!$E:$Z,MATCH($A89,SPPR!$A:$A,0),11)),$C89*INDEX(SPPR!$E:$Z,MATCH($A89,SPPR!$A:$A,0),11),""),"")</f>
        <v/>
      </c>
      <c r="O89">
        <f>IFERROR(IF(ISNUMBER(INDEX(SPPR!$E:$Z,MATCH($A89,SPPR!$A:$A,0),12)),$C89*INDEX(SPPR!$E:$Z,MATCH($A89,SPPR!$A:$A,0),12),""),"")</f>
        <v/>
      </c>
      <c r="P89">
        <f>IFERROR(IF(ISNUMBER(INDEX(SPPR!$E:$Z,MATCH($A89,SPPR!$A:$A,0),13)),$C89*INDEX(SPPR!$E:$Z,MATCH($A89,SPPR!$A:$A,0),13),""),"")</f>
        <v/>
      </c>
      <c r="Q89">
        <f>IFERROR(IF(ISNUMBER(INDEX(SPPR!$E:$Z,MATCH($A89,SPPR!$A:$A,0),14)),$C89*INDEX(SPPR!$E:$Z,MATCH($A89,SPPR!$A:$A,0),14),""),"")</f>
        <v/>
      </c>
      <c r="R89">
        <f>IFERROR(IF(ISNUMBER(INDEX(SPPR!$E:$Z,MATCH($A89,SPPR!$A:$A,0),15)),$C89*INDEX(SPPR!$E:$Z,MATCH($A89,SPPR!$A:$A,0),15),""),"")</f>
        <v/>
      </c>
      <c r="S89">
        <f>IFERROR(IF(ISNUMBER(INDEX(SPPR!$E:$Z,MATCH($A89,SPPR!$A:$A,0),16)),$C89*INDEX(SPPR!$E:$Z,MATCH($A89,SPPR!$A:$A,0),16),""),"")</f>
        <v/>
      </c>
      <c r="T89">
        <f>IFERROR(IF(ISNUMBER(INDEX(SPPR!$E:$Z,MATCH($A89,SPPR!$A:$A,0),17)),$C89*INDEX(SPPR!$E:$Z,MATCH($A89,SPPR!$A:$A,0),17),""),"")</f>
        <v/>
      </c>
      <c r="U89">
        <f>IFERROR(IF(ISNUMBER(INDEX(SPPR!$E:$Z,MATCH($A89,SPPR!$A:$A,0),18)),$C89*INDEX(SPPR!$E:$Z,MATCH($A89,SPPR!$A:$A,0),18),""),"")</f>
        <v/>
      </c>
      <c r="V89">
        <f>IFERROR(IF(ISNUMBER(INDEX(SPPR!$E:$Z,MATCH($A89,SPPR!$A:$A,0),19)),$C89*INDEX(SPPR!$E:$Z,MATCH($A89,SPPR!$A:$A,0),19),""),"")</f>
        <v/>
      </c>
      <c r="W89">
        <f>IFERROR(IF(ISNUMBER(INDEX(SPPR!$E:$Z,MATCH($A89,SPPR!$A:$A,0),20)),$C89*INDEX(SPPR!$E:$Z,MATCH($A89,SPPR!$A:$A,0),20),""),"")</f>
        <v/>
      </c>
      <c r="X89">
        <f>IFERROR(IF(ISNUMBER(INDEX(SPPR!$E:$Z,MATCH($A89,SPPR!$A:$A,0),21)),$C89*INDEX(SPPR!$E:$Z,MATCH($A89,SPPR!$A:$A,0),21),""),"")</f>
        <v/>
      </c>
      <c r="Y89">
        <f>IFERROR(IF(ISNUMBER(INDEX(SPPR!$E:$Z,MATCH($A89,SPPR!$A:$A,0),22)),$C89*INDEX(SPPR!$E:$Z,MATCH($A89,SPPR!$A:$A,0),22),""),"")</f>
        <v/>
      </c>
    </row>
    <row r="90">
      <c r="A90" t="inlineStr">
        <is>
          <t>Selene dorsalis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IFERROR(IF(ISNUMBER(INDEX(SPPR!$E:$Z,MATCH($A90,SPPR!$A:$A,0),1)),$C90*INDEX(SPPR!$E:$Z,MATCH($A90,SPPR!$A:$A,0),1),""),"")</f>
        <v/>
      </c>
      <c r="E90">
        <f>IFERROR(IF(ISNUMBER(INDEX(SPPR!$E:$Z,MATCH($A90,SPPR!$A:$A,0),2)),$C90*INDEX(SPPR!$E:$Z,MATCH($A90,SPPR!$A:$A,0),2),""),"")</f>
        <v/>
      </c>
      <c r="F90">
        <f>IFERROR(IF(ISNUMBER(INDEX(SPPR!$E:$Z,MATCH($A90,SPPR!$A:$A,0),3)),$C90*INDEX(SPPR!$E:$Z,MATCH($A90,SPPR!$A:$A,0),3),""),"")</f>
        <v/>
      </c>
      <c r="G90">
        <f>IFERROR(IF(ISNUMBER(INDEX(SPPR!$E:$Z,MATCH($A90,SPPR!$A:$A,0),4)),$C90*INDEX(SPPR!$E:$Z,MATCH($A90,SPPR!$A:$A,0),4),""),"")</f>
        <v/>
      </c>
      <c r="H90">
        <f>IFERROR(IF(ISNUMBER(INDEX(SPPR!$E:$Z,MATCH($A90,SPPR!$A:$A,0),5)),$C90*INDEX(SPPR!$E:$Z,MATCH($A90,SPPR!$A:$A,0),5),""),"")</f>
        <v/>
      </c>
      <c r="I90">
        <f>IFERROR(IF(ISNUMBER(INDEX(SPPR!$E:$Z,MATCH($A90,SPPR!$A:$A,0),6)),$C90*INDEX(SPPR!$E:$Z,MATCH($A90,SPPR!$A:$A,0),6),""),"")</f>
        <v/>
      </c>
      <c r="J90">
        <f>IFERROR(IF(ISNUMBER(INDEX(SPPR!$E:$Z,MATCH($A90,SPPR!$A:$A,0),7)),$C90*INDEX(SPPR!$E:$Z,MATCH($A90,SPPR!$A:$A,0),7),""),"")</f>
        <v/>
      </c>
      <c r="K90">
        <f>IFERROR(IF(ISNUMBER(INDEX(SPPR!$E:$Z,MATCH($A90,SPPR!$A:$A,0),8)),$C90*INDEX(SPPR!$E:$Z,MATCH($A90,SPPR!$A:$A,0),8),""),"")</f>
        <v/>
      </c>
      <c r="L90">
        <f>IFERROR(IF(ISNUMBER(INDEX(SPPR!$E:$Z,MATCH($A90,SPPR!$A:$A,0),9)),$C90*INDEX(SPPR!$E:$Z,MATCH($A90,SPPR!$A:$A,0),9),""),"")</f>
        <v/>
      </c>
      <c r="M90">
        <f>IFERROR(IF(ISNUMBER(INDEX(SPPR!$E:$Z,MATCH($A90,SPPR!$A:$A,0),10)),$C90*INDEX(SPPR!$E:$Z,MATCH($A90,SPPR!$A:$A,0),10),""),"")</f>
        <v/>
      </c>
      <c r="N90">
        <f>IFERROR(IF(ISNUMBER(INDEX(SPPR!$E:$Z,MATCH($A90,SPPR!$A:$A,0),11)),$C90*INDEX(SPPR!$E:$Z,MATCH($A90,SPPR!$A:$A,0),11),""),"")</f>
        <v/>
      </c>
      <c r="O90">
        <f>IFERROR(IF(ISNUMBER(INDEX(SPPR!$E:$Z,MATCH($A90,SPPR!$A:$A,0),12)),$C90*INDEX(SPPR!$E:$Z,MATCH($A90,SPPR!$A:$A,0),12),""),"")</f>
        <v/>
      </c>
      <c r="P90">
        <f>IFERROR(IF(ISNUMBER(INDEX(SPPR!$E:$Z,MATCH($A90,SPPR!$A:$A,0),13)),$C90*INDEX(SPPR!$E:$Z,MATCH($A90,SPPR!$A:$A,0),13),""),"")</f>
        <v/>
      </c>
      <c r="Q90">
        <f>IFERROR(IF(ISNUMBER(INDEX(SPPR!$E:$Z,MATCH($A90,SPPR!$A:$A,0),14)),$C90*INDEX(SPPR!$E:$Z,MATCH($A90,SPPR!$A:$A,0),14),""),"")</f>
        <v/>
      </c>
      <c r="R90">
        <f>IFERROR(IF(ISNUMBER(INDEX(SPPR!$E:$Z,MATCH($A90,SPPR!$A:$A,0),15)),$C90*INDEX(SPPR!$E:$Z,MATCH($A90,SPPR!$A:$A,0),15),""),"")</f>
        <v/>
      </c>
      <c r="S90">
        <f>IFERROR(IF(ISNUMBER(INDEX(SPPR!$E:$Z,MATCH($A90,SPPR!$A:$A,0),16)),$C90*INDEX(SPPR!$E:$Z,MATCH($A90,SPPR!$A:$A,0),16),""),"")</f>
        <v/>
      </c>
      <c r="T90">
        <f>IFERROR(IF(ISNUMBER(INDEX(SPPR!$E:$Z,MATCH($A90,SPPR!$A:$A,0),17)),$C90*INDEX(SPPR!$E:$Z,MATCH($A90,SPPR!$A:$A,0),17),""),"")</f>
        <v/>
      </c>
      <c r="U90">
        <f>IFERROR(IF(ISNUMBER(INDEX(SPPR!$E:$Z,MATCH($A90,SPPR!$A:$A,0),18)),$C90*INDEX(SPPR!$E:$Z,MATCH($A90,SPPR!$A:$A,0),18),""),"")</f>
        <v/>
      </c>
      <c r="V90">
        <f>IFERROR(IF(ISNUMBER(INDEX(SPPR!$E:$Z,MATCH($A90,SPPR!$A:$A,0),19)),$C90*INDEX(SPPR!$E:$Z,MATCH($A90,SPPR!$A:$A,0),19),""),"")</f>
        <v/>
      </c>
      <c r="W90">
        <f>IFERROR(IF(ISNUMBER(INDEX(SPPR!$E:$Z,MATCH($A90,SPPR!$A:$A,0),20)),$C90*INDEX(SPPR!$E:$Z,MATCH($A90,SPPR!$A:$A,0),20),""),"")</f>
        <v/>
      </c>
      <c r="X90">
        <f>IFERROR(IF(ISNUMBER(INDEX(SPPR!$E:$Z,MATCH($A90,SPPR!$A:$A,0),21)),$C90*INDEX(SPPR!$E:$Z,MATCH($A90,SPPR!$A:$A,0),21),""),"")</f>
        <v/>
      </c>
      <c r="Y90">
        <f>IFERROR(IF(ISNUMBER(INDEX(SPPR!$E:$Z,MATCH($A90,SPPR!$A:$A,0),22)),$C90*INDEX(SPPR!$E:$Z,MATCH($A90,SPPR!$A:$A,0),22),""),"")</f>
        <v/>
      </c>
    </row>
    <row r="91">
      <c r="A91" t="inlineStr">
        <is>
          <t>Trachinotus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IFERROR(IF(ISNUMBER(INDEX(SPPR!$E:$Z,MATCH($A91,SPPR!$A:$A,0),1)),$C91*INDEX(SPPR!$E:$Z,MATCH($A91,SPPR!$A:$A,0),1),""),"")</f>
        <v/>
      </c>
      <c r="E91">
        <f>IFERROR(IF(ISNUMBER(INDEX(SPPR!$E:$Z,MATCH($A91,SPPR!$A:$A,0),2)),$C91*INDEX(SPPR!$E:$Z,MATCH($A91,SPPR!$A:$A,0),2),""),"")</f>
        <v/>
      </c>
      <c r="F91">
        <f>IFERROR(IF(ISNUMBER(INDEX(SPPR!$E:$Z,MATCH($A91,SPPR!$A:$A,0),3)),$C91*INDEX(SPPR!$E:$Z,MATCH($A91,SPPR!$A:$A,0),3),""),"")</f>
        <v/>
      </c>
      <c r="G91">
        <f>IFERROR(IF(ISNUMBER(INDEX(SPPR!$E:$Z,MATCH($A91,SPPR!$A:$A,0),4)),$C91*INDEX(SPPR!$E:$Z,MATCH($A91,SPPR!$A:$A,0),4),""),"")</f>
        <v/>
      </c>
      <c r="H91">
        <f>IFERROR(IF(ISNUMBER(INDEX(SPPR!$E:$Z,MATCH($A91,SPPR!$A:$A,0),5)),$C91*INDEX(SPPR!$E:$Z,MATCH($A91,SPPR!$A:$A,0),5),""),"")</f>
        <v/>
      </c>
      <c r="I91">
        <f>IFERROR(IF(ISNUMBER(INDEX(SPPR!$E:$Z,MATCH($A91,SPPR!$A:$A,0),6)),$C91*INDEX(SPPR!$E:$Z,MATCH($A91,SPPR!$A:$A,0),6),""),"")</f>
        <v/>
      </c>
      <c r="J91">
        <f>IFERROR(IF(ISNUMBER(INDEX(SPPR!$E:$Z,MATCH($A91,SPPR!$A:$A,0),7)),$C91*INDEX(SPPR!$E:$Z,MATCH($A91,SPPR!$A:$A,0),7),""),"")</f>
        <v/>
      </c>
      <c r="K91">
        <f>IFERROR(IF(ISNUMBER(INDEX(SPPR!$E:$Z,MATCH($A91,SPPR!$A:$A,0),8)),$C91*INDEX(SPPR!$E:$Z,MATCH($A91,SPPR!$A:$A,0),8),""),"")</f>
        <v/>
      </c>
      <c r="L91">
        <f>IFERROR(IF(ISNUMBER(INDEX(SPPR!$E:$Z,MATCH($A91,SPPR!$A:$A,0),9)),$C91*INDEX(SPPR!$E:$Z,MATCH($A91,SPPR!$A:$A,0),9),""),"")</f>
        <v/>
      </c>
      <c r="M91">
        <f>IFERROR(IF(ISNUMBER(INDEX(SPPR!$E:$Z,MATCH($A91,SPPR!$A:$A,0),10)),$C91*INDEX(SPPR!$E:$Z,MATCH($A91,SPPR!$A:$A,0),10),""),"")</f>
        <v/>
      </c>
      <c r="N91">
        <f>IFERROR(IF(ISNUMBER(INDEX(SPPR!$E:$Z,MATCH($A91,SPPR!$A:$A,0),11)),$C91*INDEX(SPPR!$E:$Z,MATCH($A91,SPPR!$A:$A,0),11),""),"")</f>
        <v/>
      </c>
      <c r="O91">
        <f>IFERROR(IF(ISNUMBER(INDEX(SPPR!$E:$Z,MATCH($A91,SPPR!$A:$A,0),12)),$C91*INDEX(SPPR!$E:$Z,MATCH($A91,SPPR!$A:$A,0),12),""),"")</f>
        <v/>
      </c>
      <c r="P91">
        <f>IFERROR(IF(ISNUMBER(INDEX(SPPR!$E:$Z,MATCH($A91,SPPR!$A:$A,0),13)),$C91*INDEX(SPPR!$E:$Z,MATCH($A91,SPPR!$A:$A,0),13),""),"")</f>
        <v/>
      </c>
      <c r="Q91">
        <f>IFERROR(IF(ISNUMBER(INDEX(SPPR!$E:$Z,MATCH($A91,SPPR!$A:$A,0),14)),$C91*INDEX(SPPR!$E:$Z,MATCH($A91,SPPR!$A:$A,0),14),""),"")</f>
        <v/>
      </c>
      <c r="R91">
        <f>IFERROR(IF(ISNUMBER(INDEX(SPPR!$E:$Z,MATCH($A91,SPPR!$A:$A,0),15)),$C91*INDEX(SPPR!$E:$Z,MATCH($A91,SPPR!$A:$A,0),15),""),"")</f>
        <v/>
      </c>
      <c r="S91">
        <f>IFERROR(IF(ISNUMBER(INDEX(SPPR!$E:$Z,MATCH($A91,SPPR!$A:$A,0),16)),$C91*INDEX(SPPR!$E:$Z,MATCH($A91,SPPR!$A:$A,0),16),""),"")</f>
        <v/>
      </c>
      <c r="T91">
        <f>IFERROR(IF(ISNUMBER(INDEX(SPPR!$E:$Z,MATCH($A91,SPPR!$A:$A,0),17)),$C91*INDEX(SPPR!$E:$Z,MATCH($A91,SPPR!$A:$A,0),17),""),"")</f>
        <v/>
      </c>
      <c r="U91">
        <f>IFERROR(IF(ISNUMBER(INDEX(SPPR!$E:$Z,MATCH($A91,SPPR!$A:$A,0),18)),$C91*INDEX(SPPR!$E:$Z,MATCH($A91,SPPR!$A:$A,0),18),""),"")</f>
        <v/>
      </c>
      <c r="V91">
        <f>IFERROR(IF(ISNUMBER(INDEX(SPPR!$E:$Z,MATCH($A91,SPPR!$A:$A,0),19)),$C91*INDEX(SPPR!$E:$Z,MATCH($A91,SPPR!$A:$A,0),19),""),"")</f>
        <v/>
      </c>
      <c r="W91">
        <f>IFERROR(IF(ISNUMBER(INDEX(SPPR!$E:$Z,MATCH($A91,SPPR!$A:$A,0),20)),$C91*INDEX(SPPR!$E:$Z,MATCH($A91,SPPR!$A:$A,0),20),""),"")</f>
        <v/>
      </c>
      <c r="X91">
        <f>IFERROR(IF(ISNUMBER(INDEX(SPPR!$E:$Z,MATCH($A91,SPPR!$A:$A,0),21)),$C91*INDEX(SPPR!$E:$Z,MATCH($A91,SPPR!$A:$A,0),21),""),"")</f>
        <v/>
      </c>
      <c r="Y91">
        <f>IFERROR(IF(ISNUMBER(INDEX(SPPR!$E:$Z,MATCH($A91,SPPR!$A:$A,0),22)),$C91*INDEX(SPPR!$E:$Z,MATCH($A91,SPPR!$A:$A,0),22),""),"")</f>
        <v/>
      </c>
    </row>
    <row r="92">
      <c r="A92" t="inlineStr">
        <is>
          <t>Balistes capriscus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IFERROR(IF(ISNUMBER(INDEX(SPPR!$E:$Z,MATCH($A92,SPPR!$A:$A,0),1)),$C92*INDEX(SPPR!$E:$Z,MATCH($A92,SPPR!$A:$A,0),1),""),"")</f>
        <v/>
      </c>
      <c r="E92">
        <f>IFERROR(IF(ISNUMBER(INDEX(SPPR!$E:$Z,MATCH($A92,SPPR!$A:$A,0),2)),$C92*INDEX(SPPR!$E:$Z,MATCH($A92,SPPR!$A:$A,0),2),""),"")</f>
        <v/>
      </c>
      <c r="F92">
        <f>IFERROR(IF(ISNUMBER(INDEX(SPPR!$E:$Z,MATCH($A92,SPPR!$A:$A,0),3)),$C92*INDEX(SPPR!$E:$Z,MATCH($A92,SPPR!$A:$A,0),3),""),"")</f>
        <v/>
      </c>
      <c r="G92">
        <f>IFERROR(IF(ISNUMBER(INDEX(SPPR!$E:$Z,MATCH($A92,SPPR!$A:$A,0),4)),$C92*INDEX(SPPR!$E:$Z,MATCH($A92,SPPR!$A:$A,0),4),""),"")</f>
        <v/>
      </c>
      <c r="H92">
        <f>IFERROR(IF(ISNUMBER(INDEX(SPPR!$E:$Z,MATCH($A92,SPPR!$A:$A,0),5)),$C92*INDEX(SPPR!$E:$Z,MATCH($A92,SPPR!$A:$A,0),5),""),"")</f>
        <v/>
      </c>
      <c r="I92">
        <f>IFERROR(IF(ISNUMBER(INDEX(SPPR!$E:$Z,MATCH($A92,SPPR!$A:$A,0),6)),$C92*INDEX(SPPR!$E:$Z,MATCH($A92,SPPR!$A:$A,0),6),""),"")</f>
        <v/>
      </c>
      <c r="J92">
        <f>IFERROR(IF(ISNUMBER(INDEX(SPPR!$E:$Z,MATCH($A92,SPPR!$A:$A,0),7)),$C92*INDEX(SPPR!$E:$Z,MATCH($A92,SPPR!$A:$A,0),7),""),"")</f>
        <v/>
      </c>
      <c r="K92">
        <f>IFERROR(IF(ISNUMBER(INDEX(SPPR!$E:$Z,MATCH($A92,SPPR!$A:$A,0),8)),$C92*INDEX(SPPR!$E:$Z,MATCH($A92,SPPR!$A:$A,0),8),""),"")</f>
        <v/>
      </c>
      <c r="L92">
        <f>IFERROR(IF(ISNUMBER(INDEX(SPPR!$E:$Z,MATCH($A92,SPPR!$A:$A,0),9)),$C92*INDEX(SPPR!$E:$Z,MATCH($A92,SPPR!$A:$A,0),9),""),"")</f>
        <v/>
      </c>
      <c r="M92">
        <f>IFERROR(IF(ISNUMBER(INDEX(SPPR!$E:$Z,MATCH($A92,SPPR!$A:$A,0),10)),$C92*INDEX(SPPR!$E:$Z,MATCH($A92,SPPR!$A:$A,0),10),""),"")</f>
        <v/>
      </c>
      <c r="N92">
        <f>IFERROR(IF(ISNUMBER(INDEX(SPPR!$E:$Z,MATCH($A92,SPPR!$A:$A,0),11)),$C92*INDEX(SPPR!$E:$Z,MATCH($A92,SPPR!$A:$A,0),11),""),"")</f>
        <v/>
      </c>
      <c r="O92">
        <f>IFERROR(IF(ISNUMBER(INDEX(SPPR!$E:$Z,MATCH($A92,SPPR!$A:$A,0),12)),$C92*INDEX(SPPR!$E:$Z,MATCH($A92,SPPR!$A:$A,0),12),""),"")</f>
        <v/>
      </c>
      <c r="P92">
        <f>IFERROR(IF(ISNUMBER(INDEX(SPPR!$E:$Z,MATCH($A92,SPPR!$A:$A,0),13)),$C92*INDEX(SPPR!$E:$Z,MATCH($A92,SPPR!$A:$A,0),13),""),"")</f>
        <v/>
      </c>
      <c r="Q92">
        <f>IFERROR(IF(ISNUMBER(INDEX(SPPR!$E:$Z,MATCH($A92,SPPR!$A:$A,0),14)),$C92*INDEX(SPPR!$E:$Z,MATCH($A92,SPPR!$A:$A,0),14),""),"")</f>
        <v/>
      </c>
      <c r="R92">
        <f>IFERROR(IF(ISNUMBER(INDEX(SPPR!$E:$Z,MATCH($A92,SPPR!$A:$A,0),15)),$C92*INDEX(SPPR!$E:$Z,MATCH($A92,SPPR!$A:$A,0),15),""),"")</f>
        <v/>
      </c>
      <c r="S92">
        <f>IFERROR(IF(ISNUMBER(INDEX(SPPR!$E:$Z,MATCH($A92,SPPR!$A:$A,0),16)),$C92*INDEX(SPPR!$E:$Z,MATCH($A92,SPPR!$A:$A,0),16),""),"")</f>
        <v/>
      </c>
      <c r="T92">
        <f>IFERROR(IF(ISNUMBER(INDEX(SPPR!$E:$Z,MATCH($A92,SPPR!$A:$A,0),17)),$C92*INDEX(SPPR!$E:$Z,MATCH($A92,SPPR!$A:$A,0),17),""),"")</f>
        <v/>
      </c>
      <c r="U92">
        <f>IFERROR(IF(ISNUMBER(INDEX(SPPR!$E:$Z,MATCH($A92,SPPR!$A:$A,0),18)),$C92*INDEX(SPPR!$E:$Z,MATCH($A92,SPPR!$A:$A,0),18),""),"")</f>
        <v/>
      </c>
      <c r="V92">
        <f>IFERROR(IF(ISNUMBER(INDEX(SPPR!$E:$Z,MATCH($A92,SPPR!$A:$A,0),19)),$C92*INDEX(SPPR!$E:$Z,MATCH($A92,SPPR!$A:$A,0),19),""),"")</f>
        <v/>
      </c>
      <c r="W92">
        <f>IFERROR(IF(ISNUMBER(INDEX(SPPR!$E:$Z,MATCH($A92,SPPR!$A:$A,0),20)),$C92*INDEX(SPPR!$E:$Z,MATCH($A92,SPPR!$A:$A,0),20),""),"")</f>
        <v/>
      </c>
      <c r="X92">
        <f>IFERROR(IF(ISNUMBER(INDEX(SPPR!$E:$Z,MATCH($A92,SPPR!$A:$A,0),21)),$C92*INDEX(SPPR!$E:$Z,MATCH($A92,SPPR!$A:$A,0),21),""),"")</f>
        <v/>
      </c>
      <c r="Y92">
        <f>IFERROR(IF(ISNUMBER(INDEX(SPPR!$E:$Z,MATCH($A92,SPPR!$A:$A,0),22)),$C92*INDEX(SPPR!$E:$Z,MATCH($A92,SPPR!$A:$A,0),22),""),"")</f>
        <v/>
      </c>
    </row>
    <row r="93">
      <c r="A93" t="inlineStr">
        <is>
          <t>Pseudupeneus prayensis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IFERROR(IF(ISNUMBER(INDEX(SPPR!$E:$Z,MATCH($A93,SPPR!$A:$A,0),1)),$C93*INDEX(SPPR!$E:$Z,MATCH($A93,SPPR!$A:$A,0),1),""),"")</f>
        <v/>
      </c>
      <c r="E93">
        <f>IFERROR(IF(ISNUMBER(INDEX(SPPR!$E:$Z,MATCH($A93,SPPR!$A:$A,0),2)),$C93*INDEX(SPPR!$E:$Z,MATCH($A93,SPPR!$A:$A,0),2),""),"")</f>
        <v/>
      </c>
      <c r="F93">
        <f>IFERROR(IF(ISNUMBER(INDEX(SPPR!$E:$Z,MATCH($A93,SPPR!$A:$A,0),3)),$C93*INDEX(SPPR!$E:$Z,MATCH($A93,SPPR!$A:$A,0),3),""),"")</f>
        <v/>
      </c>
      <c r="G93">
        <f>IFERROR(IF(ISNUMBER(INDEX(SPPR!$E:$Z,MATCH($A93,SPPR!$A:$A,0),4)),$C93*INDEX(SPPR!$E:$Z,MATCH($A93,SPPR!$A:$A,0),4),""),"")</f>
        <v/>
      </c>
      <c r="H93">
        <f>IFERROR(IF(ISNUMBER(INDEX(SPPR!$E:$Z,MATCH($A93,SPPR!$A:$A,0),5)),$C93*INDEX(SPPR!$E:$Z,MATCH($A93,SPPR!$A:$A,0),5),""),"")</f>
        <v/>
      </c>
      <c r="I93">
        <f>IFERROR(IF(ISNUMBER(INDEX(SPPR!$E:$Z,MATCH($A93,SPPR!$A:$A,0),6)),$C93*INDEX(SPPR!$E:$Z,MATCH($A93,SPPR!$A:$A,0),6),""),"")</f>
        <v/>
      </c>
      <c r="J93">
        <f>IFERROR(IF(ISNUMBER(INDEX(SPPR!$E:$Z,MATCH($A93,SPPR!$A:$A,0),7)),$C93*INDEX(SPPR!$E:$Z,MATCH($A93,SPPR!$A:$A,0),7),""),"")</f>
        <v/>
      </c>
      <c r="K93">
        <f>IFERROR(IF(ISNUMBER(INDEX(SPPR!$E:$Z,MATCH($A93,SPPR!$A:$A,0),8)),$C93*INDEX(SPPR!$E:$Z,MATCH($A93,SPPR!$A:$A,0),8),""),"")</f>
        <v/>
      </c>
      <c r="L93">
        <f>IFERROR(IF(ISNUMBER(INDEX(SPPR!$E:$Z,MATCH($A93,SPPR!$A:$A,0),9)),$C93*INDEX(SPPR!$E:$Z,MATCH($A93,SPPR!$A:$A,0),9),""),"")</f>
        <v/>
      </c>
      <c r="M93">
        <f>IFERROR(IF(ISNUMBER(INDEX(SPPR!$E:$Z,MATCH($A93,SPPR!$A:$A,0),10)),$C93*INDEX(SPPR!$E:$Z,MATCH($A93,SPPR!$A:$A,0),10),""),"")</f>
        <v/>
      </c>
      <c r="N93">
        <f>IFERROR(IF(ISNUMBER(INDEX(SPPR!$E:$Z,MATCH($A93,SPPR!$A:$A,0),11)),$C93*INDEX(SPPR!$E:$Z,MATCH($A93,SPPR!$A:$A,0),11),""),"")</f>
        <v/>
      </c>
      <c r="O93">
        <f>IFERROR(IF(ISNUMBER(INDEX(SPPR!$E:$Z,MATCH($A93,SPPR!$A:$A,0),12)),$C93*INDEX(SPPR!$E:$Z,MATCH($A93,SPPR!$A:$A,0),12),""),"")</f>
        <v/>
      </c>
      <c r="P93">
        <f>IFERROR(IF(ISNUMBER(INDEX(SPPR!$E:$Z,MATCH($A93,SPPR!$A:$A,0),13)),$C93*INDEX(SPPR!$E:$Z,MATCH($A93,SPPR!$A:$A,0),13),""),"")</f>
        <v/>
      </c>
      <c r="Q93">
        <f>IFERROR(IF(ISNUMBER(INDEX(SPPR!$E:$Z,MATCH($A93,SPPR!$A:$A,0),14)),$C93*INDEX(SPPR!$E:$Z,MATCH($A93,SPPR!$A:$A,0),14),""),"")</f>
        <v/>
      </c>
      <c r="R93">
        <f>IFERROR(IF(ISNUMBER(INDEX(SPPR!$E:$Z,MATCH($A93,SPPR!$A:$A,0),15)),$C93*INDEX(SPPR!$E:$Z,MATCH($A93,SPPR!$A:$A,0),15),""),"")</f>
        <v/>
      </c>
      <c r="S93">
        <f>IFERROR(IF(ISNUMBER(INDEX(SPPR!$E:$Z,MATCH($A93,SPPR!$A:$A,0),16)),$C93*INDEX(SPPR!$E:$Z,MATCH($A93,SPPR!$A:$A,0),16),""),"")</f>
        <v/>
      </c>
      <c r="T93">
        <f>IFERROR(IF(ISNUMBER(INDEX(SPPR!$E:$Z,MATCH($A93,SPPR!$A:$A,0),17)),$C93*INDEX(SPPR!$E:$Z,MATCH($A93,SPPR!$A:$A,0),17),""),"")</f>
        <v/>
      </c>
      <c r="U93">
        <f>IFERROR(IF(ISNUMBER(INDEX(SPPR!$E:$Z,MATCH($A93,SPPR!$A:$A,0),18)),$C93*INDEX(SPPR!$E:$Z,MATCH($A93,SPPR!$A:$A,0),18),""),"")</f>
        <v/>
      </c>
      <c r="V93">
        <f>IFERROR(IF(ISNUMBER(INDEX(SPPR!$E:$Z,MATCH($A93,SPPR!$A:$A,0),19)),$C93*INDEX(SPPR!$E:$Z,MATCH($A93,SPPR!$A:$A,0),19),""),"")</f>
        <v/>
      </c>
      <c r="W93">
        <f>IFERROR(IF(ISNUMBER(INDEX(SPPR!$E:$Z,MATCH($A93,SPPR!$A:$A,0),20)),$C93*INDEX(SPPR!$E:$Z,MATCH($A93,SPPR!$A:$A,0),20),""),"")</f>
        <v/>
      </c>
      <c r="X93">
        <f>IFERROR(IF(ISNUMBER(INDEX(SPPR!$E:$Z,MATCH($A93,SPPR!$A:$A,0),21)),$C93*INDEX(SPPR!$E:$Z,MATCH($A93,SPPR!$A:$A,0),21),""),"")</f>
        <v/>
      </c>
      <c r="Y93">
        <f>IFERROR(IF(ISNUMBER(INDEX(SPPR!$E:$Z,MATCH($A93,SPPR!$A:$A,0),22)),$C93*INDEX(SPPR!$E:$Z,MATCH($A93,SPPR!$A:$A,0),22),""),"")</f>
        <v/>
      </c>
    </row>
    <row r="94">
      <c r="A94" t="inlineStr">
        <is>
          <t>Prionace glauca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IFERROR(IF(ISNUMBER(INDEX(SPPR!$E:$Z,MATCH($A94,SPPR!$A:$A,0),1)),$C94*INDEX(SPPR!$E:$Z,MATCH($A94,SPPR!$A:$A,0),1),""),"")</f>
        <v/>
      </c>
      <c r="E94">
        <f>IFERROR(IF(ISNUMBER(INDEX(SPPR!$E:$Z,MATCH($A94,SPPR!$A:$A,0),2)),$C94*INDEX(SPPR!$E:$Z,MATCH($A94,SPPR!$A:$A,0),2),""),"")</f>
        <v/>
      </c>
      <c r="F94">
        <f>IFERROR(IF(ISNUMBER(INDEX(SPPR!$E:$Z,MATCH($A94,SPPR!$A:$A,0),3)),$C94*INDEX(SPPR!$E:$Z,MATCH($A94,SPPR!$A:$A,0),3),""),"")</f>
        <v/>
      </c>
      <c r="G94">
        <f>IFERROR(IF(ISNUMBER(INDEX(SPPR!$E:$Z,MATCH($A94,SPPR!$A:$A,0),4)),$C94*INDEX(SPPR!$E:$Z,MATCH($A94,SPPR!$A:$A,0),4),""),"")</f>
        <v/>
      </c>
      <c r="H94">
        <f>IFERROR(IF(ISNUMBER(INDEX(SPPR!$E:$Z,MATCH($A94,SPPR!$A:$A,0),5)),$C94*INDEX(SPPR!$E:$Z,MATCH($A94,SPPR!$A:$A,0),5),""),"")</f>
        <v/>
      </c>
      <c r="I94">
        <f>IFERROR(IF(ISNUMBER(INDEX(SPPR!$E:$Z,MATCH($A94,SPPR!$A:$A,0),6)),$C94*INDEX(SPPR!$E:$Z,MATCH($A94,SPPR!$A:$A,0),6),""),"")</f>
        <v/>
      </c>
      <c r="J94">
        <f>IFERROR(IF(ISNUMBER(INDEX(SPPR!$E:$Z,MATCH($A94,SPPR!$A:$A,0),7)),$C94*INDEX(SPPR!$E:$Z,MATCH($A94,SPPR!$A:$A,0),7),""),"")</f>
        <v/>
      </c>
      <c r="K94">
        <f>IFERROR(IF(ISNUMBER(INDEX(SPPR!$E:$Z,MATCH($A94,SPPR!$A:$A,0),8)),$C94*INDEX(SPPR!$E:$Z,MATCH($A94,SPPR!$A:$A,0),8),""),"")</f>
        <v/>
      </c>
      <c r="L94">
        <f>IFERROR(IF(ISNUMBER(INDEX(SPPR!$E:$Z,MATCH($A94,SPPR!$A:$A,0),9)),$C94*INDEX(SPPR!$E:$Z,MATCH($A94,SPPR!$A:$A,0),9),""),"")</f>
        <v/>
      </c>
      <c r="M94">
        <f>IFERROR(IF(ISNUMBER(INDEX(SPPR!$E:$Z,MATCH($A94,SPPR!$A:$A,0),10)),$C94*INDEX(SPPR!$E:$Z,MATCH($A94,SPPR!$A:$A,0),10),""),"")</f>
        <v/>
      </c>
      <c r="N94">
        <f>IFERROR(IF(ISNUMBER(INDEX(SPPR!$E:$Z,MATCH($A94,SPPR!$A:$A,0),11)),$C94*INDEX(SPPR!$E:$Z,MATCH($A94,SPPR!$A:$A,0),11),""),"")</f>
        <v/>
      </c>
      <c r="O94">
        <f>IFERROR(IF(ISNUMBER(INDEX(SPPR!$E:$Z,MATCH($A94,SPPR!$A:$A,0),12)),$C94*INDEX(SPPR!$E:$Z,MATCH($A94,SPPR!$A:$A,0),12),""),"")</f>
        <v/>
      </c>
      <c r="P94">
        <f>IFERROR(IF(ISNUMBER(INDEX(SPPR!$E:$Z,MATCH($A94,SPPR!$A:$A,0),13)),$C94*INDEX(SPPR!$E:$Z,MATCH($A94,SPPR!$A:$A,0),13),""),"")</f>
        <v/>
      </c>
      <c r="Q94">
        <f>IFERROR(IF(ISNUMBER(INDEX(SPPR!$E:$Z,MATCH($A94,SPPR!$A:$A,0),14)),$C94*INDEX(SPPR!$E:$Z,MATCH($A94,SPPR!$A:$A,0),14),""),"")</f>
        <v/>
      </c>
      <c r="R94">
        <f>IFERROR(IF(ISNUMBER(INDEX(SPPR!$E:$Z,MATCH($A94,SPPR!$A:$A,0),15)),$C94*INDEX(SPPR!$E:$Z,MATCH($A94,SPPR!$A:$A,0),15),""),"")</f>
        <v/>
      </c>
      <c r="S94">
        <f>IFERROR(IF(ISNUMBER(INDEX(SPPR!$E:$Z,MATCH($A94,SPPR!$A:$A,0),16)),$C94*INDEX(SPPR!$E:$Z,MATCH($A94,SPPR!$A:$A,0),16),""),"")</f>
        <v/>
      </c>
      <c r="T94">
        <f>IFERROR(IF(ISNUMBER(INDEX(SPPR!$E:$Z,MATCH($A94,SPPR!$A:$A,0),17)),$C94*INDEX(SPPR!$E:$Z,MATCH($A94,SPPR!$A:$A,0),17),""),"")</f>
        <v/>
      </c>
      <c r="U94">
        <f>IFERROR(IF(ISNUMBER(INDEX(SPPR!$E:$Z,MATCH($A94,SPPR!$A:$A,0),18)),$C94*INDEX(SPPR!$E:$Z,MATCH($A94,SPPR!$A:$A,0),18),""),"")</f>
        <v/>
      </c>
      <c r="V94">
        <f>IFERROR(IF(ISNUMBER(INDEX(SPPR!$E:$Z,MATCH($A94,SPPR!$A:$A,0),19)),$C94*INDEX(SPPR!$E:$Z,MATCH($A94,SPPR!$A:$A,0),19),""),"")</f>
        <v/>
      </c>
      <c r="W94">
        <f>IFERROR(IF(ISNUMBER(INDEX(SPPR!$E:$Z,MATCH($A94,SPPR!$A:$A,0),20)),$C94*INDEX(SPPR!$E:$Z,MATCH($A94,SPPR!$A:$A,0),20),""),"")</f>
        <v/>
      </c>
      <c r="X94">
        <f>IFERROR(IF(ISNUMBER(INDEX(SPPR!$E:$Z,MATCH($A94,SPPR!$A:$A,0),21)),$C94*INDEX(SPPR!$E:$Z,MATCH($A94,SPPR!$A:$A,0),21),""),"")</f>
        <v/>
      </c>
      <c r="Y94">
        <f>IFERROR(IF(ISNUMBER(INDEX(SPPR!$E:$Z,MATCH($A94,SPPR!$A:$A,0),22)),$C94*INDEX(SPPR!$E:$Z,MATCH($A94,SPPR!$A:$A,0),22),""),"")</f>
        <v/>
      </c>
    </row>
    <row r="95">
      <c r="A95" t="inlineStr">
        <is>
          <t>Thunnus thynnus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IFERROR(IF(ISNUMBER(INDEX(SPPR!$E:$Z,MATCH($A95,SPPR!$A:$A,0),1)),$C95*INDEX(SPPR!$E:$Z,MATCH($A95,SPPR!$A:$A,0),1),""),"")</f>
        <v/>
      </c>
      <c r="E95">
        <f>IFERROR(IF(ISNUMBER(INDEX(SPPR!$E:$Z,MATCH($A95,SPPR!$A:$A,0),2)),$C95*INDEX(SPPR!$E:$Z,MATCH($A95,SPPR!$A:$A,0),2),""),"")</f>
        <v/>
      </c>
      <c r="F95">
        <f>IFERROR(IF(ISNUMBER(INDEX(SPPR!$E:$Z,MATCH($A95,SPPR!$A:$A,0),3)),$C95*INDEX(SPPR!$E:$Z,MATCH($A95,SPPR!$A:$A,0),3),""),"")</f>
        <v/>
      </c>
      <c r="G95">
        <f>IFERROR(IF(ISNUMBER(INDEX(SPPR!$E:$Z,MATCH($A95,SPPR!$A:$A,0),4)),$C95*INDEX(SPPR!$E:$Z,MATCH($A95,SPPR!$A:$A,0),4),""),"")</f>
        <v/>
      </c>
      <c r="H95">
        <f>IFERROR(IF(ISNUMBER(INDEX(SPPR!$E:$Z,MATCH($A95,SPPR!$A:$A,0),5)),$C95*INDEX(SPPR!$E:$Z,MATCH($A95,SPPR!$A:$A,0),5),""),"")</f>
        <v/>
      </c>
      <c r="I95">
        <f>IFERROR(IF(ISNUMBER(INDEX(SPPR!$E:$Z,MATCH($A95,SPPR!$A:$A,0),6)),$C95*INDEX(SPPR!$E:$Z,MATCH($A95,SPPR!$A:$A,0),6),""),"")</f>
        <v/>
      </c>
      <c r="J95">
        <f>IFERROR(IF(ISNUMBER(INDEX(SPPR!$E:$Z,MATCH($A95,SPPR!$A:$A,0),7)),$C95*INDEX(SPPR!$E:$Z,MATCH($A95,SPPR!$A:$A,0),7),""),"")</f>
        <v/>
      </c>
      <c r="K95">
        <f>IFERROR(IF(ISNUMBER(INDEX(SPPR!$E:$Z,MATCH($A95,SPPR!$A:$A,0),8)),$C95*INDEX(SPPR!$E:$Z,MATCH($A95,SPPR!$A:$A,0),8),""),"")</f>
        <v/>
      </c>
      <c r="L95">
        <f>IFERROR(IF(ISNUMBER(INDEX(SPPR!$E:$Z,MATCH($A95,SPPR!$A:$A,0),9)),$C95*INDEX(SPPR!$E:$Z,MATCH($A95,SPPR!$A:$A,0),9),""),"")</f>
        <v/>
      </c>
      <c r="M95">
        <f>IFERROR(IF(ISNUMBER(INDEX(SPPR!$E:$Z,MATCH($A95,SPPR!$A:$A,0),10)),$C95*INDEX(SPPR!$E:$Z,MATCH($A95,SPPR!$A:$A,0),10),""),"")</f>
        <v/>
      </c>
      <c r="N95">
        <f>IFERROR(IF(ISNUMBER(INDEX(SPPR!$E:$Z,MATCH($A95,SPPR!$A:$A,0),11)),$C95*INDEX(SPPR!$E:$Z,MATCH($A95,SPPR!$A:$A,0),11),""),"")</f>
        <v/>
      </c>
      <c r="O95">
        <f>IFERROR(IF(ISNUMBER(INDEX(SPPR!$E:$Z,MATCH($A95,SPPR!$A:$A,0),12)),$C95*INDEX(SPPR!$E:$Z,MATCH($A95,SPPR!$A:$A,0),12),""),"")</f>
        <v/>
      </c>
      <c r="P95">
        <f>IFERROR(IF(ISNUMBER(INDEX(SPPR!$E:$Z,MATCH($A95,SPPR!$A:$A,0),13)),$C95*INDEX(SPPR!$E:$Z,MATCH($A95,SPPR!$A:$A,0),13),""),"")</f>
        <v/>
      </c>
      <c r="Q95">
        <f>IFERROR(IF(ISNUMBER(INDEX(SPPR!$E:$Z,MATCH($A95,SPPR!$A:$A,0),14)),$C95*INDEX(SPPR!$E:$Z,MATCH($A95,SPPR!$A:$A,0),14),""),"")</f>
        <v/>
      </c>
      <c r="R95">
        <f>IFERROR(IF(ISNUMBER(INDEX(SPPR!$E:$Z,MATCH($A95,SPPR!$A:$A,0),15)),$C95*INDEX(SPPR!$E:$Z,MATCH($A95,SPPR!$A:$A,0),15),""),"")</f>
        <v/>
      </c>
      <c r="S95">
        <f>IFERROR(IF(ISNUMBER(INDEX(SPPR!$E:$Z,MATCH($A95,SPPR!$A:$A,0),16)),$C95*INDEX(SPPR!$E:$Z,MATCH($A95,SPPR!$A:$A,0),16),""),"")</f>
        <v/>
      </c>
      <c r="T95">
        <f>IFERROR(IF(ISNUMBER(INDEX(SPPR!$E:$Z,MATCH($A95,SPPR!$A:$A,0),17)),$C95*INDEX(SPPR!$E:$Z,MATCH($A95,SPPR!$A:$A,0),17),""),"")</f>
        <v/>
      </c>
      <c r="U95">
        <f>IFERROR(IF(ISNUMBER(INDEX(SPPR!$E:$Z,MATCH($A95,SPPR!$A:$A,0),18)),$C95*INDEX(SPPR!$E:$Z,MATCH($A95,SPPR!$A:$A,0),18),""),"")</f>
        <v/>
      </c>
      <c r="V95">
        <f>IFERROR(IF(ISNUMBER(INDEX(SPPR!$E:$Z,MATCH($A95,SPPR!$A:$A,0),19)),$C95*INDEX(SPPR!$E:$Z,MATCH($A95,SPPR!$A:$A,0),19),""),"")</f>
        <v/>
      </c>
      <c r="W95">
        <f>IFERROR(IF(ISNUMBER(INDEX(SPPR!$E:$Z,MATCH($A95,SPPR!$A:$A,0),20)),$C95*INDEX(SPPR!$E:$Z,MATCH($A95,SPPR!$A:$A,0),20),""),"")</f>
        <v/>
      </c>
      <c r="X95">
        <f>IFERROR(IF(ISNUMBER(INDEX(SPPR!$E:$Z,MATCH($A95,SPPR!$A:$A,0),21)),$C95*INDEX(SPPR!$E:$Z,MATCH($A95,SPPR!$A:$A,0),21),""),"")</f>
        <v/>
      </c>
      <c r="Y95">
        <f>IFERROR(IF(ISNUMBER(INDEX(SPPR!$E:$Z,MATCH($A95,SPPR!$A:$A,0),22)),$C95*INDEX(SPPR!$E:$Z,MATCH($A95,SPPR!$A:$A,0),22),""),"")</f>
        <v/>
      </c>
    </row>
    <row r="96">
      <c r="A96" t="inlineStr">
        <is>
          <t>Thunnus alalunga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IFERROR(IF(ISNUMBER(INDEX(SPPR!$E:$Z,MATCH($A96,SPPR!$A:$A,0),1)),$C96*INDEX(SPPR!$E:$Z,MATCH($A96,SPPR!$A:$A,0),1),""),"")</f>
        <v/>
      </c>
      <c r="E96">
        <f>IFERROR(IF(ISNUMBER(INDEX(SPPR!$E:$Z,MATCH($A96,SPPR!$A:$A,0),2)),$C96*INDEX(SPPR!$E:$Z,MATCH($A96,SPPR!$A:$A,0),2),""),"")</f>
        <v/>
      </c>
      <c r="F96">
        <f>IFERROR(IF(ISNUMBER(INDEX(SPPR!$E:$Z,MATCH($A96,SPPR!$A:$A,0),3)),$C96*INDEX(SPPR!$E:$Z,MATCH($A96,SPPR!$A:$A,0),3),""),"")</f>
        <v/>
      </c>
      <c r="G96">
        <f>IFERROR(IF(ISNUMBER(INDEX(SPPR!$E:$Z,MATCH($A96,SPPR!$A:$A,0),4)),$C96*INDEX(SPPR!$E:$Z,MATCH($A96,SPPR!$A:$A,0),4),""),"")</f>
        <v/>
      </c>
      <c r="H96">
        <f>IFERROR(IF(ISNUMBER(INDEX(SPPR!$E:$Z,MATCH($A96,SPPR!$A:$A,0),5)),$C96*INDEX(SPPR!$E:$Z,MATCH($A96,SPPR!$A:$A,0),5),""),"")</f>
        <v/>
      </c>
      <c r="I96">
        <f>IFERROR(IF(ISNUMBER(INDEX(SPPR!$E:$Z,MATCH($A96,SPPR!$A:$A,0),6)),$C96*INDEX(SPPR!$E:$Z,MATCH($A96,SPPR!$A:$A,0),6),""),"")</f>
        <v/>
      </c>
      <c r="J96">
        <f>IFERROR(IF(ISNUMBER(INDEX(SPPR!$E:$Z,MATCH($A96,SPPR!$A:$A,0),7)),$C96*INDEX(SPPR!$E:$Z,MATCH($A96,SPPR!$A:$A,0),7),""),"")</f>
        <v/>
      </c>
      <c r="K96">
        <f>IFERROR(IF(ISNUMBER(INDEX(SPPR!$E:$Z,MATCH($A96,SPPR!$A:$A,0),8)),$C96*INDEX(SPPR!$E:$Z,MATCH($A96,SPPR!$A:$A,0),8),""),"")</f>
        <v/>
      </c>
      <c r="L96">
        <f>IFERROR(IF(ISNUMBER(INDEX(SPPR!$E:$Z,MATCH($A96,SPPR!$A:$A,0),9)),$C96*INDEX(SPPR!$E:$Z,MATCH($A96,SPPR!$A:$A,0),9),""),"")</f>
        <v/>
      </c>
      <c r="M96">
        <f>IFERROR(IF(ISNUMBER(INDEX(SPPR!$E:$Z,MATCH($A96,SPPR!$A:$A,0),10)),$C96*INDEX(SPPR!$E:$Z,MATCH($A96,SPPR!$A:$A,0),10),""),"")</f>
        <v/>
      </c>
      <c r="N96">
        <f>IFERROR(IF(ISNUMBER(INDEX(SPPR!$E:$Z,MATCH($A96,SPPR!$A:$A,0),11)),$C96*INDEX(SPPR!$E:$Z,MATCH($A96,SPPR!$A:$A,0),11),""),"")</f>
        <v/>
      </c>
      <c r="O96">
        <f>IFERROR(IF(ISNUMBER(INDEX(SPPR!$E:$Z,MATCH($A96,SPPR!$A:$A,0),12)),$C96*INDEX(SPPR!$E:$Z,MATCH($A96,SPPR!$A:$A,0),12),""),"")</f>
        <v/>
      </c>
      <c r="P96">
        <f>IFERROR(IF(ISNUMBER(INDEX(SPPR!$E:$Z,MATCH($A96,SPPR!$A:$A,0),13)),$C96*INDEX(SPPR!$E:$Z,MATCH($A96,SPPR!$A:$A,0),13),""),"")</f>
        <v/>
      </c>
      <c r="Q96">
        <f>IFERROR(IF(ISNUMBER(INDEX(SPPR!$E:$Z,MATCH($A96,SPPR!$A:$A,0),14)),$C96*INDEX(SPPR!$E:$Z,MATCH($A96,SPPR!$A:$A,0),14),""),"")</f>
        <v/>
      </c>
      <c r="R96">
        <f>IFERROR(IF(ISNUMBER(INDEX(SPPR!$E:$Z,MATCH($A96,SPPR!$A:$A,0),15)),$C96*INDEX(SPPR!$E:$Z,MATCH($A96,SPPR!$A:$A,0),15),""),"")</f>
        <v/>
      </c>
      <c r="S96">
        <f>IFERROR(IF(ISNUMBER(INDEX(SPPR!$E:$Z,MATCH($A96,SPPR!$A:$A,0),16)),$C96*INDEX(SPPR!$E:$Z,MATCH($A96,SPPR!$A:$A,0),16),""),"")</f>
        <v/>
      </c>
      <c r="T96">
        <f>IFERROR(IF(ISNUMBER(INDEX(SPPR!$E:$Z,MATCH($A96,SPPR!$A:$A,0),17)),$C96*INDEX(SPPR!$E:$Z,MATCH($A96,SPPR!$A:$A,0),17),""),"")</f>
        <v/>
      </c>
      <c r="U96">
        <f>IFERROR(IF(ISNUMBER(INDEX(SPPR!$E:$Z,MATCH($A96,SPPR!$A:$A,0),18)),$C96*INDEX(SPPR!$E:$Z,MATCH($A96,SPPR!$A:$A,0),18),""),"")</f>
        <v/>
      </c>
      <c r="V96">
        <f>IFERROR(IF(ISNUMBER(INDEX(SPPR!$E:$Z,MATCH($A96,SPPR!$A:$A,0),19)),$C96*INDEX(SPPR!$E:$Z,MATCH($A96,SPPR!$A:$A,0),19),""),"")</f>
        <v/>
      </c>
      <c r="W96">
        <f>IFERROR(IF(ISNUMBER(INDEX(SPPR!$E:$Z,MATCH($A96,SPPR!$A:$A,0),20)),$C96*INDEX(SPPR!$E:$Z,MATCH($A96,SPPR!$A:$A,0),20),""),"")</f>
        <v/>
      </c>
      <c r="X96">
        <f>IFERROR(IF(ISNUMBER(INDEX(SPPR!$E:$Z,MATCH($A96,SPPR!$A:$A,0),21)),$C96*INDEX(SPPR!$E:$Z,MATCH($A96,SPPR!$A:$A,0),21),""),"")</f>
        <v/>
      </c>
      <c r="Y96">
        <f>IFERROR(IF(ISNUMBER(INDEX(SPPR!$E:$Z,MATCH($A96,SPPR!$A:$A,0),22)),$C96*INDEX(SPPR!$E:$Z,MATCH($A96,SPPR!$A:$A,0),22),""),"")</f>
        <v/>
      </c>
    </row>
    <row r="97">
      <c r="A97" t="inlineStr">
        <is>
          <t>Sepiida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IFERROR(IF(ISNUMBER(INDEX(SPPR!$E:$Z,MATCH($A97,SPPR!$A:$A,0),1)),$C97*INDEX(SPPR!$E:$Z,MATCH($A97,SPPR!$A:$A,0),1),""),"")</f>
        <v/>
      </c>
      <c r="E97">
        <f>IFERROR(IF(ISNUMBER(INDEX(SPPR!$E:$Z,MATCH($A97,SPPR!$A:$A,0),2)),$C97*INDEX(SPPR!$E:$Z,MATCH($A97,SPPR!$A:$A,0),2),""),"")</f>
        <v/>
      </c>
      <c r="F97">
        <f>IFERROR(IF(ISNUMBER(INDEX(SPPR!$E:$Z,MATCH($A97,SPPR!$A:$A,0),3)),$C97*INDEX(SPPR!$E:$Z,MATCH($A97,SPPR!$A:$A,0),3),""),"")</f>
        <v/>
      </c>
      <c r="G97">
        <f>IFERROR(IF(ISNUMBER(INDEX(SPPR!$E:$Z,MATCH($A97,SPPR!$A:$A,0),4)),$C97*INDEX(SPPR!$E:$Z,MATCH($A97,SPPR!$A:$A,0),4),""),"")</f>
        <v/>
      </c>
      <c r="H97">
        <f>IFERROR(IF(ISNUMBER(INDEX(SPPR!$E:$Z,MATCH($A97,SPPR!$A:$A,0),5)),$C97*INDEX(SPPR!$E:$Z,MATCH($A97,SPPR!$A:$A,0),5),""),"")</f>
        <v/>
      </c>
      <c r="I97">
        <f>IFERROR(IF(ISNUMBER(INDEX(SPPR!$E:$Z,MATCH($A97,SPPR!$A:$A,0),6)),$C97*INDEX(SPPR!$E:$Z,MATCH($A97,SPPR!$A:$A,0),6),""),"")</f>
        <v/>
      </c>
      <c r="J97">
        <f>IFERROR(IF(ISNUMBER(INDEX(SPPR!$E:$Z,MATCH($A97,SPPR!$A:$A,0),7)),$C97*INDEX(SPPR!$E:$Z,MATCH($A97,SPPR!$A:$A,0),7),""),"")</f>
        <v/>
      </c>
      <c r="K97">
        <f>IFERROR(IF(ISNUMBER(INDEX(SPPR!$E:$Z,MATCH($A97,SPPR!$A:$A,0),8)),$C97*INDEX(SPPR!$E:$Z,MATCH($A97,SPPR!$A:$A,0),8),""),"")</f>
        <v/>
      </c>
      <c r="L97">
        <f>IFERROR(IF(ISNUMBER(INDEX(SPPR!$E:$Z,MATCH($A97,SPPR!$A:$A,0),9)),$C97*INDEX(SPPR!$E:$Z,MATCH($A97,SPPR!$A:$A,0),9),""),"")</f>
        <v/>
      </c>
      <c r="M97">
        <f>IFERROR(IF(ISNUMBER(INDEX(SPPR!$E:$Z,MATCH($A97,SPPR!$A:$A,0),10)),$C97*INDEX(SPPR!$E:$Z,MATCH($A97,SPPR!$A:$A,0),10),""),"")</f>
        <v/>
      </c>
      <c r="N97">
        <f>IFERROR(IF(ISNUMBER(INDEX(SPPR!$E:$Z,MATCH($A97,SPPR!$A:$A,0),11)),$C97*INDEX(SPPR!$E:$Z,MATCH($A97,SPPR!$A:$A,0),11),""),"")</f>
        <v/>
      </c>
      <c r="O97">
        <f>IFERROR(IF(ISNUMBER(INDEX(SPPR!$E:$Z,MATCH($A97,SPPR!$A:$A,0),12)),$C97*INDEX(SPPR!$E:$Z,MATCH($A97,SPPR!$A:$A,0),12),""),"")</f>
        <v/>
      </c>
      <c r="P97">
        <f>IFERROR(IF(ISNUMBER(INDEX(SPPR!$E:$Z,MATCH($A97,SPPR!$A:$A,0),13)),$C97*INDEX(SPPR!$E:$Z,MATCH($A97,SPPR!$A:$A,0),13),""),"")</f>
        <v/>
      </c>
      <c r="Q97">
        <f>IFERROR(IF(ISNUMBER(INDEX(SPPR!$E:$Z,MATCH($A97,SPPR!$A:$A,0),14)),$C97*INDEX(SPPR!$E:$Z,MATCH($A97,SPPR!$A:$A,0),14),""),"")</f>
        <v/>
      </c>
      <c r="R97">
        <f>IFERROR(IF(ISNUMBER(INDEX(SPPR!$E:$Z,MATCH($A97,SPPR!$A:$A,0),15)),$C97*INDEX(SPPR!$E:$Z,MATCH($A97,SPPR!$A:$A,0),15),""),"")</f>
        <v/>
      </c>
      <c r="S97">
        <f>IFERROR(IF(ISNUMBER(INDEX(SPPR!$E:$Z,MATCH($A97,SPPR!$A:$A,0),16)),$C97*INDEX(SPPR!$E:$Z,MATCH($A97,SPPR!$A:$A,0),16),""),"")</f>
        <v/>
      </c>
      <c r="T97">
        <f>IFERROR(IF(ISNUMBER(INDEX(SPPR!$E:$Z,MATCH($A97,SPPR!$A:$A,0),17)),$C97*INDEX(SPPR!$E:$Z,MATCH($A97,SPPR!$A:$A,0),17),""),"")</f>
        <v/>
      </c>
      <c r="U97">
        <f>IFERROR(IF(ISNUMBER(INDEX(SPPR!$E:$Z,MATCH($A97,SPPR!$A:$A,0),18)),$C97*INDEX(SPPR!$E:$Z,MATCH($A97,SPPR!$A:$A,0),18),""),"")</f>
        <v/>
      </c>
      <c r="V97">
        <f>IFERROR(IF(ISNUMBER(INDEX(SPPR!$E:$Z,MATCH($A97,SPPR!$A:$A,0),19)),$C97*INDEX(SPPR!$E:$Z,MATCH($A97,SPPR!$A:$A,0),19),""),"")</f>
        <v/>
      </c>
      <c r="W97">
        <f>IFERROR(IF(ISNUMBER(INDEX(SPPR!$E:$Z,MATCH($A97,SPPR!$A:$A,0),20)),$C97*INDEX(SPPR!$E:$Z,MATCH($A97,SPPR!$A:$A,0),20),""),"")</f>
        <v/>
      </c>
      <c r="X97">
        <f>IFERROR(IF(ISNUMBER(INDEX(SPPR!$E:$Z,MATCH($A97,SPPR!$A:$A,0),21)),$C97*INDEX(SPPR!$E:$Z,MATCH($A97,SPPR!$A:$A,0),21),""),"")</f>
        <v/>
      </c>
      <c r="Y97">
        <f>IFERROR(IF(ISNUMBER(INDEX(SPPR!$E:$Z,MATCH($A97,SPPR!$A:$A,0),22)),$C97*INDEX(SPPR!$E:$Z,MATCH($A97,SPPR!$A:$A,0),22),""),"")</f>
        <v/>
      </c>
    </row>
    <row r="98">
      <c r="A98" t="inlineStr">
        <is>
          <t>Octopoda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IFERROR(IF(ISNUMBER(INDEX(SPPR!$E:$Z,MATCH($A98,SPPR!$A:$A,0),1)),$C98*INDEX(SPPR!$E:$Z,MATCH($A98,SPPR!$A:$A,0),1),""),"")</f>
        <v/>
      </c>
      <c r="E98">
        <f>IFERROR(IF(ISNUMBER(INDEX(SPPR!$E:$Z,MATCH($A98,SPPR!$A:$A,0),2)),$C98*INDEX(SPPR!$E:$Z,MATCH($A98,SPPR!$A:$A,0),2),""),"")</f>
        <v/>
      </c>
      <c r="F98">
        <f>IFERROR(IF(ISNUMBER(INDEX(SPPR!$E:$Z,MATCH($A98,SPPR!$A:$A,0),3)),$C98*INDEX(SPPR!$E:$Z,MATCH($A98,SPPR!$A:$A,0),3),""),"")</f>
        <v/>
      </c>
      <c r="G98">
        <f>IFERROR(IF(ISNUMBER(INDEX(SPPR!$E:$Z,MATCH($A98,SPPR!$A:$A,0),4)),$C98*INDEX(SPPR!$E:$Z,MATCH($A98,SPPR!$A:$A,0),4),""),"")</f>
        <v/>
      </c>
      <c r="H98">
        <f>IFERROR(IF(ISNUMBER(INDEX(SPPR!$E:$Z,MATCH($A98,SPPR!$A:$A,0),5)),$C98*INDEX(SPPR!$E:$Z,MATCH($A98,SPPR!$A:$A,0),5),""),"")</f>
        <v/>
      </c>
      <c r="I98">
        <f>IFERROR(IF(ISNUMBER(INDEX(SPPR!$E:$Z,MATCH($A98,SPPR!$A:$A,0),6)),$C98*INDEX(SPPR!$E:$Z,MATCH($A98,SPPR!$A:$A,0),6),""),"")</f>
        <v/>
      </c>
      <c r="J98">
        <f>IFERROR(IF(ISNUMBER(INDEX(SPPR!$E:$Z,MATCH($A98,SPPR!$A:$A,0),7)),$C98*INDEX(SPPR!$E:$Z,MATCH($A98,SPPR!$A:$A,0),7),""),"")</f>
        <v/>
      </c>
      <c r="K98">
        <f>IFERROR(IF(ISNUMBER(INDEX(SPPR!$E:$Z,MATCH($A98,SPPR!$A:$A,0),8)),$C98*INDEX(SPPR!$E:$Z,MATCH($A98,SPPR!$A:$A,0),8),""),"")</f>
        <v/>
      </c>
      <c r="L98">
        <f>IFERROR(IF(ISNUMBER(INDEX(SPPR!$E:$Z,MATCH($A98,SPPR!$A:$A,0),9)),$C98*INDEX(SPPR!$E:$Z,MATCH($A98,SPPR!$A:$A,0),9),""),"")</f>
        <v/>
      </c>
      <c r="M98">
        <f>IFERROR(IF(ISNUMBER(INDEX(SPPR!$E:$Z,MATCH($A98,SPPR!$A:$A,0),10)),$C98*INDEX(SPPR!$E:$Z,MATCH($A98,SPPR!$A:$A,0),10),""),"")</f>
        <v/>
      </c>
      <c r="N98">
        <f>IFERROR(IF(ISNUMBER(INDEX(SPPR!$E:$Z,MATCH($A98,SPPR!$A:$A,0),11)),$C98*INDEX(SPPR!$E:$Z,MATCH($A98,SPPR!$A:$A,0),11),""),"")</f>
        <v/>
      </c>
      <c r="O98">
        <f>IFERROR(IF(ISNUMBER(INDEX(SPPR!$E:$Z,MATCH($A98,SPPR!$A:$A,0),12)),$C98*INDEX(SPPR!$E:$Z,MATCH($A98,SPPR!$A:$A,0),12),""),"")</f>
        <v/>
      </c>
      <c r="P98">
        <f>IFERROR(IF(ISNUMBER(INDEX(SPPR!$E:$Z,MATCH($A98,SPPR!$A:$A,0),13)),$C98*INDEX(SPPR!$E:$Z,MATCH($A98,SPPR!$A:$A,0),13),""),"")</f>
        <v/>
      </c>
      <c r="Q98">
        <f>IFERROR(IF(ISNUMBER(INDEX(SPPR!$E:$Z,MATCH($A98,SPPR!$A:$A,0),14)),$C98*INDEX(SPPR!$E:$Z,MATCH($A98,SPPR!$A:$A,0),14),""),"")</f>
        <v/>
      </c>
      <c r="R98">
        <f>IFERROR(IF(ISNUMBER(INDEX(SPPR!$E:$Z,MATCH($A98,SPPR!$A:$A,0),15)),$C98*INDEX(SPPR!$E:$Z,MATCH($A98,SPPR!$A:$A,0),15),""),"")</f>
        <v/>
      </c>
      <c r="S98">
        <f>IFERROR(IF(ISNUMBER(INDEX(SPPR!$E:$Z,MATCH($A98,SPPR!$A:$A,0),16)),$C98*INDEX(SPPR!$E:$Z,MATCH($A98,SPPR!$A:$A,0),16),""),"")</f>
        <v/>
      </c>
      <c r="T98">
        <f>IFERROR(IF(ISNUMBER(INDEX(SPPR!$E:$Z,MATCH($A98,SPPR!$A:$A,0),17)),$C98*INDEX(SPPR!$E:$Z,MATCH($A98,SPPR!$A:$A,0),17),""),"")</f>
        <v/>
      </c>
      <c r="U98">
        <f>IFERROR(IF(ISNUMBER(INDEX(SPPR!$E:$Z,MATCH($A98,SPPR!$A:$A,0),18)),$C98*INDEX(SPPR!$E:$Z,MATCH($A98,SPPR!$A:$A,0),18),""),"")</f>
        <v/>
      </c>
      <c r="V98">
        <f>IFERROR(IF(ISNUMBER(INDEX(SPPR!$E:$Z,MATCH($A98,SPPR!$A:$A,0),19)),$C98*INDEX(SPPR!$E:$Z,MATCH($A98,SPPR!$A:$A,0),19),""),"")</f>
        <v/>
      </c>
      <c r="W98">
        <f>IFERROR(IF(ISNUMBER(INDEX(SPPR!$E:$Z,MATCH($A98,SPPR!$A:$A,0),20)),$C98*INDEX(SPPR!$E:$Z,MATCH($A98,SPPR!$A:$A,0),20),""),"")</f>
        <v/>
      </c>
      <c r="X98">
        <f>IFERROR(IF(ISNUMBER(INDEX(SPPR!$E:$Z,MATCH($A98,SPPR!$A:$A,0),21)),$C98*INDEX(SPPR!$E:$Z,MATCH($A98,SPPR!$A:$A,0),21),""),"")</f>
        <v/>
      </c>
      <c r="Y98">
        <f>IFERROR(IF(ISNUMBER(INDEX(SPPR!$E:$Z,MATCH($A98,SPPR!$A:$A,0),22)),$C98*INDEX(SPPR!$E:$Z,MATCH($A98,SPPR!$A:$A,0),22),""),"")</f>
        <v/>
      </c>
    </row>
    <row r="99">
      <c r="A99" t="inlineStr">
        <is>
          <t>Euthynnus alletteratus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IFERROR(IF(ISNUMBER(INDEX(SPPR!$E:$Z,MATCH($A99,SPPR!$A:$A,0),1)),$C99*INDEX(SPPR!$E:$Z,MATCH($A99,SPPR!$A:$A,0),1),""),"")</f>
        <v/>
      </c>
      <c r="E99">
        <f>IFERROR(IF(ISNUMBER(INDEX(SPPR!$E:$Z,MATCH($A99,SPPR!$A:$A,0),2)),$C99*INDEX(SPPR!$E:$Z,MATCH($A99,SPPR!$A:$A,0),2),""),"")</f>
        <v/>
      </c>
      <c r="F99">
        <f>IFERROR(IF(ISNUMBER(INDEX(SPPR!$E:$Z,MATCH($A99,SPPR!$A:$A,0),3)),$C99*INDEX(SPPR!$E:$Z,MATCH($A99,SPPR!$A:$A,0),3),""),"")</f>
        <v/>
      </c>
      <c r="G99">
        <f>IFERROR(IF(ISNUMBER(INDEX(SPPR!$E:$Z,MATCH($A99,SPPR!$A:$A,0),4)),$C99*INDEX(SPPR!$E:$Z,MATCH($A99,SPPR!$A:$A,0),4),""),"")</f>
        <v/>
      </c>
      <c r="H99">
        <f>IFERROR(IF(ISNUMBER(INDEX(SPPR!$E:$Z,MATCH($A99,SPPR!$A:$A,0),5)),$C99*INDEX(SPPR!$E:$Z,MATCH($A99,SPPR!$A:$A,0),5),""),"")</f>
        <v/>
      </c>
      <c r="I99">
        <f>IFERROR(IF(ISNUMBER(INDEX(SPPR!$E:$Z,MATCH($A99,SPPR!$A:$A,0),6)),$C99*INDEX(SPPR!$E:$Z,MATCH($A99,SPPR!$A:$A,0),6),""),"")</f>
        <v/>
      </c>
      <c r="J99">
        <f>IFERROR(IF(ISNUMBER(INDEX(SPPR!$E:$Z,MATCH($A99,SPPR!$A:$A,0),7)),$C99*INDEX(SPPR!$E:$Z,MATCH($A99,SPPR!$A:$A,0),7),""),"")</f>
        <v/>
      </c>
      <c r="K99">
        <f>IFERROR(IF(ISNUMBER(INDEX(SPPR!$E:$Z,MATCH($A99,SPPR!$A:$A,0),8)),$C99*INDEX(SPPR!$E:$Z,MATCH($A99,SPPR!$A:$A,0),8),""),"")</f>
        <v/>
      </c>
      <c r="L99">
        <f>IFERROR(IF(ISNUMBER(INDEX(SPPR!$E:$Z,MATCH($A99,SPPR!$A:$A,0),9)),$C99*INDEX(SPPR!$E:$Z,MATCH($A99,SPPR!$A:$A,0),9),""),"")</f>
        <v/>
      </c>
      <c r="M99">
        <f>IFERROR(IF(ISNUMBER(INDEX(SPPR!$E:$Z,MATCH($A99,SPPR!$A:$A,0),10)),$C99*INDEX(SPPR!$E:$Z,MATCH($A99,SPPR!$A:$A,0),10),""),"")</f>
        <v/>
      </c>
      <c r="N99">
        <f>IFERROR(IF(ISNUMBER(INDEX(SPPR!$E:$Z,MATCH($A99,SPPR!$A:$A,0),11)),$C99*INDEX(SPPR!$E:$Z,MATCH($A99,SPPR!$A:$A,0),11),""),"")</f>
        <v/>
      </c>
      <c r="O99">
        <f>IFERROR(IF(ISNUMBER(INDEX(SPPR!$E:$Z,MATCH($A99,SPPR!$A:$A,0),12)),$C99*INDEX(SPPR!$E:$Z,MATCH($A99,SPPR!$A:$A,0),12),""),"")</f>
        <v/>
      </c>
      <c r="P99">
        <f>IFERROR(IF(ISNUMBER(INDEX(SPPR!$E:$Z,MATCH($A99,SPPR!$A:$A,0),13)),$C99*INDEX(SPPR!$E:$Z,MATCH($A99,SPPR!$A:$A,0),13),""),"")</f>
        <v/>
      </c>
      <c r="Q99">
        <f>IFERROR(IF(ISNUMBER(INDEX(SPPR!$E:$Z,MATCH($A99,SPPR!$A:$A,0),14)),$C99*INDEX(SPPR!$E:$Z,MATCH($A99,SPPR!$A:$A,0),14),""),"")</f>
        <v/>
      </c>
      <c r="R99">
        <f>IFERROR(IF(ISNUMBER(INDEX(SPPR!$E:$Z,MATCH($A99,SPPR!$A:$A,0),15)),$C99*INDEX(SPPR!$E:$Z,MATCH($A99,SPPR!$A:$A,0),15),""),"")</f>
        <v/>
      </c>
      <c r="S99">
        <f>IFERROR(IF(ISNUMBER(INDEX(SPPR!$E:$Z,MATCH($A99,SPPR!$A:$A,0),16)),$C99*INDEX(SPPR!$E:$Z,MATCH($A99,SPPR!$A:$A,0),16),""),"")</f>
        <v/>
      </c>
      <c r="T99">
        <f>IFERROR(IF(ISNUMBER(INDEX(SPPR!$E:$Z,MATCH($A99,SPPR!$A:$A,0),17)),$C99*INDEX(SPPR!$E:$Z,MATCH($A99,SPPR!$A:$A,0),17),""),"")</f>
        <v/>
      </c>
      <c r="U99">
        <f>IFERROR(IF(ISNUMBER(INDEX(SPPR!$E:$Z,MATCH($A99,SPPR!$A:$A,0),18)),$C99*INDEX(SPPR!$E:$Z,MATCH($A99,SPPR!$A:$A,0),18),""),"")</f>
        <v/>
      </c>
      <c r="V99">
        <f>IFERROR(IF(ISNUMBER(INDEX(SPPR!$E:$Z,MATCH($A99,SPPR!$A:$A,0),19)),$C99*INDEX(SPPR!$E:$Z,MATCH($A99,SPPR!$A:$A,0),19),""),"")</f>
        <v/>
      </c>
      <c r="W99">
        <f>IFERROR(IF(ISNUMBER(INDEX(SPPR!$E:$Z,MATCH($A99,SPPR!$A:$A,0),20)),$C99*INDEX(SPPR!$E:$Z,MATCH($A99,SPPR!$A:$A,0),20),""),"")</f>
        <v/>
      </c>
      <c r="X99">
        <f>IFERROR(IF(ISNUMBER(INDEX(SPPR!$E:$Z,MATCH($A99,SPPR!$A:$A,0),21)),$C99*INDEX(SPPR!$E:$Z,MATCH($A99,SPPR!$A:$A,0),21),""),"")</f>
        <v/>
      </c>
      <c r="Y99">
        <f>IFERROR(IF(ISNUMBER(INDEX(SPPR!$E:$Z,MATCH($A99,SPPR!$A:$A,0),22)),$C99*INDEX(SPPR!$E:$Z,MATCH($A99,SPPR!$A:$A,0),22),""),"")</f>
        <v/>
      </c>
    </row>
    <row r="100">
      <c r="A100" t="inlineStr">
        <is>
          <t>Rajiformes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IFERROR(IF(ISNUMBER(INDEX(SPPR!$E:$Z,MATCH($A100,SPPR!$A:$A,0),1)),$C100*INDEX(SPPR!$E:$Z,MATCH($A100,SPPR!$A:$A,0),1),""),"")</f>
        <v/>
      </c>
      <c r="E100">
        <f>IFERROR(IF(ISNUMBER(INDEX(SPPR!$E:$Z,MATCH($A100,SPPR!$A:$A,0),2)),$C100*INDEX(SPPR!$E:$Z,MATCH($A100,SPPR!$A:$A,0),2),""),"")</f>
        <v/>
      </c>
      <c r="F100">
        <f>IFERROR(IF(ISNUMBER(INDEX(SPPR!$E:$Z,MATCH($A100,SPPR!$A:$A,0),3)),$C100*INDEX(SPPR!$E:$Z,MATCH($A100,SPPR!$A:$A,0),3),""),"")</f>
        <v/>
      </c>
      <c r="G100">
        <f>IFERROR(IF(ISNUMBER(INDEX(SPPR!$E:$Z,MATCH($A100,SPPR!$A:$A,0),4)),$C100*INDEX(SPPR!$E:$Z,MATCH($A100,SPPR!$A:$A,0),4),""),"")</f>
        <v/>
      </c>
      <c r="H100">
        <f>IFERROR(IF(ISNUMBER(INDEX(SPPR!$E:$Z,MATCH($A100,SPPR!$A:$A,0),5)),$C100*INDEX(SPPR!$E:$Z,MATCH($A100,SPPR!$A:$A,0),5),""),"")</f>
        <v/>
      </c>
      <c r="I100">
        <f>IFERROR(IF(ISNUMBER(INDEX(SPPR!$E:$Z,MATCH($A100,SPPR!$A:$A,0),6)),$C100*INDEX(SPPR!$E:$Z,MATCH($A100,SPPR!$A:$A,0),6),""),"")</f>
        <v/>
      </c>
      <c r="J100">
        <f>IFERROR(IF(ISNUMBER(INDEX(SPPR!$E:$Z,MATCH($A100,SPPR!$A:$A,0),7)),$C100*INDEX(SPPR!$E:$Z,MATCH($A100,SPPR!$A:$A,0),7),""),"")</f>
        <v/>
      </c>
      <c r="K100">
        <f>IFERROR(IF(ISNUMBER(INDEX(SPPR!$E:$Z,MATCH($A100,SPPR!$A:$A,0),8)),$C100*INDEX(SPPR!$E:$Z,MATCH($A100,SPPR!$A:$A,0),8),""),"")</f>
        <v/>
      </c>
      <c r="L100">
        <f>IFERROR(IF(ISNUMBER(INDEX(SPPR!$E:$Z,MATCH($A100,SPPR!$A:$A,0),9)),$C100*INDEX(SPPR!$E:$Z,MATCH($A100,SPPR!$A:$A,0),9),""),"")</f>
        <v/>
      </c>
      <c r="M100">
        <f>IFERROR(IF(ISNUMBER(INDEX(SPPR!$E:$Z,MATCH($A100,SPPR!$A:$A,0),10)),$C100*INDEX(SPPR!$E:$Z,MATCH($A100,SPPR!$A:$A,0),10),""),"")</f>
        <v/>
      </c>
      <c r="N100">
        <f>IFERROR(IF(ISNUMBER(INDEX(SPPR!$E:$Z,MATCH($A100,SPPR!$A:$A,0),11)),$C100*INDEX(SPPR!$E:$Z,MATCH($A100,SPPR!$A:$A,0),11),""),"")</f>
        <v/>
      </c>
      <c r="O100">
        <f>IFERROR(IF(ISNUMBER(INDEX(SPPR!$E:$Z,MATCH($A100,SPPR!$A:$A,0),12)),$C100*INDEX(SPPR!$E:$Z,MATCH($A100,SPPR!$A:$A,0),12),""),"")</f>
        <v/>
      </c>
      <c r="P100">
        <f>IFERROR(IF(ISNUMBER(INDEX(SPPR!$E:$Z,MATCH($A100,SPPR!$A:$A,0),13)),$C100*INDEX(SPPR!$E:$Z,MATCH($A100,SPPR!$A:$A,0),13),""),"")</f>
        <v/>
      </c>
      <c r="Q100">
        <f>IFERROR(IF(ISNUMBER(INDEX(SPPR!$E:$Z,MATCH($A100,SPPR!$A:$A,0),14)),$C100*INDEX(SPPR!$E:$Z,MATCH($A100,SPPR!$A:$A,0),14),""),"")</f>
        <v/>
      </c>
      <c r="R100">
        <f>IFERROR(IF(ISNUMBER(INDEX(SPPR!$E:$Z,MATCH($A100,SPPR!$A:$A,0),15)),$C100*INDEX(SPPR!$E:$Z,MATCH($A100,SPPR!$A:$A,0),15),""),"")</f>
        <v/>
      </c>
      <c r="S100">
        <f>IFERROR(IF(ISNUMBER(INDEX(SPPR!$E:$Z,MATCH($A100,SPPR!$A:$A,0),16)),$C100*INDEX(SPPR!$E:$Z,MATCH($A100,SPPR!$A:$A,0),16),""),"")</f>
        <v/>
      </c>
      <c r="T100">
        <f>IFERROR(IF(ISNUMBER(INDEX(SPPR!$E:$Z,MATCH($A100,SPPR!$A:$A,0),17)),$C100*INDEX(SPPR!$E:$Z,MATCH($A100,SPPR!$A:$A,0),17),""),"")</f>
        <v/>
      </c>
      <c r="U100">
        <f>IFERROR(IF(ISNUMBER(INDEX(SPPR!$E:$Z,MATCH($A100,SPPR!$A:$A,0),18)),$C100*INDEX(SPPR!$E:$Z,MATCH($A100,SPPR!$A:$A,0),18),""),"")</f>
        <v/>
      </c>
      <c r="V100">
        <f>IFERROR(IF(ISNUMBER(INDEX(SPPR!$E:$Z,MATCH($A100,SPPR!$A:$A,0),19)),$C100*INDEX(SPPR!$E:$Z,MATCH($A100,SPPR!$A:$A,0),19),""),"")</f>
        <v/>
      </c>
      <c r="W100">
        <f>IFERROR(IF(ISNUMBER(INDEX(SPPR!$E:$Z,MATCH($A100,SPPR!$A:$A,0),20)),$C100*INDEX(SPPR!$E:$Z,MATCH($A100,SPPR!$A:$A,0),20),""),"")</f>
        <v/>
      </c>
      <c r="X100">
        <f>IFERROR(IF(ISNUMBER(INDEX(SPPR!$E:$Z,MATCH($A100,SPPR!$A:$A,0),21)),$C100*INDEX(SPPR!$E:$Z,MATCH($A100,SPPR!$A:$A,0),21),""),"")</f>
        <v/>
      </c>
      <c r="Y100">
        <f>IFERROR(IF(ISNUMBER(INDEX(SPPR!$E:$Z,MATCH($A100,SPPR!$A:$A,0),22)),$C100*INDEX(SPPR!$E:$Z,MATCH($A100,SPPR!$A:$A,0),22),""),"")</f>
        <v/>
      </c>
    </row>
    <row r="101">
      <c r="A101" t="inlineStr">
        <is>
          <t>Solea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IFERROR(IF(ISNUMBER(INDEX(SPPR!$E:$Z,MATCH($A101,SPPR!$A:$A,0),1)),$C101*INDEX(SPPR!$E:$Z,MATCH($A101,SPPR!$A:$A,0),1),""),"")</f>
        <v/>
      </c>
      <c r="E101">
        <f>IFERROR(IF(ISNUMBER(INDEX(SPPR!$E:$Z,MATCH($A101,SPPR!$A:$A,0),2)),$C101*INDEX(SPPR!$E:$Z,MATCH($A101,SPPR!$A:$A,0),2),""),"")</f>
        <v/>
      </c>
      <c r="F101">
        <f>IFERROR(IF(ISNUMBER(INDEX(SPPR!$E:$Z,MATCH($A101,SPPR!$A:$A,0),3)),$C101*INDEX(SPPR!$E:$Z,MATCH($A101,SPPR!$A:$A,0),3),""),"")</f>
        <v/>
      </c>
      <c r="G101">
        <f>IFERROR(IF(ISNUMBER(INDEX(SPPR!$E:$Z,MATCH($A101,SPPR!$A:$A,0),4)),$C101*INDEX(SPPR!$E:$Z,MATCH($A101,SPPR!$A:$A,0),4),""),"")</f>
        <v/>
      </c>
      <c r="H101">
        <f>IFERROR(IF(ISNUMBER(INDEX(SPPR!$E:$Z,MATCH($A101,SPPR!$A:$A,0),5)),$C101*INDEX(SPPR!$E:$Z,MATCH($A101,SPPR!$A:$A,0),5),""),"")</f>
        <v/>
      </c>
      <c r="I101">
        <f>IFERROR(IF(ISNUMBER(INDEX(SPPR!$E:$Z,MATCH($A101,SPPR!$A:$A,0),6)),$C101*INDEX(SPPR!$E:$Z,MATCH($A101,SPPR!$A:$A,0),6),""),"")</f>
        <v/>
      </c>
      <c r="J101">
        <f>IFERROR(IF(ISNUMBER(INDEX(SPPR!$E:$Z,MATCH($A101,SPPR!$A:$A,0),7)),$C101*INDEX(SPPR!$E:$Z,MATCH($A101,SPPR!$A:$A,0),7),""),"")</f>
        <v/>
      </c>
      <c r="K101">
        <f>IFERROR(IF(ISNUMBER(INDEX(SPPR!$E:$Z,MATCH($A101,SPPR!$A:$A,0),8)),$C101*INDEX(SPPR!$E:$Z,MATCH($A101,SPPR!$A:$A,0),8),""),"")</f>
        <v/>
      </c>
      <c r="L101">
        <f>IFERROR(IF(ISNUMBER(INDEX(SPPR!$E:$Z,MATCH($A101,SPPR!$A:$A,0),9)),$C101*INDEX(SPPR!$E:$Z,MATCH($A101,SPPR!$A:$A,0),9),""),"")</f>
        <v/>
      </c>
      <c r="M101">
        <f>IFERROR(IF(ISNUMBER(INDEX(SPPR!$E:$Z,MATCH($A101,SPPR!$A:$A,0),10)),$C101*INDEX(SPPR!$E:$Z,MATCH($A101,SPPR!$A:$A,0),10),""),"")</f>
        <v/>
      </c>
      <c r="N101">
        <f>IFERROR(IF(ISNUMBER(INDEX(SPPR!$E:$Z,MATCH($A101,SPPR!$A:$A,0),11)),$C101*INDEX(SPPR!$E:$Z,MATCH($A101,SPPR!$A:$A,0),11),""),"")</f>
        <v/>
      </c>
      <c r="O101">
        <f>IFERROR(IF(ISNUMBER(INDEX(SPPR!$E:$Z,MATCH($A101,SPPR!$A:$A,0),12)),$C101*INDEX(SPPR!$E:$Z,MATCH($A101,SPPR!$A:$A,0),12),""),"")</f>
        <v/>
      </c>
      <c r="P101">
        <f>IFERROR(IF(ISNUMBER(INDEX(SPPR!$E:$Z,MATCH($A101,SPPR!$A:$A,0),13)),$C101*INDEX(SPPR!$E:$Z,MATCH($A101,SPPR!$A:$A,0),13),""),"")</f>
        <v/>
      </c>
      <c r="Q101">
        <f>IFERROR(IF(ISNUMBER(INDEX(SPPR!$E:$Z,MATCH($A101,SPPR!$A:$A,0),14)),$C101*INDEX(SPPR!$E:$Z,MATCH($A101,SPPR!$A:$A,0),14),""),"")</f>
        <v/>
      </c>
      <c r="R101">
        <f>IFERROR(IF(ISNUMBER(INDEX(SPPR!$E:$Z,MATCH($A101,SPPR!$A:$A,0),15)),$C101*INDEX(SPPR!$E:$Z,MATCH($A101,SPPR!$A:$A,0),15),""),"")</f>
        <v/>
      </c>
      <c r="S101">
        <f>IFERROR(IF(ISNUMBER(INDEX(SPPR!$E:$Z,MATCH($A101,SPPR!$A:$A,0),16)),$C101*INDEX(SPPR!$E:$Z,MATCH($A101,SPPR!$A:$A,0),16),""),"")</f>
        <v/>
      </c>
      <c r="T101">
        <f>IFERROR(IF(ISNUMBER(INDEX(SPPR!$E:$Z,MATCH($A101,SPPR!$A:$A,0),17)),$C101*INDEX(SPPR!$E:$Z,MATCH($A101,SPPR!$A:$A,0),17),""),"")</f>
        <v/>
      </c>
      <c r="U101">
        <f>IFERROR(IF(ISNUMBER(INDEX(SPPR!$E:$Z,MATCH($A101,SPPR!$A:$A,0),18)),$C101*INDEX(SPPR!$E:$Z,MATCH($A101,SPPR!$A:$A,0),18),""),"")</f>
        <v/>
      </c>
      <c r="V101">
        <f>IFERROR(IF(ISNUMBER(INDEX(SPPR!$E:$Z,MATCH($A101,SPPR!$A:$A,0),19)),$C101*INDEX(SPPR!$E:$Z,MATCH($A101,SPPR!$A:$A,0),19),""),"")</f>
        <v/>
      </c>
      <c r="W101">
        <f>IFERROR(IF(ISNUMBER(INDEX(SPPR!$E:$Z,MATCH($A101,SPPR!$A:$A,0),20)),$C101*INDEX(SPPR!$E:$Z,MATCH($A101,SPPR!$A:$A,0),20),""),"")</f>
        <v/>
      </c>
      <c r="X101">
        <f>IFERROR(IF(ISNUMBER(INDEX(SPPR!$E:$Z,MATCH($A101,SPPR!$A:$A,0),21)),$C101*INDEX(SPPR!$E:$Z,MATCH($A101,SPPR!$A:$A,0),21),""),"")</f>
        <v/>
      </c>
      <c r="Y101">
        <f>IFERROR(IF(ISNUMBER(INDEX(SPPR!$E:$Z,MATCH($A101,SPPR!$A:$A,0),22)),$C101*INDEX(SPPR!$E:$Z,MATCH($A101,SPPR!$A:$A,0),22),""),"")</f>
        <v/>
      </c>
    </row>
    <row r="102">
      <c r="A102" t="inlineStr">
        <is>
          <t>Stromateus fiatola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IFERROR(IF(ISNUMBER(INDEX(SPPR!$E:$Z,MATCH($A102,SPPR!$A:$A,0),1)),$C102*INDEX(SPPR!$E:$Z,MATCH($A102,SPPR!$A:$A,0),1),""),"")</f>
        <v/>
      </c>
      <c r="E102">
        <f>IFERROR(IF(ISNUMBER(INDEX(SPPR!$E:$Z,MATCH($A102,SPPR!$A:$A,0),2)),$C102*INDEX(SPPR!$E:$Z,MATCH($A102,SPPR!$A:$A,0),2),""),"")</f>
        <v/>
      </c>
      <c r="F102">
        <f>IFERROR(IF(ISNUMBER(INDEX(SPPR!$E:$Z,MATCH($A102,SPPR!$A:$A,0),3)),$C102*INDEX(SPPR!$E:$Z,MATCH($A102,SPPR!$A:$A,0),3),""),"")</f>
        <v/>
      </c>
      <c r="G102">
        <f>IFERROR(IF(ISNUMBER(INDEX(SPPR!$E:$Z,MATCH($A102,SPPR!$A:$A,0),4)),$C102*INDEX(SPPR!$E:$Z,MATCH($A102,SPPR!$A:$A,0),4),""),"")</f>
        <v/>
      </c>
      <c r="H102">
        <f>IFERROR(IF(ISNUMBER(INDEX(SPPR!$E:$Z,MATCH($A102,SPPR!$A:$A,0),5)),$C102*INDEX(SPPR!$E:$Z,MATCH($A102,SPPR!$A:$A,0),5),""),"")</f>
        <v/>
      </c>
      <c r="I102">
        <f>IFERROR(IF(ISNUMBER(INDEX(SPPR!$E:$Z,MATCH($A102,SPPR!$A:$A,0),6)),$C102*INDEX(SPPR!$E:$Z,MATCH($A102,SPPR!$A:$A,0),6),""),"")</f>
        <v/>
      </c>
      <c r="J102">
        <f>IFERROR(IF(ISNUMBER(INDEX(SPPR!$E:$Z,MATCH($A102,SPPR!$A:$A,0),7)),$C102*INDEX(SPPR!$E:$Z,MATCH($A102,SPPR!$A:$A,0),7),""),"")</f>
        <v/>
      </c>
      <c r="K102">
        <f>IFERROR(IF(ISNUMBER(INDEX(SPPR!$E:$Z,MATCH($A102,SPPR!$A:$A,0),8)),$C102*INDEX(SPPR!$E:$Z,MATCH($A102,SPPR!$A:$A,0),8),""),"")</f>
        <v/>
      </c>
      <c r="L102">
        <f>IFERROR(IF(ISNUMBER(INDEX(SPPR!$E:$Z,MATCH($A102,SPPR!$A:$A,0),9)),$C102*INDEX(SPPR!$E:$Z,MATCH($A102,SPPR!$A:$A,0),9),""),"")</f>
        <v/>
      </c>
      <c r="M102">
        <f>IFERROR(IF(ISNUMBER(INDEX(SPPR!$E:$Z,MATCH($A102,SPPR!$A:$A,0),10)),$C102*INDEX(SPPR!$E:$Z,MATCH($A102,SPPR!$A:$A,0),10),""),"")</f>
        <v/>
      </c>
      <c r="N102">
        <f>IFERROR(IF(ISNUMBER(INDEX(SPPR!$E:$Z,MATCH($A102,SPPR!$A:$A,0),11)),$C102*INDEX(SPPR!$E:$Z,MATCH($A102,SPPR!$A:$A,0),11),""),"")</f>
        <v/>
      </c>
      <c r="O102">
        <f>IFERROR(IF(ISNUMBER(INDEX(SPPR!$E:$Z,MATCH($A102,SPPR!$A:$A,0),12)),$C102*INDEX(SPPR!$E:$Z,MATCH($A102,SPPR!$A:$A,0),12),""),"")</f>
        <v/>
      </c>
      <c r="P102">
        <f>IFERROR(IF(ISNUMBER(INDEX(SPPR!$E:$Z,MATCH($A102,SPPR!$A:$A,0),13)),$C102*INDEX(SPPR!$E:$Z,MATCH($A102,SPPR!$A:$A,0),13),""),"")</f>
        <v/>
      </c>
      <c r="Q102">
        <f>IFERROR(IF(ISNUMBER(INDEX(SPPR!$E:$Z,MATCH($A102,SPPR!$A:$A,0),14)),$C102*INDEX(SPPR!$E:$Z,MATCH($A102,SPPR!$A:$A,0),14),""),"")</f>
        <v/>
      </c>
      <c r="R102">
        <f>IFERROR(IF(ISNUMBER(INDEX(SPPR!$E:$Z,MATCH($A102,SPPR!$A:$A,0),15)),$C102*INDEX(SPPR!$E:$Z,MATCH($A102,SPPR!$A:$A,0),15),""),"")</f>
        <v/>
      </c>
      <c r="S102">
        <f>IFERROR(IF(ISNUMBER(INDEX(SPPR!$E:$Z,MATCH($A102,SPPR!$A:$A,0),16)),$C102*INDEX(SPPR!$E:$Z,MATCH($A102,SPPR!$A:$A,0),16),""),"")</f>
        <v/>
      </c>
      <c r="T102">
        <f>IFERROR(IF(ISNUMBER(INDEX(SPPR!$E:$Z,MATCH($A102,SPPR!$A:$A,0),17)),$C102*INDEX(SPPR!$E:$Z,MATCH($A102,SPPR!$A:$A,0),17),""),"")</f>
        <v/>
      </c>
      <c r="U102">
        <f>IFERROR(IF(ISNUMBER(INDEX(SPPR!$E:$Z,MATCH($A102,SPPR!$A:$A,0),18)),$C102*INDEX(SPPR!$E:$Z,MATCH($A102,SPPR!$A:$A,0),18),""),"")</f>
        <v/>
      </c>
      <c r="V102">
        <f>IFERROR(IF(ISNUMBER(INDEX(SPPR!$E:$Z,MATCH($A102,SPPR!$A:$A,0),19)),$C102*INDEX(SPPR!$E:$Z,MATCH($A102,SPPR!$A:$A,0),19),""),"")</f>
        <v/>
      </c>
      <c r="W102">
        <f>IFERROR(IF(ISNUMBER(INDEX(SPPR!$E:$Z,MATCH($A102,SPPR!$A:$A,0),20)),$C102*INDEX(SPPR!$E:$Z,MATCH($A102,SPPR!$A:$A,0),20),""),"")</f>
        <v/>
      </c>
      <c r="X102">
        <f>IFERROR(IF(ISNUMBER(INDEX(SPPR!$E:$Z,MATCH($A102,SPPR!$A:$A,0),21)),$C102*INDEX(SPPR!$E:$Z,MATCH($A102,SPPR!$A:$A,0),21),""),"")</f>
        <v/>
      </c>
      <c r="Y102">
        <f>IFERROR(IF(ISNUMBER(INDEX(SPPR!$E:$Z,MATCH($A102,SPPR!$A:$A,0),22)),$C102*INDEX(SPPR!$E:$Z,MATCH($A102,SPPR!$A:$A,0),22),""),"")</f>
        <v/>
      </c>
    </row>
    <row r="103">
      <c r="A103" t="inlineStr">
        <is>
          <t>Miscellaneous marine crustaceans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IFERROR(IF(ISNUMBER(INDEX(SPPR!$E:$Z,MATCH($A103,SPPR!$A:$A,0),1)),$C103*INDEX(SPPR!$E:$Z,MATCH($A103,SPPR!$A:$A,0),1),""),"")</f>
        <v/>
      </c>
      <c r="E103">
        <f>IFERROR(IF(ISNUMBER(INDEX(SPPR!$E:$Z,MATCH($A103,SPPR!$A:$A,0),2)),$C103*INDEX(SPPR!$E:$Z,MATCH($A103,SPPR!$A:$A,0),2),""),"")</f>
        <v/>
      </c>
      <c r="F103">
        <f>IFERROR(IF(ISNUMBER(INDEX(SPPR!$E:$Z,MATCH($A103,SPPR!$A:$A,0),3)),$C103*INDEX(SPPR!$E:$Z,MATCH($A103,SPPR!$A:$A,0),3),""),"")</f>
        <v/>
      </c>
      <c r="G103">
        <f>IFERROR(IF(ISNUMBER(INDEX(SPPR!$E:$Z,MATCH($A103,SPPR!$A:$A,0),4)),$C103*INDEX(SPPR!$E:$Z,MATCH($A103,SPPR!$A:$A,0),4),""),"")</f>
        <v/>
      </c>
      <c r="H103">
        <f>IFERROR(IF(ISNUMBER(INDEX(SPPR!$E:$Z,MATCH($A103,SPPR!$A:$A,0),5)),$C103*INDEX(SPPR!$E:$Z,MATCH($A103,SPPR!$A:$A,0),5),""),"")</f>
        <v/>
      </c>
      <c r="I103">
        <f>IFERROR(IF(ISNUMBER(INDEX(SPPR!$E:$Z,MATCH($A103,SPPR!$A:$A,0),6)),$C103*INDEX(SPPR!$E:$Z,MATCH($A103,SPPR!$A:$A,0),6),""),"")</f>
        <v/>
      </c>
      <c r="J103">
        <f>IFERROR(IF(ISNUMBER(INDEX(SPPR!$E:$Z,MATCH($A103,SPPR!$A:$A,0),7)),$C103*INDEX(SPPR!$E:$Z,MATCH($A103,SPPR!$A:$A,0),7),""),"")</f>
        <v/>
      </c>
      <c r="K103">
        <f>IFERROR(IF(ISNUMBER(INDEX(SPPR!$E:$Z,MATCH($A103,SPPR!$A:$A,0),8)),$C103*INDEX(SPPR!$E:$Z,MATCH($A103,SPPR!$A:$A,0),8),""),"")</f>
        <v/>
      </c>
      <c r="L103">
        <f>IFERROR(IF(ISNUMBER(INDEX(SPPR!$E:$Z,MATCH($A103,SPPR!$A:$A,0),9)),$C103*INDEX(SPPR!$E:$Z,MATCH($A103,SPPR!$A:$A,0),9),""),"")</f>
        <v/>
      </c>
      <c r="M103">
        <f>IFERROR(IF(ISNUMBER(INDEX(SPPR!$E:$Z,MATCH($A103,SPPR!$A:$A,0),10)),$C103*INDEX(SPPR!$E:$Z,MATCH($A103,SPPR!$A:$A,0),10),""),"")</f>
        <v/>
      </c>
      <c r="N103">
        <f>IFERROR(IF(ISNUMBER(INDEX(SPPR!$E:$Z,MATCH($A103,SPPR!$A:$A,0),11)),$C103*INDEX(SPPR!$E:$Z,MATCH($A103,SPPR!$A:$A,0),11),""),"")</f>
        <v/>
      </c>
      <c r="O103">
        <f>IFERROR(IF(ISNUMBER(INDEX(SPPR!$E:$Z,MATCH($A103,SPPR!$A:$A,0),12)),$C103*INDEX(SPPR!$E:$Z,MATCH($A103,SPPR!$A:$A,0),12),""),"")</f>
        <v/>
      </c>
      <c r="P103">
        <f>IFERROR(IF(ISNUMBER(INDEX(SPPR!$E:$Z,MATCH($A103,SPPR!$A:$A,0),13)),$C103*INDEX(SPPR!$E:$Z,MATCH($A103,SPPR!$A:$A,0),13),""),"")</f>
        <v/>
      </c>
      <c r="Q103">
        <f>IFERROR(IF(ISNUMBER(INDEX(SPPR!$E:$Z,MATCH($A103,SPPR!$A:$A,0),14)),$C103*INDEX(SPPR!$E:$Z,MATCH($A103,SPPR!$A:$A,0),14),""),"")</f>
        <v/>
      </c>
      <c r="R103">
        <f>IFERROR(IF(ISNUMBER(INDEX(SPPR!$E:$Z,MATCH($A103,SPPR!$A:$A,0),15)),$C103*INDEX(SPPR!$E:$Z,MATCH($A103,SPPR!$A:$A,0),15),""),"")</f>
        <v/>
      </c>
      <c r="S103">
        <f>IFERROR(IF(ISNUMBER(INDEX(SPPR!$E:$Z,MATCH($A103,SPPR!$A:$A,0),16)),$C103*INDEX(SPPR!$E:$Z,MATCH($A103,SPPR!$A:$A,0),16),""),"")</f>
        <v/>
      </c>
      <c r="T103">
        <f>IFERROR(IF(ISNUMBER(INDEX(SPPR!$E:$Z,MATCH($A103,SPPR!$A:$A,0),17)),$C103*INDEX(SPPR!$E:$Z,MATCH($A103,SPPR!$A:$A,0),17),""),"")</f>
        <v/>
      </c>
      <c r="U103">
        <f>IFERROR(IF(ISNUMBER(INDEX(SPPR!$E:$Z,MATCH($A103,SPPR!$A:$A,0),18)),$C103*INDEX(SPPR!$E:$Z,MATCH($A103,SPPR!$A:$A,0),18),""),"")</f>
        <v/>
      </c>
      <c r="V103">
        <f>IFERROR(IF(ISNUMBER(INDEX(SPPR!$E:$Z,MATCH($A103,SPPR!$A:$A,0),19)),$C103*INDEX(SPPR!$E:$Z,MATCH($A103,SPPR!$A:$A,0),19),""),"")</f>
        <v/>
      </c>
      <c r="W103">
        <f>IFERROR(IF(ISNUMBER(INDEX(SPPR!$E:$Z,MATCH($A103,SPPR!$A:$A,0),20)),$C103*INDEX(SPPR!$E:$Z,MATCH($A103,SPPR!$A:$A,0),20),""),"")</f>
        <v/>
      </c>
      <c r="X103">
        <f>IFERROR(IF(ISNUMBER(INDEX(SPPR!$E:$Z,MATCH($A103,SPPR!$A:$A,0),21)),$C103*INDEX(SPPR!$E:$Z,MATCH($A103,SPPR!$A:$A,0),21),""),"")</f>
        <v/>
      </c>
      <c r="Y103">
        <f>IFERROR(IF(ISNUMBER(INDEX(SPPR!$E:$Z,MATCH($A103,SPPR!$A:$A,0),22)),$C103*INDEX(SPPR!$E:$Z,MATCH($A103,SPPR!$A:$A,0),22),""),"")</f>
        <v/>
      </c>
    </row>
    <row r="104">
      <c r="A104" t="inlineStr">
        <is>
          <t>Sepiidae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IFERROR(IF(ISNUMBER(INDEX(SPPR!$E:$Z,MATCH($A104,SPPR!$A:$A,0),1)),$C104*INDEX(SPPR!$E:$Z,MATCH($A104,SPPR!$A:$A,0),1),""),"")</f>
        <v/>
      </c>
      <c r="E104">
        <f>IFERROR(IF(ISNUMBER(INDEX(SPPR!$E:$Z,MATCH($A104,SPPR!$A:$A,0),2)),$C104*INDEX(SPPR!$E:$Z,MATCH($A104,SPPR!$A:$A,0),2),""),"")</f>
        <v/>
      </c>
      <c r="F104">
        <f>IFERROR(IF(ISNUMBER(INDEX(SPPR!$E:$Z,MATCH($A104,SPPR!$A:$A,0),3)),$C104*INDEX(SPPR!$E:$Z,MATCH($A104,SPPR!$A:$A,0),3),""),"")</f>
        <v/>
      </c>
      <c r="G104">
        <f>IFERROR(IF(ISNUMBER(INDEX(SPPR!$E:$Z,MATCH($A104,SPPR!$A:$A,0),4)),$C104*INDEX(SPPR!$E:$Z,MATCH($A104,SPPR!$A:$A,0),4),""),"")</f>
        <v/>
      </c>
      <c r="H104">
        <f>IFERROR(IF(ISNUMBER(INDEX(SPPR!$E:$Z,MATCH($A104,SPPR!$A:$A,0),5)),$C104*INDEX(SPPR!$E:$Z,MATCH($A104,SPPR!$A:$A,0),5),""),"")</f>
        <v/>
      </c>
      <c r="I104">
        <f>IFERROR(IF(ISNUMBER(INDEX(SPPR!$E:$Z,MATCH($A104,SPPR!$A:$A,0),6)),$C104*INDEX(SPPR!$E:$Z,MATCH($A104,SPPR!$A:$A,0),6),""),"")</f>
        <v/>
      </c>
      <c r="J104">
        <f>IFERROR(IF(ISNUMBER(INDEX(SPPR!$E:$Z,MATCH($A104,SPPR!$A:$A,0),7)),$C104*INDEX(SPPR!$E:$Z,MATCH($A104,SPPR!$A:$A,0),7),""),"")</f>
        <v/>
      </c>
      <c r="K104">
        <f>IFERROR(IF(ISNUMBER(INDEX(SPPR!$E:$Z,MATCH($A104,SPPR!$A:$A,0),8)),$C104*INDEX(SPPR!$E:$Z,MATCH($A104,SPPR!$A:$A,0),8),""),"")</f>
        <v/>
      </c>
      <c r="L104">
        <f>IFERROR(IF(ISNUMBER(INDEX(SPPR!$E:$Z,MATCH($A104,SPPR!$A:$A,0),9)),$C104*INDEX(SPPR!$E:$Z,MATCH($A104,SPPR!$A:$A,0),9),""),"")</f>
        <v/>
      </c>
      <c r="M104">
        <f>IFERROR(IF(ISNUMBER(INDEX(SPPR!$E:$Z,MATCH($A104,SPPR!$A:$A,0),10)),$C104*INDEX(SPPR!$E:$Z,MATCH($A104,SPPR!$A:$A,0),10),""),"")</f>
        <v/>
      </c>
      <c r="N104">
        <f>IFERROR(IF(ISNUMBER(INDEX(SPPR!$E:$Z,MATCH($A104,SPPR!$A:$A,0),11)),$C104*INDEX(SPPR!$E:$Z,MATCH($A104,SPPR!$A:$A,0),11),""),"")</f>
        <v/>
      </c>
      <c r="O104">
        <f>IFERROR(IF(ISNUMBER(INDEX(SPPR!$E:$Z,MATCH($A104,SPPR!$A:$A,0),12)),$C104*INDEX(SPPR!$E:$Z,MATCH($A104,SPPR!$A:$A,0),12),""),"")</f>
        <v/>
      </c>
      <c r="P104">
        <f>IFERROR(IF(ISNUMBER(INDEX(SPPR!$E:$Z,MATCH($A104,SPPR!$A:$A,0),13)),$C104*INDEX(SPPR!$E:$Z,MATCH($A104,SPPR!$A:$A,0),13),""),"")</f>
        <v/>
      </c>
      <c r="Q104">
        <f>IFERROR(IF(ISNUMBER(INDEX(SPPR!$E:$Z,MATCH($A104,SPPR!$A:$A,0),14)),$C104*INDEX(SPPR!$E:$Z,MATCH($A104,SPPR!$A:$A,0),14),""),"")</f>
        <v/>
      </c>
      <c r="R104">
        <f>IFERROR(IF(ISNUMBER(INDEX(SPPR!$E:$Z,MATCH($A104,SPPR!$A:$A,0),15)),$C104*INDEX(SPPR!$E:$Z,MATCH($A104,SPPR!$A:$A,0),15),""),"")</f>
        <v/>
      </c>
      <c r="S104">
        <f>IFERROR(IF(ISNUMBER(INDEX(SPPR!$E:$Z,MATCH($A104,SPPR!$A:$A,0),16)),$C104*INDEX(SPPR!$E:$Z,MATCH($A104,SPPR!$A:$A,0),16),""),"")</f>
        <v/>
      </c>
      <c r="T104">
        <f>IFERROR(IF(ISNUMBER(INDEX(SPPR!$E:$Z,MATCH($A104,SPPR!$A:$A,0),17)),$C104*INDEX(SPPR!$E:$Z,MATCH($A104,SPPR!$A:$A,0),17),""),"")</f>
        <v/>
      </c>
      <c r="U104">
        <f>IFERROR(IF(ISNUMBER(INDEX(SPPR!$E:$Z,MATCH($A104,SPPR!$A:$A,0),18)),$C104*INDEX(SPPR!$E:$Z,MATCH($A104,SPPR!$A:$A,0),18),""),"")</f>
        <v/>
      </c>
      <c r="V104">
        <f>IFERROR(IF(ISNUMBER(INDEX(SPPR!$E:$Z,MATCH($A104,SPPR!$A:$A,0),19)),$C104*INDEX(SPPR!$E:$Z,MATCH($A104,SPPR!$A:$A,0),19),""),"")</f>
        <v/>
      </c>
      <c r="W104">
        <f>IFERROR(IF(ISNUMBER(INDEX(SPPR!$E:$Z,MATCH($A104,SPPR!$A:$A,0),20)),$C104*INDEX(SPPR!$E:$Z,MATCH($A104,SPPR!$A:$A,0),20),""),"")</f>
        <v/>
      </c>
      <c r="X104">
        <f>IFERROR(IF(ISNUMBER(INDEX(SPPR!$E:$Z,MATCH($A104,SPPR!$A:$A,0),21)),$C104*INDEX(SPPR!$E:$Z,MATCH($A104,SPPR!$A:$A,0),21),""),"")</f>
        <v/>
      </c>
      <c r="Y104">
        <f>IFERROR(IF(ISNUMBER(INDEX(SPPR!$E:$Z,MATCH($A104,SPPR!$A:$A,0),22)),$C104*INDEX(SPPR!$E:$Z,MATCH($A104,SPPR!$A:$A,0),22),""),"")</f>
        <v/>
      </c>
    </row>
    <row r="105">
      <c r="A105" t="inlineStr">
        <is>
          <t>Dentex gibbosus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IFERROR(IF(ISNUMBER(INDEX(SPPR!$E:$Z,MATCH($A105,SPPR!$A:$A,0),1)),$C105*INDEX(SPPR!$E:$Z,MATCH($A105,SPPR!$A:$A,0),1),""),"")</f>
        <v/>
      </c>
      <c r="E105">
        <f>IFERROR(IF(ISNUMBER(INDEX(SPPR!$E:$Z,MATCH($A105,SPPR!$A:$A,0),2)),$C105*INDEX(SPPR!$E:$Z,MATCH($A105,SPPR!$A:$A,0),2),""),"")</f>
        <v/>
      </c>
      <c r="F105">
        <f>IFERROR(IF(ISNUMBER(INDEX(SPPR!$E:$Z,MATCH($A105,SPPR!$A:$A,0),3)),$C105*INDEX(SPPR!$E:$Z,MATCH($A105,SPPR!$A:$A,0),3),""),"")</f>
        <v/>
      </c>
      <c r="G105">
        <f>IFERROR(IF(ISNUMBER(INDEX(SPPR!$E:$Z,MATCH($A105,SPPR!$A:$A,0),4)),$C105*INDEX(SPPR!$E:$Z,MATCH($A105,SPPR!$A:$A,0),4),""),"")</f>
        <v/>
      </c>
      <c r="H105">
        <f>IFERROR(IF(ISNUMBER(INDEX(SPPR!$E:$Z,MATCH($A105,SPPR!$A:$A,0),5)),$C105*INDEX(SPPR!$E:$Z,MATCH($A105,SPPR!$A:$A,0),5),""),"")</f>
        <v/>
      </c>
      <c r="I105">
        <f>IFERROR(IF(ISNUMBER(INDEX(SPPR!$E:$Z,MATCH($A105,SPPR!$A:$A,0),6)),$C105*INDEX(SPPR!$E:$Z,MATCH($A105,SPPR!$A:$A,0),6),""),"")</f>
        <v/>
      </c>
      <c r="J105">
        <f>IFERROR(IF(ISNUMBER(INDEX(SPPR!$E:$Z,MATCH($A105,SPPR!$A:$A,0),7)),$C105*INDEX(SPPR!$E:$Z,MATCH($A105,SPPR!$A:$A,0),7),""),"")</f>
        <v/>
      </c>
      <c r="K105">
        <f>IFERROR(IF(ISNUMBER(INDEX(SPPR!$E:$Z,MATCH($A105,SPPR!$A:$A,0),8)),$C105*INDEX(SPPR!$E:$Z,MATCH($A105,SPPR!$A:$A,0),8),""),"")</f>
        <v/>
      </c>
      <c r="L105">
        <f>IFERROR(IF(ISNUMBER(INDEX(SPPR!$E:$Z,MATCH($A105,SPPR!$A:$A,0),9)),$C105*INDEX(SPPR!$E:$Z,MATCH($A105,SPPR!$A:$A,0),9),""),"")</f>
        <v/>
      </c>
      <c r="M105">
        <f>IFERROR(IF(ISNUMBER(INDEX(SPPR!$E:$Z,MATCH($A105,SPPR!$A:$A,0),10)),$C105*INDEX(SPPR!$E:$Z,MATCH($A105,SPPR!$A:$A,0),10),""),"")</f>
        <v/>
      </c>
      <c r="N105">
        <f>IFERROR(IF(ISNUMBER(INDEX(SPPR!$E:$Z,MATCH($A105,SPPR!$A:$A,0),11)),$C105*INDEX(SPPR!$E:$Z,MATCH($A105,SPPR!$A:$A,0),11),""),"")</f>
        <v/>
      </c>
      <c r="O105">
        <f>IFERROR(IF(ISNUMBER(INDEX(SPPR!$E:$Z,MATCH($A105,SPPR!$A:$A,0),12)),$C105*INDEX(SPPR!$E:$Z,MATCH($A105,SPPR!$A:$A,0),12),""),"")</f>
        <v/>
      </c>
      <c r="P105">
        <f>IFERROR(IF(ISNUMBER(INDEX(SPPR!$E:$Z,MATCH($A105,SPPR!$A:$A,0),13)),$C105*INDEX(SPPR!$E:$Z,MATCH($A105,SPPR!$A:$A,0),13),""),"")</f>
        <v/>
      </c>
      <c r="Q105">
        <f>IFERROR(IF(ISNUMBER(INDEX(SPPR!$E:$Z,MATCH($A105,SPPR!$A:$A,0),14)),$C105*INDEX(SPPR!$E:$Z,MATCH($A105,SPPR!$A:$A,0),14),""),"")</f>
        <v/>
      </c>
      <c r="R105">
        <f>IFERROR(IF(ISNUMBER(INDEX(SPPR!$E:$Z,MATCH($A105,SPPR!$A:$A,0),15)),$C105*INDEX(SPPR!$E:$Z,MATCH($A105,SPPR!$A:$A,0),15),""),"")</f>
        <v/>
      </c>
      <c r="S105">
        <f>IFERROR(IF(ISNUMBER(INDEX(SPPR!$E:$Z,MATCH($A105,SPPR!$A:$A,0),16)),$C105*INDEX(SPPR!$E:$Z,MATCH($A105,SPPR!$A:$A,0),16),""),"")</f>
        <v/>
      </c>
      <c r="T105">
        <f>IFERROR(IF(ISNUMBER(INDEX(SPPR!$E:$Z,MATCH($A105,SPPR!$A:$A,0),17)),$C105*INDEX(SPPR!$E:$Z,MATCH($A105,SPPR!$A:$A,0),17),""),"")</f>
        <v/>
      </c>
      <c r="U105">
        <f>IFERROR(IF(ISNUMBER(INDEX(SPPR!$E:$Z,MATCH($A105,SPPR!$A:$A,0),18)),$C105*INDEX(SPPR!$E:$Z,MATCH($A105,SPPR!$A:$A,0),18),""),"")</f>
        <v/>
      </c>
      <c r="V105">
        <f>IFERROR(IF(ISNUMBER(INDEX(SPPR!$E:$Z,MATCH($A105,SPPR!$A:$A,0),19)),$C105*INDEX(SPPR!$E:$Z,MATCH($A105,SPPR!$A:$A,0),19),""),"")</f>
        <v/>
      </c>
      <c r="W105">
        <f>IFERROR(IF(ISNUMBER(INDEX(SPPR!$E:$Z,MATCH($A105,SPPR!$A:$A,0),20)),$C105*INDEX(SPPR!$E:$Z,MATCH($A105,SPPR!$A:$A,0),20),""),"")</f>
        <v/>
      </c>
      <c r="X105">
        <f>IFERROR(IF(ISNUMBER(INDEX(SPPR!$E:$Z,MATCH($A105,SPPR!$A:$A,0),21)),$C105*INDEX(SPPR!$E:$Z,MATCH($A105,SPPR!$A:$A,0),21),""),"")</f>
        <v/>
      </c>
      <c r="Y105">
        <f>IFERROR(IF(ISNUMBER(INDEX(SPPR!$E:$Z,MATCH($A105,SPPR!$A:$A,0),22)),$C105*INDEX(SPPR!$E:$Z,MATCH($A105,SPPR!$A:$A,0),22),""),"")</f>
        <v/>
      </c>
    </row>
    <row r="106">
      <c r="A106" t="inlineStr">
        <is>
          <t>Pleuronectiformes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IFERROR(IF(ISNUMBER(INDEX(SPPR!$E:$Z,MATCH($A106,SPPR!$A:$A,0),1)),$C106*INDEX(SPPR!$E:$Z,MATCH($A106,SPPR!$A:$A,0),1),""),"")</f>
        <v/>
      </c>
      <c r="E106">
        <f>IFERROR(IF(ISNUMBER(INDEX(SPPR!$E:$Z,MATCH($A106,SPPR!$A:$A,0),2)),$C106*INDEX(SPPR!$E:$Z,MATCH($A106,SPPR!$A:$A,0),2),""),"")</f>
        <v/>
      </c>
      <c r="F106">
        <f>IFERROR(IF(ISNUMBER(INDEX(SPPR!$E:$Z,MATCH($A106,SPPR!$A:$A,0),3)),$C106*INDEX(SPPR!$E:$Z,MATCH($A106,SPPR!$A:$A,0),3),""),"")</f>
        <v/>
      </c>
      <c r="G106">
        <f>IFERROR(IF(ISNUMBER(INDEX(SPPR!$E:$Z,MATCH($A106,SPPR!$A:$A,0),4)),$C106*INDEX(SPPR!$E:$Z,MATCH($A106,SPPR!$A:$A,0),4),""),"")</f>
        <v/>
      </c>
      <c r="H106">
        <f>IFERROR(IF(ISNUMBER(INDEX(SPPR!$E:$Z,MATCH($A106,SPPR!$A:$A,0),5)),$C106*INDEX(SPPR!$E:$Z,MATCH($A106,SPPR!$A:$A,0),5),""),"")</f>
        <v/>
      </c>
      <c r="I106">
        <f>IFERROR(IF(ISNUMBER(INDEX(SPPR!$E:$Z,MATCH($A106,SPPR!$A:$A,0),6)),$C106*INDEX(SPPR!$E:$Z,MATCH($A106,SPPR!$A:$A,0),6),""),"")</f>
        <v/>
      </c>
      <c r="J106">
        <f>IFERROR(IF(ISNUMBER(INDEX(SPPR!$E:$Z,MATCH($A106,SPPR!$A:$A,0),7)),$C106*INDEX(SPPR!$E:$Z,MATCH($A106,SPPR!$A:$A,0),7),""),"")</f>
        <v/>
      </c>
      <c r="K106">
        <f>IFERROR(IF(ISNUMBER(INDEX(SPPR!$E:$Z,MATCH($A106,SPPR!$A:$A,0),8)),$C106*INDEX(SPPR!$E:$Z,MATCH($A106,SPPR!$A:$A,0),8),""),"")</f>
        <v/>
      </c>
      <c r="L106">
        <f>IFERROR(IF(ISNUMBER(INDEX(SPPR!$E:$Z,MATCH($A106,SPPR!$A:$A,0),9)),$C106*INDEX(SPPR!$E:$Z,MATCH($A106,SPPR!$A:$A,0),9),""),"")</f>
        <v/>
      </c>
      <c r="M106">
        <f>IFERROR(IF(ISNUMBER(INDEX(SPPR!$E:$Z,MATCH($A106,SPPR!$A:$A,0),10)),$C106*INDEX(SPPR!$E:$Z,MATCH($A106,SPPR!$A:$A,0),10),""),"")</f>
        <v/>
      </c>
      <c r="N106">
        <f>IFERROR(IF(ISNUMBER(INDEX(SPPR!$E:$Z,MATCH($A106,SPPR!$A:$A,0),11)),$C106*INDEX(SPPR!$E:$Z,MATCH($A106,SPPR!$A:$A,0),11),""),"")</f>
        <v/>
      </c>
      <c r="O106">
        <f>IFERROR(IF(ISNUMBER(INDEX(SPPR!$E:$Z,MATCH($A106,SPPR!$A:$A,0),12)),$C106*INDEX(SPPR!$E:$Z,MATCH($A106,SPPR!$A:$A,0),12),""),"")</f>
        <v/>
      </c>
      <c r="P106">
        <f>IFERROR(IF(ISNUMBER(INDEX(SPPR!$E:$Z,MATCH($A106,SPPR!$A:$A,0),13)),$C106*INDEX(SPPR!$E:$Z,MATCH($A106,SPPR!$A:$A,0),13),""),"")</f>
        <v/>
      </c>
      <c r="Q106">
        <f>IFERROR(IF(ISNUMBER(INDEX(SPPR!$E:$Z,MATCH($A106,SPPR!$A:$A,0),14)),$C106*INDEX(SPPR!$E:$Z,MATCH($A106,SPPR!$A:$A,0),14),""),"")</f>
        <v/>
      </c>
      <c r="R106">
        <f>IFERROR(IF(ISNUMBER(INDEX(SPPR!$E:$Z,MATCH($A106,SPPR!$A:$A,0),15)),$C106*INDEX(SPPR!$E:$Z,MATCH($A106,SPPR!$A:$A,0),15),""),"")</f>
        <v/>
      </c>
      <c r="S106">
        <f>IFERROR(IF(ISNUMBER(INDEX(SPPR!$E:$Z,MATCH($A106,SPPR!$A:$A,0),16)),$C106*INDEX(SPPR!$E:$Z,MATCH($A106,SPPR!$A:$A,0),16),""),"")</f>
        <v/>
      </c>
      <c r="T106">
        <f>IFERROR(IF(ISNUMBER(INDEX(SPPR!$E:$Z,MATCH($A106,SPPR!$A:$A,0),17)),$C106*INDEX(SPPR!$E:$Z,MATCH($A106,SPPR!$A:$A,0),17),""),"")</f>
        <v/>
      </c>
      <c r="U106">
        <f>IFERROR(IF(ISNUMBER(INDEX(SPPR!$E:$Z,MATCH($A106,SPPR!$A:$A,0),18)),$C106*INDEX(SPPR!$E:$Z,MATCH($A106,SPPR!$A:$A,0),18),""),"")</f>
        <v/>
      </c>
      <c r="V106">
        <f>IFERROR(IF(ISNUMBER(INDEX(SPPR!$E:$Z,MATCH($A106,SPPR!$A:$A,0),19)),$C106*INDEX(SPPR!$E:$Z,MATCH($A106,SPPR!$A:$A,0),19),""),"")</f>
        <v/>
      </c>
      <c r="W106">
        <f>IFERROR(IF(ISNUMBER(INDEX(SPPR!$E:$Z,MATCH($A106,SPPR!$A:$A,0),20)),$C106*INDEX(SPPR!$E:$Z,MATCH($A106,SPPR!$A:$A,0),20),""),"")</f>
        <v/>
      </c>
      <c r="X106">
        <f>IFERROR(IF(ISNUMBER(INDEX(SPPR!$E:$Z,MATCH($A106,SPPR!$A:$A,0),21)),$C106*INDEX(SPPR!$E:$Z,MATCH($A106,SPPR!$A:$A,0),21),""),"")</f>
        <v/>
      </c>
      <c r="Y106">
        <f>IFERROR(IF(ISNUMBER(INDEX(SPPR!$E:$Z,MATCH($A106,SPPR!$A:$A,0),22)),$C106*INDEX(SPPR!$E:$Z,MATCH($A106,SPPR!$A:$A,0),22),""),"")</f>
        <v/>
      </c>
    </row>
    <row r="107">
      <c r="A107" t="inlineStr">
        <is>
          <t>Caranx rhonchus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IFERROR(IF(ISNUMBER(INDEX(SPPR!$E:$Z,MATCH($A107,SPPR!$A:$A,0),1)),$C107*INDEX(SPPR!$E:$Z,MATCH($A107,SPPR!$A:$A,0),1),""),"")</f>
        <v/>
      </c>
      <c r="E107">
        <f>IFERROR(IF(ISNUMBER(INDEX(SPPR!$E:$Z,MATCH($A107,SPPR!$A:$A,0),2)),$C107*INDEX(SPPR!$E:$Z,MATCH($A107,SPPR!$A:$A,0),2),""),"")</f>
        <v/>
      </c>
      <c r="F107">
        <f>IFERROR(IF(ISNUMBER(INDEX(SPPR!$E:$Z,MATCH($A107,SPPR!$A:$A,0),3)),$C107*INDEX(SPPR!$E:$Z,MATCH($A107,SPPR!$A:$A,0),3),""),"")</f>
        <v/>
      </c>
      <c r="G107">
        <f>IFERROR(IF(ISNUMBER(INDEX(SPPR!$E:$Z,MATCH($A107,SPPR!$A:$A,0),4)),$C107*INDEX(SPPR!$E:$Z,MATCH($A107,SPPR!$A:$A,0),4),""),"")</f>
        <v/>
      </c>
      <c r="H107">
        <f>IFERROR(IF(ISNUMBER(INDEX(SPPR!$E:$Z,MATCH($A107,SPPR!$A:$A,0),5)),$C107*INDEX(SPPR!$E:$Z,MATCH($A107,SPPR!$A:$A,0),5),""),"")</f>
        <v/>
      </c>
      <c r="I107">
        <f>IFERROR(IF(ISNUMBER(INDEX(SPPR!$E:$Z,MATCH($A107,SPPR!$A:$A,0),6)),$C107*INDEX(SPPR!$E:$Z,MATCH($A107,SPPR!$A:$A,0),6),""),"")</f>
        <v/>
      </c>
      <c r="J107">
        <f>IFERROR(IF(ISNUMBER(INDEX(SPPR!$E:$Z,MATCH($A107,SPPR!$A:$A,0),7)),$C107*INDEX(SPPR!$E:$Z,MATCH($A107,SPPR!$A:$A,0),7),""),"")</f>
        <v/>
      </c>
      <c r="K107">
        <f>IFERROR(IF(ISNUMBER(INDEX(SPPR!$E:$Z,MATCH($A107,SPPR!$A:$A,0),8)),$C107*INDEX(SPPR!$E:$Z,MATCH($A107,SPPR!$A:$A,0),8),""),"")</f>
        <v/>
      </c>
      <c r="L107">
        <f>IFERROR(IF(ISNUMBER(INDEX(SPPR!$E:$Z,MATCH($A107,SPPR!$A:$A,0),9)),$C107*INDEX(SPPR!$E:$Z,MATCH($A107,SPPR!$A:$A,0),9),""),"")</f>
        <v/>
      </c>
      <c r="M107">
        <f>IFERROR(IF(ISNUMBER(INDEX(SPPR!$E:$Z,MATCH($A107,SPPR!$A:$A,0),10)),$C107*INDEX(SPPR!$E:$Z,MATCH($A107,SPPR!$A:$A,0),10),""),"")</f>
        <v/>
      </c>
      <c r="N107">
        <f>IFERROR(IF(ISNUMBER(INDEX(SPPR!$E:$Z,MATCH($A107,SPPR!$A:$A,0),11)),$C107*INDEX(SPPR!$E:$Z,MATCH($A107,SPPR!$A:$A,0),11),""),"")</f>
        <v/>
      </c>
      <c r="O107">
        <f>IFERROR(IF(ISNUMBER(INDEX(SPPR!$E:$Z,MATCH($A107,SPPR!$A:$A,0),12)),$C107*INDEX(SPPR!$E:$Z,MATCH($A107,SPPR!$A:$A,0),12),""),"")</f>
        <v/>
      </c>
      <c r="P107">
        <f>IFERROR(IF(ISNUMBER(INDEX(SPPR!$E:$Z,MATCH($A107,SPPR!$A:$A,0),13)),$C107*INDEX(SPPR!$E:$Z,MATCH($A107,SPPR!$A:$A,0),13),""),"")</f>
        <v/>
      </c>
      <c r="Q107">
        <f>IFERROR(IF(ISNUMBER(INDEX(SPPR!$E:$Z,MATCH($A107,SPPR!$A:$A,0),14)),$C107*INDEX(SPPR!$E:$Z,MATCH($A107,SPPR!$A:$A,0),14),""),"")</f>
        <v/>
      </c>
      <c r="R107">
        <f>IFERROR(IF(ISNUMBER(INDEX(SPPR!$E:$Z,MATCH($A107,SPPR!$A:$A,0),15)),$C107*INDEX(SPPR!$E:$Z,MATCH($A107,SPPR!$A:$A,0),15),""),"")</f>
        <v/>
      </c>
      <c r="S107">
        <f>IFERROR(IF(ISNUMBER(INDEX(SPPR!$E:$Z,MATCH($A107,SPPR!$A:$A,0),16)),$C107*INDEX(SPPR!$E:$Z,MATCH($A107,SPPR!$A:$A,0),16),""),"")</f>
        <v/>
      </c>
      <c r="T107">
        <f>IFERROR(IF(ISNUMBER(INDEX(SPPR!$E:$Z,MATCH($A107,SPPR!$A:$A,0),17)),$C107*INDEX(SPPR!$E:$Z,MATCH($A107,SPPR!$A:$A,0),17),""),"")</f>
        <v/>
      </c>
      <c r="U107">
        <f>IFERROR(IF(ISNUMBER(INDEX(SPPR!$E:$Z,MATCH($A107,SPPR!$A:$A,0),18)),$C107*INDEX(SPPR!$E:$Z,MATCH($A107,SPPR!$A:$A,0),18),""),"")</f>
        <v/>
      </c>
      <c r="V107">
        <f>IFERROR(IF(ISNUMBER(INDEX(SPPR!$E:$Z,MATCH($A107,SPPR!$A:$A,0),19)),$C107*INDEX(SPPR!$E:$Z,MATCH($A107,SPPR!$A:$A,0),19),""),"")</f>
        <v/>
      </c>
      <c r="W107">
        <f>IFERROR(IF(ISNUMBER(INDEX(SPPR!$E:$Z,MATCH($A107,SPPR!$A:$A,0),20)),$C107*INDEX(SPPR!$E:$Z,MATCH($A107,SPPR!$A:$A,0),20),""),"")</f>
        <v/>
      </c>
      <c r="X107">
        <f>IFERROR(IF(ISNUMBER(INDEX(SPPR!$E:$Z,MATCH($A107,SPPR!$A:$A,0),21)),$C107*INDEX(SPPR!$E:$Z,MATCH($A107,SPPR!$A:$A,0),21),""),"")</f>
        <v/>
      </c>
      <c r="Y107">
        <f>IFERROR(IF(ISNUMBER(INDEX(SPPR!$E:$Z,MATCH($A107,SPPR!$A:$A,0),22)),$C107*INDEX(SPPR!$E:$Z,MATCH($A107,SPPR!$A:$A,0),22),""),"")</f>
        <v/>
      </c>
    </row>
    <row r="108">
      <c r="A108" t="inlineStr">
        <is>
          <t>Chondrichthyes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IFERROR(IF(ISNUMBER(INDEX(SPPR!$E:$Z,MATCH($A108,SPPR!$A:$A,0),1)),$C108*INDEX(SPPR!$E:$Z,MATCH($A108,SPPR!$A:$A,0),1),""),"")</f>
        <v/>
      </c>
      <c r="E108">
        <f>IFERROR(IF(ISNUMBER(INDEX(SPPR!$E:$Z,MATCH($A108,SPPR!$A:$A,0),2)),$C108*INDEX(SPPR!$E:$Z,MATCH($A108,SPPR!$A:$A,0),2),""),"")</f>
        <v/>
      </c>
      <c r="F108">
        <f>IFERROR(IF(ISNUMBER(INDEX(SPPR!$E:$Z,MATCH($A108,SPPR!$A:$A,0),3)),$C108*INDEX(SPPR!$E:$Z,MATCH($A108,SPPR!$A:$A,0),3),""),"")</f>
        <v/>
      </c>
      <c r="G108">
        <f>IFERROR(IF(ISNUMBER(INDEX(SPPR!$E:$Z,MATCH($A108,SPPR!$A:$A,0),4)),$C108*INDEX(SPPR!$E:$Z,MATCH($A108,SPPR!$A:$A,0),4),""),"")</f>
        <v/>
      </c>
      <c r="H108">
        <f>IFERROR(IF(ISNUMBER(INDEX(SPPR!$E:$Z,MATCH($A108,SPPR!$A:$A,0),5)),$C108*INDEX(SPPR!$E:$Z,MATCH($A108,SPPR!$A:$A,0),5),""),"")</f>
        <v/>
      </c>
      <c r="I108">
        <f>IFERROR(IF(ISNUMBER(INDEX(SPPR!$E:$Z,MATCH($A108,SPPR!$A:$A,0),6)),$C108*INDEX(SPPR!$E:$Z,MATCH($A108,SPPR!$A:$A,0),6),""),"")</f>
        <v/>
      </c>
      <c r="J108">
        <f>IFERROR(IF(ISNUMBER(INDEX(SPPR!$E:$Z,MATCH($A108,SPPR!$A:$A,0),7)),$C108*INDEX(SPPR!$E:$Z,MATCH($A108,SPPR!$A:$A,0),7),""),"")</f>
        <v/>
      </c>
      <c r="K108">
        <f>IFERROR(IF(ISNUMBER(INDEX(SPPR!$E:$Z,MATCH($A108,SPPR!$A:$A,0),8)),$C108*INDEX(SPPR!$E:$Z,MATCH($A108,SPPR!$A:$A,0),8),""),"")</f>
        <v/>
      </c>
      <c r="L108">
        <f>IFERROR(IF(ISNUMBER(INDEX(SPPR!$E:$Z,MATCH($A108,SPPR!$A:$A,0),9)),$C108*INDEX(SPPR!$E:$Z,MATCH($A108,SPPR!$A:$A,0),9),""),"")</f>
        <v/>
      </c>
      <c r="M108">
        <f>IFERROR(IF(ISNUMBER(INDEX(SPPR!$E:$Z,MATCH($A108,SPPR!$A:$A,0),10)),$C108*INDEX(SPPR!$E:$Z,MATCH($A108,SPPR!$A:$A,0),10),""),"")</f>
        <v/>
      </c>
      <c r="N108">
        <f>IFERROR(IF(ISNUMBER(INDEX(SPPR!$E:$Z,MATCH($A108,SPPR!$A:$A,0),11)),$C108*INDEX(SPPR!$E:$Z,MATCH($A108,SPPR!$A:$A,0),11),""),"")</f>
        <v/>
      </c>
      <c r="O108">
        <f>IFERROR(IF(ISNUMBER(INDEX(SPPR!$E:$Z,MATCH($A108,SPPR!$A:$A,0),12)),$C108*INDEX(SPPR!$E:$Z,MATCH($A108,SPPR!$A:$A,0),12),""),"")</f>
        <v/>
      </c>
      <c r="P108">
        <f>IFERROR(IF(ISNUMBER(INDEX(SPPR!$E:$Z,MATCH($A108,SPPR!$A:$A,0),13)),$C108*INDEX(SPPR!$E:$Z,MATCH($A108,SPPR!$A:$A,0),13),""),"")</f>
        <v/>
      </c>
      <c r="Q108">
        <f>IFERROR(IF(ISNUMBER(INDEX(SPPR!$E:$Z,MATCH($A108,SPPR!$A:$A,0),14)),$C108*INDEX(SPPR!$E:$Z,MATCH($A108,SPPR!$A:$A,0),14),""),"")</f>
        <v/>
      </c>
      <c r="R108">
        <f>IFERROR(IF(ISNUMBER(INDEX(SPPR!$E:$Z,MATCH($A108,SPPR!$A:$A,0),15)),$C108*INDEX(SPPR!$E:$Z,MATCH($A108,SPPR!$A:$A,0),15),""),"")</f>
        <v/>
      </c>
      <c r="S108">
        <f>IFERROR(IF(ISNUMBER(INDEX(SPPR!$E:$Z,MATCH($A108,SPPR!$A:$A,0),16)),$C108*INDEX(SPPR!$E:$Z,MATCH($A108,SPPR!$A:$A,0),16),""),"")</f>
        <v/>
      </c>
      <c r="T108">
        <f>IFERROR(IF(ISNUMBER(INDEX(SPPR!$E:$Z,MATCH($A108,SPPR!$A:$A,0),17)),$C108*INDEX(SPPR!$E:$Z,MATCH($A108,SPPR!$A:$A,0),17),""),"")</f>
        <v/>
      </c>
      <c r="U108">
        <f>IFERROR(IF(ISNUMBER(INDEX(SPPR!$E:$Z,MATCH($A108,SPPR!$A:$A,0),18)),$C108*INDEX(SPPR!$E:$Z,MATCH($A108,SPPR!$A:$A,0),18),""),"")</f>
        <v/>
      </c>
      <c r="V108">
        <f>IFERROR(IF(ISNUMBER(INDEX(SPPR!$E:$Z,MATCH($A108,SPPR!$A:$A,0),19)),$C108*INDEX(SPPR!$E:$Z,MATCH($A108,SPPR!$A:$A,0),19),""),"")</f>
        <v/>
      </c>
      <c r="W108">
        <f>IFERROR(IF(ISNUMBER(INDEX(SPPR!$E:$Z,MATCH($A108,SPPR!$A:$A,0),20)),$C108*INDEX(SPPR!$E:$Z,MATCH($A108,SPPR!$A:$A,0),20),""),"")</f>
        <v/>
      </c>
      <c r="X108">
        <f>IFERROR(IF(ISNUMBER(INDEX(SPPR!$E:$Z,MATCH($A108,SPPR!$A:$A,0),21)),$C108*INDEX(SPPR!$E:$Z,MATCH($A108,SPPR!$A:$A,0),21),""),"")</f>
        <v/>
      </c>
      <c r="Y108">
        <f>IFERROR(IF(ISNUMBER(INDEX(SPPR!$E:$Z,MATCH($A108,SPPR!$A:$A,0),22)),$C108*INDEX(SPPR!$E:$Z,MATCH($A108,SPPR!$A:$A,0),22),""),"")</f>
        <v/>
      </c>
    </row>
    <row r="109">
      <c r="A109" t="inlineStr">
        <is>
          <t>Acanthocybium solandri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IFERROR(IF(ISNUMBER(INDEX(SPPR!$E:$Z,MATCH($A109,SPPR!$A:$A,0),1)),$C109*INDEX(SPPR!$E:$Z,MATCH($A109,SPPR!$A:$A,0),1),""),"")</f>
        <v/>
      </c>
      <c r="E109">
        <f>IFERROR(IF(ISNUMBER(INDEX(SPPR!$E:$Z,MATCH($A109,SPPR!$A:$A,0),2)),$C109*INDEX(SPPR!$E:$Z,MATCH($A109,SPPR!$A:$A,0),2),""),"")</f>
        <v/>
      </c>
      <c r="F109">
        <f>IFERROR(IF(ISNUMBER(INDEX(SPPR!$E:$Z,MATCH($A109,SPPR!$A:$A,0),3)),$C109*INDEX(SPPR!$E:$Z,MATCH($A109,SPPR!$A:$A,0),3),""),"")</f>
        <v/>
      </c>
      <c r="G109">
        <f>IFERROR(IF(ISNUMBER(INDEX(SPPR!$E:$Z,MATCH($A109,SPPR!$A:$A,0),4)),$C109*INDEX(SPPR!$E:$Z,MATCH($A109,SPPR!$A:$A,0),4),""),"")</f>
        <v/>
      </c>
      <c r="H109">
        <f>IFERROR(IF(ISNUMBER(INDEX(SPPR!$E:$Z,MATCH($A109,SPPR!$A:$A,0),5)),$C109*INDEX(SPPR!$E:$Z,MATCH($A109,SPPR!$A:$A,0),5),""),"")</f>
        <v/>
      </c>
      <c r="I109">
        <f>IFERROR(IF(ISNUMBER(INDEX(SPPR!$E:$Z,MATCH($A109,SPPR!$A:$A,0),6)),$C109*INDEX(SPPR!$E:$Z,MATCH($A109,SPPR!$A:$A,0),6),""),"")</f>
        <v/>
      </c>
      <c r="J109">
        <f>IFERROR(IF(ISNUMBER(INDEX(SPPR!$E:$Z,MATCH($A109,SPPR!$A:$A,0),7)),$C109*INDEX(SPPR!$E:$Z,MATCH($A109,SPPR!$A:$A,0),7),""),"")</f>
        <v/>
      </c>
      <c r="K109">
        <f>IFERROR(IF(ISNUMBER(INDEX(SPPR!$E:$Z,MATCH($A109,SPPR!$A:$A,0),8)),$C109*INDEX(SPPR!$E:$Z,MATCH($A109,SPPR!$A:$A,0),8),""),"")</f>
        <v/>
      </c>
      <c r="L109">
        <f>IFERROR(IF(ISNUMBER(INDEX(SPPR!$E:$Z,MATCH($A109,SPPR!$A:$A,0),9)),$C109*INDEX(SPPR!$E:$Z,MATCH($A109,SPPR!$A:$A,0),9),""),"")</f>
        <v/>
      </c>
      <c r="M109">
        <f>IFERROR(IF(ISNUMBER(INDEX(SPPR!$E:$Z,MATCH($A109,SPPR!$A:$A,0),10)),$C109*INDEX(SPPR!$E:$Z,MATCH($A109,SPPR!$A:$A,0),10),""),"")</f>
        <v/>
      </c>
      <c r="N109">
        <f>IFERROR(IF(ISNUMBER(INDEX(SPPR!$E:$Z,MATCH($A109,SPPR!$A:$A,0),11)),$C109*INDEX(SPPR!$E:$Z,MATCH($A109,SPPR!$A:$A,0),11),""),"")</f>
        <v/>
      </c>
      <c r="O109">
        <f>IFERROR(IF(ISNUMBER(INDEX(SPPR!$E:$Z,MATCH($A109,SPPR!$A:$A,0),12)),$C109*INDEX(SPPR!$E:$Z,MATCH($A109,SPPR!$A:$A,0),12),""),"")</f>
        <v/>
      </c>
      <c r="P109">
        <f>IFERROR(IF(ISNUMBER(INDEX(SPPR!$E:$Z,MATCH($A109,SPPR!$A:$A,0),13)),$C109*INDEX(SPPR!$E:$Z,MATCH($A109,SPPR!$A:$A,0),13),""),"")</f>
        <v/>
      </c>
      <c r="Q109">
        <f>IFERROR(IF(ISNUMBER(INDEX(SPPR!$E:$Z,MATCH($A109,SPPR!$A:$A,0),14)),$C109*INDEX(SPPR!$E:$Z,MATCH($A109,SPPR!$A:$A,0),14),""),"")</f>
        <v/>
      </c>
      <c r="R109">
        <f>IFERROR(IF(ISNUMBER(INDEX(SPPR!$E:$Z,MATCH($A109,SPPR!$A:$A,0),15)),$C109*INDEX(SPPR!$E:$Z,MATCH($A109,SPPR!$A:$A,0),15),""),"")</f>
        <v/>
      </c>
      <c r="S109">
        <f>IFERROR(IF(ISNUMBER(INDEX(SPPR!$E:$Z,MATCH($A109,SPPR!$A:$A,0),16)),$C109*INDEX(SPPR!$E:$Z,MATCH($A109,SPPR!$A:$A,0),16),""),"")</f>
        <v/>
      </c>
      <c r="T109">
        <f>IFERROR(IF(ISNUMBER(INDEX(SPPR!$E:$Z,MATCH($A109,SPPR!$A:$A,0),17)),$C109*INDEX(SPPR!$E:$Z,MATCH($A109,SPPR!$A:$A,0),17),""),"")</f>
        <v/>
      </c>
      <c r="U109">
        <f>IFERROR(IF(ISNUMBER(INDEX(SPPR!$E:$Z,MATCH($A109,SPPR!$A:$A,0),18)),$C109*INDEX(SPPR!$E:$Z,MATCH($A109,SPPR!$A:$A,0),18),""),"")</f>
        <v/>
      </c>
      <c r="V109">
        <f>IFERROR(IF(ISNUMBER(INDEX(SPPR!$E:$Z,MATCH($A109,SPPR!$A:$A,0),19)),$C109*INDEX(SPPR!$E:$Z,MATCH($A109,SPPR!$A:$A,0),19),""),"")</f>
        <v/>
      </c>
      <c r="W109">
        <f>IFERROR(IF(ISNUMBER(INDEX(SPPR!$E:$Z,MATCH($A109,SPPR!$A:$A,0),20)),$C109*INDEX(SPPR!$E:$Z,MATCH($A109,SPPR!$A:$A,0),20),""),"")</f>
        <v/>
      </c>
      <c r="X109">
        <f>IFERROR(IF(ISNUMBER(INDEX(SPPR!$E:$Z,MATCH($A109,SPPR!$A:$A,0),21)),$C109*INDEX(SPPR!$E:$Z,MATCH($A109,SPPR!$A:$A,0),21),""),"")</f>
        <v/>
      </c>
      <c r="Y109">
        <f>IFERROR(IF(ISNUMBER(INDEX(SPPR!$E:$Z,MATCH($A109,SPPR!$A:$A,0),22)),$C109*INDEX(SPPR!$E:$Z,MATCH($A109,SPPR!$A:$A,0),22),""),"")</f>
        <v/>
      </c>
    </row>
    <row r="110">
      <c r="A110" t="inlineStr">
        <is>
          <t>Decapterus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IFERROR(IF(ISNUMBER(INDEX(SPPR!$E:$Z,MATCH($A110,SPPR!$A:$A,0),1)),$C110*INDEX(SPPR!$E:$Z,MATCH($A110,SPPR!$A:$A,0),1),""),"")</f>
        <v/>
      </c>
      <c r="E110">
        <f>IFERROR(IF(ISNUMBER(INDEX(SPPR!$E:$Z,MATCH($A110,SPPR!$A:$A,0),2)),$C110*INDEX(SPPR!$E:$Z,MATCH($A110,SPPR!$A:$A,0),2),""),"")</f>
        <v/>
      </c>
      <c r="F110">
        <f>IFERROR(IF(ISNUMBER(INDEX(SPPR!$E:$Z,MATCH($A110,SPPR!$A:$A,0),3)),$C110*INDEX(SPPR!$E:$Z,MATCH($A110,SPPR!$A:$A,0),3),""),"")</f>
        <v/>
      </c>
      <c r="G110">
        <f>IFERROR(IF(ISNUMBER(INDEX(SPPR!$E:$Z,MATCH($A110,SPPR!$A:$A,0),4)),$C110*INDEX(SPPR!$E:$Z,MATCH($A110,SPPR!$A:$A,0),4),""),"")</f>
        <v/>
      </c>
      <c r="H110">
        <f>IFERROR(IF(ISNUMBER(INDEX(SPPR!$E:$Z,MATCH($A110,SPPR!$A:$A,0),5)),$C110*INDEX(SPPR!$E:$Z,MATCH($A110,SPPR!$A:$A,0),5),""),"")</f>
        <v/>
      </c>
      <c r="I110">
        <f>IFERROR(IF(ISNUMBER(INDEX(SPPR!$E:$Z,MATCH($A110,SPPR!$A:$A,0),6)),$C110*INDEX(SPPR!$E:$Z,MATCH($A110,SPPR!$A:$A,0),6),""),"")</f>
        <v/>
      </c>
      <c r="J110">
        <f>IFERROR(IF(ISNUMBER(INDEX(SPPR!$E:$Z,MATCH($A110,SPPR!$A:$A,0),7)),$C110*INDEX(SPPR!$E:$Z,MATCH($A110,SPPR!$A:$A,0),7),""),"")</f>
        <v/>
      </c>
      <c r="K110">
        <f>IFERROR(IF(ISNUMBER(INDEX(SPPR!$E:$Z,MATCH($A110,SPPR!$A:$A,0),8)),$C110*INDEX(SPPR!$E:$Z,MATCH($A110,SPPR!$A:$A,0),8),""),"")</f>
        <v/>
      </c>
      <c r="L110">
        <f>IFERROR(IF(ISNUMBER(INDEX(SPPR!$E:$Z,MATCH($A110,SPPR!$A:$A,0),9)),$C110*INDEX(SPPR!$E:$Z,MATCH($A110,SPPR!$A:$A,0),9),""),"")</f>
        <v/>
      </c>
      <c r="M110">
        <f>IFERROR(IF(ISNUMBER(INDEX(SPPR!$E:$Z,MATCH($A110,SPPR!$A:$A,0),10)),$C110*INDEX(SPPR!$E:$Z,MATCH($A110,SPPR!$A:$A,0),10),""),"")</f>
        <v/>
      </c>
      <c r="N110">
        <f>IFERROR(IF(ISNUMBER(INDEX(SPPR!$E:$Z,MATCH($A110,SPPR!$A:$A,0),11)),$C110*INDEX(SPPR!$E:$Z,MATCH($A110,SPPR!$A:$A,0),11),""),"")</f>
        <v/>
      </c>
      <c r="O110">
        <f>IFERROR(IF(ISNUMBER(INDEX(SPPR!$E:$Z,MATCH($A110,SPPR!$A:$A,0),12)),$C110*INDEX(SPPR!$E:$Z,MATCH($A110,SPPR!$A:$A,0),12),""),"")</f>
        <v/>
      </c>
      <c r="P110">
        <f>IFERROR(IF(ISNUMBER(INDEX(SPPR!$E:$Z,MATCH($A110,SPPR!$A:$A,0),13)),$C110*INDEX(SPPR!$E:$Z,MATCH($A110,SPPR!$A:$A,0),13),""),"")</f>
        <v/>
      </c>
      <c r="Q110">
        <f>IFERROR(IF(ISNUMBER(INDEX(SPPR!$E:$Z,MATCH($A110,SPPR!$A:$A,0),14)),$C110*INDEX(SPPR!$E:$Z,MATCH($A110,SPPR!$A:$A,0),14),""),"")</f>
        <v/>
      </c>
      <c r="R110">
        <f>IFERROR(IF(ISNUMBER(INDEX(SPPR!$E:$Z,MATCH($A110,SPPR!$A:$A,0),15)),$C110*INDEX(SPPR!$E:$Z,MATCH($A110,SPPR!$A:$A,0),15),""),"")</f>
        <v/>
      </c>
      <c r="S110">
        <f>IFERROR(IF(ISNUMBER(INDEX(SPPR!$E:$Z,MATCH($A110,SPPR!$A:$A,0),16)),$C110*INDEX(SPPR!$E:$Z,MATCH($A110,SPPR!$A:$A,0),16),""),"")</f>
        <v/>
      </c>
      <c r="T110">
        <f>IFERROR(IF(ISNUMBER(INDEX(SPPR!$E:$Z,MATCH($A110,SPPR!$A:$A,0),17)),$C110*INDEX(SPPR!$E:$Z,MATCH($A110,SPPR!$A:$A,0),17),""),"")</f>
        <v/>
      </c>
      <c r="U110">
        <f>IFERROR(IF(ISNUMBER(INDEX(SPPR!$E:$Z,MATCH($A110,SPPR!$A:$A,0),18)),$C110*INDEX(SPPR!$E:$Z,MATCH($A110,SPPR!$A:$A,0),18),""),"")</f>
        <v/>
      </c>
      <c r="V110">
        <f>IFERROR(IF(ISNUMBER(INDEX(SPPR!$E:$Z,MATCH($A110,SPPR!$A:$A,0),19)),$C110*INDEX(SPPR!$E:$Z,MATCH($A110,SPPR!$A:$A,0),19),""),"")</f>
        <v/>
      </c>
      <c r="W110">
        <f>IFERROR(IF(ISNUMBER(INDEX(SPPR!$E:$Z,MATCH($A110,SPPR!$A:$A,0),20)),$C110*INDEX(SPPR!$E:$Z,MATCH($A110,SPPR!$A:$A,0),20),""),"")</f>
        <v/>
      </c>
      <c r="X110">
        <f>IFERROR(IF(ISNUMBER(INDEX(SPPR!$E:$Z,MATCH($A110,SPPR!$A:$A,0),21)),$C110*INDEX(SPPR!$E:$Z,MATCH($A110,SPPR!$A:$A,0),21),""),"")</f>
        <v/>
      </c>
      <c r="Y110">
        <f>IFERROR(IF(ISNUMBER(INDEX(SPPR!$E:$Z,MATCH($A110,SPPR!$A:$A,0),22)),$C110*INDEX(SPPR!$E:$Z,MATCH($A110,SPPR!$A:$A,0),22),""),"")</f>
        <v/>
      </c>
    </row>
    <row r="111">
      <c r="A111" t="inlineStr">
        <is>
          <t>Murex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IFERROR(IF(ISNUMBER(INDEX(SPPR!$E:$Z,MATCH($A111,SPPR!$A:$A,0),1)),$C111*INDEX(SPPR!$E:$Z,MATCH($A111,SPPR!$A:$A,0),1),""),"")</f>
        <v/>
      </c>
      <c r="E111">
        <f>IFERROR(IF(ISNUMBER(INDEX(SPPR!$E:$Z,MATCH($A111,SPPR!$A:$A,0),2)),$C111*INDEX(SPPR!$E:$Z,MATCH($A111,SPPR!$A:$A,0),2),""),"")</f>
        <v/>
      </c>
      <c r="F111">
        <f>IFERROR(IF(ISNUMBER(INDEX(SPPR!$E:$Z,MATCH($A111,SPPR!$A:$A,0),3)),$C111*INDEX(SPPR!$E:$Z,MATCH($A111,SPPR!$A:$A,0),3),""),"")</f>
        <v/>
      </c>
      <c r="G111">
        <f>IFERROR(IF(ISNUMBER(INDEX(SPPR!$E:$Z,MATCH($A111,SPPR!$A:$A,0),4)),$C111*INDEX(SPPR!$E:$Z,MATCH($A111,SPPR!$A:$A,0),4),""),"")</f>
        <v/>
      </c>
      <c r="H111">
        <f>IFERROR(IF(ISNUMBER(INDEX(SPPR!$E:$Z,MATCH($A111,SPPR!$A:$A,0),5)),$C111*INDEX(SPPR!$E:$Z,MATCH($A111,SPPR!$A:$A,0),5),""),"")</f>
        <v/>
      </c>
      <c r="I111">
        <f>IFERROR(IF(ISNUMBER(INDEX(SPPR!$E:$Z,MATCH($A111,SPPR!$A:$A,0),6)),$C111*INDEX(SPPR!$E:$Z,MATCH($A111,SPPR!$A:$A,0),6),""),"")</f>
        <v/>
      </c>
      <c r="J111">
        <f>IFERROR(IF(ISNUMBER(INDEX(SPPR!$E:$Z,MATCH($A111,SPPR!$A:$A,0),7)),$C111*INDEX(SPPR!$E:$Z,MATCH($A111,SPPR!$A:$A,0),7),""),"")</f>
        <v/>
      </c>
      <c r="K111">
        <f>IFERROR(IF(ISNUMBER(INDEX(SPPR!$E:$Z,MATCH($A111,SPPR!$A:$A,0),8)),$C111*INDEX(SPPR!$E:$Z,MATCH($A111,SPPR!$A:$A,0),8),""),"")</f>
        <v/>
      </c>
      <c r="L111">
        <f>IFERROR(IF(ISNUMBER(INDEX(SPPR!$E:$Z,MATCH($A111,SPPR!$A:$A,0),9)),$C111*INDEX(SPPR!$E:$Z,MATCH($A111,SPPR!$A:$A,0),9),""),"")</f>
        <v/>
      </c>
      <c r="M111">
        <f>IFERROR(IF(ISNUMBER(INDEX(SPPR!$E:$Z,MATCH($A111,SPPR!$A:$A,0),10)),$C111*INDEX(SPPR!$E:$Z,MATCH($A111,SPPR!$A:$A,0),10),""),"")</f>
        <v/>
      </c>
      <c r="N111">
        <f>IFERROR(IF(ISNUMBER(INDEX(SPPR!$E:$Z,MATCH($A111,SPPR!$A:$A,0),11)),$C111*INDEX(SPPR!$E:$Z,MATCH($A111,SPPR!$A:$A,0),11),""),"")</f>
        <v/>
      </c>
      <c r="O111">
        <f>IFERROR(IF(ISNUMBER(INDEX(SPPR!$E:$Z,MATCH($A111,SPPR!$A:$A,0),12)),$C111*INDEX(SPPR!$E:$Z,MATCH($A111,SPPR!$A:$A,0),12),""),"")</f>
        <v/>
      </c>
      <c r="P111">
        <f>IFERROR(IF(ISNUMBER(INDEX(SPPR!$E:$Z,MATCH($A111,SPPR!$A:$A,0),13)),$C111*INDEX(SPPR!$E:$Z,MATCH($A111,SPPR!$A:$A,0),13),""),"")</f>
        <v/>
      </c>
      <c r="Q111">
        <f>IFERROR(IF(ISNUMBER(INDEX(SPPR!$E:$Z,MATCH($A111,SPPR!$A:$A,0),14)),$C111*INDEX(SPPR!$E:$Z,MATCH($A111,SPPR!$A:$A,0),14),""),"")</f>
        <v/>
      </c>
      <c r="R111">
        <f>IFERROR(IF(ISNUMBER(INDEX(SPPR!$E:$Z,MATCH($A111,SPPR!$A:$A,0),15)),$C111*INDEX(SPPR!$E:$Z,MATCH($A111,SPPR!$A:$A,0),15),""),"")</f>
        <v/>
      </c>
      <c r="S111">
        <f>IFERROR(IF(ISNUMBER(INDEX(SPPR!$E:$Z,MATCH($A111,SPPR!$A:$A,0),16)),$C111*INDEX(SPPR!$E:$Z,MATCH($A111,SPPR!$A:$A,0),16),""),"")</f>
        <v/>
      </c>
      <c r="T111">
        <f>IFERROR(IF(ISNUMBER(INDEX(SPPR!$E:$Z,MATCH($A111,SPPR!$A:$A,0),17)),$C111*INDEX(SPPR!$E:$Z,MATCH($A111,SPPR!$A:$A,0),17),""),"")</f>
        <v/>
      </c>
      <c r="U111">
        <f>IFERROR(IF(ISNUMBER(INDEX(SPPR!$E:$Z,MATCH($A111,SPPR!$A:$A,0),18)),$C111*INDEX(SPPR!$E:$Z,MATCH($A111,SPPR!$A:$A,0),18),""),"")</f>
        <v/>
      </c>
      <c r="V111">
        <f>IFERROR(IF(ISNUMBER(INDEX(SPPR!$E:$Z,MATCH($A111,SPPR!$A:$A,0),19)),$C111*INDEX(SPPR!$E:$Z,MATCH($A111,SPPR!$A:$A,0),19),""),"")</f>
        <v/>
      </c>
      <c r="W111">
        <f>IFERROR(IF(ISNUMBER(INDEX(SPPR!$E:$Z,MATCH($A111,SPPR!$A:$A,0),20)),$C111*INDEX(SPPR!$E:$Z,MATCH($A111,SPPR!$A:$A,0),20),""),"")</f>
        <v/>
      </c>
      <c r="X111">
        <f>IFERROR(IF(ISNUMBER(INDEX(SPPR!$E:$Z,MATCH($A111,SPPR!$A:$A,0),21)),$C111*INDEX(SPPR!$E:$Z,MATCH($A111,SPPR!$A:$A,0),21),""),"")</f>
        <v/>
      </c>
      <c r="Y111">
        <f>IFERROR(IF(ISNUMBER(INDEX(SPPR!$E:$Z,MATCH($A111,SPPR!$A:$A,0),22)),$C111*INDEX(SPPR!$E:$Z,MATCH($A111,SPPR!$A:$A,0),22),""),"")</f>
        <v/>
      </c>
    </row>
    <row r="112">
      <c r="A112" t="inlineStr">
        <is>
          <t>Trichiuridae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IFERROR(IF(ISNUMBER(INDEX(SPPR!$E:$Z,MATCH($A112,SPPR!$A:$A,0),1)),$C112*INDEX(SPPR!$E:$Z,MATCH($A112,SPPR!$A:$A,0),1),""),"")</f>
        <v/>
      </c>
      <c r="E112">
        <f>IFERROR(IF(ISNUMBER(INDEX(SPPR!$E:$Z,MATCH($A112,SPPR!$A:$A,0),2)),$C112*INDEX(SPPR!$E:$Z,MATCH($A112,SPPR!$A:$A,0),2),""),"")</f>
        <v/>
      </c>
      <c r="F112">
        <f>IFERROR(IF(ISNUMBER(INDEX(SPPR!$E:$Z,MATCH($A112,SPPR!$A:$A,0),3)),$C112*INDEX(SPPR!$E:$Z,MATCH($A112,SPPR!$A:$A,0),3),""),"")</f>
        <v/>
      </c>
      <c r="G112">
        <f>IFERROR(IF(ISNUMBER(INDEX(SPPR!$E:$Z,MATCH($A112,SPPR!$A:$A,0),4)),$C112*INDEX(SPPR!$E:$Z,MATCH($A112,SPPR!$A:$A,0),4),""),"")</f>
        <v/>
      </c>
      <c r="H112">
        <f>IFERROR(IF(ISNUMBER(INDEX(SPPR!$E:$Z,MATCH($A112,SPPR!$A:$A,0),5)),$C112*INDEX(SPPR!$E:$Z,MATCH($A112,SPPR!$A:$A,0),5),""),"")</f>
        <v/>
      </c>
      <c r="I112">
        <f>IFERROR(IF(ISNUMBER(INDEX(SPPR!$E:$Z,MATCH($A112,SPPR!$A:$A,0),6)),$C112*INDEX(SPPR!$E:$Z,MATCH($A112,SPPR!$A:$A,0),6),""),"")</f>
        <v/>
      </c>
      <c r="J112">
        <f>IFERROR(IF(ISNUMBER(INDEX(SPPR!$E:$Z,MATCH($A112,SPPR!$A:$A,0),7)),$C112*INDEX(SPPR!$E:$Z,MATCH($A112,SPPR!$A:$A,0),7),""),"")</f>
        <v/>
      </c>
      <c r="K112">
        <f>IFERROR(IF(ISNUMBER(INDEX(SPPR!$E:$Z,MATCH($A112,SPPR!$A:$A,0),8)),$C112*INDEX(SPPR!$E:$Z,MATCH($A112,SPPR!$A:$A,0),8),""),"")</f>
        <v/>
      </c>
      <c r="L112">
        <f>IFERROR(IF(ISNUMBER(INDEX(SPPR!$E:$Z,MATCH($A112,SPPR!$A:$A,0),9)),$C112*INDEX(SPPR!$E:$Z,MATCH($A112,SPPR!$A:$A,0),9),""),"")</f>
        <v/>
      </c>
      <c r="M112">
        <f>IFERROR(IF(ISNUMBER(INDEX(SPPR!$E:$Z,MATCH($A112,SPPR!$A:$A,0),10)),$C112*INDEX(SPPR!$E:$Z,MATCH($A112,SPPR!$A:$A,0),10),""),"")</f>
        <v/>
      </c>
      <c r="N112">
        <f>IFERROR(IF(ISNUMBER(INDEX(SPPR!$E:$Z,MATCH($A112,SPPR!$A:$A,0),11)),$C112*INDEX(SPPR!$E:$Z,MATCH($A112,SPPR!$A:$A,0),11),""),"")</f>
        <v/>
      </c>
      <c r="O112">
        <f>IFERROR(IF(ISNUMBER(INDEX(SPPR!$E:$Z,MATCH($A112,SPPR!$A:$A,0),12)),$C112*INDEX(SPPR!$E:$Z,MATCH($A112,SPPR!$A:$A,0),12),""),"")</f>
        <v/>
      </c>
      <c r="P112">
        <f>IFERROR(IF(ISNUMBER(INDEX(SPPR!$E:$Z,MATCH($A112,SPPR!$A:$A,0),13)),$C112*INDEX(SPPR!$E:$Z,MATCH($A112,SPPR!$A:$A,0),13),""),"")</f>
        <v/>
      </c>
      <c r="Q112">
        <f>IFERROR(IF(ISNUMBER(INDEX(SPPR!$E:$Z,MATCH($A112,SPPR!$A:$A,0),14)),$C112*INDEX(SPPR!$E:$Z,MATCH($A112,SPPR!$A:$A,0),14),""),"")</f>
        <v/>
      </c>
      <c r="R112">
        <f>IFERROR(IF(ISNUMBER(INDEX(SPPR!$E:$Z,MATCH($A112,SPPR!$A:$A,0),15)),$C112*INDEX(SPPR!$E:$Z,MATCH($A112,SPPR!$A:$A,0),15),""),"")</f>
        <v/>
      </c>
      <c r="S112">
        <f>IFERROR(IF(ISNUMBER(INDEX(SPPR!$E:$Z,MATCH($A112,SPPR!$A:$A,0),16)),$C112*INDEX(SPPR!$E:$Z,MATCH($A112,SPPR!$A:$A,0),16),""),"")</f>
        <v/>
      </c>
      <c r="T112">
        <f>IFERROR(IF(ISNUMBER(INDEX(SPPR!$E:$Z,MATCH($A112,SPPR!$A:$A,0),17)),$C112*INDEX(SPPR!$E:$Z,MATCH($A112,SPPR!$A:$A,0),17),""),"")</f>
        <v/>
      </c>
      <c r="U112">
        <f>IFERROR(IF(ISNUMBER(INDEX(SPPR!$E:$Z,MATCH($A112,SPPR!$A:$A,0),18)),$C112*INDEX(SPPR!$E:$Z,MATCH($A112,SPPR!$A:$A,0),18),""),"")</f>
        <v/>
      </c>
      <c r="V112">
        <f>IFERROR(IF(ISNUMBER(INDEX(SPPR!$E:$Z,MATCH($A112,SPPR!$A:$A,0),19)),$C112*INDEX(SPPR!$E:$Z,MATCH($A112,SPPR!$A:$A,0),19),""),"")</f>
        <v/>
      </c>
      <c r="W112">
        <f>IFERROR(IF(ISNUMBER(INDEX(SPPR!$E:$Z,MATCH($A112,SPPR!$A:$A,0),20)),$C112*INDEX(SPPR!$E:$Z,MATCH($A112,SPPR!$A:$A,0),20),""),"")</f>
        <v/>
      </c>
      <c r="X112">
        <f>IFERROR(IF(ISNUMBER(INDEX(SPPR!$E:$Z,MATCH($A112,SPPR!$A:$A,0),21)),$C112*INDEX(SPPR!$E:$Z,MATCH($A112,SPPR!$A:$A,0),21),""),"")</f>
        <v/>
      </c>
      <c r="Y112">
        <f>IFERROR(IF(ISNUMBER(INDEX(SPPR!$E:$Z,MATCH($A112,SPPR!$A:$A,0),22)),$C112*INDEX(SPPR!$E:$Z,MATCH($A112,SPPR!$A:$A,0),22),""),"")</f>
        <v/>
      </c>
    </row>
    <row r="113">
      <c r="A113" t="inlineStr">
        <is>
          <t>Acanthurus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IFERROR(IF(ISNUMBER(INDEX(SPPR!$E:$Z,MATCH($A113,SPPR!$A:$A,0),1)),$C113*INDEX(SPPR!$E:$Z,MATCH($A113,SPPR!$A:$A,0),1),""),"")</f>
        <v/>
      </c>
      <c r="E113">
        <f>IFERROR(IF(ISNUMBER(INDEX(SPPR!$E:$Z,MATCH($A113,SPPR!$A:$A,0),2)),$C113*INDEX(SPPR!$E:$Z,MATCH($A113,SPPR!$A:$A,0),2),""),"")</f>
        <v/>
      </c>
      <c r="F113">
        <f>IFERROR(IF(ISNUMBER(INDEX(SPPR!$E:$Z,MATCH($A113,SPPR!$A:$A,0),3)),$C113*INDEX(SPPR!$E:$Z,MATCH($A113,SPPR!$A:$A,0),3),""),"")</f>
        <v/>
      </c>
      <c r="G113">
        <f>IFERROR(IF(ISNUMBER(INDEX(SPPR!$E:$Z,MATCH($A113,SPPR!$A:$A,0),4)),$C113*INDEX(SPPR!$E:$Z,MATCH($A113,SPPR!$A:$A,0),4),""),"")</f>
        <v/>
      </c>
      <c r="H113">
        <f>IFERROR(IF(ISNUMBER(INDEX(SPPR!$E:$Z,MATCH($A113,SPPR!$A:$A,0),5)),$C113*INDEX(SPPR!$E:$Z,MATCH($A113,SPPR!$A:$A,0),5),""),"")</f>
        <v/>
      </c>
      <c r="I113">
        <f>IFERROR(IF(ISNUMBER(INDEX(SPPR!$E:$Z,MATCH($A113,SPPR!$A:$A,0),6)),$C113*INDEX(SPPR!$E:$Z,MATCH($A113,SPPR!$A:$A,0),6),""),"")</f>
        <v/>
      </c>
      <c r="J113">
        <f>IFERROR(IF(ISNUMBER(INDEX(SPPR!$E:$Z,MATCH($A113,SPPR!$A:$A,0),7)),$C113*INDEX(SPPR!$E:$Z,MATCH($A113,SPPR!$A:$A,0),7),""),"")</f>
        <v/>
      </c>
      <c r="K113">
        <f>IFERROR(IF(ISNUMBER(INDEX(SPPR!$E:$Z,MATCH($A113,SPPR!$A:$A,0),8)),$C113*INDEX(SPPR!$E:$Z,MATCH($A113,SPPR!$A:$A,0),8),""),"")</f>
        <v/>
      </c>
      <c r="L113">
        <f>IFERROR(IF(ISNUMBER(INDEX(SPPR!$E:$Z,MATCH($A113,SPPR!$A:$A,0),9)),$C113*INDEX(SPPR!$E:$Z,MATCH($A113,SPPR!$A:$A,0),9),""),"")</f>
        <v/>
      </c>
      <c r="M113">
        <f>IFERROR(IF(ISNUMBER(INDEX(SPPR!$E:$Z,MATCH($A113,SPPR!$A:$A,0),10)),$C113*INDEX(SPPR!$E:$Z,MATCH($A113,SPPR!$A:$A,0),10),""),"")</f>
        <v/>
      </c>
      <c r="N113">
        <f>IFERROR(IF(ISNUMBER(INDEX(SPPR!$E:$Z,MATCH($A113,SPPR!$A:$A,0),11)),$C113*INDEX(SPPR!$E:$Z,MATCH($A113,SPPR!$A:$A,0),11),""),"")</f>
        <v/>
      </c>
      <c r="O113">
        <f>IFERROR(IF(ISNUMBER(INDEX(SPPR!$E:$Z,MATCH($A113,SPPR!$A:$A,0),12)),$C113*INDEX(SPPR!$E:$Z,MATCH($A113,SPPR!$A:$A,0),12),""),"")</f>
        <v/>
      </c>
      <c r="P113">
        <f>IFERROR(IF(ISNUMBER(INDEX(SPPR!$E:$Z,MATCH($A113,SPPR!$A:$A,0),13)),$C113*INDEX(SPPR!$E:$Z,MATCH($A113,SPPR!$A:$A,0),13),""),"")</f>
        <v/>
      </c>
      <c r="Q113">
        <f>IFERROR(IF(ISNUMBER(INDEX(SPPR!$E:$Z,MATCH($A113,SPPR!$A:$A,0),14)),$C113*INDEX(SPPR!$E:$Z,MATCH($A113,SPPR!$A:$A,0),14),""),"")</f>
        <v/>
      </c>
      <c r="R113">
        <f>IFERROR(IF(ISNUMBER(INDEX(SPPR!$E:$Z,MATCH($A113,SPPR!$A:$A,0),15)),$C113*INDEX(SPPR!$E:$Z,MATCH($A113,SPPR!$A:$A,0),15),""),"")</f>
        <v/>
      </c>
      <c r="S113">
        <f>IFERROR(IF(ISNUMBER(INDEX(SPPR!$E:$Z,MATCH($A113,SPPR!$A:$A,0),16)),$C113*INDEX(SPPR!$E:$Z,MATCH($A113,SPPR!$A:$A,0),16),""),"")</f>
        <v/>
      </c>
      <c r="T113">
        <f>IFERROR(IF(ISNUMBER(INDEX(SPPR!$E:$Z,MATCH($A113,SPPR!$A:$A,0),17)),$C113*INDEX(SPPR!$E:$Z,MATCH($A113,SPPR!$A:$A,0),17),""),"")</f>
        <v/>
      </c>
      <c r="U113">
        <f>IFERROR(IF(ISNUMBER(INDEX(SPPR!$E:$Z,MATCH($A113,SPPR!$A:$A,0),18)),$C113*INDEX(SPPR!$E:$Z,MATCH($A113,SPPR!$A:$A,0),18),""),"")</f>
        <v/>
      </c>
      <c r="V113">
        <f>IFERROR(IF(ISNUMBER(INDEX(SPPR!$E:$Z,MATCH($A113,SPPR!$A:$A,0),19)),$C113*INDEX(SPPR!$E:$Z,MATCH($A113,SPPR!$A:$A,0),19),""),"")</f>
        <v/>
      </c>
      <c r="W113">
        <f>IFERROR(IF(ISNUMBER(INDEX(SPPR!$E:$Z,MATCH($A113,SPPR!$A:$A,0),20)),$C113*INDEX(SPPR!$E:$Z,MATCH($A113,SPPR!$A:$A,0),20),""),"")</f>
        <v/>
      </c>
      <c r="X113">
        <f>IFERROR(IF(ISNUMBER(INDEX(SPPR!$E:$Z,MATCH($A113,SPPR!$A:$A,0),21)),$C113*INDEX(SPPR!$E:$Z,MATCH($A113,SPPR!$A:$A,0),21),""),"")</f>
        <v/>
      </c>
      <c r="Y113">
        <f>IFERROR(IF(ISNUMBER(INDEX(SPPR!$E:$Z,MATCH($A113,SPPR!$A:$A,0),22)),$C113*INDEX(SPPR!$E:$Z,MATCH($A113,SPPR!$A:$A,0),22),""),"")</f>
        <v/>
      </c>
    </row>
    <row r="114">
      <c r="A114" t="inlineStr">
        <is>
          <t>Teuthida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IFERROR(IF(ISNUMBER(INDEX(SPPR!$E:$Z,MATCH($A114,SPPR!$A:$A,0),1)),$C114*INDEX(SPPR!$E:$Z,MATCH($A114,SPPR!$A:$A,0),1),""),"")</f>
        <v/>
      </c>
      <c r="E114">
        <f>IFERROR(IF(ISNUMBER(INDEX(SPPR!$E:$Z,MATCH($A114,SPPR!$A:$A,0),2)),$C114*INDEX(SPPR!$E:$Z,MATCH($A114,SPPR!$A:$A,0),2),""),"")</f>
        <v/>
      </c>
      <c r="F114">
        <f>IFERROR(IF(ISNUMBER(INDEX(SPPR!$E:$Z,MATCH($A114,SPPR!$A:$A,0),3)),$C114*INDEX(SPPR!$E:$Z,MATCH($A114,SPPR!$A:$A,0),3),""),"")</f>
        <v/>
      </c>
      <c r="G114">
        <f>IFERROR(IF(ISNUMBER(INDEX(SPPR!$E:$Z,MATCH($A114,SPPR!$A:$A,0),4)),$C114*INDEX(SPPR!$E:$Z,MATCH($A114,SPPR!$A:$A,0),4),""),"")</f>
        <v/>
      </c>
      <c r="H114">
        <f>IFERROR(IF(ISNUMBER(INDEX(SPPR!$E:$Z,MATCH($A114,SPPR!$A:$A,0),5)),$C114*INDEX(SPPR!$E:$Z,MATCH($A114,SPPR!$A:$A,0),5),""),"")</f>
        <v/>
      </c>
      <c r="I114">
        <f>IFERROR(IF(ISNUMBER(INDEX(SPPR!$E:$Z,MATCH($A114,SPPR!$A:$A,0),6)),$C114*INDEX(SPPR!$E:$Z,MATCH($A114,SPPR!$A:$A,0),6),""),"")</f>
        <v/>
      </c>
      <c r="J114">
        <f>IFERROR(IF(ISNUMBER(INDEX(SPPR!$E:$Z,MATCH($A114,SPPR!$A:$A,0),7)),$C114*INDEX(SPPR!$E:$Z,MATCH($A114,SPPR!$A:$A,0),7),""),"")</f>
        <v/>
      </c>
      <c r="K114">
        <f>IFERROR(IF(ISNUMBER(INDEX(SPPR!$E:$Z,MATCH($A114,SPPR!$A:$A,0),8)),$C114*INDEX(SPPR!$E:$Z,MATCH($A114,SPPR!$A:$A,0),8),""),"")</f>
        <v/>
      </c>
      <c r="L114">
        <f>IFERROR(IF(ISNUMBER(INDEX(SPPR!$E:$Z,MATCH($A114,SPPR!$A:$A,0),9)),$C114*INDEX(SPPR!$E:$Z,MATCH($A114,SPPR!$A:$A,0),9),""),"")</f>
        <v/>
      </c>
      <c r="M114">
        <f>IFERROR(IF(ISNUMBER(INDEX(SPPR!$E:$Z,MATCH($A114,SPPR!$A:$A,0),10)),$C114*INDEX(SPPR!$E:$Z,MATCH($A114,SPPR!$A:$A,0),10),""),"")</f>
        <v/>
      </c>
      <c r="N114">
        <f>IFERROR(IF(ISNUMBER(INDEX(SPPR!$E:$Z,MATCH($A114,SPPR!$A:$A,0),11)),$C114*INDEX(SPPR!$E:$Z,MATCH($A114,SPPR!$A:$A,0),11),""),"")</f>
        <v/>
      </c>
      <c r="O114">
        <f>IFERROR(IF(ISNUMBER(INDEX(SPPR!$E:$Z,MATCH($A114,SPPR!$A:$A,0),12)),$C114*INDEX(SPPR!$E:$Z,MATCH($A114,SPPR!$A:$A,0),12),""),"")</f>
        <v/>
      </c>
      <c r="P114">
        <f>IFERROR(IF(ISNUMBER(INDEX(SPPR!$E:$Z,MATCH($A114,SPPR!$A:$A,0),13)),$C114*INDEX(SPPR!$E:$Z,MATCH($A114,SPPR!$A:$A,0),13),""),"")</f>
        <v/>
      </c>
      <c r="Q114">
        <f>IFERROR(IF(ISNUMBER(INDEX(SPPR!$E:$Z,MATCH($A114,SPPR!$A:$A,0),14)),$C114*INDEX(SPPR!$E:$Z,MATCH($A114,SPPR!$A:$A,0),14),""),"")</f>
        <v/>
      </c>
      <c r="R114">
        <f>IFERROR(IF(ISNUMBER(INDEX(SPPR!$E:$Z,MATCH($A114,SPPR!$A:$A,0),15)),$C114*INDEX(SPPR!$E:$Z,MATCH($A114,SPPR!$A:$A,0),15),""),"")</f>
        <v/>
      </c>
      <c r="S114">
        <f>IFERROR(IF(ISNUMBER(INDEX(SPPR!$E:$Z,MATCH($A114,SPPR!$A:$A,0),16)),$C114*INDEX(SPPR!$E:$Z,MATCH($A114,SPPR!$A:$A,0),16),""),"")</f>
        <v/>
      </c>
      <c r="T114">
        <f>IFERROR(IF(ISNUMBER(INDEX(SPPR!$E:$Z,MATCH($A114,SPPR!$A:$A,0),17)),$C114*INDEX(SPPR!$E:$Z,MATCH($A114,SPPR!$A:$A,0),17),""),"")</f>
        <v/>
      </c>
      <c r="U114">
        <f>IFERROR(IF(ISNUMBER(INDEX(SPPR!$E:$Z,MATCH($A114,SPPR!$A:$A,0),18)),$C114*INDEX(SPPR!$E:$Z,MATCH($A114,SPPR!$A:$A,0),18),""),"")</f>
        <v/>
      </c>
      <c r="V114">
        <f>IFERROR(IF(ISNUMBER(INDEX(SPPR!$E:$Z,MATCH($A114,SPPR!$A:$A,0),19)),$C114*INDEX(SPPR!$E:$Z,MATCH($A114,SPPR!$A:$A,0),19),""),"")</f>
        <v/>
      </c>
      <c r="W114">
        <f>IFERROR(IF(ISNUMBER(INDEX(SPPR!$E:$Z,MATCH($A114,SPPR!$A:$A,0),20)),$C114*INDEX(SPPR!$E:$Z,MATCH($A114,SPPR!$A:$A,0),20),""),"")</f>
        <v/>
      </c>
      <c r="X114">
        <f>IFERROR(IF(ISNUMBER(INDEX(SPPR!$E:$Z,MATCH($A114,SPPR!$A:$A,0),21)),$C114*INDEX(SPPR!$E:$Z,MATCH($A114,SPPR!$A:$A,0),21),""),"")</f>
        <v/>
      </c>
      <c r="Y114">
        <f>IFERROR(IF(ISNUMBER(INDEX(SPPR!$E:$Z,MATCH($A114,SPPR!$A:$A,0),22)),$C114*INDEX(SPPR!$E:$Z,MATCH($A114,SPPR!$A:$A,0),22),""),"")</f>
        <v/>
      </c>
    </row>
    <row r="115">
      <c r="A115" t="inlineStr">
        <is>
          <t>Gastropoda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IFERROR(IF(ISNUMBER(INDEX(SPPR!$E:$Z,MATCH($A115,SPPR!$A:$A,0),1)),$C115*INDEX(SPPR!$E:$Z,MATCH($A115,SPPR!$A:$A,0),1),""),"")</f>
        <v/>
      </c>
      <c r="E115">
        <f>IFERROR(IF(ISNUMBER(INDEX(SPPR!$E:$Z,MATCH($A115,SPPR!$A:$A,0),2)),$C115*INDEX(SPPR!$E:$Z,MATCH($A115,SPPR!$A:$A,0),2),""),"")</f>
        <v/>
      </c>
      <c r="F115">
        <f>IFERROR(IF(ISNUMBER(INDEX(SPPR!$E:$Z,MATCH($A115,SPPR!$A:$A,0),3)),$C115*INDEX(SPPR!$E:$Z,MATCH($A115,SPPR!$A:$A,0),3),""),"")</f>
        <v/>
      </c>
      <c r="G115">
        <f>IFERROR(IF(ISNUMBER(INDEX(SPPR!$E:$Z,MATCH($A115,SPPR!$A:$A,0),4)),$C115*INDEX(SPPR!$E:$Z,MATCH($A115,SPPR!$A:$A,0),4),""),"")</f>
        <v/>
      </c>
      <c r="H115">
        <f>IFERROR(IF(ISNUMBER(INDEX(SPPR!$E:$Z,MATCH($A115,SPPR!$A:$A,0),5)),$C115*INDEX(SPPR!$E:$Z,MATCH($A115,SPPR!$A:$A,0),5),""),"")</f>
        <v/>
      </c>
      <c r="I115">
        <f>IFERROR(IF(ISNUMBER(INDEX(SPPR!$E:$Z,MATCH($A115,SPPR!$A:$A,0),6)),$C115*INDEX(SPPR!$E:$Z,MATCH($A115,SPPR!$A:$A,0),6),""),"")</f>
        <v/>
      </c>
      <c r="J115">
        <f>IFERROR(IF(ISNUMBER(INDEX(SPPR!$E:$Z,MATCH($A115,SPPR!$A:$A,0),7)),$C115*INDEX(SPPR!$E:$Z,MATCH($A115,SPPR!$A:$A,0),7),""),"")</f>
        <v/>
      </c>
      <c r="K115">
        <f>IFERROR(IF(ISNUMBER(INDEX(SPPR!$E:$Z,MATCH($A115,SPPR!$A:$A,0),8)),$C115*INDEX(SPPR!$E:$Z,MATCH($A115,SPPR!$A:$A,0),8),""),"")</f>
        <v/>
      </c>
      <c r="L115">
        <f>IFERROR(IF(ISNUMBER(INDEX(SPPR!$E:$Z,MATCH($A115,SPPR!$A:$A,0),9)),$C115*INDEX(SPPR!$E:$Z,MATCH($A115,SPPR!$A:$A,0),9),""),"")</f>
        <v/>
      </c>
      <c r="M115">
        <f>IFERROR(IF(ISNUMBER(INDEX(SPPR!$E:$Z,MATCH($A115,SPPR!$A:$A,0),10)),$C115*INDEX(SPPR!$E:$Z,MATCH($A115,SPPR!$A:$A,0),10),""),"")</f>
        <v/>
      </c>
      <c r="N115">
        <f>IFERROR(IF(ISNUMBER(INDEX(SPPR!$E:$Z,MATCH($A115,SPPR!$A:$A,0),11)),$C115*INDEX(SPPR!$E:$Z,MATCH($A115,SPPR!$A:$A,0),11),""),"")</f>
        <v/>
      </c>
      <c r="O115">
        <f>IFERROR(IF(ISNUMBER(INDEX(SPPR!$E:$Z,MATCH($A115,SPPR!$A:$A,0),12)),$C115*INDEX(SPPR!$E:$Z,MATCH($A115,SPPR!$A:$A,0),12),""),"")</f>
        <v/>
      </c>
      <c r="P115">
        <f>IFERROR(IF(ISNUMBER(INDEX(SPPR!$E:$Z,MATCH($A115,SPPR!$A:$A,0),13)),$C115*INDEX(SPPR!$E:$Z,MATCH($A115,SPPR!$A:$A,0),13),""),"")</f>
        <v/>
      </c>
      <c r="Q115">
        <f>IFERROR(IF(ISNUMBER(INDEX(SPPR!$E:$Z,MATCH($A115,SPPR!$A:$A,0),14)),$C115*INDEX(SPPR!$E:$Z,MATCH($A115,SPPR!$A:$A,0),14),""),"")</f>
        <v/>
      </c>
      <c r="R115">
        <f>IFERROR(IF(ISNUMBER(INDEX(SPPR!$E:$Z,MATCH($A115,SPPR!$A:$A,0),15)),$C115*INDEX(SPPR!$E:$Z,MATCH($A115,SPPR!$A:$A,0),15),""),"")</f>
        <v/>
      </c>
      <c r="S115">
        <f>IFERROR(IF(ISNUMBER(INDEX(SPPR!$E:$Z,MATCH($A115,SPPR!$A:$A,0),16)),$C115*INDEX(SPPR!$E:$Z,MATCH($A115,SPPR!$A:$A,0),16),""),"")</f>
        <v/>
      </c>
      <c r="T115">
        <f>IFERROR(IF(ISNUMBER(INDEX(SPPR!$E:$Z,MATCH($A115,SPPR!$A:$A,0),17)),$C115*INDEX(SPPR!$E:$Z,MATCH($A115,SPPR!$A:$A,0),17),""),"")</f>
        <v/>
      </c>
      <c r="U115">
        <f>IFERROR(IF(ISNUMBER(INDEX(SPPR!$E:$Z,MATCH($A115,SPPR!$A:$A,0),18)),$C115*INDEX(SPPR!$E:$Z,MATCH($A115,SPPR!$A:$A,0),18),""),"")</f>
        <v/>
      </c>
      <c r="V115">
        <f>IFERROR(IF(ISNUMBER(INDEX(SPPR!$E:$Z,MATCH($A115,SPPR!$A:$A,0),19)),$C115*INDEX(SPPR!$E:$Z,MATCH($A115,SPPR!$A:$A,0),19),""),"")</f>
        <v/>
      </c>
      <c r="W115">
        <f>IFERROR(IF(ISNUMBER(INDEX(SPPR!$E:$Z,MATCH($A115,SPPR!$A:$A,0),20)),$C115*INDEX(SPPR!$E:$Z,MATCH($A115,SPPR!$A:$A,0),20),""),"")</f>
        <v/>
      </c>
      <c r="X115">
        <f>IFERROR(IF(ISNUMBER(INDEX(SPPR!$E:$Z,MATCH($A115,SPPR!$A:$A,0),21)),$C115*INDEX(SPPR!$E:$Z,MATCH($A115,SPPR!$A:$A,0),21),""),"")</f>
        <v/>
      </c>
      <c r="Y115">
        <f>IFERROR(IF(ISNUMBER(INDEX(SPPR!$E:$Z,MATCH($A115,SPPR!$A:$A,0),22)),$C115*INDEX(SPPR!$E:$Z,MATCH($A115,SPPR!$A:$A,0),22),""),"")</f>
        <v/>
      </c>
    </row>
    <row r="116">
      <c r="A116" t="inlineStr">
        <is>
          <t>Crassostrea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IFERROR(IF(ISNUMBER(INDEX(SPPR!$E:$Z,MATCH($A116,SPPR!$A:$A,0),1)),$C116*INDEX(SPPR!$E:$Z,MATCH($A116,SPPR!$A:$A,0),1),""),"")</f>
        <v/>
      </c>
      <c r="E116">
        <f>IFERROR(IF(ISNUMBER(INDEX(SPPR!$E:$Z,MATCH($A116,SPPR!$A:$A,0),2)),$C116*INDEX(SPPR!$E:$Z,MATCH($A116,SPPR!$A:$A,0),2),""),"")</f>
        <v/>
      </c>
      <c r="F116">
        <f>IFERROR(IF(ISNUMBER(INDEX(SPPR!$E:$Z,MATCH($A116,SPPR!$A:$A,0),3)),$C116*INDEX(SPPR!$E:$Z,MATCH($A116,SPPR!$A:$A,0),3),""),"")</f>
        <v/>
      </c>
      <c r="G116">
        <f>IFERROR(IF(ISNUMBER(INDEX(SPPR!$E:$Z,MATCH($A116,SPPR!$A:$A,0),4)),$C116*INDEX(SPPR!$E:$Z,MATCH($A116,SPPR!$A:$A,0),4),""),"")</f>
        <v/>
      </c>
      <c r="H116">
        <f>IFERROR(IF(ISNUMBER(INDEX(SPPR!$E:$Z,MATCH($A116,SPPR!$A:$A,0),5)),$C116*INDEX(SPPR!$E:$Z,MATCH($A116,SPPR!$A:$A,0),5),""),"")</f>
        <v/>
      </c>
      <c r="I116">
        <f>IFERROR(IF(ISNUMBER(INDEX(SPPR!$E:$Z,MATCH($A116,SPPR!$A:$A,0),6)),$C116*INDEX(SPPR!$E:$Z,MATCH($A116,SPPR!$A:$A,0),6),""),"")</f>
        <v/>
      </c>
      <c r="J116">
        <f>IFERROR(IF(ISNUMBER(INDEX(SPPR!$E:$Z,MATCH($A116,SPPR!$A:$A,0),7)),$C116*INDEX(SPPR!$E:$Z,MATCH($A116,SPPR!$A:$A,0),7),""),"")</f>
        <v/>
      </c>
      <c r="K116">
        <f>IFERROR(IF(ISNUMBER(INDEX(SPPR!$E:$Z,MATCH($A116,SPPR!$A:$A,0),8)),$C116*INDEX(SPPR!$E:$Z,MATCH($A116,SPPR!$A:$A,0),8),""),"")</f>
        <v/>
      </c>
      <c r="L116">
        <f>IFERROR(IF(ISNUMBER(INDEX(SPPR!$E:$Z,MATCH($A116,SPPR!$A:$A,0),9)),$C116*INDEX(SPPR!$E:$Z,MATCH($A116,SPPR!$A:$A,0),9),""),"")</f>
        <v/>
      </c>
      <c r="M116">
        <f>IFERROR(IF(ISNUMBER(INDEX(SPPR!$E:$Z,MATCH($A116,SPPR!$A:$A,0),10)),$C116*INDEX(SPPR!$E:$Z,MATCH($A116,SPPR!$A:$A,0),10),""),"")</f>
        <v/>
      </c>
      <c r="N116">
        <f>IFERROR(IF(ISNUMBER(INDEX(SPPR!$E:$Z,MATCH($A116,SPPR!$A:$A,0),11)),$C116*INDEX(SPPR!$E:$Z,MATCH($A116,SPPR!$A:$A,0),11),""),"")</f>
        <v/>
      </c>
      <c r="O116">
        <f>IFERROR(IF(ISNUMBER(INDEX(SPPR!$E:$Z,MATCH($A116,SPPR!$A:$A,0),12)),$C116*INDEX(SPPR!$E:$Z,MATCH($A116,SPPR!$A:$A,0),12),""),"")</f>
        <v/>
      </c>
      <c r="P116">
        <f>IFERROR(IF(ISNUMBER(INDEX(SPPR!$E:$Z,MATCH($A116,SPPR!$A:$A,0),13)),$C116*INDEX(SPPR!$E:$Z,MATCH($A116,SPPR!$A:$A,0),13),""),"")</f>
        <v/>
      </c>
      <c r="Q116">
        <f>IFERROR(IF(ISNUMBER(INDEX(SPPR!$E:$Z,MATCH($A116,SPPR!$A:$A,0),14)),$C116*INDEX(SPPR!$E:$Z,MATCH($A116,SPPR!$A:$A,0),14),""),"")</f>
        <v/>
      </c>
      <c r="R116">
        <f>IFERROR(IF(ISNUMBER(INDEX(SPPR!$E:$Z,MATCH($A116,SPPR!$A:$A,0),15)),$C116*INDEX(SPPR!$E:$Z,MATCH($A116,SPPR!$A:$A,0),15),""),"")</f>
        <v/>
      </c>
      <c r="S116">
        <f>IFERROR(IF(ISNUMBER(INDEX(SPPR!$E:$Z,MATCH($A116,SPPR!$A:$A,0),16)),$C116*INDEX(SPPR!$E:$Z,MATCH($A116,SPPR!$A:$A,0),16),""),"")</f>
        <v/>
      </c>
      <c r="T116">
        <f>IFERROR(IF(ISNUMBER(INDEX(SPPR!$E:$Z,MATCH($A116,SPPR!$A:$A,0),17)),$C116*INDEX(SPPR!$E:$Z,MATCH($A116,SPPR!$A:$A,0),17),""),"")</f>
        <v/>
      </c>
      <c r="U116">
        <f>IFERROR(IF(ISNUMBER(INDEX(SPPR!$E:$Z,MATCH($A116,SPPR!$A:$A,0),18)),$C116*INDEX(SPPR!$E:$Z,MATCH($A116,SPPR!$A:$A,0),18),""),"")</f>
        <v/>
      </c>
      <c r="V116">
        <f>IFERROR(IF(ISNUMBER(INDEX(SPPR!$E:$Z,MATCH($A116,SPPR!$A:$A,0),19)),$C116*INDEX(SPPR!$E:$Z,MATCH($A116,SPPR!$A:$A,0),19),""),"")</f>
        <v/>
      </c>
      <c r="W116">
        <f>IFERROR(IF(ISNUMBER(INDEX(SPPR!$E:$Z,MATCH($A116,SPPR!$A:$A,0),20)),$C116*INDEX(SPPR!$E:$Z,MATCH($A116,SPPR!$A:$A,0),20),""),"")</f>
        <v/>
      </c>
      <c r="X116">
        <f>IFERROR(IF(ISNUMBER(INDEX(SPPR!$E:$Z,MATCH($A116,SPPR!$A:$A,0),21)),$C116*INDEX(SPPR!$E:$Z,MATCH($A116,SPPR!$A:$A,0),21),""),"")</f>
        <v/>
      </c>
      <c r="Y116">
        <f>IFERROR(IF(ISNUMBER(INDEX(SPPR!$E:$Z,MATCH($A116,SPPR!$A:$A,0),22)),$C116*INDEX(SPPR!$E:$Z,MATCH($A116,SPPR!$A:$A,0),22),""),"")</f>
        <v/>
      </c>
    </row>
    <row r="117">
      <c r="A117" t="inlineStr">
        <is>
          <t>Istiophorus albicans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IFERROR(IF(ISNUMBER(INDEX(SPPR!$E:$Z,MATCH($A117,SPPR!$A:$A,0),1)),$C117*INDEX(SPPR!$E:$Z,MATCH($A117,SPPR!$A:$A,0),1),""),"")</f>
        <v/>
      </c>
      <c r="E117">
        <f>IFERROR(IF(ISNUMBER(INDEX(SPPR!$E:$Z,MATCH($A117,SPPR!$A:$A,0),2)),$C117*INDEX(SPPR!$E:$Z,MATCH($A117,SPPR!$A:$A,0),2),""),"")</f>
        <v/>
      </c>
      <c r="F117">
        <f>IFERROR(IF(ISNUMBER(INDEX(SPPR!$E:$Z,MATCH($A117,SPPR!$A:$A,0),3)),$C117*INDEX(SPPR!$E:$Z,MATCH($A117,SPPR!$A:$A,0),3),""),"")</f>
        <v/>
      </c>
      <c r="G117">
        <f>IFERROR(IF(ISNUMBER(INDEX(SPPR!$E:$Z,MATCH($A117,SPPR!$A:$A,0),4)),$C117*INDEX(SPPR!$E:$Z,MATCH($A117,SPPR!$A:$A,0),4),""),"")</f>
        <v/>
      </c>
      <c r="H117">
        <f>IFERROR(IF(ISNUMBER(INDEX(SPPR!$E:$Z,MATCH($A117,SPPR!$A:$A,0),5)),$C117*INDEX(SPPR!$E:$Z,MATCH($A117,SPPR!$A:$A,0),5),""),"")</f>
        <v/>
      </c>
      <c r="I117">
        <f>IFERROR(IF(ISNUMBER(INDEX(SPPR!$E:$Z,MATCH($A117,SPPR!$A:$A,0),6)),$C117*INDEX(SPPR!$E:$Z,MATCH($A117,SPPR!$A:$A,0),6),""),"")</f>
        <v/>
      </c>
      <c r="J117">
        <f>IFERROR(IF(ISNUMBER(INDEX(SPPR!$E:$Z,MATCH($A117,SPPR!$A:$A,0),7)),$C117*INDEX(SPPR!$E:$Z,MATCH($A117,SPPR!$A:$A,0),7),""),"")</f>
        <v/>
      </c>
      <c r="K117">
        <f>IFERROR(IF(ISNUMBER(INDEX(SPPR!$E:$Z,MATCH($A117,SPPR!$A:$A,0),8)),$C117*INDEX(SPPR!$E:$Z,MATCH($A117,SPPR!$A:$A,0),8),""),"")</f>
        <v/>
      </c>
      <c r="L117">
        <f>IFERROR(IF(ISNUMBER(INDEX(SPPR!$E:$Z,MATCH($A117,SPPR!$A:$A,0),9)),$C117*INDEX(SPPR!$E:$Z,MATCH($A117,SPPR!$A:$A,0),9),""),"")</f>
        <v/>
      </c>
      <c r="M117">
        <f>IFERROR(IF(ISNUMBER(INDEX(SPPR!$E:$Z,MATCH($A117,SPPR!$A:$A,0),10)),$C117*INDEX(SPPR!$E:$Z,MATCH($A117,SPPR!$A:$A,0),10),""),"")</f>
        <v/>
      </c>
      <c r="N117">
        <f>IFERROR(IF(ISNUMBER(INDEX(SPPR!$E:$Z,MATCH($A117,SPPR!$A:$A,0),11)),$C117*INDEX(SPPR!$E:$Z,MATCH($A117,SPPR!$A:$A,0),11),""),"")</f>
        <v/>
      </c>
      <c r="O117">
        <f>IFERROR(IF(ISNUMBER(INDEX(SPPR!$E:$Z,MATCH($A117,SPPR!$A:$A,0),12)),$C117*INDEX(SPPR!$E:$Z,MATCH($A117,SPPR!$A:$A,0),12),""),"")</f>
        <v/>
      </c>
      <c r="P117">
        <f>IFERROR(IF(ISNUMBER(INDEX(SPPR!$E:$Z,MATCH($A117,SPPR!$A:$A,0),13)),$C117*INDEX(SPPR!$E:$Z,MATCH($A117,SPPR!$A:$A,0),13),""),"")</f>
        <v/>
      </c>
      <c r="Q117">
        <f>IFERROR(IF(ISNUMBER(INDEX(SPPR!$E:$Z,MATCH($A117,SPPR!$A:$A,0),14)),$C117*INDEX(SPPR!$E:$Z,MATCH($A117,SPPR!$A:$A,0),14),""),"")</f>
        <v/>
      </c>
      <c r="R117">
        <f>IFERROR(IF(ISNUMBER(INDEX(SPPR!$E:$Z,MATCH($A117,SPPR!$A:$A,0),15)),$C117*INDEX(SPPR!$E:$Z,MATCH($A117,SPPR!$A:$A,0),15),""),"")</f>
        <v/>
      </c>
      <c r="S117">
        <f>IFERROR(IF(ISNUMBER(INDEX(SPPR!$E:$Z,MATCH($A117,SPPR!$A:$A,0),16)),$C117*INDEX(SPPR!$E:$Z,MATCH($A117,SPPR!$A:$A,0),16),""),"")</f>
        <v/>
      </c>
      <c r="T117">
        <f>IFERROR(IF(ISNUMBER(INDEX(SPPR!$E:$Z,MATCH($A117,SPPR!$A:$A,0),17)),$C117*INDEX(SPPR!$E:$Z,MATCH($A117,SPPR!$A:$A,0),17),""),"")</f>
        <v/>
      </c>
      <c r="U117">
        <f>IFERROR(IF(ISNUMBER(INDEX(SPPR!$E:$Z,MATCH($A117,SPPR!$A:$A,0),18)),$C117*INDEX(SPPR!$E:$Z,MATCH($A117,SPPR!$A:$A,0),18),""),"")</f>
        <v/>
      </c>
      <c r="V117">
        <f>IFERROR(IF(ISNUMBER(INDEX(SPPR!$E:$Z,MATCH($A117,SPPR!$A:$A,0),19)),$C117*INDEX(SPPR!$E:$Z,MATCH($A117,SPPR!$A:$A,0),19),""),"")</f>
        <v/>
      </c>
      <c r="W117">
        <f>IFERROR(IF(ISNUMBER(INDEX(SPPR!$E:$Z,MATCH($A117,SPPR!$A:$A,0),20)),$C117*INDEX(SPPR!$E:$Z,MATCH($A117,SPPR!$A:$A,0),20),""),"")</f>
        <v/>
      </c>
      <c r="X117">
        <f>IFERROR(IF(ISNUMBER(INDEX(SPPR!$E:$Z,MATCH($A117,SPPR!$A:$A,0),21)),$C117*INDEX(SPPR!$E:$Z,MATCH($A117,SPPR!$A:$A,0),21),""),"")</f>
        <v/>
      </c>
      <c r="Y117">
        <f>IFERROR(IF(ISNUMBER(INDEX(SPPR!$E:$Z,MATCH($A117,SPPR!$A:$A,0),22)),$C117*INDEX(SPPR!$E:$Z,MATCH($A117,SPPR!$A:$A,0),22),""),"")</f>
        <v/>
      </c>
    </row>
    <row r="118">
      <c r="A118" t="inlineStr">
        <is>
          <t>Sepia officinalis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IFERROR(IF(ISNUMBER(INDEX(SPPR!$E:$Z,MATCH($A118,SPPR!$A:$A,0),1)),$C118*INDEX(SPPR!$E:$Z,MATCH($A118,SPPR!$A:$A,0),1),""),"")</f>
        <v/>
      </c>
      <c r="E118">
        <f>IFERROR(IF(ISNUMBER(INDEX(SPPR!$E:$Z,MATCH($A118,SPPR!$A:$A,0),2)),$C118*INDEX(SPPR!$E:$Z,MATCH($A118,SPPR!$A:$A,0),2),""),"")</f>
        <v/>
      </c>
      <c r="F118">
        <f>IFERROR(IF(ISNUMBER(INDEX(SPPR!$E:$Z,MATCH($A118,SPPR!$A:$A,0),3)),$C118*INDEX(SPPR!$E:$Z,MATCH($A118,SPPR!$A:$A,0),3),""),"")</f>
        <v/>
      </c>
      <c r="G118">
        <f>IFERROR(IF(ISNUMBER(INDEX(SPPR!$E:$Z,MATCH($A118,SPPR!$A:$A,0),4)),$C118*INDEX(SPPR!$E:$Z,MATCH($A118,SPPR!$A:$A,0),4),""),"")</f>
        <v/>
      </c>
      <c r="H118">
        <f>IFERROR(IF(ISNUMBER(INDEX(SPPR!$E:$Z,MATCH($A118,SPPR!$A:$A,0),5)),$C118*INDEX(SPPR!$E:$Z,MATCH($A118,SPPR!$A:$A,0),5),""),"")</f>
        <v/>
      </c>
      <c r="I118">
        <f>IFERROR(IF(ISNUMBER(INDEX(SPPR!$E:$Z,MATCH($A118,SPPR!$A:$A,0),6)),$C118*INDEX(SPPR!$E:$Z,MATCH($A118,SPPR!$A:$A,0),6),""),"")</f>
        <v/>
      </c>
      <c r="J118">
        <f>IFERROR(IF(ISNUMBER(INDEX(SPPR!$E:$Z,MATCH($A118,SPPR!$A:$A,0),7)),$C118*INDEX(SPPR!$E:$Z,MATCH($A118,SPPR!$A:$A,0),7),""),"")</f>
        <v/>
      </c>
      <c r="K118">
        <f>IFERROR(IF(ISNUMBER(INDEX(SPPR!$E:$Z,MATCH($A118,SPPR!$A:$A,0),8)),$C118*INDEX(SPPR!$E:$Z,MATCH($A118,SPPR!$A:$A,0),8),""),"")</f>
        <v/>
      </c>
      <c r="L118">
        <f>IFERROR(IF(ISNUMBER(INDEX(SPPR!$E:$Z,MATCH($A118,SPPR!$A:$A,0),9)),$C118*INDEX(SPPR!$E:$Z,MATCH($A118,SPPR!$A:$A,0),9),""),"")</f>
        <v/>
      </c>
      <c r="M118">
        <f>IFERROR(IF(ISNUMBER(INDEX(SPPR!$E:$Z,MATCH($A118,SPPR!$A:$A,0),10)),$C118*INDEX(SPPR!$E:$Z,MATCH($A118,SPPR!$A:$A,0),10),""),"")</f>
        <v/>
      </c>
      <c r="N118">
        <f>IFERROR(IF(ISNUMBER(INDEX(SPPR!$E:$Z,MATCH($A118,SPPR!$A:$A,0),11)),$C118*INDEX(SPPR!$E:$Z,MATCH($A118,SPPR!$A:$A,0),11),""),"")</f>
        <v/>
      </c>
      <c r="O118">
        <f>IFERROR(IF(ISNUMBER(INDEX(SPPR!$E:$Z,MATCH($A118,SPPR!$A:$A,0),12)),$C118*INDEX(SPPR!$E:$Z,MATCH($A118,SPPR!$A:$A,0),12),""),"")</f>
        <v/>
      </c>
      <c r="P118">
        <f>IFERROR(IF(ISNUMBER(INDEX(SPPR!$E:$Z,MATCH($A118,SPPR!$A:$A,0),13)),$C118*INDEX(SPPR!$E:$Z,MATCH($A118,SPPR!$A:$A,0),13),""),"")</f>
        <v/>
      </c>
      <c r="Q118">
        <f>IFERROR(IF(ISNUMBER(INDEX(SPPR!$E:$Z,MATCH($A118,SPPR!$A:$A,0),14)),$C118*INDEX(SPPR!$E:$Z,MATCH($A118,SPPR!$A:$A,0),14),""),"")</f>
        <v/>
      </c>
      <c r="R118">
        <f>IFERROR(IF(ISNUMBER(INDEX(SPPR!$E:$Z,MATCH($A118,SPPR!$A:$A,0),15)),$C118*INDEX(SPPR!$E:$Z,MATCH($A118,SPPR!$A:$A,0),15),""),"")</f>
        <v/>
      </c>
      <c r="S118">
        <f>IFERROR(IF(ISNUMBER(INDEX(SPPR!$E:$Z,MATCH($A118,SPPR!$A:$A,0),16)),$C118*INDEX(SPPR!$E:$Z,MATCH($A118,SPPR!$A:$A,0),16),""),"")</f>
        <v/>
      </c>
      <c r="T118">
        <f>IFERROR(IF(ISNUMBER(INDEX(SPPR!$E:$Z,MATCH($A118,SPPR!$A:$A,0),17)),$C118*INDEX(SPPR!$E:$Z,MATCH($A118,SPPR!$A:$A,0),17),""),"")</f>
        <v/>
      </c>
      <c r="U118">
        <f>IFERROR(IF(ISNUMBER(INDEX(SPPR!$E:$Z,MATCH($A118,SPPR!$A:$A,0),18)),$C118*INDEX(SPPR!$E:$Z,MATCH($A118,SPPR!$A:$A,0),18),""),"")</f>
        <v/>
      </c>
      <c r="V118">
        <f>IFERROR(IF(ISNUMBER(INDEX(SPPR!$E:$Z,MATCH($A118,SPPR!$A:$A,0),19)),$C118*INDEX(SPPR!$E:$Z,MATCH($A118,SPPR!$A:$A,0),19),""),"")</f>
        <v/>
      </c>
      <c r="W118">
        <f>IFERROR(IF(ISNUMBER(INDEX(SPPR!$E:$Z,MATCH($A118,SPPR!$A:$A,0),20)),$C118*INDEX(SPPR!$E:$Z,MATCH($A118,SPPR!$A:$A,0),20),""),"")</f>
        <v/>
      </c>
      <c r="X118">
        <f>IFERROR(IF(ISNUMBER(INDEX(SPPR!$E:$Z,MATCH($A118,SPPR!$A:$A,0),21)),$C118*INDEX(SPPR!$E:$Z,MATCH($A118,SPPR!$A:$A,0),21),""),"")</f>
        <v/>
      </c>
      <c r="Y118">
        <f>IFERROR(IF(ISNUMBER(INDEX(SPPR!$E:$Z,MATCH($A118,SPPR!$A:$A,0),22)),$C118*INDEX(SPPR!$E:$Z,MATCH($A118,SPPR!$A:$A,0),22),""),"")</f>
        <v/>
      </c>
    </row>
    <row r="119">
      <c r="A119" t="inlineStr">
        <is>
          <t>Scomberomorus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IFERROR(IF(ISNUMBER(INDEX(SPPR!$E:$Z,MATCH($A119,SPPR!$A:$A,0),1)),$C119*INDEX(SPPR!$E:$Z,MATCH($A119,SPPR!$A:$A,0),1),""),"")</f>
        <v/>
      </c>
      <c r="E119">
        <f>IFERROR(IF(ISNUMBER(INDEX(SPPR!$E:$Z,MATCH($A119,SPPR!$A:$A,0),2)),$C119*INDEX(SPPR!$E:$Z,MATCH($A119,SPPR!$A:$A,0),2),""),"")</f>
        <v/>
      </c>
      <c r="F119">
        <f>IFERROR(IF(ISNUMBER(INDEX(SPPR!$E:$Z,MATCH($A119,SPPR!$A:$A,0),3)),$C119*INDEX(SPPR!$E:$Z,MATCH($A119,SPPR!$A:$A,0),3),""),"")</f>
        <v/>
      </c>
      <c r="G119">
        <f>IFERROR(IF(ISNUMBER(INDEX(SPPR!$E:$Z,MATCH($A119,SPPR!$A:$A,0),4)),$C119*INDEX(SPPR!$E:$Z,MATCH($A119,SPPR!$A:$A,0),4),""),"")</f>
        <v/>
      </c>
      <c r="H119">
        <f>IFERROR(IF(ISNUMBER(INDEX(SPPR!$E:$Z,MATCH($A119,SPPR!$A:$A,0),5)),$C119*INDEX(SPPR!$E:$Z,MATCH($A119,SPPR!$A:$A,0),5),""),"")</f>
        <v/>
      </c>
      <c r="I119">
        <f>IFERROR(IF(ISNUMBER(INDEX(SPPR!$E:$Z,MATCH($A119,SPPR!$A:$A,0),6)),$C119*INDEX(SPPR!$E:$Z,MATCH($A119,SPPR!$A:$A,0),6),""),"")</f>
        <v/>
      </c>
      <c r="J119">
        <f>IFERROR(IF(ISNUMBER(INDEX(SPPR!$E:$Z,MATCH($A119,SPPR!$A:$A,0),7)),$C119*INDEX(SPPR!$E:$Z,MATCH($A119,SPPR!$A:$A,0),7),""),"")</f>
        <v/>
      </c>
      <c r="K119">
        <f>IFERROR(IF(ISNUMBER(INDEX(SPPR!$E:$Z,MATCH($A119,SPPR!$A:$A,0),8)),$C119*INDEX(SPPR!$E:$Z,MATCH($A119,SPPR!$A:$A,0),8),""),"")</f>
        <v/>
      </c>
      <c r="L119">
        <f>IFERROR(IF(ISNUMBER(INDEX(SPPR!$E:$Z,MATCH($A119,SPPR!$A:$A,0),9)),$C119*INDEX(SPPR!$E:$Z,MATCH($A119,SPPR!$A:$A,0),9),""),"")</f>
        <v/>
      </c>
      <c r="M119">
        <f>IFERROR(IF(ISNUMBER(INDEX(SPPR!$E:$Z,MATCH($A119,SPPR!$A:$A,0),10)),$C119*INDEX(SPPR!$E:$Z,MATCH($A119,SPPR!$A:$A,0),10),""),"")</f>
        <v/>
      </c>
      <c r="N119">
        <f>IFERROR(IF(ISNUMBER(INDEX(SPPR!$E:$Z,MATCH($A119,SPPR!$A:$A,0),11)),$C119*INDEX(SPPR!$E:$Z,MATCH($A119,SPPR!$A:$A,0),11),""),"")</f>
        <v/>
      </c>
      <c r="O119">
        <f>IFERROR(IF(ISNUMBER(INDEX(SPPR!$E:$Z,MATCH($A119,SPPR!$A:$A,0),12)),$C119*INDEX(SPPR!$E:$Z,MATCH($A119,SPPR!$A:$A,0),12),""),"")</f>
        <v/>
      </c>
      <c r="P119">
        <f>IFERROR(IF(ISNUMBER(INDEX(SPPR!$E:$Z,MATCH($A119,SPPR!$A:$A,0),13)),$C119*INDEX(SPPR!$E:$Z,MATCH($A119,SPPR!$A:$A,0),13),""),"")</f>
        <v/>
      </c>
      <c r="Q119">
        <f>IFERROR(IF(ISNUMBER(INDEX(SPPR!$E:$Z,MATCH($A119,SPPR!$A:$A,0),14)),$C119*INDEX(SPPR!$E:$Z,MATCH($A119,SPPR!$A:$A,0),14),""),"")</f>
        <v/>
      </c>
      <c r="R119">
        <f>IFERROR(IF(ISNUMBER(INDEX(SPPR!$E:$Z,MATCH($A119,SPPR!$A:$A,0),15)),$C119*INDEX(SPPR!$E:$Z,MATCH($A119,SPPR!$A:$A,0),15),""),"")</f>
        <v/>
      </c>
      <c r="S119">
        <f>IFERROR(IF(ISNUMBER(INDEX(SPPR!$E:$Z,MATCH($A119,SPPR!$A:$A,0),16)),$C119*INDEX(SPPR!$E:$Z,MATCH($A119,SPPR!$A:$A,0),16),""),"")</f>
        <v/>
      </c>
      <c r="T119">
        <f>IFERROR(IF(ISNUMBER(INDEX(SPPR!$E:$Z,MATCH($A119,SPPR!$A:$A,0),17)),$C119*INDEX(SPPR!$E:$Z,MATCH($A119,SPPR!$A:$A,0),17),""),"")</f>
        <v/>
      </c>
      <c r="U119">
        <f>IFERROR(IF(ISNUMBER(INDEX(SPPR!$E:$Z,MATCH($A119,SPPR!$A:$A,0),18)),$C119*INDEX(SPPR!$E:$Z,MATCH($A119,SPPR!$A:$A,0),18),""),"")</f>
        <v/>
      </c>
      <c r="V119">
        <f>IFERROR(IF(ISNUMBER(INDEX(SPPR!$E:$Z,MATCH($A119,SPPR!$A:$A,0),19)),$C119*INDEX(SPPR!$E:$Z,MATCH($A119,SPPR!$A:$A,0),19),""),"")</f>
        <v/>
      </c>
      <c r="W119">
        <f>IFERROR(IF(ISNUMBER(INDEX(SPPR!$E:$Z,MATCH($A119,SPPR!$A:$A,0),20)),$C119*INDEX(SPPR!$E:$Z,MATCH($A119,SPPR!$A:$A,0),20),""),"")</f>
        <v/>
      </c>
      <c r="X119">
        <f>IFERROR(IF(ISNUMBER(INDEX(SPPR!$E:$Z,MATCH($A119,SPPR!$A:$A,0),21)),$C119*INDEX(SPPR!$E:$Z,MATCH($A119,SPPR!$A:$A,0),21),""),"")</f>
        <v/>
      </c>
      <c r="Y119">
        <f>IFERROR(IF(ISNUMBER(INDEX(SPPR!$E:$Z,MATCH($A119,SPPR!$A:$A,0),22)),$C119*INDEX(SPPR!$E:$Z,MATCH($A119,SPPR!$A:$A,0),22),""),"")</f>
        <v/>
      </c>
    </row>
    <row r="120">
      <c r="A120" t="inlineStr">
        <is>
          <t>Balistes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IFERROR(IF(ISNUMBER(INDEX(SPPR!$E:$Z,MATCH($A120,SPPR!$A:$A,0),1)),$C120*INDEX(SPPR!$E:$Z,MATCH($A120,SPPR!$A:$A,0),1),""),"")</f>
        <v/>
      </c>
      <c r="E120">
        <f>IFERROR(IF(ISNUMBER(INDEX(SPPR!$E:$Z,MATCH($A120,SPPR!$A:$A,0),2)),$C120*INDEX(SPPR!$E:$Z,MATCH($A120,SPPR!$A:$A,0),2),""),"")</f>
        <v/>
      </c>
      <c r="F120">
        <f>IFERROR(IF(ISNUMBER(INDEX(SPPR!$E:$Z,MATCH($A120,SPPR!$A:$A,0),3)),$C120*INDEX(SPPR!$E:$Z,MATCH($A120,SPPR!$A:$A,0),3),""),"")</f>
        <v/>
      </c>
      <c r="G120">
        <f>IFERROR(IF(ISNUMBER(INDEX(SPPR!$E:$Z,MATCH($A120,SPPR!$A:$A,0),4)),$C120*INDEX(SPPR!$E:$Z,MATCH($A120,SPPR!$A:$A,0),4),""),"")</f>
        <v/>
      </c>
      <c r="H120">
        <f>IFERROR(IF(ISNUMBER(INDEX(SPPR!$E:$Z,MATCH($A120,SPPR!$A:$A,0),5)),$C120*INDEX(SPPR!$E:$Z,MATCH($A120,SPPR!$A:$A,0),5),""),"")</f>
        <v/>
      </c>
      <c r="I120">
        <f>IFERROR(IF(ISNUMBER(INDEX(SPPR!$E:$Z,MATCH($A120,SPPR!$A:$A,0),6)),$C120*INDEX(SPPR!$E:$Z,MATCH($A120,SPPR!$A:$A,0),6),""),"")</f>
        <v/>
      </c>
      <c r="J120">
        <f>IFERROR(IF(ISNUMBER(INDEX(SPPR!$E:$Z,MATCH($A120,SPPR!$A:$A,0),7)),$C120*INDEX(SPPR!$E:$Z,MATCH($A120,SPPR!$A:$A,0),7),""),"")</f>
        <v/>
      </c>
      <c r="K120">
        <f>IFERROR(IF(ISNUMBER(INDEX(SPPR!$E:$Z,MATCH($A120,SPPR!$A:$A,0),8)),$C120*INDEX(SPPR!$E:$Z,MATCH($A120,SPPR!$A:$A,0),8),""),"")</f>
        <v/>
      </c>
      <c r="L120">
        <f>IFERROR(IF(ISNUMBER(INDEX(SPPR!$E:$Z,MATCH($A120,SPPR!$A:$A,0),9)),$C120*INDEX(SPPR!$E:$Z,MATCH($A120,SPPR!$A:$A,0),9),""),"")</f>
        <v/>
      </c>
      <c r="M120">
        <f>IFERROR(IF(ISNUMBER(INDEX(SPPR!$E:$Z,MATCH($A120,SPPR!$A:$A,0),10)),$C120*INDEX(SPPR!$E:$Z,MATCH($A120,SPPR!$A:$A,0),10),""),"")</f>
        <v/>
      </c>
      <c r="N120">
        <f>IFERROR(IF(ISNUMBER(INDEX(SPPR!$E:$Z,MATCH($A120,SPPR!$A:$A,0),11)),$C120*INDEX(SPPR!$E:$Z,MATCH($A120,SPPR!$A:$A,0),11),""),"")</f>
        <v/>
      </c>
      <c r="O120">
        <f>IFERROR(IF(ISNUMBER(INDEX(SPPR!$E:$Z,MATCH($A120,SPPR!$A:$A,0),12)),$C120*INDEX(SPPR!$E:$Z,MATCH($A120,SPPR!$A:$A,0),12),""),"")</f>
        <v/>
      </c>
      <c r="P120">
        <f>IFERROR(IF(ISNUMBER(INDEX(SPPR!$E:$Z,MATCH($A120,SPPR!$A:$A,0),13)),$C120*INDEX(SPPR!$E:$Z,MATCH($A120,SPPR!$A:$A,0),13),""),"")</f>
        <v/>
      </c>
      <c r="Q120">
        <f>IFERROR(IF(ISNUMBER(INDEX(SPPR!$E:$Z,MATCH($A120,SPPR!$A:$A,0),14)),$C120*INDEX(SPPR!$E:$Z,MATCH($A120,SPPR!$A:$A,0),14),""),"")</f>
        <v/>
      </c>
      <c r="R120">
        <f>IFERROR(IF(ISNUMBER(INDEX(SPPR!$E:$Z,MATCH($A120,SPPR!$A:$A,0),15)),$C120*INDEX(SPPR!$E:$Z,MATCH($A120,SPPR!$A:$A,0),15),""),"")</f>
        <v/>
      </c>
      <c r="S120">
        <f>IFERROR(IF(ISNUMBER(INDEX(SPPR!$E:$Z,MATCH($A120,SPPR!$A:$A,0),16)),$C120*INDEX(SPPR!$E:$Z,MATCH($A120,SPPR!$A:$A,0),16),""),"")</f>
        <v/>
      </c>
      <c r="T120">
        <f>IFERROR(IF(ISNUMBER(INDEX(SPPR!$E:$Z,MATCH($A120,SPPR!$A:$A,0),17)),$C120*INDEX(SPPR!$E:$Z,MATCH($A120,SPPR!$A:$A,0),17),""),"")</f>
        <v/>
      </c>
      <c r="U120">
        <f>IFERROR(IF(ISNUMBER(INDEX(SPPR!$E:$Z,MATCH($A120,SPPR!$A:$A,0),18)),$C120*INDEX(SPPR!$E:$Z,MATCH($A120,SPPR!$A:$A,0),18),""),"")</f>
        <v/>
      </c>
      <c r="V120">
        <f>IFERROR(IF(ISNUMBER(INDEX(SPPR!$E:$Z,MATCH($A120,SPPR!$A:$A,0),19)),$C120*INDEX(SPPR!$E:$Z,MATCH($A120,SPPR!$A:$A,0),19),""),"")</f>
        <v/>
      </c>
      <c r="W120">
        <f>IFERROR(IF(ISNUMBER(INDEX(SPPR!$E:$Z,MATCH($A120,SPPR!$A:$A,0),20)),$C120*INDEX(SPPR!$E:$Z,MATCH($A120,SPPR!$A:$A,0),20),""),"")</f>
        <v/>
      </c>
      <c r="X120">
        <f>IFERROR(IF(ISNUMBER(INDEX(SPPR!$E:$Z,MATCH($A120,SPPR!$A:$A,0),21)),$C120*INDEX(SPPR!$E:$Z,MATCH($A120,SPPR!$A:$A,0),21),""),"")</f>
        <v/>
      </c>
      <c r="Y120">
        <f>IFERROR(IF(ISNUMBER(INDEX(SPPR!$E:$Z,MATCH($A120,SPPR!$A:$A,0),22)),$C120*INDEX(SPPR!$E:$Z,MATCH($A120,SPPR!$A:$A,0),22),""),"")</f>
        <v/>
      </c>
    </row>
    <row r="121">
      <c r="A121" t="inlineStr">
        <is>
          <t>Cynoglossus canariensis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IFERROR(IF(ISNUMBER(INDEX(SPPR!$E:$Z,MATCH($A121,SPPR!$A:$A,0),1)),$C121*INDEX(SPPR!$E:$Z,MATCH($A121,SPPR!$A:$A,0),1),""),"")</f>
        <v/>
      </c>
      <c r="E121">
        <f>IFERROR(IF(ISNUMBER(INDEX(SPPR!$E:$Z,MATCH($A121,SPPR!$A:$A,0),2)),$C121*INDEX(SPPR!$E:$Z,MATCH($A121,SPPR!$A:$A,0),2),""),"")</f>
        <v/>
      </c>
      <c r="F121">
        <f>IFERROR(IF(ISNUMBER(INDEX(SPPR!$E:$Z,MATCH($A121,SPPR!$A:$A,0),3)),$C121*INDEX(SPPR!$E:$Z,MATCH($A121,SPPR!$A:$A,0),3),""),"")</f>
        <v/>
      </c>
      <c r="G121">
        <f>IFERROR(IF(ISNUMBER(INDEX(SPPR!$E:$Z,MATCH($A121,SPPR!$A:$A,0),4)),$C121*INDEX(SPPR!$E:$Z,MATCH($A121,SPPR!$A:$A,0),4),""),"")</f>
        <v/>
      </c>
      <c r="H121">
        <f>IFERROR(IF(ISNUMBER(INDEX(SPPR!$E:$Z,MATCH($A121,SPPR!$A:$A,0),5)),$C121*INDEX(SPPR!$E:$Z,MATCH($A121,SPPR!$A:$A,0),5),""),"")</f>
        <v/>
      </c>
      <c r="I121">
        <f>IFERROR(IF(ISNUMBER(INDEX(SPPR!$E:$Z,MATCH($A121,SPPR!$A:$A,0),6)),$C121*INDEX(SPPR!$E:$Z,MATCH($A121,SPPR!$A:$A,0),6),""),"")</f>
        <v/>
      </c>
      <c r="J121">
        <f>IFERROR(IF(ISNUMBER(INDEX(SPPR!$E:$Z,MATCH($A121,SPPR!$A:$A,0),7)),$C121*INDEX(SPPR!$E:$Z,MATCH($A121,SPPR!$A:$A,0),7),""),"")</f>
        <v/>
      </c>
      <c r="K121">
        <f>IFERROR(IF(ISNUMBER(INDEX(SPPR!$E:$Z,MATCH($A121,SPPR!$A:$A,0),8)),$C121*INDEX(SPPR!$E:$Z,MATCH($A121,SPPR!$A:$A,0),8),""),"")</f>
        <v/>
      </c>
      <c r="L121">
        <f>IFERROR(IF(ISNUMBER(INDEX(SPPR!$E:$Z,MATCH($A121,SPPR!$A:$A,0),9)),$C121*INDEX(SPPR!$E:$Z,MATCH($A121,SPPR!$A:$A,0),9),""),"")</f>
        <v/>
      </c>
      <c r="M121">
        <f>IFERROR(IF(ISNUMBER(INDEX(SPPR!$E:$Z,MATCH($A121,SPPR!$A:$A,0),10)),$C121*INDEX(SPPR!$E:$Z,MATCH($A121,SPPR!$A:$A,0),10),""),"")</f>
        <v/>
      </c>
      <c r="N121">
        <f>IFERROR(IF(ISNUMBER(INDEX(SPPR!$E:$Z,MATCH($A121,SPPR!$A:$A,0),11)),$C121*INDEX(SPPR!$E:$Z,MATCH($A121,SPPR!$A:$A,0),11),""),"")</f>
        <v/>
      </c>
      <c r="O121">
        <f>IFERROR(IF(ISNUMBER(INDEX(SPPR!$E:$Z,MATCH($A121,SPPR!$A:$A,0),12)),$C121*INDEX(SPPR!$E:$Z,MATCH($A121,SPPR!$A:$A,0),12),""),"")</f>
        <v/>
      </c>
      <c r="P121">
        <f>IFERROR(IF(ISNUMBER(INDEX(SPPR!$E:$Z,MATCH($A121,SPPR!$A:$A,0),13)),$C121*INDEX(SPPR!$E:$Z,MATCH($A121,SPPR!$A:$A,0),13),""),"")</f>
        <v/>
      </c>
      <c r="Q121">
        <f>IFERROR(IF(ISNUMBER(INDEX(SPPR!$E:$Z,MATCH($A121,SPPR!$A:$A,0),14)),$C121*INDEX(SPPR!$E:$Z,MATCH($A121,SPPR!$A:$A,0),14),""),"")</f>
        <v/>
      </c>
      <c r="R121">
        <f>IFERROR(IF(ISNUMBER(INDEX(SPPR!$E:$Z,MATCH($A121,SPPR!$A:$A,0),15)),$C121*INDEX(SPPR!$E:$Z,MATCH($A121,SPPR!$A:$A,0),15),""),"")</f>
        <v/>
      </c>
      <c r="S121">
        <f>IFERROR(IF(ISNUMBER(INDEX(SPPR!$E:$Z,MATCH($A121,SPPR!$A:$A,0),16)),$C121*INDEX(SPPR!$E:$Z,MATCH($A121,SPPR!$A:$A,0),16),""),"")</f>
        <v/>
      </c>
      <c r="T121">
        <f>IFERROR(IF(ISNUMBER(INDEX(SPPR!$E:$Z,MATCH($A121,SPPR!$A:$A,0),17)),$C121*INDEX(SPPR!$E:$Z,MATCH($A121,SPPR!$A:$A,0),17),""),"")</f>
        <v/>
      </c>
      <c r="U121">
        <f>IFERROR(IF(ISNUMBER(INDEX(SPPR!$E:$Z,MATCH($A121,SPPR!$A:$A,0),18)),$C121*INDEX(SPPR!$E:$Z,MATCH($A121,SPPR!$A:$A,0),18),""),"")</f>
        <v/>
      </c>
      <c r="V121">
        <f>IFERROR(IF(ISNUMBER(INDEX(SPPR!$E:$Z,MATCH($A121,SPPR!$A:$A,0),19)),$C121*INDEX(SPPR!$E:$Z,MATCH($A121,SPPR!$A:$A,0),19),""),"")</f>
        <v/>
      </c>
      <c r="W121">
        <f>IFERROR(IF(ISNUMBER(INDEX(SPPR!$E:$Z,MATCH($A121,SPPR!$A:$A,0),20)),$C121*INDEX(SPPR!$E:$Z,MATCH($A121,SPPR!$A:$A,0),20),""),"")</f>
        <v/>
      </c>
      <c r="X121">
        <f>IFERROR(IF(ISNUMBER(INDEX(SPPR!$E:$Z,MATCH($A121,SPPR!$A:$A,0),21)),$C121*INDEX(SPPR!$E:$Z,MATCH($A121,SPPR!$A:$A,0),21),""),"")</f>
        <v/>
      </c>
      <c r="Y121">
        <f>IFERROR(IF(ISNUMBER(INDEX(SPPR!$E:$Z,MATCH($A121,SPPR!$A:$A,0),22)),$C121*INDEX(SPPR!$E:$Z,MATCH($A121,SPPR!$A:$A,0),22),""),"")</f>
        <v/>
      </c>
    </row>
    <row r="122">
      <c r="A122" t="inlineStr">
        <is>
          <t>Mollusca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IFERROR(IF(ISNUMBER(INDEX(SPPR!$E:$Z,MATCH($A122,SPPR!$A:$A,0),1)),$C122*INDEX(SPPR!$E:$Z,MATCH($A122,SPPR!$A:$A,0),1),""),"")</f>
        <v/>
      </c>
      <c r="E122">
        <f>IFERROR(IF(ISNUMBER(INDEX(SPPR!$E:$Z,MATCH($A122,SPPR!$A:$A,0),2)),$C122*INDEX(SPPR!$E:$Z,MATCH($A122,SPPR!$A:$A,0),2),""),"")</f>
        <v/>
      </c>
      <c r="F122">
        <f>IFERROR(IF(ISNUMBER(INDEX(SPPR!$E:$Z,MATCH($A122,SPPR!$A:$A,0),3)),$C122*INDEX(SPPR!$E:$Z,MATCH($A122,SPPR!$A:$A,0),3),""),"")</f>
        <v/>
      </c>
      <c r="G122">
        <f>IFERROR(IF(ISNUMBER(INDEX(SPPR!$E:$Z,MATCH($A122,SPPR!$A:$A,0),4)),$C122*INDEX(SPPR!$E:$Z,MATCH($A122,SPPR!$A:$A,0),4),""),"")</f>
        <v/>
      </c>
      <c r="H122">
        <f>IFERROR(IF(ISNUMBER(INDEX(SPPR!$E:$Z,MATCH($A122,SPPR!$A:$A,0),5)),$C122*INDEX(SPPR!$E:$Z,MATCH($A122,SPPR!$A:$A,0),5),""),"")</f>
        <v/>
      </c>
      <c r="I122">
        <f>IFERROR(IF(ISNUMBER(INDEX(SPPR!$E:$Z,MATCH($A122,SPPR!$A:$A,0),6)),$C122*INDEX(SPPR!$E:$Z,MATCH($A122,SPPR!$A:$A,0),6),""),"")</f>
        <v/>
      </c>
      <c r="J122">
        <f>IFERROR(IF(ISNUMBER(INDEX(SPPR!$E:$Z,MATCH($A122,SPPR!$A:$A,0),7)),$C122*INDEX(SPPR!$E:$Z,MATCH($A122,SPPR!$A:$A,0),7),""),"")</f>
        <v/>
      </c>
      <c r="K122">
        <f>IFERROR(IF(ISNUMBER(INDEX(SPPR!$E:$Z,MATCH($A122,SPPR!$A:$A,0),8)),$C122*INDEX(SPPR!$E:$Z,MATCH($A122,SPPR!$A:$A,0),8),""),"")</f>
        <v/>
      </c>
      <c r="L122">
        <f>IFERROR(IF(ISNUMBER(INDEX(SPPR!$E:$Z,MATCH($A122,SPPR!$A:$A,0),9)),$C122*INDEX(SPPR!$E:$Z,MATCH($A122,SPPR!$A:$A,0),9),""),"")</f>
        <v/>
      </c>
      <c r="M122">
        <f>IFERROR(IF(ISNUMBER(INDEX(SPPR!$E:$Z,MATCH($A122,SPPR!$A:$A,0),10)),$C122*INDEX(SPPR!$E:$Z,MATCH($A122,SPPR!$A:$A,0),10),""),"")</f>
        <v/>
      </c>
      <c r="N122">
        <f>IFERROR(IF(ISNUMBER(INDEX(SPPR!$E:$Z,MATCH($A122,SPPR!$A:$A,0),11)),$C122*INDEX(SPPR!$E:$Z,MATCH($A122,SPPR!$A:$A,0),11),""),"")</f>
        <v/>
      </c>
      <c r="O122">
        <f>IFERROR(IF(ISNUMBER(INDEX(SPPR!$E:$Z,MATCH($A122,SPPR!$A:$A,0),12)),$C122*INDEX(SPPR!$E:$Z,MATCH($A122,SPPR!$A:$A,0),12),""),"")</f>
        <v/>
      </c>
      <c r="P122">
        <f>IFERROR(IF(ISNUMBER(INDEX(SPPR!$E:$Z,MATCH($A122,SPPR!$A:$A,0),13)),$C122*INDEX(SPPR!$E:$Z,MATCH($A122,SPPR!$A:$A,0),13),""),"")</f>
        <v/>
      </c>
      <c r="Q122">
        <f>IFERROR(IF(ISNUMBER(INDEX(SPPR!$E:$Z,MATCH($A122,SPPR!$A:$A,0),14)),$C122*INDEX(SPPR!$E:$Z,MATCH($A122,SPPR!$A:$A,0),14),""),"")</f>
        <v/>
      </c>
      <c r="R122">
        <f>IFERROR(IF(ISNUMBER(INDEX(SPPR!$E:$Z,MATCH($A122,SPPR!$A:$A,0),15)),$C122*INDEX(SPPR!$E:$Z,MATCH($A122,SPPR!$A:$A,0),15),""),"")</f>
        <v/>
      </c>
      <c r="S122">
        <f>IFERROR(IF(ISNUMBER(INDEX(SPPR!$E:$Z,MATCH($A122,SPPR!$A:$A,0),16)),$C122*INDEX(SPPR!$E:$Z,MATCH($A122,SPPR!$A:$A,0),16),""),"")</f>
        <v/>
      </c>
      <c r="T122">
        <f>IFERROR(IF(ISNUMBER(INDEX(SPPR!$E:$Z,MATCH($A122,SPPR!$A:$A,0),17)),$C122*INDEX(SPPR!$E:$Z,MATCH($A122,SPPR!$A:$A,0),17),""),"")</f>
        <v/>
      </c>
      <c r="U122">
        <f>IFERROR(IF(ISNUMBER(INDEX(SPPR!$E:$Z,MATCH($A122,SPPR!$A:$A,0),18)),$C122*INDEX(SPPR!$E:$Z,MATCH($A122,SPPR!$A:$A,0),18),""),"")</f>
        <v/>
      </c>
      <c r="V122">
        <f>IFERROR(IF(ISNUMBER(INDEX(SPPR!$E:$Z,MATCH($A122,SPPR!$A:$A,0),19)),$C122*INDEX(SPPR!$E:$Z,MATCH($A122,SPPR!$A:$A,0),19),""),"")</f>
        <v/>
      </c>
      <c r="W122">
        <f>IFERROR(IF(ISNUMBER(INDEX(SPPR!$E:$Z,MATCH($A122,SPPR!$A:$A,0),20)),$C122*INDEX(SPPR!$E:$Z,MATCH($A122,SPPR!$A:$A,0),20),""),"")</f>
        <v/>
      </c>
      <c r="X122">
        <f>IFERROR(IF(ISNUMBER(INDEX(SPPR!$E:$Z,MATCH($A122,SPPR!$A:$A,0),21)),$C122*INDEX(SPPR!$E:$Z,MATCH($A122,SPPR!$A:$A,0),21),""),"")</f>
        <v/>
      </c>
      <c r="Y122">
        <f>IFERROR(IF(ISNUMBER(INDEX(SPPR!$E:$Z,MATCH($A122,SPPR!$A:$A,0),22)),$C122*INDEX(SPPR!$E:$Z,MATCH($A122,SPPR!$A:$A,0),22),""),"")</f>
        <v/>
      </c>
    </row>
    <row r="123">
      <c r="A123" t="inlineStr">
        <is>
          <t>Cheilopogon melanurus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IFERROR(IF(ISNUMBER(INDEX(SPPR!$E:$Z,MATCH($A123,SPPR!$A:$A,0),1)),$C123*INDEX(SPPR!$E:$Z,MATCH($A123,SPPR!$A:$A,0),1),""),"")</f>
        <v/>
      </c>
      <c r="E123">
        <f>IFERROR(IF(ISNUMBER(INDEX(SPPR!$E:$Z,MATCH($A123,SPPR!$A:$A,0),2)),$C123*INDEX(SPPR!$E:$Z,MATCH($A123,SPPR!$A:$A,0),2),""),"")</f>
        <v/>
      </c>
      <c r="F123">
        <f>IFERROR(IF(ISNUMBER(INDEX(SPPR!$E:$Z,MATCH($A123,SPPR!$A:$A,0),3)),$C123*INDEX(SPPR!$E:$Z,MATCH($A123,SPPR!$A:$A,0),3),""),"")</f>
        <v/>
      </c>
      <c r="G123">
        <f>IFERROR(IF(ISNUMBER(INDEX(SPPR!$E:$Z,MATCH($A123,SPPR!$A:$A,0),4)),$C123*INDEX(SPPR!$E:$Z,MATCH($A123,SPPR!$A:$A,0),4),""),"")</f>
        <v/>
      </c>
      <c r="H123">
        <f>IFERROR(IF(ISNUMBER(INDEX(SPPR!$E:$Z,MATCH($A123,SPPR!$A:$A,0),5)),$C123*INDEX(SPPR!$E:$Z,MATCH($A123,SPPR!$A:$A,0),5),""),"")</f>
        <v/>
      </c>
      <c r="I123">
        <f>IFERROR(IF(ISNUMBER(INDEX(SPPR!$E:$Z,MATCH($A123,SPPR!$A:$A,0),6)),$C123*INDEX(SPPR!$E:$Z,MATCH($A123,SPPR!$A:$A,0),6),""),"")</f>
        <v/>
      </c>
      <c r="J123">
        <f>IFERROR(IF(ISNUMBER(INDEX(SPPR!$E:$Z,MATCH($A123,SPPR!$A:$A,0),7)),$C123*INDEX(SPPR!$E:$Z,MATCH($A123,SPPR!$A:$A,0),7),""),"")</f>
        <v/>
      </c>
      <c r="K123">
        <f>IFERROR(IF(ISNUMBER(INDEX(SPPR!$E:$Z,MATCH($A123,SPPR!$A:$A,0),8)),$C123*INDEX(SPPR!$E:$Z,MATCH($A123,SPPR!$A:$A,0),8),""),"")</f>
        <v/>
      </c>
      <c r="L123">
        <f>IFERROR(IF(ISNUMBER(INDEX(SPPR!$E:$Z,MATCH($A123,SPPR!$A:$A,0),9)),$C123*INDEX(SPPR!$E:$Z,MATCH($A123,SPPR!$A:$A,0),9),""),"")</f>
        <v/>
      </c>
      <c r="M123">
        <f>IFERROR(IF(ISNUMBER(INDEX(SPPR!$E:$Z,MATCH($A123,SPPR!$A:$A,0),10)),$C123*INDEX(SPPR!$E:$Z,MATCH($A123,SPPR!$A:$A,0),10),""),"")</f>
        <v/>
      </c>
      <c r="N123">
        <f>IFERROR(IF(ISNUMBER(INDEX(SPPR!$E:$Z,MATCH($A123,SPPR!$A:$A,0),11)),$C123*INDEX(SPPR!$E:$Z,MATCH($A123,SPPR!$A:$A,0),11),""),"")</f>
        <v/>
      </c>
      <c r="O123">
        <f>IFERROR(IF(ISNUMBER(INDEX(SPPR!$E:$Z,MATCH($A123,SPPR!$A:$A,0),12)),$C123*INDEX(SPPR!$E:$Z,MATCH($A123,SPPR!$A:$A,0),12),""),"")</f>
        <v/>
      </c>
      <c r="P123">
        <f>IFERROR(IF(ISNUMBER(INDEX(SPPR!$E:$Z,MATCH($A123,SPPR!$A:$A,0),13)),$C123*INDEX(SPPR!$E:$Z,MATCH($A123,SPPR!$A:$A,0),13),""),"")</f>
        <v/>
      </c>
      <c r="Q123">
        <f>IFERROR(IF(ISNUMBER(INDEX(SPPR!$E:$Z,MATCH($A123,SPPR!$A:$A,0),14)),$C123*INDEX(SPPR!$E:$Z,MATCH($A123,SPPR!$A:$A,0),14),""),"")</f>
        <v/>
      </c>
      <c r="R123">
        <f>IFERROR(IF(ISNUMBER(INDEX(SPPR!$E:$Z,MATCH($A123,SPPR!$A:$A,0),15)),$C123*INDEX(SPPR!$E:$Z,MATCH($A123,SPPR!$A:$A,0),15),""),"")</f>
        <v/>
      </c>
      <c r="S123">
        <f>IFERROR(IF(ISNUMBER(INDEX(SPPR!$E:$Z,MATCH($A123,SPPR!$A:$A,0),16)),$C123*INDEX(SPPR!$E:$Z,MATCH($A123,SPPR!$A:$A,0),16),""),"")</f>
        <v/>
      </c>
      <c r="T123">
        <f>IFERROR(IF(ISNUMBER(INDEX(SPPR!$E:$Z,MATCH($A123,SPPR!$A:$A,0),17)),$C123*INDEX(SPPR!$E:$Z,MATCH($A123,SPPR!$A:$A,0),17),""),"")</f>
        <v/>
      </c>
      <c r="U123">
        <f>IFERROR(IF(ISNUMBER(INDEX(SPPR!$E:$Z,MATCH($A123,SPPR!$A:$A,0),18)),$C123*INDEX(SPPR!$E:$Z,MATCH($A123,SPPR!$A:$A,0),18),""),"")</f>
        <v/>
      </c>
      <c r="V123">
        <f>IFERROR(IF(ISNUMBER(INDEX(SPPR!$E:$Z,MATCH($A123,SPPR!$A:$A,0),19)),$C123*INDEX(SPPR!$E:$Z,MATCH($A123,SPPR!$A:$A,0),19),""),"")</f>
        <v/>
      </c>
      <c r="W123">
        <f>IFERROR(IF(ISNUMBER(INDEX(SPPR!$E:$Z,MATCH($A123,SPPR!$A:$A,0),20)),$C123*INDEX(SPPR!$E:$Z,MATCH($A123,SPPR!$A:$A,0),20),""),"")</f>
        <v/>
      </c>
      <c r="X123">
        <f>IFERROR(IF(ISNUMBER(INDEX(SPPR!$E:$Z,MATCH($A123,SPPR!$A:$A,0),21)),$C123*INDEX(SPPR!$E:$Z,MATCH($A123,SPPR!$A:$A,0),21),""),"")</f>
        <v/>
      </c>
      <c r="Y123">
        <f>IFERROR(IF(ISNUMBER(INDEX(SPPR!$E:$Z,MATCH($A123,SPPR!$A:$A,0),22)),$C123*INDEX(SPPR!$E:$Z,MATCH($A123,SPPR!$A:$A,0),22),""),"")</f>
        <v/>
      </c>
    </row>
    <row r="124">
      <c r="A124" t="inlineStr">
        <is>
          <t>Aristeus varidens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IFERROR(IF(ISNUMBER(INDEX(SPPR!$E:$Z,MATCH($A124,SPPR!$A:$A,0),1)),$C124*INDEX(SPPR!$E:$Z,MATCH($A124,SPPR!$A:$A,0),1),""),"")</f>
        <v/>
      </c>
      <c r="E124">
        <f>IFERROR(IF(ISNUMBER(INDEX(SPPR!$E:$Z,MATCH($A124,SPPR!$A:$A,0),2)),$C124*INDEX(SPPR!$E:$Z,MATCH($A124,SPPR!$A:$A,0),2),""),"")</f>
        <v/>
      </c>
      <c r="F124">
        <f>IFERROR(IF(ISNUMBER(INDEX(SPPR!$E:$Z,MATCH($A124,SPPR!$A:$A,0),3)),$C124*INDEX(SPPR!$E:$Z,MATCH($A124,SPPR!$A:$A,0),3),""),"")</f>
        <v/>
      </c>
      <c r="G124">
        <f>IFERROR(IF(ISNUMBER(INDEX(SPPR!$E:$Z,MATCH($A124,SPPR!$A:$A,0),4)),$C124*INDEX(SPPR!$E:$Z,MATCH($A124,SPPR!$A:$A,0),4),""),"")</f>
        <v/>
      </c>
      <c r="H124">
        <f>IFERROR(IF(ISNUMBER(INDEX(SPPR!$E:$Z,MATCH($A124,SPPR!$A:$A,0),5)),$C124*INDEX(SPPR!$E:$Z,MATCH($A124,SPPR!$A:$A,0),5),""),"")</f>
        <v/>
      </c>
      <c r="I124">
        <f>IFERROR(IF(ISNUMBER(INDEX(SPPR!$E:$Z,MATCH($A124,SPPR!$A:$A,0),6)),$C124*INDEX(SPPR!$E:$Z,MATCH($A124,SPPR!$A:$A,0),6),""),"")</f>
        <v/>
      </c>
      <c r="J124">
        <f>IFERROR(IF(ISNUMBER(INDEX(SPPR!$E:$Z,MATCH($A124,SPPR!$A:$A,0),7)),$C124*INDEX(SPPR!$E:$Z,MATCH($A124,SPPR!$A:$A,0),7),""),"")</f>
        <v/>
      </c>
      <c r="K124">
        <f>IFERROR(IF(ISNUMBER(INDEX(SPPR!$E:$Z,MATCH($A124,SPPR!$A:$A,0),8)),$C124*INDEX(SPPR!$E:$Z,MATCH($A124,SPPR!$A:$A,0),8),""),"")</f>
        <v/>
      </c>
      <c r="L124">
        <f>IFERROR(IF(ISNUMBER(INDEX(SPPR!$E:$Z,MATCH($A124,SPPR!$A:$A,0),9)),$C124*INDEX(SPPR!$E:$Z,MATCH($A124,SPPR!$A:$A,0),9),""),"")</f>
        <v/>
      </c>
      <c r="M124">
        <f>IFERROR(IF(ISNUMBER(INDEX(SPPR!$E:$Z,MATCH($A124,SPPR!$A:$A,0),10)),$C124*INDEX(SPPR!$E:$Z,MATCH($A124,SPPR!$A:$A,0),10),""),"")</f>
        <v/>
      </c>
      <c r="N124">
        <f>IFERROR(IF(ISNUMBER(INDEX(SPPR!$E:$Z,MATCH($A124,SPPR!$A:$A,0),11)),$C124*INDEX(SPPR!$E:$Z,MATCH($A124,SPPR!$A:$A,0),11),""),"")</f>
        <v/>
      </c>
      <c r="O124">
        <f>IFERROR(IF(ISNUMBER(INDEX(SPPR!$E:$Z,MATCH($A124,SPPR!$A:$A,0),12)),$C124*INDEX(SPPR!$E:$Z,MATCH($A124,SPPR!$A:$A,0),12),""),"")</f>
        <v/>
      </c>
      <c r="P124">
        <f>IFERROR(IF(ISNUMBER(INDEX(SPPR!$E:$Z,MATCH($A124,SPPR!$A:$A,0),13)),$C124*INDEX(SPPR!$E:$Z,MATCH($A124,SPPR!$A:$A,0),13),""),"")</f>
        <v/>
      </c>
      <c r="Q124">
        <f>IFERROR(IF(ISNUMBER(INDEX(SPPR!$E:$Z,MATCH($A124,SPPR!$A:$A,0),14)),$C124*INDEX(SPPR!$E:$Z,MATCH($A124,SPPR!$A:$A,0),14),""),"")</f>
        <v/>
      </c>
      <c r="R124">
        <f>IFERROR(IF(ISNUMBER(INDEX(SPPR!$E:$Z,MATCH($A124,SPPR!$A:$A,0),15)),$C124*INDEX(SPPR!$E:$Z,MATCH($A124,SPPR!$A:$A,0),15),""),"")</f>
        <v/>
      </c>
      <c r="S124">
        <f>IFERROR(IF(ISNUMBER(INDEX(SPPR!$E:$Z,MATCH($A124,SPPR!$A:$A,0),16)),$C124*INDEX(SPPR!$E:$Z,MATCH($A124,SPPR!$A:$A,0),16),""),"")</f>
        <v/>
      </c>
      <c r="T124">
        <f>IFERROR(IF(ISNUMBER(INDEX(SPPR!$E:$Z,MATCH($A124,SPPR!$A:$A,0),17)),$C124*INDEX(SPPR!$E:$Z,MATCH($A124,SPPR!$A:$A,0),17),""),"")</f>
        <v/>
      </c>
      <c r="U124">
        <f>IFERROR(IF(ISNUMBER(INDEX(SPPR!$E:$Z,MATCH($A124,SPPR!$A:$A,0),18)),$C124*INDEX(SPPR!$E:$Z,MATCH($A124,SPPR!$A:$A,0),18),""),"")</f>
        <v/>
      </c>
      <c r="V124">
        <f>IFERROR(IF(ISNUMBER(INDEX(SPPR!$E:$Z,MATCH($A124,SPPR!$A:$A,0),19)),$C124*INDEX(SPPR!$E:$Z,MATCH($A124,SPPR!$A:$A,0),19),""),"")</f>
        <v/>
      </c>
      <c r="W124">
        <f>IFERROR(IF(ISNUMBER(INDEX(SPPR!$E:$Z,MATCH($A124,SPPR!$A:$A,0),20)),$C124*INDEX(SPPR!$E:$Z,MATCH($A124,SPPR!$A:$A,0),20),""),"")</f>
        <v/>
      </c>
      <c r="X124">
        <f>IFERROR(IF(ISNUMBER(INDEX(SPPR!$E:$Z,MATCH($A124,SPPR!$A:$A,0),21)),$C124*INDEX(SPPR!$E:$Z,MATCH($A124,SPPR!$A:$A,0),21),""),"")</f>
        <v/>
      </c>
      <c r="Y124">
        <f>IFERROR(IF(ISNUMBER(INDEX(SPPR!$E:$Z,MATCH($A124,SPPR!$A:$A,0),22)),$C124*INDEX(SPPR!$E:$Z,MATCH($A124,SPPR!$A:$A,0),22),""),"")</f>
        <v/>
      </c>
    </row>
    <row r="125">
      <c r="A125" t="inlineStr">
        <is>
          <t>Rajidae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IFERROR(IF(ISNUMBER(INDEX(SPPR!$E:$Z,MATCH($A125,SPPR!$A:$A,0),1)),$C125*INDEX(SPPR!$E:$Z,MATCH($A125,SPPR!$A:$A,0),1),""),"")</f>
        <v/>
      </c>
      <c r="E125">
        <f>IFERROR(IF(ISNUMBER(INDEX(SPPR!$E:$Z,MATCH($A125,SPPR!$A:$A,0),2)),$C125*INDEX(SPPR!$E:$Z,MATCH($A125,SPPR!$A:$A,0),2),""),"")</f>
        <v/>
      </c>
      <c r="F125">
        <f>IFERROR(IF(ISNUMBER(INDEX(SPPR!$E:$Z,MATCH($A125,SPPR!$A:$A,0),3)),$C125*INDEX(SPPR!$E:$Z,MATCH($A125,SPPR!$A:$A,0),3),""),"")</f>
        <v/>
      </c>
      <c r="G125">
        <f>IFERROR(IF(ISNUMBER(INDEX(SPPR!$E:$Z,MATCH($A125,SPPR!$A:$A,0),4)),$C125*INDEX(SPPR!$E:$Z,MATCH($A125,SPPR!$A:$A,0),4),""),"")</f>
        <v/>
      </c>
      <c r="H125">
        <f>IFERROR(IF(ISNUMBER(INDEX(SPPR!$E:$Z,MATCH($A125,SPPR!$A:$A,0),5)),$C125*INDEX(SPPR!$E:$Z,MATCH($A125,SPPR!$A:$A,0),5),""),"")</f>
        <v/>
      </c>
      <c r="I125">
        <f>IFERROR(IF(ISNUMBER(INDEX(SPPR!$E:$Z,MATCH($A125,SPPR!$A:$A,0),6)),$C125*INDEX(SPPR!$E:$Z,MATCH($A125,SPPR!$A:$A,0),6),""),"")</f>
        <v/>
      </c>
      <c r="J125">
        <f>IFERROR(IF(ISNUMBER(INDEX(SPPR!$E:$Z,MATCH($A125,SPPR!$A:$A,0),7)),$C125*INDEX(SPPR!$E:$Z,MATCH($A125,SPPR!$A:$A,0),7),""),"")</f>
        <v/>
      </c>
      <c r="K125">
        <f>IFERROR(IF(ISNUMBER(INDEX(SPPR!$E:$Z,MATCH($A125,SPPR!$A:$A,0),8)),$C125*INDEX(SPPR!$E:$Z,MATCH($A125,SPPR!$A:$A,0),8),""),"")</f>
        <v/>
      </c>
      <c r="L125">
        <f>IFERROR(IF(ISNUMBER(INDEX(SPPR!$E:$Z,MATCH($A125,SPPR!$A:$A,0),9)),$C125*INDEX(SPPR!$E:$Z,MATCH($A125,SPPR!$A:$A,0),9),""),"")</f>
        <v/>
      </c>
      <c r="M125">
        <f>IFERROR(IF(ISNUMBER(INDEX(SPPR!$E:$Z,MATCH($A125,SPPR!$A:$A,0),10)),$C125*INDEX(SPPR!$E:$Z,MATCH($A125,SPPR!$A:$A,0),10),""),"")</f>
        <v/>
      </c>
      <c r="N125">
        <f>IFERROR(IF(ISNUMBER(INDEX(SPPR!$E:$Z,MATCH($A125,SPPR!$A:$A,0),11)),$C125*INDEX(SPPR!$E:$Z,MATCH($A125,SPPR!$A:$A,0),11),""),"")</f>
        <v/>
      </c>
      <c r="O125">
        <f>IFERROR(IF(ISNUMBER(INDEX(SPPR!$E:$Z,MATCH($A125,SPPR!$A:$A,0),12)),$C125*INDEX(SPPR!$E:$Z,MATCH($A125,SPPR!$A:$A,0),12),""),"")</f>
        <v/>
      </c>
      <c r="P125">
        <f>IFERROR(IF(ISNUMBER(INDEX(SPPR!$E:$Z,MATCH($A125,SPPR!$A:$A,0),13)),$C125*INDEX(SPPR!$E:$Z,MATCH($A125,SPPR!$A:$A,0),13),""),"")</f>
        <v/>
      </c>
      <c r="Q125">
        <f>IFERROR(IF(ISNUMBER(INDEX(SPPR!$E:$Z,MATCH($A125,SPPR!$A:$A,0),14)),$C125*INDEX(SPPR!$E:$Z,MATCH($A125,SPPR!$A:$A,0),14),""),"")</f>
        <v/>
      </c>
      <c r="R125">
        <f>IFERROR(IF(ISNUMBER(INDEX(SPPR!$E:$Z,MATCH($A125,SPPR!$A:$A,0),15)),$C125*INDEX(SPPR!$E:$Z,MATCH($A125,SPPR!$A:$A,0),15),""),"")</f>
        <v/>
      </c>
      <c r="S125">
        <f>IFERROR(IF(ISNUMBER(INDEX(SPPR!$E:$Z,MATCH($A125,SPPR!$A:$A,0),16)),$C125*INDEX(SPPR!$E:$Z,MATCH($A125,SPPR!$A:$A,0),16),""),"")</f>
        <v/>
      </c>
      <c r="T125">
        <f>IFERROR(IF(ISNUMBER(INDEX(SPPR!$E:$Z,MATCH($A125,SPPR!$A:$A,0),17)),$C125*INDEX(SPPR!$E:$Z,MATCH($A125,SPPR!$A:$A,0),17),""),"")</f>
        <v/>
      </c>
      <c r="U125">
        <f>IFERROR(IF(ISNUMBER(INDEX(SPPR!$E:$Z,MATCH($A125,SPPR!$A:$A,0),18)),$C125*INDEX(SPPR!$E:$Z,MATCH($A125,SPPR!$A:$A,0),18),""),"")</f>
        <v/>
      </c>
      <c r="V125">
        <f>IFERROR(IF(ISNUMBER(INDEX(SPPR!$E:$Z,MATCH($A125,SPPR!$A:$A,0),19)),$C125*INDEX(SPPR!$E:$Z,MATCH($A125,SPPR!$A:$A,0),19),""),"")</f>
        <v/>
      </c>
      <c r="W125">
        <f>IFERROR(IF(ISNUMBER(INDEX(SPPR!$E:$Z,MATCH($A125,SPPR!$A:$A,0),20)),$C125*INDEX(SPPR!$E:$Z,MATCH($A125,SPPR!$A:$A,0),20),""),"")</f>
        <v/>
      </c>
      <c r="X125">
        <f>IFERROR(IF(ISNUMBER(INDEX(SPPR!$E:$Z,MATCH($A125,SPPR!$A:$A,0),21)),$C125*INDEX(SPPR!$E:$Z,MATCH($A125,SPPR!$A:$A,0),21),""),"")</f>
        <v/>
      </c>
      <c r="Y125">
        <f>IFERROR(IF(ISNUMBER(INDEX(SPPR!$E:$Z,MATCH($A125,SPPR!$A:$A,0),22)),$C125*INDEX(SPPR!$E:$Z,MATCH($A125,SPPR!$A:$A,0),22),""),"")</f>
        <v/>
      </c>
    </row>
    <row r="126">
      <c r="A126" t="inlineStr">
        <is>
          <t>Xiphias gladius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IFERROR(IF(ISNUMBER(INDEX(SPPR!$E:$Z,MATCH($A126,SPPR!$A:$A,0),1)),$C126*INDEX(SPPR!$E:$Z,MATCH($A126,SPPR!$A:$A,0),1),""),"")</f>
        <v/>
      </c>
      <c r="E126">
        <f>IFERROR(IF(ISNUMBER(INDEX(SPPR!$E:$Z,MATCH($A126,SPPR!$A:$A,0),2)),$C126*INDEX(SPPR!$E:$Z,MATCH($A126,SPPR!$A:$A,0),2),""),"")</f>
        <v/>
      </c>
      <c r="F126">
        <f>IFERROR(IF(ISNUMBER(INDEX(SPPR!$E:$Z,MATCH($A126,SPPR!$A:$A,0),3)),$C126*INDEX(SPPR!$E:$Z,MATCH($A126,SPPR!$A:$A,0),3),""),"")</f>
        <v/>
      </c>
      <c r="G126">
        <f>IFERROR(IF(ISNUMBER(INDEX(SPPR!$E:$Z,MATCH($A126,SPPR!$A:$A,0),4)),$C126*INDEX(SPPR!$E:$Z,MATCH($A126,SPPR!$A:$A,0),4),""),"")</f>
        <v/>
      </c>
      <c r="H126">
        <f>IFERROR(IF(ISNUMBER(INDEX(SPPR!$E:$Z,MATCH($A126,SPPR!$A:$A,0),5)),$C126*INDEX(SPPR!$E:$Z,MATCH($A126,SPPR!$A:$A,0),5),""),"")</f>
        <v/>
      </c>
      <c r="I126">
        <f>IFERROR(IF(ISNUMBER(INDEX(SPPR!$E:$Z,MATCH($A126,SPPR!$A:$A,0),6)),$C126*INDEX(SPPR!$E:$Z,MATCH($A126,SPPR!$A:$A,0),6),""),"")</f>
        <v/>
      </c>
      <c r="J126">
        <f>IFERROR(IF(ISNUMBER(INDEX(SPPR!$E:$Z,MATCH($A126,SPPR!$A:$A,0),7)),$C126*INDEX(SPPR!$E:$Z,MATCH($A126,SPPR!$A:$A,0),7),""),"")</f>
        <v/>
      </c>
      <c r="K126">
        <f>IFERROR(IF(ISNUMBER(INDEX(SPPR!$E:$Z,MATCH($A126,SPPR!$A:$A,0),8)),$C126*INDEX(SPPR!$E:$Z,MATCH($A126,SPPR!$A:$A,0),8),""),"")</f>
        <v/>
      </c>
      <c r="L126">
        <f>IFERROR(IF(ISNUMBER(INDEX(SPPR!$E:$Z,MATCH($A126,SPPR!$A:$A,0),9)),$C126*INDEX(SPPR!$E:$Z,MATCH($A126,SPPR!$A:$A,0),9),""),"")</f>
        <v/>
      </c>
      <c r="M126">
        <f>IFERROR(IF(ISNUMBER(INDEX(SPPR!$E:$Z,MATCH($A126,SPPR!$A:$A,0),10)),$C126*INDEX(SPPR!$E:$Z,MATCH($A126,SPPR!$A:$A,0),10),""),"")</f>
        <v/>
      </c>
      <c r="N126">
        <f>IFERROR(IF(ISNUMBER(INDEX(SPPR!$E:$Z,MATCH($A126,SPPR!$A:$A,0),11)),$C126*INDEX(SPPR!$E:$Z,MATCH($A126,SPPR!$A:$A,0),11),""),"")</f>
        <v/>
      </c>
      <c r="O126">
        <f>IFERROR(IF(ISNUMBER(INDEX(SPPR!$E:$Z,MATCH($A126,SPPR!$A:$A,0),12)),$C126*INDEX(SPPR!$E:$Z,MATCH($A126,SPPR!$A:$A,0),12),""),"")</f>
        <v/>
      </c>
      <c r="P126">
        <f>IFERROR(IF(ISNUMBER(INDEX(SPPR!$E:$Z,MATCH($A126,SPPR!$A:$A,0),13)),$C126*INDEX(SPPR!$E:$Z,MATCH($A126,SPPR!$A:$A,0),13),""),"")</f>
        <v/>
      </c>
      <c r="Q126">
        <f>IFERROR(IF(ISNUMBER(INDEX(SPPR!$E:$Z,MATCH($A126,SPPR!$A:$A,0),14)),$C126*INDEX(SPPR!$E:$Z,MATCH($A126,SPPR!$A:$A,0),14),""),"")</f>
        <v/>
      </c>
      <c r="R126">
        <f>IFERROR(IF(ISNUMBER(INDEX(SPPR!$E:$Z,MATCH($A126,SPPR!$A:$A,0),15)),$C126*INDEX(SPPR!$E:$Z,MATCH($A126,SPPR!$A:$A,0),15),""),"")</f>
        <v/>
      </c>
      <c r="S126">
        <f>IFERROR(IF(ISNUMBER(INDEX(SPPR!$E:$Z,MATCH($A126,SPPR!$A:$A,0),16)),$C126*INDEX(SPPR!$E:$Z,MATCH($A126,SPPR!$A:$A,0),16),""),"")</f>
        <v/>
      </c>
      <c r="T126">
        <f>IFERROR(IF(ISNUMBER(INDEX(SPPR!$E:$Z,MATCH($A126,SPPR!$A:$A,0),17)),$C126*INDEX(SPPR!$E:$Z,MATCH($A126,SPPR!$A:$A,0),17),""),"")</f>
        <v/>
      </c>
      <c r="U126">
        <f>IFERROR(IF(ISNUMBER(INDEX(SPPR!$E:$Z,MATCH($A126,SPPR!$A:$A,0),18)),$C126*INDEX(SPPR!$E:$Z,MATCH($A126,SPPR!$A:$A,0),18),""),"")</f>
        <v/>
      </c>
      <c r="V126">
        <f>IFERROR(IF(ISNUMBER(INDEX(SPPR!$E:$Z,MATCH($A126,SPPR!$A:$A,0),19)),$C126*INDEX(SPPR!$E:$Z,MATCH($A126,SPPR!$A:$A,0),19),""),"")</f>
        <v/>
      </c>
      <c r="W126">
        <f>IFERROR(IF(ISNUMBER(INDEX(SPPR!$E:$Z,MATCH($A126,SPPR!$A:$A,0),20)),$C126*INDEX(SPPR!$E:$Z,MATCH($A126,SPPR!$A:$A,0),20),""),"")</f>
        <v/>
      </c>
      <c r="X126">
        <f>IFERROR(IF(ISNUMBER(INDEX(SPPR!$E:$Z,MATCH($A126,SPPR!$A:$A,0),21)),$C126*INDEX(SPPR!$E:$Z,MATCH($A126,SPPR!$A:$A,0),21),""),"")</f>
        <v/>
      </c>
      <c r="Y126">
        <f>IFERROR(IF(ISNUMBER(INDEX(SPPR!$E:$Z,MATCH($A126,SPPR!$A:$A,0),22)),$C126*INDEX(SPPR!$E:$Z,MATCH($A126,SPPR!$A:$A,0),22),""),"")</f>
        <v/>
      </c>
    </row>
    <row r="127">
      <c r="A127" t="inlineStr">
        <is>
          <t>Zeus faber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IFERROR(IF(ISNUMBER(INDEX(SPPR!$E:$Z,MATCH($A127,SPPR!$A:$A,0),1)),$C127*INDEX(SPPR!$E:$Z,MATCH($A127,SPPR!$A:$A,0),1),""),"")</f>
        <v/>
      </c>
      <c r="E127">
        <f>IFERROR(IF(ISNUMBER(INDEX(SPPR!$E:$Z,MATCH($A127,SPPR!$A:$A,0),2)),$C127*INDEX(SPPR!$E:$Z,MATCH($A127,SPPR!$A:$A,0),2),""),"")</f>
        <v/>
      </c>
      <c r="F127">
        <f>IFERROR(IF(ISNUMBER(INDEX(SPPR!$E:$Z,MATCH($A127,SPPR!$A:$A,0),3)),$C127*INDEX(SPPR!$E:$Z,MATCH($A127,SPPR!$A:$A,0),3),""),"")</f>
        <v/>
      </c>
      <c r="G127">
        <f>IFERROR(IF(ISNUMBER(INDEX(SPPR!$E:$Z,MATCH($A127,SPPR!$A:$A,0),4)),$C127*INDEX(SPPR!$E:$Z,MATCH($A127,SPPR!$A:$A,0),4),""),"")</f>
        <v/>
      </c>
      <c r="H127">
        <f>IFERROR(IF(ISNUMBER(INDEX(SPPR!$E:$Z,MATCH($A127,SPPR!$A:$A,0),5)),$C127*INDEX(SPPR!$E:$Z,MATCH($A127,SPPR!$A:$A,0),5),""),"")</f>
        <v/>
      </c>
      <c r="I127">
        <f>IFERROR(IF(ISNUMBER(INDEX(SPPR!$E:$Z,MATCH($A127,SPPR!$A:$A,0),6)),$C127*INDEX(SPPR!$E:$Z,MATCH($A127,SPPR!$A:$A,0),6),""),"")</f>
        <v/>
      </c>
      <c r="J127">
        <f>IFERROR(IF(ISNUMBER(INDEX(SPPR!$E:$Z,MATCH($A127,SPPR!$A:$A,0),7)),$C127*INDEX(SPPR!$E:$Z,MATCH($A127,SPPR!$A:$A,0),7),""),"")</f>
        <v/>
      </c>
      <c r="K127">
        <f>IFERROR(IF(ISNUMBER(INDEX(SPPR!$E:$Z,MATCH($A127,SPPR!$A:$A,0),8)),$C127*INDEX(SPPR!$E:$Z,MATCH($A127,SPPR!$A:$A,0),8),""),"")</f>
        <v/>
      </c>
      <c r="L127">
        <f>IFERROR(IF(ISNUMBER(INDEX(SPPR!$E:$Z,MATCH($A127,SPPR!$A:$A,0),9)),$C127*INDEX(SPPR!$E:$Z,MATCH($A127,SPPR!$A:$A,0),9),""),"")</f>
        <v/>
      </c>
      <c r="M127">
        <f>IFERROR(IF(ISNUMBER(INDEX(SPPR!$E:$Z,MATCH($A127,SPPR!$A:$A,0),10)),$C127*INDEX(SPPR!$E:$Z,MATCH($A127,SPPR!$A:$A,0),10),""),"")</f>
        <v/>
      </c>
      <c r="N127">
        <f>IFERROR(IF(ISNUMBER(INDEX(SPPR!$E:$Z,MATCH($A127,SPPR!$A:$A,0),11)),$C127*INDEX(SPPR!$E:$Z,MATCH($A127,SPPR!$A:$A,0),11),""),"")</f>
        <v/>
      </c>
      <c r="O127">
        <f>IFERROR(IF(ISNUMBER(INDEX(SPPR!$E:$Z,MATCH($A127,SPPR!$A:$A,0),12)),$C127*INDEX(SPPR!$E:$Z,MATCH($A127,SPPR!$A:$A,0),12),""),"")</f>
        <v/>
      </c>
      <c r="P127">
        <f>IFERROR(IF(ISNUMBER(INDEX(SPPR!$E:$Z,MATCH($A127,SPPR!$A:$A,0),13)),$C127*INDEX(SPPR!$E:$Z,MATCH($A127,SPPR!$A:$A,0),13),""),"")</f>
        <v/>
      </c>
      <c r="Q127">
        <f>IFERROR(IF(ISNUMBER(INDEX(SPPR!$E:$Z,MATCH($A127,SPPR!$A:$A,0),14)),$C127*INDEX(SPPR!$E:$Z,MATCH($A127,SPPR!$A:$A,0),14),""),"")</f>
        <v/>
      </c>
      <c r="R127">
        <f>IFERROR(IF(ISNUMBER(INDEX(SPPR!$E:$Z,MATCH($A127,SPPR!$A:$A,0),15)),$C127*INDEX(SPPR!$E:$Z,MATCH($A127,SPPR!$A:$A,0),15),""),"")</f>
        <v/>
      </c>
      <c r="S127">
        <f>IFERROR(IF(ISNUMBER(INDEX(SPPR!$E:$Z,MATCH($A127,SPPR!$A:$A,0),16)),$C127*INDEX(SPPR!$E:$Z,MATCH($A127,SPPR!$A:$A,0),16),""),"")</f>
        <v/>
      </c>
      <c r="T127">
        <f>IFERROR(IF(ISNUMBER(INDEX(SPPR!$E:$Z,MATCH($A127,SPPR!$A:$A,0),17)),$C127*INDEX(SPPR!$E:$Z,MATCH($A127,SPPR!$A:$A,0),17),""),"")</f>
        <v/>
      </c>
      <c r="U127">
        <f>IFERROR(IF(ISNUMBER(INDEX(SPPR!$E:$Z,MATCH($A127,SPPR!$A:$A,0),18)),$C127*INDEX(SPPR!$E:$Z,MATCH($A127,SPPR!$A:$A,0),18),""),"")</f>
        <v/>
      </c>
      <c r="V127">
        <f>IFERROR(IF(ISNUMBER(INDEX(SPPR!$E:$Z,MATCH($A127,SPPR!$A:$A,0),19)),$C127*INDEX(SPPR!$E:$Z,MATCH($A127,SPPR!$A:$A,0),19),""),"")</f>
        <v/>
      </c>
      <c r="W127">
        <f>IFERROR(IF(ISNUMBER(INDEX(SPPR!$E:$Z,MATCH($A127,SPPR!$A:$A,0),20)),$C127*INDEX(SPPR!$E:$Z,MATCH($A127,SPPR!$A:$A,0),20),""),"")</f>
        <v/>
      </c>
      <c r="X127">
        <f>IFERROR(IF(ISNUMBER(INDEX(SPPR!$E:$Z,MATCH($A127,SPPR!$A:$A,0),21)),$C127*INDEX(SPPR!$E:$Z,MATCH($A127,SPPR!$A:$A,0),21),""),"")</f>
        <v/>
      </c>
      <c r="Y127">
        <f>IFERROR(IF(ISNUMBER(INDEX(SPPR!$E:$Z,MATCH($A127,SPPR!$A:$A,0),22)),$C127*INDEX(SPPR!$E:$Z,MATCH($A127,SPPR!$A:$A,0),22),""),"")</f>
        <v/>
      </c>
    </row>
    <row r="128">
      <c r="A128" t="inlineStr">
        <is>
          <t>Raja miraletus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IFERROR(IF(ISNUMBER(INDEX(SPPR!$E:$Z,MATCH($A128,SPPR!$A:$A,0),1)),$C128*INDEX(SPPR!$E:$Z,MATCH($A128,SPPR!$A:$A,0),1),""),"")</f>
        <v/>
      </c>
      <c r="E128">
        <f>IFERROR(IF(ISNUMBER(INDEX(SPPR!$E:$Z,MATCH($A128,SPPR!$A:$A,0),2)),$C128*INDEX(SPPR!$E:$Z,MATCH($A128,SPPR!$A:$A,0),2),""),"")</f>
        <v/>
      </c>
      <c r="F128">
        <f>IFERROR(IF(ISNUMBER(INDEX(SPPR!$E:$Z,MATCH($A128,SPPR!$A:$A,0),3)),$C128*INDEX(SPPR!$E:$Z,MATCH($A128,SPPR!$A:$A,0),3),""),"")</f>
        <v/>
      </c>
      <c r="G128">
        <f>IFERROR(IF(ISNUMBER(INDEX(SPPR!$E:$Z,MATCH($A128,SPPR!$A:$A,0),4)),$C128*INDEX(SPPR!$E:$Z,MATCH($A128,SPPR!$A:$A,0),4),""),"")</f>
        <v/>
      </c>
      <c r="H128">
        <f>IFERROR(IF(ISNUMBER(INDEX(SPPR!$E:$Z,MATCH($A128,SPPR!$A:$A,0),5)),$C128*INDEX(SPPR!$E:$Z,MATCH($A128,SPPR!$A:$A,0),5),""),"")</f>
        <v/>
      </c>
      <c r="I128">
        <f>IFERROR(IF(ISNUMBER(INDEX(SPPR!$E:$Z,MATCH($A128,SPPR!$A:$A,0),6)),$C128*INDEX(SPPR!$E:$Z,MATCH($A128,SPPR!$A:$A,0),6),""),"")</f>
        <v/>
      </c>
      <c r="J128">
        <f>IFERROR(IF(ISNUMBER(INDEX(SPPR!$E:$Z,MATCH($A128,SPPR!$A:$A,0),7)),$C128*INDEX(SPPR!$E:$Z,MATCH($A128,SPPR!$A:$A,0),7),""),"")</f>
        <v/>
      </c>
      <c r="K128">
        <f>IFERROR(IF(ISNUMBER(INDEX(SPPR!$E:$Z,MATCH($A128,SPPR!$A:$A,0),8)),$C128*INDEX(SPPR!$E:$Z,MATCH($A128,SPPR!$A:$A,0),8),""),"")</f>
        <v/>
      </c>
      <c r="L128">
        <f>IFERROR(IF(ISNUMBER(INDEX(SPPR!$E:$Z,MATCH($A128,SPPR!$A:$A,0),9)),$C128*INDEX(SPPR!$E:$Z,MATCH($A128,SPPR!$A:$A,0),9),""),"")</f>
        <v/>
      </c>
      <c r="M128">
        <f>IFERROR(IF(ISNUMBER(INDEX(SPPR!$E:$Z,MATCH($A128,SPPR!$A:$A,0),10)),$C128*INDEX(SPPR!$E:$Z,MATCH($A128,SPPR!$A:$A,0),10),""),"")</f>
        <v/>
      </c>
      <c r="N128">
        <f>IFERROR(IF(ISNUMBER(INDEX(SPPR!$E:$Z,MATCH($A128,SPPR!$A:$A,0),11)),$C128*INDEX(SPPR!$E:$Z,MATCH($A128,SPPR!$A:$A,0),11),""),"")</f>
        <v/>
      </c>
      <c r="O128">
        <f>IFERROR(IF(ISNUMBER(INDEX(SPPR!$E:$Z,MATCH($A128,SPPR!$A:$A,0),12)),$C128*INDEX(SPPR!$E:$Z,MATCH($A128,SPPR!$A:$A,0),12),""),"")</f>
        <v/>
      </c>
      <c r="P128">
        <f>IFERROR(IF(ISNUMBER(INDEX(SPPR!$E:$Z,MATCH($A128,SPPR!$A:$A,0),13)),$C128*INDEX(SPPR!$E:$Z,MATCH($A128,SPPR!$A:$A,0),13),""),"")</f>
        <v/>
      </c>
      <c r="Q128">
        <f>IFERROR(IF(ISNUMBER(INDEX(SPPR!$E:$Z,MATCH($A128,SPPR!$A:$A,0),14)),$C128*INDEX(SPPR!$E:$Z,MATCH($A128,SPPR!$A:$A,0),14),""),"")</f>
        <v/>
      </c>
      <c r="R128">
        <f>IFERROR(IF(ISNUMBER(INDEX(SPPR!$E:$Z,MATCH($A128,SPPR!$A:$A,0),15)),$C128*INDEX(SPPR!$E:$Z,MATCH($A128,SPPR!$A:$A,0),15),""),"")</f>
        <v/>
      </c>
      <c r="S128">
        <f>IFERROR(IF(ISNUMBER(INDEX(SPPR!$E:$Z,MATCH($A128,SPPR!$A:$A,0),16)),$C128*INDEX(SPPR!$E:$Z,MATCH($A128,SPPR!$A:$A,0),16),""),"")</f>
        <v/>
      </c>
      <c r="T128">
        <f>IFERROR(IF(ISNUMBER(INDEX(SPPR!$E:$Z,MATCH($A128,SPPR!$A:$A,0),17)),$C128*INDEX(SPPR!$E:$Z,MATCH($A128,SPPR!$A:$A,0),17),""),"")</f>
        <v/>
      </c>
      <c r="U128">
        <f>IFERROR(IF(ISNUMBER(INDEX(SPPR!$E:$Z,MATCH($A128,SPPR!$A:$A,0),18)),$C128*INDEX(SPPR!$E:$Z,MATCH($A128,SPPR!$A:$A,0),18),""),"")</f>
        <v/>
      </c>
      <c r="V128">
        <f>IFERROR(IF(ISNUMBER(INDEX(SPPR!$E:$Z,MATCH($A128,SPPR!$A:$A,0),19)),$C128*INDEX(SPPR!$E:$Z,MATCH($A128,SPPR!$A:$A,0),19),""),"")</f>
        <v/>
      </c>
      <c r="W128">
        <f>IFERROR(IF(ISNUMBER(INDEX(SPPR!$E:$Z,MATCH($A128,SPPR!$A:$A,0),20)),$C128*INDEX(SPPR!$E:$Z,MATCH($A128,SPPR!$A:$A,0),20),""),"")</f>
        <v/>
      </c>
      <c r="X128">
        <f>IFERROR(IF(ISNUMBER(INDEX(SPPR!$E:$Z,MATCH($A128,SPPR!$A:$A,0),21)),$C128*INDEX(SPPR!$E:$Z,MATCH($A128,SPPR!$A:$A,0),21),""),"")</f>
        <v/>
      </c>
      <c r="Y128">
        <f>IFERROR(IF(ISNUMBER(INDEX(SPPR!$E:$Z,MATCH($A128,SPPR!$A:$A,0),22)),$C128*INDEX(SPPR!$E:$Z,MATCH($A128,SPPR!$A:$A,0),22),""),"")</f>
        <v/>
      </c>
    </row>
    <row r="129">
      <c r="A129" t="inlineStr">
        <is>
          <t>Umbrina canariensis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IFERROR(IF(ISNUMBER(INDEX(SPPR!$E:$Z,MATCH($A129,SPPR!$A:$A,0),1)),$C129*INDEX(SPPR!$E:$Z,MATCH($A129,SPPR!$A:$A,0),1),""),"")</f>
        <v/>
      </c>
      <c r="E129">
        <f>IFERROR(IF(ISNUMBER(INDEX(SPPR!$E:$Z,MATCH($A129,SPPR!$A:$A,0),2)),$C129*INDEX(SPPR!$E:$Z,MATCH($A129,SPPR!$A:$A,0),2),""),"")</f>
        <v/>
      </c>
      <c r="F129">
        <f>IFERROR(IF(ISNUMBER(INDEX(SPPR!$E:$Z,MATCH($A129,SPPR!$A:$A,0),3)),$C129*INDEX(SPPR!$E:$Z,MATCH($A129,SPPR!$A:$A,0),3),""),"")</f>
        <v/>
      </c>
      <c r="G129">
        <f>IFERROR(IF(ISNUMBER(INDEX(SPPR!$E:$Z,MATCH($A129,SPPR!$A:$A,0),4)),$C129*INDEX(SPPR!$E:$Z,MATCH($A129,SPPR!$A:$A,0),4),""),"")</f>
        <v/>
      </c>
      <c r="H129">
        <f>IFERROR(IF(ISNUMBER(INDEX(SPPR!$E:$Z,MATCH($A129,SPPR!$A:$A,0),5)),$C129*INDEX(SPPR!$E:$Z,MATCH($A129,SPPR!$A:$A,0),5),""),"")</f>
        <v/>
      </c>
      <c r="I129">
        <f>IFERROR(IF(ISNUMBER(INDEX(SPPR!$E:$Z,MATCH($A129,SPPR!$A:$A,0),6)),$C129*INDEX(SPPR!$E:$Z,MATCH($A129,SPPR!$A:$A,0),6),""),"")</f>
        <v/>
      </c>
      <c r="J129">
        <f>IFERROR(IF(ISNUMBER(INDEX(SPPR!$E:$Z,MATCH($A129,SPPR!$A:$A,0),7)),$C129*INDEX(SPPR!$E:$Z,MATCH($A129,SPPR!$A:$A,0),7),""),"")</f>
        <v/>
      </c>
      <c r="K129">
        <f>IFERROR(IF(ISNUMBER(INDEX(SPPR!$E:$Z,MATCH($A129,SPPR!$A:$A,0),8)),$C129*INDEX(SPPR!$E:$Z,MATCH($A129,SPPR!$A:$A,0),8),""),"")</f>
        <v/>
      </c>
      <c r="L129">
        <f>IFERROR(IF(ISNUMBER(INDEX(SPPR!$E:$Z,MATCH($A129,SPPR!$A:$A,0),9)),$C129*INDEX(SPPR!$E:$Z,MATCH($A129,SPPR!$A:$A,0),9),""),"")</f>
        <v/>
      </c>
      <c r="M129">
        <f>IFERROR(IF(ISNUMBER(INDEX(SPPR!$E:$Z,MATCH($A129,SPPR!$A:$A,0),10)),$C129*INDEX(SPPR!$E:$Z,MATCH($A129,SPPR!$A:$A,0),10),""),"")</f>
        <v/>
      </c>
      <c r="N129">
        <f>IFERROR(IF(ISNUMBER(INDEX(SPPR!$E:$Z,MATCH($A129,SPPR!$A:$A,0),11)),$C129*INDEX(SPPR!$E:$Z,MATCH($A129,SPPR!$A:$A,0),11),""),"")</f>
        <v/>
      </c>
      <c r="O129">
        <f>IFERROR(IF(ISNUMBER(INDEX(SPPR!$E:$Z,MATCH($A129,SPPR!$A:$A,0),12)),$C129*INDEX(SPPR!$E:$Z,MATCH($A129,SPPR!$A:$A,0),12),""),"")</f>
        <v/>
      </c>
      <c r="P129">
        <f>IFERROR(IF(ISNUMBER(INDEX(SPPR!$E:$Z,MATCH($A129,SPPR!$A:$A,0),13)),$C129*INDEX(SPPR!$E:$Z,MATCH($A129,SPPR!$A:$A,0),13),""),"")</f>
        <v/>
      </c>
      <c r="Q129">
        <f>IFERROR(IF(ISNUMBER(INDEX(SPPR!$E:$Z,MATCH($A129,SPPR!$A:$A,0),14)),$C129*INDEX(SPPR!$E:$Z,MATCH($A129,SPPR!$A:$A,0),14),""),"")</f>
        <v/>
      </c>
      <c r="R129">
        <f>IFERROR(IF(ISNUMBER(INDEX(SPPR!$E:$Z,MATCH($A129,SPPR!$A:$A,0),15)),$C129*INDEX(SPPR!$E:$Z,MATCH($A129,SPPR!$A:$A,0),15),""),"")</f>
        <v/>
      </c>
      <c r="S129">
        <f>IFERROR(IF(ISNUMBER(INDEX(SPPR!$E:$Z,MATCH($A129,SPPR!$A:$A,0),16)),$C129*INDEX(SPPR!$E:$Z,MATCH($A129,SPPR!$A:$A,0),16),""),"")</f>
        <v/>
      </c>
      <c r="T129">
        <f>IFERROR(IF(ISNUMBER(INDEX(SPPR!$E:$Z,MATCH($A129,SPPR!$A:$A,0),17)),$C129*INDEX(SPPR!$E:$Z,MATCH($A129,SPPR!$A:$A,0),17),""),"")</f>
        <v/>
      </c>
      <c r="U129">
        <f>IFERROR(IF(ISNUMBER(INDEX(SPPR!$E:$Z,MATCH($A129,SPPR!$A:$A,0),18)),$C129*INDEX(SPPR!$E:$Z,MATCH($A129,SPPR!$A:$A,0),18),""),"")</f>
        <v/>
      </c>
      <c r="V129">
        <f>IFERROR(IF(ISNUMBER(INDEX(SPPR!$E:$Z,MATCH($A129,SPPR!$A:$A,0),19)),$C129*INDEX(SPPR!$E:$Z,MATCH($A129,SPPR!$A:$A,0),19),""),"")</f>
        <v/>
      </c>
      <c r="W129">
        <f>IFERROR(IF(ISNUMBER(INDEX(SPPR!$E:$Z,MATCH($A129,SPPR!$A:$A,0),20)),$C129*INDEX(SPPR!$E:$Z,MATCH($A129,SPPR!$A:$A,0),20),""),"")</f>
        <v/>
      </c>
      <c r="X129">
        <f>IFERROR(IF(ISNUMBER(INDEX(SPPR!$E:$Z,MATCH($A129,SPPR!$A:$A,0),21)),$C129*INDEX(SPPR!$E:$Z,MATCH($A129,SPPR!$A:$A,0),21),""),"")</f>
        <v/>
      </c>
      <c r="Y129">
        <f>IFERROR(IF(ISNUMBER(INDEX(SPPR!$E:$Z,MATCH($A129,SPPR!$A:$A,0),22)),$C129*INDEX(SPPR!$E:$Z,MATCH($A129,SPPR!$A:$A,0),22),""),"")</f>
        <v/>
      </c>
    </row>
    <row r="130">
      <c r="A130" t="inlineStr">
        <is>
          <t>Makaira nigricans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IFERROR(IF(ISNUMBER(INDEX(SPPR!$E:$Z,MATCH($A130,SPPR!$A:$A,0),1)),$C130*INDEX(SPPR!$E:$Z,MATCH($A130,SPPR!$A:$A,0),1),""),"")</f>
        <v/>
      </c>
      <c r="E130">
        <f>IFERROR(IF(ISNUMBER(INDEX(SPPR!$E:$Z,MATCH($A130,SPPR!$A:$A,0),2)),$C130*INDEX(SPPR!$E:$Z,MATCH($A130,SPPR!$A:$A,0),2),""),"")</f>
        <v/>
      </c>
      <c r="F130">
        <f>IFERROR(IF(ISNUMBER(INDEX(SPPR!$E:$Z,MATCH($A130,SPPR!$A:$A,0),3)),$C130*INDEX(SPPR!$E:$Z,MATCH($A130,SPPR!$A:$A,0),3),""),"")</f>
        <v/>
      </c>
      <c r="G130">
        <f>IFERROR(IF(ISNUMBER(INDEX(SPPR!$E:$Z,MATCH($A130,SPPR!$A:$A,0),4)),$C130*INDEX(SPPR!$E:$Z,MATCH($A130,SPPR!$A:$A,0),4),""),"")</f>
        <v/>
      </c>
      <c r="H130">
        <f>IFERROR(IF(ISNUMBER(INDEX(SPPR!$E:$Z,MATCH($A130,SPPR!$A:$A,0),5)),$C130*INDEX(SPPR!$E:$Z,MATCH($A130,SPPR!$A:$A,0),5),""),"")</f>
        <v/>
      </c>
      <c r="I130">
        <f>IFERROR(IF(ISNUMBER(INDEX(SPPR!$E:$Z,MATCH($A130,SPPR!$A:$A,0),6)),$C130*INDEX(SPPR!$E:$Z,MATCH($A130,SPPR!$A:$A,0),6),""),"")</f>
        <v/>
      </c>
      <c r="J130">
        <f>IFERROR(IF(ISNUMBER(INDEX(SPPR!$E:$Z,MATCH($A130,SPPR!$A:$A,0),7)),$C130*INDEX(SPPR!$E:$Z,MATCH($A130,SPPR!$A:$A,0),7),""),"")</f>
        <v/>
      </c>
      <c r="K130">
        <f>IFERROR(IF(ISNUMBER(INDEX(SPPR!$E:$Z,MATCH($A130,SPPR!$A:$A,0),8)),$C130*INDEX(SPPR!$E:$Z,MATCH($A130,SPPR!$A:$A,0),8),""),"")</f>
        <v/>
      </c>
      <c r="L130">
        <f>IFERROR(IF(ISNUMBER(INDEX(SPPR!$E:$Z,MATCH($A130,SPPR!$A:$A,0),9)),$C130*INDEX(SPPR!$E:$Z,MATCH($A130,SPPR!$A:$A,0),9),""),"")</f>
        <v/>
      </c>
      <c r="M130">
        <f>IFERROR(IF(ISNUMBER(INDEX(SPPR!$E:$Z,MATCH($A130,SPPR!$A:$A,0),10)),$C130*INDEX(SPPR!$E:$Z,MATCH($A130,SPPR!$A:$A,0),10),""),"")</f>
        <v/>
      </c>
      <c r="N130">
        <f>IFERROR(IF(ISNUMBER(INDEX(SPPR!$E:$Z,MATCH($A130,SPPR!$A:$A,0),11)),$C130*INDEX(SPPR!$E:$Z,MATCH($A130,SPPR!$A:$A,0),11),""),"")</f>
        <v/>
      </c>
      <c r="O130">
        <f>IFERROR(IF(ISNUMBER(INDEX(SPPR!$E:$Z,MATCH($A130,SPPR!$A:$A,0),12)),$C130*INDEX(SPPR!$E:$Z,MATCH($A130,SPPR!$A:$A,0),12),""),"")</f>
        <v/>
      </c>
      <c r="P130">
        <f>IFERROR(IF(ISNUMBER(INDEX(SPPR!$E:$Z,MATCH($A130,SPPR!$A:$A,0),13)),$C130*INDEX(SPPR!$E:$Z,MATCH($A130,SPPR!$A:$A,0),13),""),"")</f>
        <v/>
      </c>
      <c r="Q130">
        <f>IFERROR(IF(ISNUMBER(INDEX(SPPR!$E:$Z,MATCH($A130,SPPR!$A:$A,0),14)),$C130*INDEX(SPPR!$E:$Z,MATCH($A130,SPPR!$A:$A,0),14),""),"")</f>
        <v/>
      </c>
      <c r="R130">
        <f>IFERROR(IF(ISNUMBER(INDEX(SPPR!$E:$Z,MATCH($A130,SPPR!$A:$A,0),15)),$C130*INDEX(SPPR!$E:$Z,MATCH($A130,SPPR!$A:$A,0),15),""),"")</f>
        <v/>
      </c>
      <c r="S130">
        <f>IFERROR(IF(ISNUMBER(INDEX(SPPR!$E:$Z,MATCH($A130,SPPR!$A:$A,0),16)),$C130*INDEX(SPPR!$E:$Z,MATCH($A130,SPPR!$A:$A,0),16),""),"")</f>
        <v/>
      </c>
      <c r="T130">
        <f>IFERROR(IF(ISNUMBER(INDEX(SPPR!$E:$Z,MATCH($A130,SPPR!$A:$A,0),17)),$C130*INDEX(SPPR!$E:$Z,MATCH($A130,SPPR!$A:$A,0),17),""),"")</f>
        <v/>
      </c>
      <c r="U130">
        <f>IFERROR(IF(ISNUMBER(INDEX(SPPR!$E:$Z,MATCH($A130,SPPR!$A:$A,0),18)),$C130*INDEX(SPPR!$E:$Z,MATCH($A130,SPPR!$A:$A,0),18),""),"")</f>
        <v/>
      </c>
      <c r="V130">
        <f>IFERROR(IF(ISNUMBER(INDEX(SPPR!$E:$Z,MATCH($A130,SPPR!$A:$A,0),19)),$C130*INDEX(SPPR!$E:$Z,MATCH($A130,SPPR!$A:$A,0),19),""),"")</f>
        <v/>
      </c>
      <c r="W130">
        <f>IFERROR(IF(ISNUMBER(INDEX(SPPR!$E:$Z,MATCH($A130,SPPR!$A:$A,0),20)),$C130*INDEX(SPPR!$E:$Z,MATCH($A130,SPPR!$A:$A,0),20),""),"")</f>
        <v/>
      </c>
      <c r="X130">
        <f>IFERROR(IF(ISNUMBER(INDEX(SPPR!$E:$Z,MATCH($A130,SPPR!$A:$A,0),21)),$C130*INDEX(SPPR!$E:$Z,MATCH($A130,SPPR!$A:$A,0),21),""),"")</f>
        <v/>
      </c>
      <c r="Y130">
        <f>IFERROR(IF(ISNUMBER(INDEX(SPPR!$E:$Z,MATCH($A130,SPPR!$A:$A,0),22)),$C130*INDEX(SPPR!$E:$Z,MATCH($A130,SPPR!$A:$A,0),22),""),"")</f>
        <v/>
      </c>
    </row>
    <row r="131">
      <c r="A131" t="inlineStr">
        <is>
          <t>Serranidae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IFERROR(IF(ISNUMBER(INDEX(SPPR!$E:$Z,MATCH($A131,SPPR!$A:$A,0),1)),$C131*INDEX(SPPR!$E:$Z,MATCH($A131,SPPR!$A:$A,0),1),""),"")</f>
        <v/>
      </c>
      <c r="E131">
        <f>IFERROR(IF(ISNUMBER(INDEX(SPPR!$E:$Z,MATCH($A131,SPPR!$A:$A,0),2)),$C131*INDEX(SPPR!$E:$Z,MATCH($A131,SPPR!$A:$A,0),2),""),"")</f>
        <v/>
      </c>
      <c r="F131">
        <f>IFERROR(IF(ISNUMBER(INDEX(SPPR!$E:$Z,MATCH($A131,SPPR!$A:$A,0),3)),$C131*INDEX(SPPR!$E:$Z,MATCH($A131,SPPR!$A:$A,0),3),""),"")</f>
        <v/>
      </c>
      <c r="G131">
        <f>IFERROR(IF(ISNUMBER(INDEX(SPPR!$E:$Z,MATCH($A131,SPPR!$A:$A,0),4)),$C131*INDEX(SPPR!$E:$Z,MATCH($A131,SPPR!$A:$A,0),4),""),"")</f>
        <v/>
      </c>
      <c r="H131">
        <f>IFERROR(IF(ISNUMBER(INDEX(SPPR!$E:$Z,MATCH($A131,SPPR!$A:$A,0),5)),$C131*INDEX(SPPR!$E:$Z,MATCH($A131,SPPR!$A:$A,0),5),""),"")</f>
        <v/>
      </c>
      <c r="I131">
        <f>IFERROR(IF(ISNUMBER(INDEX(SPPR!$E:$Z,MATCH($A131,SPPR!$A:$A,0),6)),$C131*INDEX(SPPR!$E:$Z,MATCH($A131,SPPR!$A:$A,0),6),""),"")</f>
        <v/>
      </c>
      <c r="J131">
        <f>IFERROR(IF(ISNUMBER(INDEX(SPPR!$E:$Z,MATCH($A131,SPPR!$A:$A,0),7)),$C131*INDEX(SPPR!$E:$Z,MATCH($A131,SPPR!$A:$A,0),7),""),"")</f>
        <v/>
      </c>
      <c r="K131">
        <f>IFERROR(IF(ISNUMBER(INDEX(SPPR!$E:$Z,MATCH($A131,SPPR!$A:$A,0),8)),$C131*INDEX(SPPR!$E:$Z,MATCH($A131,SPPR!$A:$A,0),8),""),"")</f>
        <v/>
      </c>
      <c r="L131">
        <f>IFERROR(IF(ISNUMBER(INDEX(SPPR!$E:$Z,MATCH($A131,SPPR!$A:$A,0),9)),$C131*INDEX(SPPR!$E:$Z,MATCH($A131,SPPR!$A:$A,0),9),""),"")</f>
        <v/>
      </c>
      <c r="M131">
        <f>IFERROR(IF(ISNUMBER(INDEX(SPPR!$E:$Z,MATCH($A131,SPPR!$A:$A,0),10)),$C131*INDEX(SPPR!$E:$Z,MATCH($A131,SPPR!$A:$A,0),10),""),"")</f>
        <v/>
      </c>
      <c r="N131">
        <f>IFERROR(IF(ISNUMBER(INDEX(SPPR!$E:$Z,MATCH($A131,SPPR!$A:$A,0),11)),$C131*INDEX(SPPR!$E:$Z,MATCH($A131,SPPR!$A:$A,0),11),""),"")</f>
        <v/>
      </c>
      <c r="O131">
        <f>IFERROR(IF(ISNUMBER(INDEX(SPPR!$E:$Z,MATCH($A131,SPPR!$A:$A,0),12)),$C131*INDEX(SPPR!$E:$Z,MATCH($A131,SPPR!$A:$A,0),12),""),"")</f>
        <v/>
      </c>
      <c r="P131">
        <f>IFERROR(IF(ISNUMBER(INDEX(SPPR!$E:$Z,MATCH($A131,SPPR!$A:$A,0),13)),$C131*INDEX(SPPR!$E:$Z,MATCH($A131,SPPR!$A:$A,0),13),""),"")</f>
        <v/>
      </c>
      <c r="Q131">
        <f>IFERROR(IF(ISNUMBER(INDEX(SPPR!$E:$Z,MATCH($A131,SPPR!$A:$A,0),14)),$C131*INDEX(SPPR!$E:$Z,MATCH($A131,SPPR!$A:$A,0),14),""),"")</f>
        <v/>
      </c>
      <c r="R131">
        <f>IFERROR(IF(ISNUMBER(INDEX(SPPR!$E:$Z,MATCH($A131,SPPR!$A:$A,0),15)),$C131*INDEX(SPPR!$E:$Z,MATCH($A131,SPPR!$A:$A,0),15),""),"")</f>
        <v/>
      </c>
      <c r="S131">
        <f>IFERROR(IF(ISNUMBER(INDEX(SPPR!$E:$Z,MATCH($A131,SPPR!$A:$A,0),16)),$C131*INDEX(SPPR!$E:$Z,MATCH($A131,SPPR!$A:$A,0),16),""),"")</f>
        <v/>
      </c>
      <c r="T131">
        <f>IFERROR(IF(ISNUMBER(INDEX(SPPR!$E:$Z,MATCH($A131,SPPR!$A:$A,0),17)),$C131*INDEX(SPPR!$E:$Z,MATCH($A131,SPPR!$A:$A,0),17),""),"")</f>
        <v/>
      </c>
      <c r="U131">
        <f>IFERROR(IF(ISNUMBER(INDEX(SPPR!$E:$Z,MATCH($A131,SPPR!$A:$A,0),18)),$C131*INDEX(SPPR!$E:$Z,MATCH($A131,SPPR!$A:$A,0),18),""),"")</f>
        <v/>
      </c>
      <c r="V131">
        <f>IFERROR(IF(ISNUMBER(INDEX(SPPR!$E:$Z,MATCH($A131,SPPR!$A:$A,0),19)),$C131*INDEX(SPPR!$E:$Z,MATCH($A131,SPPR!$A:$A,0),19),""),"")</f>
        <v/>
      </c>
      <c r="W131">
        <f>IFERROR(IF(ISNUMBER(INDEX(SPPR!$E:$Z,MATCH($A131,SPPR!$A:$A,0),20)),$C131*INDEX(SPPR!$E:$Z,MATCH($A131,SPPR!$A:$A,0),20),""),"")</f>
        <v/>
      </c>
      <c r="X131">
        <f>IFERROR(IF(ISNUMBER(INDEX(SPPR!$E:$Z,MATCH($A131,SPPR!$A:$A,0),21)),$C131*INDEX(SPPR!$E:$Z,MATCH($A131,SPPR!$A:$A,0),21),""),"")</f>
        <v/>
      </c>
      <c r="Y131">
        <f>IFERROR(IF(ISNUMBER(INDEX(SPPR!$E:$Z,MATCH($A131,SPPR!$A:$A,0),22)),$C131*INDEX(SPPR!$E:$Z,MATCH($A131,SPPR!$A:$A,0),22),""),"")</f>
        <v/>
      </c>
    </row>
    <row r="132">
      <c r="A132" t="inlineStr">
        <is>
          <t>Selar crumenophthalmus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IFERROR(IF(ISNUMBER(INDEX(SPPR!$E:$Z,MATCH($A132,SPPR!$A:$A,0),1)),$C132*INDEX(SPPR!$E:$Z,MATCH($A132,SPPR!$A:$A,0),1),""),"")</f>
        <v/>
      </c>
      <c r="E132">
        <f>IFERROR(IF(ISNUMBER(INDEX(SPPR!$E:$Z,MATCH($A132,SPPR!$A:$A,0),2)),$C132*INDEX(SPPR!$E:$Z,MATCH($A132,SPPR!$A:$A,0),2),""),"")</f>
        <v/>
      </c>
      <c r="F132">
        <f>IFERROR(IF(ISNUMBER(INDEX(SPPR!$E:$Z,MATCH($A132,SPPR!$A:$A,0),3)),$C132*INDEX(SPPR!$E:$Z,MATCH($A132,SPPR!$A:$A,0),3),""),"")</f>
        <v/>
      </c>
      <c r="G132">
        <f>IFERROR(IF(ISNUMBER(INDEX(SPPR!$E:$Z,MATCH($A132,SPPR!$A:$A,0),4)),$C132*INDEX(SPPR!$E:$Z,MATCH($A132,SPPR!$A:$A,0),4),""),"")</f>
        <v/>
      </c>
      <c r="H132">
        <f>IFERROR(IF(ISNUMBER(INDEX(SPPR!$E:$Z,MATCH($A132,SPPR!$A:$A,0),5)),$C132*INDEX(SPPR!$E:$Z,MATCH($A132,SPPR!$A:$A,0),5),""),"")</f>
        <v/>
      </c>
      <c r="I132">
        <f>IFERROR(IF(ISNUMBER(INDEX(SPPR!$E:$Z,MATCH($A132,SPPR!$A:$A,0),6)),$C132*INDEX(SPPR!$E:$Z,MATCH($A132,SPPR!$A:$A,0),6),""),"")</f>
        <v/>
      </c>
      <c r="J132">
        <f>IFERROR(IF(ISNUMBER(INDEX(SPPR!$E:$Z,MATCH($A132,SPPR!$A:$A,0),7)),$C132*INDEX(SPPR!$E:$Z,MATCH($A132,SPPR!$A:$A,0),7),""),"")</f>
        <v/>
      </c>
      <c r="K132">
        <f>IFERROR(IF(ISNUMBER(INDEX(SPPR!$E:$Z,MATCH($A132,SPPR!$A:$A,0),8)),$C132*INDEX(SPPR!$E:$Z,MATCH($A132,SPPR!$A:$A,0),8),""),"")</f>
        <v/>
      </c>
      <c r="L132">
        <f>IFERROR(IF(ISNUMBER(INDEX(SPPR!$E:$Z,MATCH($A132,SPPR!$A:$A,0),9)),$C132*INDEX(SPPR!$E:$Z,MATCH($A132,SPPR!$A:$A,0),9),""),"")</f>
        <v/>
      </c>
      <c r="M132">
        <f>IFERROR(IF(ISNUMBER(INDEX(SPPR!$E:$Z,MATCH($A132,SPPR!$A:$A,0),10)),$C132*INDEX(SPPR!$E:$Z,MATCH($A132,SPPR!$A:$A,0),10),""),"")</f>
        <v/>
      </c>
      <c r="N132">
        <f>IFERROR(IF(ISNUMBER(INDEX(SPPR!$E:$Z,MATCH($A132,SPPR!$A:$A,0),11)),$C132*INDEX(SPPR!$E:$Z,MATCH($A132,SPPR!$A:$A,0),11),""),"")</f>
        <v/>
      </c>
      <c r="O132">
        <f>IFERROR(IF(ISNUMBER(INDEX(SPPR!$E:$Z,MATCH($A132,SPPR!$A:$A,0),12)),$C132*INDEX(SPPR!$E:$Z,MATCH($A132,SPPR!$A:$A,0),12),""),"")</f>
        <v/>
      </c>
      <c r="P132">
        <f>IFERROR(IF(ISNUMBER(INDEX(SPPR!$E:$Z,MATCH($A132,SPPR!$A:$A,0),13)),$C132*INDEX(SPPR!$E:$Z,MATCH($A132,SPPR!$A:$A,0),13),""),"")</f>
        <v/>
      </c>
      <c r="Q132">
        <f>IFERROR(IF(ISNUMBER(INDEX(SPPR!$E:$Z,MATCH($A132,SPPR!$A:$A,0),14)),$C132*INDEX(SPPR!$E:$Z,MATCH($A132,SPPR!$A:$A,0),14),""),"")</f>
        <v/>
      </c>
      <c r="R132">
        <f>IFERROR(IF(ISNUMBER(INDEX(SPPR!$E:$Z,MATCH($A132,SPPR!$A:$A,0),15)),$C132*INDEX(SPPR!$E:$Z,MATCH($A132,SPPR!$A:$A,0),15),""),"")</f>
        <v/>
      </c>
      <c r="S132">
        <f>IFERROR(IF(ISNUMBER(INDEX(SPPR!$E:$Z,MATCH($A132,SPPR!$A:$A,0),16)),$C132*INDEX(SPPR!$E:$Z,MATCH($A132,SPPR!$A:$A,0),16),""),"")</f>
        <v/>
      </c>
      <c r="T132">
        <f>IFERROR(IF(ISNUMBER(INDEX(SPPR!$E:$Z,MATCH($A132,SPPR!$A:$A,0),17)),$C132*INDEX(SPPR!$E:$Z,MATCH($A132,SPPR!$A:$A,0),17),""),"")</f>
        <v/>
      </c>
      <c r="U132">
        <f>IFERROR(IF(ISNUMBER(INDEX(SPPR!$E:$Z,MATCH($A132,SPPR!$A:$A,0),18)),$C132*INDEX(SPPR!$E:$Z,MATCH($A132,SPPR!$A:$A,0),18),""),"")</f>
        <v/>
      </c>
      <c r="V132">
        <f>IFERROR(IF(ISNUMBER(INDEX(SPPR!$E:$Z,MATCH($A132,SPPR!$A:$A,0),19)),$C132*INDEX(SPPR!$E:$Z,MATCH($A132,SPPR!$A:$A,0),19),""),"")</f>
        <v/>
      </c>
      <c r="W132">
        <f>IFERROR(IF(ISNUMBER(INDEX(SPPR!$E:$Z,MATCH($A132,SPPR!$A:$A,0),20)),$C132*INDEX(SPPR!$E:$Z,MATCH($A132,SPPR!$A:$A,0),20),""),"")</f>
        <v/>
      </c>
      <c r="X132">
        <f>IFERROR(IF(ISNUMBER(INDEX(SPPR!$E:$Z,MATCH($A132,SPPR!$A:$A,0),21)),$C132*INDEX(SPPR!$E:$Z,MATCH($A132,SPPR!$A:$A,0),21),""),"")</f>
        <v/>
      </c>
      <c r="Y132">
        <f>IFERROR(IF(ISNUMBER(INDEX(SPPR!$E:$Z,MATCH($A132,SPPR!$A:$A,0),22)),$C132*INDEX(SPPR!$E:$Z,MATCH($A132,SPPR!$A:$A,0),22),""),"")</f>
        <v/>
      </c>
    </row>
    <row r="133">
      <c r="A133" t="inlineStr">
        <is>
          <t>Ablennes hians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IFERROR(IF(ISNUMBER(INDEX(SPPR!$E:$Z,MATCH($A133,SPPR!$A:$A,0),1)),$C133*INDEX(SPPR!$E:$Z,MATCH($A133,SPPR!$A:$A,0),1),""),"")</f>
        <v/>
      </c>
      <c r="E133">
        <f>IFERROR(IF(ISNUMBER(INDEX(SPPR!$E:$Z,MATCH($A133,SPPR!$A:$A,0),2)),$C133*INDEX(SPPR!$E:$Z,MATCH($A133,SPPR!$A:$A,0),2),""),"")</f>
        <v/>
      </c>
      <c r="F133">
        <f>IFERROR(IF(ISNUMBER(INDEX(SPPR!$E:$Z,MATCH($A133,SPPR!$A:$A,0),3)),$C133*INDEX(SPPR!$E:$Z,MATCH($A133,SPPR!$A:$A,0),3),""),"")</f>
        <v/>
      </c>
      <c r="G133">
        <f>IFERROR(IF(ISNUMBER(INDEX(SPPR!$E:$Z,MATCH($A133,SPPR!$A:$A,0),4)),$C133*INDEX(SPPR!$E:$Z,MATCH($A133,SPPR!$A:$A,0),4),""),"")</f>
        <v/>
      </c>
      <c r="H133">
        <f>IFERROR(IF(ISNUMBER(INDEX(SPPR!$E:$Z,MATCH($A133,SPPR!$A:$A,0),5)),$C133*INDEX(SPPR!$E:$Z,MATCH($A133,SPPR!$A:$A,0),5),""),"")</f>
        <v/>
      </c>
      <c r="I133">
        <f>IFERROR(IF(ISNUMBER(INDEX(SPPR!$E:$Z,MATCH($A133,SPPR!$A:$A,0),6)),$C133*INDEX(SPPR!$E:$Z,MATCH($A133,SPPR!$A:$A,0),6),""),"")</f>
        <v/>
      </c>
      <c r="J133">
        <f>IFERROR(IF(ISNUMBER(INDEX(SPPR!$E:$Z,MATCH($A133,SPPR!$A:$A,0),7)),$C133*INDEX(SPPR!$E:$Z,MATCH($A133,SPPR!$A:$A,0),7),""),"")</f>
        <v/>
      </c>
      <c r="K133">
        <f>IFERROR(IF(ISNUMBER(INDEX(SPPR!$E:$Z,MATCH($A133,SPPR!$A:$A,0),8)),$C133*INDEX(SPPR!$E:$Z,MATCH($A133,SPPR!$A:$A,0),8),""),"")</f>
        <v/>
      </c>
      <c r="L133">
        <f>IFERROR(IF(ISNUMBER(INDEX(SPPR!$E:$Z,MATCH($A133,SPPR!$A:$A,0),9)),$C133*INDEX(SPPR!$E:$Z,MATCH($A133,SPPR!$A:$A,0),9),""),"")</f>
        <v/>
      </c>
      <c r="M133">
        <f>IFERROR(IF(ISNUMBER(INDEX(SPPR!$E:$Z,MATCH($A133,SPPR!$A:$A,0),10)),$C133*INDEX(SPPR!$E:$Z,MATCH($A133,SPPR!$A:$A,0),10),""),"")</f>
        <v/>
      </c>
      <c r="N133">
        <f>IFERROR(IF(ISNUMBER(INDEX(SPPR!$E:$Z,MATCH($A133,SPPR!$A:$A,0),11)),$C133*INDEX(SPPR!$E:$Z,MATCH($A133,SPPR!$A:$A,0),11),""),"")</f>
        <v/>
      </c>
      <c r="O133">
        <f>IFERROR(IF(ISNUMBER(INDEX(SPPR!$E:$Z,MATCH($A133,SPPR!$A:$A,0),12)),$C133*INDEX(SPPR!$E:$Z,MATCH($A133,SPPR!$A:$A,0),12),""),"")</f>
        <v/>
      </c>
      <c r="P133">
        <f>IFERROR(IF(ISNUMBER(INDEX(SPPR!$E:$Z,MATCH($A133,SPPR!$A:$A,0),13)),$C133*INDEX(SPPR!$E:$Z,MATCH($A133,SPPR!$A:$A,0),13),""),"")</f>
        <v/>
      </c>
      <c r="Q133">
        <f>IFERROR(IF(ISNUMBER(INDEX(SPPR!$E:$Z,MATCH($A133,SPPR!$A:$A,0),14)),$C133*INDEX(SPPR!$E:$Z,MATCH($A133,SPPR!$A:$A,0),14),""),"")</f>
        <v/>
      </c>
      <c r="R133">
        <f>IFERROR(IF(ISNUMBER(INDEX(SPPR!$E:$Z,MATCH($A133,SPPR!$A:$A,0),15)),$C133*INDEX(SPPR!$E:$Z,MATCH($A133,SPPR!$A:$A,0),15),""),"")</f>
        <v/>
      </c>
      <c r="S133">
        <f>IFERROR(IF(ISNUMBER(INDEX(SPPR!$E:$Z,MATCH($A133,SPPR!$A:$A,0),16)),$C133*INDEX(SPPR!$E:$Z,MATCH($A133,SPPR!$A:$A,0),16),""),"")</f>
        <v/>
      </c>
      <c r="T133">
        <f>IFERROR(IF(ISNUMBER(INDEX(SPPR!$E:$Z,MATCH($A133,SPPR!$A:$A,0),17)),$C133*INDEX(SPPR!$E:$Z,MATCH($A133,SPPR!$A:$A,0),17),""),"")</f>
        <v/>
      </c>
      <c r="U133">
        <f>IFERROR(IF(ISNUMBER(INDEX(SPPR!$E:$Z,MATCH($A133,SPPR!$A:$A,0),18)),$C133*INDEX(SPPR!$E:$Z,MATCH($A133,SPPR!$A:$A,0),18),""),"")</f>
        <v/>
      </c>
      <c r="V133">
        <f>IFERROR(IF(ISNUMBER(INDEX(SPPR!$E:$Z,MATCH($A133,SPPR!$A:$A,0),19)),$C133*INDEX(SPPR!$E:$Z,MATCH($A133,SPPR!$A:$A,0),19),""),"")</f>
        <v/>
      </c>
      <c r="W133">
        <f>IFERROR(IF(ISNUMBER(INDEX(SPPR!$E:$Z,MATCH($A133,SPPR!$A:$A,0),20)),$C133*INDEX(SPPR!$E:$Z,MATCH($A133,SPPR!$A:$A,0),20),""),"")</f>
        <v/>
      </c>
      <c r="X133">
        <f>IFERROR(IF(ISNUMBER(INDEX(SPPR!$E:$Z,MATCH($A133,SPPR!$A:$A,0),21)),$C133*INDEX(SPPR!$E:$Z,MATCH($A133,SPPR!$A:$A,0),21),""),"")</f>
        <v/>
      </c>
      <c r="Y133">
        <f>IFERROR(IF(ISNUMBER(INDEX(SPPR!$E:$Z,MATCH($A133,SPPR!$A:$A,0),22)),$C133*INDEX(SPPR!$E:$Z,MATCH($A133,SPPR!$A:$A,0),22),""),"")</f>
        <v/>
      </c>
    </row>
    <row r="134">
      <c r="A134" t="inlineStr">
        <is>
          <t>Soleidae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IFERROR(IF(ISNUMBER(INDEX(SPPR!$E:$Z,MATCH($A134,SPPR!$A:$A,0),1)),$C134*INDEX(SPPR!$E:$Z,MATCH($A134,SPPR!$A:$A,0),1),""),"")</f>
        <v/>
      </c>
      <c r="E134">
        <f>IFERROR(IF(ISNUMBER(INDEX(SPPR!$E:$Z,MATCH($A134,SPPR!$A:$A,0),2)),$C134*INDEX(SPPR!$E:$Z,MATCH($A134,SPPR!$A:$A,0),2),""),"")</f>
        <v/>
      </c>
      <c r="F134">
        <f>IFERROR(IF(ISNUMBER(INDEX(SPPR!$E:$Z,MATCH($A134,SPPR!$A:$A,0),3)),$C134*INDEX(SPPR!$E:$Z,MATCH($A134,SPPR!$A:$A,0),3),""),"")</f>
        <v/>
      </c>
      <c r="G134">
        <f>IFERROR(IF(ISNUMBER(INDEX(SPPR!$E:$Z,MATCH($A134,SPPR!$A:$A,0),4)),$C134*INDEX(SPPR!$E:$Z,MATCH($A134,SPPR!$A:$A,0),4),""),"")</f>
        <v/>
      </c>
      <c r="H134">
        <f>IFERROR(IF(ISNUMBER(INDEX(SPPR!$E:$Z,MATCH($A134,SPPR!$A:$A,0),5)),$C134*INDEX(SPPR!$E:$Z,MATCH($A134,SPPR!$A:$A,0),5),""),"")</f>
        <v/>
      </c>
      <c r="I134">
        <f>IFERROR(IF(ISNUMBER(INDEX(SPPR!$E:$Z,MATCH($A134,SPPR!$A:$A,0),6)),$C134*INDEX(SPPR!$E:$Z,MATCH($A134,SPPR!$A:$A,0),6),""),"")</f>
        <v/>
      </c>
      <c r="J134">
        <f>IFERROR(IF(ISNUMBER(INDEX(SPPR!$E:$Z,MATCH($A134,SPPR!$A:$A,0),7)),$C134*INDEX(SPPR!$E:$Z,MATCH($A134,SPPR!$A:$A,0),7),""),"")</f>
        <v/>
      </c>
      <c r="K134">
        <f>IFERROR(IF(ISNUMBER(INDEX(SPPR!$E:$Z,MATCH($A134,SPPR!$A:$A,0),8)),$C134*INDEX(SPPR!$E:$Z,MATCH($A134,SPPR!$A:$A,0),8),""),"")</f>
        <v/>
      </c>
      <c r="L134">
        <f>IFERROR(IF(ISNUMBER(INDEX(SPPR!$E:$Z,MATCH($A134,SPPR!$A:$A,0),9)),$C134*INDEX(SPPR!$E:$Z,MATCH($A134,SPPR!$A:$A,0),9),""),"")</f>
        <v/>
      </c>
      <c r="M134">
        <f>IFERROR(IF(ISNUMBER(INDEX(SPPR!$E:$Z,MATCH($A134,SPPR!$A:$A,0),10)),$C134*INDEX(SPPR!$E:$Z,MATCH($A134,SPPR!$A:$A,0),10),""),"")</f>
        <v/>
      </c>
      <c r="N134">
        <f>IFERROR(IF(ISNUMBER(INDEX(SPPR!$E:$Z,MATCH($A134,SPPR!$A:$A,0),11)),$C134*INDEX(SPPR!$E:$Z,MATCH($A134,SPPR!$A:$A,0),11),""),"")</f>
        <v/>
      </c>
      <c r="O134">
        <f>IFERROR(IF(ISNUMBER(INDEX(SPPR!$E:$Z,MATCH($A134,SPPR!$A:$A,0),12)),$C134*INDEX(SPPR!$E:$Z,MATCH($A134,SPPR!$A:$A,0),12),""),"")</f>
        <v/>
      </c>
      <c r="P134">
        <f>IFERROR(IF(ISNUMBER(INDEX(SPPR!$E:$Z,MATCH($A134,SPPR!$A:$A,0),13)),$C134*INDEX(SPPR!$E:$Z,MATCH($A134,SPPR!$A:$A,0),13),""),"")</f>
        <v/>
      </c>
      <c r="Q134">
        <f>IFERROR(IF(ISNUMBER(INDEX(SPPR!$E:$Z,MATCH($A134,SPPR!$A:$A,0),14)),$C134*INDEX(SPPR!$E:$Z,MATCH($A134,SPPR!$A:$A,0),14),""),"")</f>
        <v/>
      </c>
      <c r="R134">
        <f>IFERROR(IF(ISNUMBER(INDEX(SPPR!$E:$Z,MATCH($A134,SPPR!$A:$A,0),15)),$C134*INDEX(SPPR!$E:$Z,MATCH($A134,SPPR!$A:$A,0),15),""),"")</f>
        <v/>
      </c>
      <c r="S134">
        <f>IFERROR(IF(ISNUMBER(INDEX(SPPR!$E:$Z,MATCH($A134,SPPR!$A:$A,0),16)),$C134*INDEX(SPPR!$E:$Z,MATCH($A134,SPPR!$A:$A,0),16),""),"")</f>
        <v/>
      </c>
      <c r="T134">
        <f>IFERROR(IF(ISNUMBER(INDEX(SPPR!$E:$Z,MATCH($A134,SPPR!$A:$A,0),17)),$C134*INDEX(SPPR!$E:$Z,MATCH($A134,SPPR!$A:$A,0),17),""),"")</f>
        <v/>
      </c>
      <c r="U134">
        <f>IFERROR(IF(ISNUMBER(INDEX(SPPR!$E:$Z,MATCH($A134,SPPR!$A:$A,0),18)),$C134*INDEX(SPPR!$E:$Z,MATCH($A134,SPPR!$A:$A,0),18),""),"")</f>
        <v/>
      </c>
      <c r="V134">
        <f>IFERROR(IF(ISNUMBER(INDEX(SPPR!$E:$Z,MATCH($A134,SPPR!$A:$A,0),19)),$C134*INDEX(SPPR!$E:$Z,MATCH($A134,SPPR!$A:$A,0),19),""),"")</f>
        <v/>
      </c>
      <c r="W134">
        <f>IFERROR(IF(ISNUMBER(INDEX(SPPR!$E:$Z,MATCH($A134,SPPR!$A:$A,0),20)),$C134*INDEX(SPPR!$E:$Z,MATCH($A134,SPPR!$A:$A,0),20),""),"")</f>
        <v/>
      </c>
      <c r="X134">
        <f>IFERROR(IF(ISNUMBER(INDEX(SPPR!$E:$Z,MATCH($A134,SPPR!$A:$A,0),21)),$C134*INDEX(SPPR!$E:$Z,MATCH($A134,SPPR!$A:$A,0),21),""),"")</f>
        <v/>
      </c>
      <c r="Y134">
        <f>IFERROR(IF(ISNUMBER(INDEX(SPPR!$E:$Z,MATCH($A134,SPPR!$A:$A,0),22)),$C134*INDEX(SPPR!$E:$Z,MATCH($A134,SPPR!$A:$A,0),22),""),"")</f>
        <v/>
      </c>
    </row>
    <row r="135">
      <c r="A135" t="inlineStr">
        <is>
          <t>Decapterus punctatus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IFERROR(IF(ISNUMBER(INDEX(SPPR!$E:$Z,MATCH($A135,SPPR!$A:$A,0),1)),$C135*INDEX(SPPR!$E:$Z,MATCH($A135,SPPR!$A:$A,0),1),""),"")</f>
        <v/>
      </c>
      <c r="E135">
        <f>IFERROR(IF(ISNUMBER(INDEX(SPPR!$E:$Z,MATCH($A135,SPPR!$A:$A,0),2)),$C135*INDEX(SPPR!$E:$Z,MATCH($A135,SPPR!$A:$A,0),2),""),"")</f>
        <v/>
      </c>
      <c r="F135">
        <f>IFERROR(IF(ISNUMBER(INDEX(SPPR!$E:$Z,MATCH($A135,SPPR!$A:$A,0),3)),$C135*INDEX(SPPR!$E:$Z,MATCH($A135,SPPR!$A:$A,0),3),""),"")</f>
        <v/>
      </c>
      <c r="G135">
        <f>IFERROR(IF(ISNUMBER(INDEX(SPPR!$E:$Z,MATCH($A135,SPPR!$A:$A,0),4)),$C135*INDEX(SPPR!$E:$Z,MATCH($A135,SPPR!$A:$A,0),4),""),"")</f>
        <v/>
      </c>
      <c r="H135">
        <f>IFERROR(IF(ISNUMBER(INDEX(SPPR!$E:$Z,MATCH($A135,SPPR!$A:$A,0),5)),$C135*INDEX(SPPR!$E:$Z,MATCH($A135,SPPR!$A:$A,0),5),""),"")</f>
        <v/>
      </c>
      <c r="I135">
        <f>IFERROR(IF(ISNUMBER(INDEX(SPPR!$E:$Z,MATCH($A135,SPPR!$A:$A,0),6)),$C135*INDEX(SPPR!$E:$Z,MATCH($A135,SPPR!$A:$A,0),6),""),"")</f>
        <v/>
      </c>
      <c r="J135">
        <f>IFERROR(IF(ISNUMBER(INDEX(SPPR!$E:$Z,MATCH($A135,SPPR!$A:$A,0),7)),$C135*INDEX(SPPR!$E:$Z,MATCH($A135,SPPR!$A:$A,0),7),""),"")</f>
        <v/>
      </c>
      <c r="K135">
        <f>IFERROR(IF(ISNUMBER(INDEX(SPPR!$E:$Z,MATCH($A135,SPPR!$A:$A,0),8)),$C135*INDEX(SPPR!$E:$Z,MATCH($A135,SPPR!$A:$A,0),8),""),"")</f>
        <v/>
      </c>
      <c r="L135">
        <f>IFERROR(IF(ISNUMBER(INDEX(SPPR!$E:$Z,MATCH($A135,SPPR!$A:$A,0),9)),$C135*INDEX(SPPR!$E:$Z,MATCH($A135,SPPR!$A:$A,0),9),""),"")</f>
        <v/>
      </c>
      <c r="M135">
        <f>IFERROR(IF(ISNUMBER(INDEX(SPPR!$E:$Z,MATCH($A135,SPPR!$A:$A,0),10)),$C135*INDEX(SPPR!$E:$Z,MATCH($A135,SPPR!$A:$A,0),10),""),"")</f>
        <v/>
      </c>
      <c r="N135">
        <f>IFERROR(IF(ISNUMBER(INDEX(SPPR!$E:$Z,MATCH($A135,SPPR!$A:$A,0),11)),$C135*INDEX(SPPR!$E:$Z,MATCH($A135,SPPR!$A:$A,0),11),""),"")</f>
        <v/>
      </c>
      <c r="O135">
        <f>IFERROR(IF(ISNUMBER(INDEX(SPPR!$E:$Z,MATCH($A135,SPPR!$A:$A,0),12)),$C135*INDEX(SPPR!$E:$Z,MATCH($A135,SPPR!$A:$A,0),12),""),"")</f>
        <v/>
      </c>
      <c r="P135">
        <f>IFERROR(IF(ISNUMBER(INDEX(SPPR!$E:$Z,MATCH($A135,SPPR!$A:$A,0),13)),$C135*INDEX(SPPR!$E:$Z,MATCH($A135,SPPR!$A:$A,0),13),""),"")</f>
        <v/>
      </c>
      <c r="Q135">
        <f>IFERROR(IF(ISNUMBER(INDEX(SPPR!$E:$Z,MATCH($A135,SPPR!$A:$A,0),14)),$C135*INDEX(SPPR!$E:$Z,MATCH($A135,SPPR!$A:$A,0),14),""),"")</f>
        <v/>
      </c>
      <c r="R135">
        <f>IFERROR(IF(ISNUMBER(INDEX(SPPR!$E:$Z,MATCH($A135,SPPR!$A:$A,0),15)),$C135*INDEX(SPPR!$E:$Z,MATCH($A135,SPPR!$A:$A,0),15),""),"")</f>
        <v/>
      </c>
      <c r="S135">
        <f>IFERROR(IF(ISNUMBER(INDEX(SPPR!$E:$Z,MATCH($A135,SPPR!$A:$A,0),16)),$C135*INDEX(SPPR!$E:$Z,MATCH($A135,SPPR!$A:$A,0),16),""),"")</f>
        <v/>
      </c>
      <c r="T135">
        <f>IFERROR(IF(ISNUMBER(INDEX(SPPR!$E:$Z,MATCH($A135,SPPR!$A:$A,0),17)),$C135*INDEX(SPPR!$E:$Z,MATCH($A135,SPPR!$A:$A,0),17),""),"")</f>
        <v/>
      </c>
      <c r="U135">
        <f>IFERROR(IF(ISNUMBER(INDEX(SPPR!$E:$Z,MATCH($A135,SPPR!$A:$A,0),18)),$C135*INDEX(SPPR!$E:$Z,MATCH($A135,SPPR!$A:$A,0),18),""),"")</f>
        <v/>
      </c>
      <c r="V135">
        <f>IFERROR(IF(ISNUMBER(INDEX(SPPR!$E:$Z,MATCH($A135,SPPR!$A:$A,0),19)),$C135*INDEX(SPPR!$E:$Z,MATCH($A135,SPPR!$A:$A,0),19),""),"")</f>
        <v/>
      </c>
      <c r="W135">
        <f>IFERROR(IF(ISNUMBER(INDEX(SPPR!$E:$Z,MATCH($A135,SPPR!$A:$A,0),20)),$C135*INDEX(SPPR!$E:$Z,MATCH($A135,SPPR!$A:$A,0),20),""),"")</f>
        <v/>
      </c>
      <c r="X135">
        <f>IFERROR(IF(ISNUMBER(INDEX(SPPR!$E:$Z,MATCH($A135,SPPR!$A:$A,0),21)),$C135*INDEX(SPPR!$E:$Z,MATCH($A135,SPPR!$A:$A,0),21),""),"")</f>
        <v/>
      </c>
      <c r="Y135">
        <f>IFERROR(IF(ISNUMBER(INDEX(SPPR!$E:$Z,MATCH($A135,SPPR!$A:$A,0),22)),$C135*INDEX(SPPR!$E:$Z,MATCH($A135,SPPR!$A:$A,0),22),""),"")</f>
        <v/>
      </c>
    </row>
    <row r="136">
      <c r="A136" t="inlineStr">
        <is>
          <t>Auxis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IFERROR(IF(ISNUMBER(INDEX(SPPR!$E:$Z,MATCH($A136,SPPR!$A:$A,0),1)),$C136*INDEX(SPPR!$E:$Z,MATCH($A136,SPPR!$A:$A,0),1),""),"")</f>
        <v/>
      </c>
      <c r="E136">
        <f>IFERROR(IF(ISNUMBER(INDEX(SPPR!$E:$Z,MATCH($A136,SPPR!$A:$A,0),2)),$C136*INDEX(SPPR!$E:$Z,MATCH($A136,SPPR!$A:$A,0),2),""),"")</f>
        <v/>
      </c>
      <c r="F136">
        <f>IFERROR(IF(ISNUMBER(INDEX(SPPR!$E:$Z,MATCH($A136,SPPR!$A:$A,0),3)),$C136*INDEX(SPPR!$E:$Z,MATCH($A136,SPPR!$A:$A,0),3),""),"")</f>
        <v/>
      </c>
      <c r="G136">
        <f>IFERROR(IF(ISNUMBER(INDEX(SPPR!$E:$Z,MATCH($A136,SPPR!$A:$A,0),4)),$C136*INDEX(SPPR!$E:$Z,MATCH($A136,SPPR!$A:$A,0),4),""),"")</f>
        <v/>
      </c>
      <c r="H136">
        <f>IFERROR(IF(ISNUMBER(INDEX(SPPR!$E:$Z,MATCH($A136,SPPR!$A:$A,0),5)),$C136*INDEX(SPPR!$E:$Z,MATCH($A136,SPPR!$A:$A,0),5),""),"")</f>
        <v/>
      </c>
      <c r="I136">
        <f>IFERROR(IF(ISNUMBER(INDEX(SPPR!$E:$Z,MATCH($A136,SPPR!$A:$A,0),6)),$C136*INDEX(SPPR!$E:$Z,MATCH($A136,SPPR!$A:$A,0),6),""),"")</f>
        <v/>
      </c>
      <c r="J136">
        <f>IFERROR(IF(ISNUMBER(INDEX(SPPR!$E:$Z,MATCH($A136,SPPR!$A:$A,0),7)),$C136*INDEX(SPPR!$E:$Z,MATCH($A136,SPPR!$A:$A,0),7),""),"")</f>
        <v/>
      </c>
      <c r="K136">
        <f>IFERROR(IF(ISNUMBER(INDEX(SPPR!$E:$Z,MATCH($A136,SPPR!$A:$A,0),8)),$C136*INDEX(SPPR!$E:$Z,MATCH($A136,SPPR!$A:$A,0),8),""),"")</f>
        <v/>
      </c>
      <c r="L136">
        <f>IFERROR(IF(ISNUMBER(INDEX(SPPR!$E:$Z,MATCH($A136,SPPR!$A:$A,0),9)),$C136*INDEX(SPPR!$E:$Z,MATCH($A136,SPPR!$A:$A,0),9),""),"")</f>
        <v/>
      </c>
      <c r="M136">
        <f>IFERROR(IF(ISNUMBER(INDEX(SPPR!$E:$Z,MATCH($A136,SPPR!$A:$A,0),10)),$C136*INDEX(SPPR!$E:$Z,MATCH($A136,SPPR!$A:$A,0),10),""),"")</f>
        <v/>
      </c>
      <c r="N136">
        <f>IFERROR(IF(ISNUMBER(INDEX(SPPR!$E:$Z,MATCH($A136,SPPR!$A:$A,0),11)),$C136*INDEX(SPPR!$E:$Z,MATCH($A136,SPPR!$A:$A,0),11),""),"")</f>
        <v/>
      </c>
      <c r="O136">
        <f>IFERROR(IF(ISNUMBER(INDEX(SPPR!$E:$Z,MATCH($A136,SPPR!$A:$A,0),12)),$C136*INDEX(SPPR!$E:$Z,MATCH($A136,SPPR!$A:$A,0),12),""),"")</f>
        <v/>
      </c>
      <c r="P136">
        <f>IFERROR(IF(ISNUMBER(INDEX(SPPR!$E:$Z,MATCH($A136,SPPR!$A:$A,0),13)),$C136*INDEX(SPPR!$E:$Z,MATCH($A136,SPPR!$A:$A,0),13),""),"")</f>
        <v/>
      </c>
      <c r="Q136">
        <f>IFERROR(IF(ISNUMBER(INDEX(SPPR!$E:$Z,MATCH($A136,SPPR!$A:$A,0),14)),$C136*INDEX(SPPR!$E:$Z,MATCH($A136,SPPR!$A:$A,0),14),""),"")</f>
        <v/>
      </c>
      <c r="R136">
        <f>IFERROR(IF(ISNUMBER(INDEX(SPPR!$E:$Z,MATCH($A136,SPPR!$A:$A,0),15)),$C136*INDEX(SPPR!$E:$Z,MATCH($A136,SPPR!$A:$A,0),15),""),"")</f>
        <v/>
      </c>
      <c r="S136">
        <f>IFERROR(IF(ISNUMBER(INDEX(SPPR!$E:$Z,MATCH($A136,SPPR!$A:$A,0),16)),$C136*INDEX(SPPR!$E:$Z,MATCH($A136,SPPR!$A:$A,0),16),""),"")</f>
        <v/>
      </c>
      <c r="T136">
        <f>IFERROR(IF(ISNUMBER(INDEX(SPPR!$E:$Z,MATCH($A136,SPPR!$A:$A,0),17)),$C136*INDEX(SPPR!$E:$Z,MATCH($A136,SPPR!$A:$A,0),17),""),"")</f>
        <v/>
      </c>
      <c r="U136">
        <f>IFERROR(IF(ISNUMBER(INDEX(SPPR!$E:$Z,MATCH($A136,SPPR!$A:$A,0),18)),$C136*INDEX(SPPR!$E:$Z,MATCH($A136,SPPR!$A:$A,0),18),""),"")</f>
        <v/>
      </c>
      <c r="V136">
        <f>IFERROR(IF(ISNUMBER(INDEX(SPPR!$E:$Z,MATCH($A136,SPPR!$A:$A,0),19)),$C136*INDEX(SPPR!$E:$Z,MATCH($A136,SPPR!$A:$A,0),19),""),"")</f>
        <v/>
      </c>
      <c r="W136">
        <f>IFERROR(IF(ISNUMBER(INDEX(SPPR!$E:$Z,MATCH($A136,SPPR!$A:$A,0),20)),$C136*INDEX(SPPR!$E:$Z,MATCH($A136,SPPR!$A:$A,0),20),""),"")</f>
        <v/>
      </c>
      <c r="X136">
        <f>IFERROR(IF(ISNUMBER(INDEX(SPPR!$E:$Z,MATCH($A136,SPPR!$A:$A,0),21)),$C136*INDEX(SPPR!$E:$Z,MATCH($A136,SPPR!$A:$A,0),21),""),"")</f>
        <v/>
      </c>
      <c r="Y136">
        <f>IFERROR(IF(ISNUMBER(INDEX(SPPR!$E:$Z,MATCH($A136,SPPR!$A:$A,0),22)),$C136*INDEX(SPPR!$E:$Z,MATCH($A136,SPPR!$A:$A,0),22),""),"")</f>
        <v/>
      </c>
    </row>
    <row r="137">
      <c r="A137" t="inlineStr">
        <is>
          <t>Dentex macrophthalmus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IFERROR(IF(ISNUMBER(INDEX(SPPR!$E:$Z,MATCH($A137,SPPR!$A:$A,0),1)),$C137*INDEX(SPPR!$E:$Z,MATCH($A137,SPPR!$A:$A,0),1),""),"")</f>
        <v/>
      </c>
      <c r="E137">
        <f>IFERROR(IF(ISNUMBER(INDEX(SPPR!$E:$Z,MATCH($A137,SPPR!$A:$A,0),2)),$C137*INDEX(SPPR!$E:$Z,MATCH($A137,SPPR!$A:$A,0),2),""),"")</f>
        <v/>
      </c>
      <c r="F137">
        <f>IFERROR(IF(ISNUMBER(INDEX(SPPR!$E:$Z,MATCH($A137,SPPR!$A:$A,0),3)),$C137*INDEX(SPPR!$E:$Z,MATCH($A137,SPPR!$A:$A,0),3),""),"")</f>
        <v/>
      </c>
      <c r="G137">
        <f>IFERROR(IF(ISNUMBER(INDEX(SPPR!$E:$Z,MATCH($A137,SPPR!$A:$A,0),4)),$C137*INDEX(SPPR!$E:$Z,MATCH($A137,SPPR!$A:$A,0),4),""),"")</f>
        <v/>
      </c>
      <c r="H137">
        <f>IFERROR(IF(ISNUMBER(INDEX(SPPR!$E:$Z,MATCH($A137,SPPR!$A:$A,0),5)),$C137*INDEX(SPPR!$E:$Z,MATCH($A137,SPPR!$A:$A,0),5),""),"")</f>
        <v/>
      </c>
      <c r="I137">
        <f>IFERROR(IF(ISNUMBER(INDEX(SPPR!$E:$Z,MATCH($A137,SPPR!$A:$A,0),6)),$C137*INDEX(SPPR!$E:$Z,MATCH($A137,SPPR!$A:$A,0),6),""),"")</f>
        <v/>
      </c>
      <c r="J137">
        <f>IFERROR(IF(ISNUMBER(INDEX(SPPR!$E:$Z,MATCH($A137,SPPR!$A:$A,0),7)),$C137*INDEX(SPPR!$E:$Z,MATCH($A137,SPPR!$A:$A,0),7),""),"")</f>
        <v/>
      </c>
      <c r="K137">
        <f>IFERROR(IF(ISNUMBER(INDEX(SPPR!$E:$Z,MATCH($A137,SPPR!$A:$A,0),8)),$C137*INDEX(SPPR!$E:$Z,MATCH($A137,SPPR!$A:$A,0),8),""),"")</f>
        <v/>
      </c>
      <c r="L137">
        <f>IFERROR(IF(ISNUMBER(INDEX(SPPR!$E:$Z,MATCH($A137,SPPR!$A:$A,0),9)),$C137*INDEX(SPPR!$E:$Z,MATCH($A137,SPPR!$A:$A,0),9),""),"")</f>
        <v/>
      </c>
      <c r="M137">
        <f>IFERROR(IF(ISNUMBER(INDEX(SPPR!$E:$Z,MATCH($A137,SPPR!$A:$A,0),10)),$C137*INDEX(SPPR!$E:$Z,MATCH($A137,SPPR!$A:$A,0),10),""),"")</f>
        <v/>
      </c>
      <c r="N137">
        <f>IFERROR(IF(ISNUMBER(INDEX(SPPR!$E:$Z,MATCH($A137,SPPR!$A:$A,0),11)),$C137*INDEX(SPPR!$E:$Z,MATCH($A137,SPPR!$A:$A,0),11),""),"")</f>
        <v/>
      </c>
      <c r="O137">
        <f>IFERROR(IF(ISNUMBER(INDEX(SPPR!$E:$Z,MATCH($A137,SPPR!$A:$A,0),12)),$C137*INDEX(SPPR!$E:$Z,MATCH($A137,SPPR!$A:$A,0),12),""),"")</f>
        <v/>
      </c>
      <c r="P137">
        <f>IFERROR(IF(ISNUMBER(INDEX(SPPR!$E:$Z,MATCH($A137,SPPR!$A:$A,0),13)),$C137*INDEX(SPPR!$E:$Z,MATCH($A137,SPPR!$A:$A,0),13),""),"")</f>
        <v/>
      </c>
      <c r="Q137">
        <f>IFERROR(IF(ISNUMBER(INDEX(SPPR!$E:$Z,MATCH($A137,SPPR!$A:$A,0),14)),$C137*INDEX(SPPR!$E:$Z,MATCH($A137,SPPR!$A:$A,0),14),""),"")</f>
        <v/>
      </c>
      <c r="R137">
        <f>IFERROR(IF(ISNUMBER(INDEX(SPPR!$E:$Z,MATCH($A137,SPPR!$A:$A,0),15)),$C137*INDEX(SPPR!$E:$Z,MATCH($A137,SPPR!$A:$A,0),15),""),"")</f>
        <v/>
      </c>
      <c r="S137">
        <f>IFERROR(IF(ISNUMBER(INDEX(SPPR!$E:$Z,MATCH($A137,SPPR!$A:$A,0),16)),$C137*INDEX(SPPR!$E:$Z,MATCH($A137,SPPR!$A:$A,0),16),""),"")</f>
        <v/>
      </c>
      <c r="T137">
        <f>IFERROR(IF(ISNUMBER(INDEX(SPPR!$E:$Z,MATCH($A137,SPPR!$A:$A,0),17)),$C137*INDEX(SPPR!$E:$Z,MATCH($A137,SPPR!$A:$A,0),17),""),"")</f>
        <v/>
      </c>
      <c r="U137">
        <f>IFERROR(IF(ISNUMBER(INDEX(SPPR!$E:$Z,MATCH($A137,SPPR!$A:$A,0),18)),$C137*INDEX(SPPR!$E:$Z,MATCH($A137,SPPR!$A:$A,0),18),""),"")</f>
        <v/>
      </c>
      <c r="V137">
        <f>IFERROR(IF(ISNUMBER(INDEX(SPPR!$E:$Z,MATCH($A137,SPPR!$A:$A,0),19)),$C137*INDEX(SPPR!$E:$Z,MATCH($A137,SPPR!$A:$A,0),19),""),"")</f>
        <v/>
      </c>
      <c r="W137">
        <f>IFERROR(IF(ISNUMBER(INDEX(SPPR!$E:$Z,MATCH($A137,SPPR!$A:$A,0),20)),$C137*INDEX(SPPR!$E:$Z,MATCH($A137,SPPR!$A:$A,0),20),""),"")</f>
        <v/>
      </c>
      <c r="X137">
        <f>IFERROR(IF(ISNUMBER(INDEX(SPPR!$E:$Z,MATCH($A137,SPPR!$A:$A,0),21)),$C137*INDEX(SPPR!$E:$Z,MATCH($A137,SPPR!$A:$A,0),21),""),"")</f>
        <v/>
      </c>
      <c r="Y137">
        <f>IFERROR(IF(ISNUMBER(INDEX(SPPR!$E:$Z,MATCH($A137,SPPR!$A:$A,0),22)),$C137*INDEX(SPPR!$E:$Z,MATCH($A137,SPPR!$A:$A,0),22),""),"")</f>
        <v/>
      </c>
    </row>
    <row r="138">
      <c r="A138" t="inlineStr">
        <is>
          <t>Sphyrna zygaena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IFERROR(IF(ISNUMBER(INDEX(SPPR!$E:$Z,MATCH($A138,SPPR!$A:$A,0),1)),$C138*INDEX(SPPR!$E:$Z,MATCH($A138,SPPR!$A:$A,0),1),""),"")</f>
        <v/>
      </c>
      <c r="E138">
        <f>IFERROR(IF(ISNUMBER(INDEX(SPPR!$E:$Z,MATCH($A138,SPPR!$A:$A,0),2)),$C138*INDEX(SPPR!$E:$Z,MATCH($A138,SPPR!$A:$A,0),2),""),"")</f>
        <v/>
      </c>
      <c r="F138">
        <f>IFERROR(IF(ISNUMBER(INDEX(SPPR!$E:$Z,MATCH($A138,SPPR!$A:$A,0),3)),$C138*INDEX(SPPR!$E:$Z,MATCH($A138,SPPR!$A:$A,0),3),""),"")</f>
        <v/>
      </c>
      <c r="G138">
        <f>IFERROR(IF(ISNUMBER(INDEX(SPPR!$E:$Z,MATCH($A138,SPPR!$A:$A,0),4)),$C138*INDEX(SPPR!$E:$Z,MATCH($A138,SPPR!$A:$A,0),4),""),"")</f>
        <v/>
      </c>
      <c r="H138">
        <f>IFERROR(IF(ISNUMBER(INDEX(SPPR!$E:$Z,MATCH($A138,SPPR!$A:$A,0),5)),$C138*INDEX(SPPR!$E:$Z,MATCH($A138,SPPR!$A:$A,0),5),""),"")</f>
        <v/>
      </c>
      <c r="I138">
        <f>IFERROR(IF(ISNUMBER(INDEX(SPPR!$E:$Z,MATCH($A138,SPPR!$A:$A,0),6)),$C138*INDEX(SPPR!$E:$Z,MATCH($A138,SPPR!$A:$A,0),6),""),"")</f>
        <v/>
      </c>
      <c r="J138">
        <f>IFERROR(IF(ISNUMBER(INDEX(SPPR!$E:$Z,MATCH($A138,SPPR!$A:$A,0),7)),$C138*INDEX(SPPR!$E:$Z,MATCH($A138,SPPR!$A:$A,0),7),""),"")</f>
        <v/>
      </c>
      <c r="K138">
        <f>IFERROR(IF(ISNUMBER(INDEX(SPPR!$E:$Z,MATCH($A138,SPPR!$A:$A,0),8)),$C138*INDEX(SPPR!$E:$Z,MATCH($A138,SPPR!$A:$A,0),8),""),"")</f>
        <v/>
      </c>
      <c r="L138">
        <f>IFERROR(IF(ISNUMBER(INDEX(SPPR!$E:$Z,MATCH($A138,SPPR!$A:$A,0),9)),$C138*INDEX(SPPR!$E:$Z,MATCH($A138,SPPR!$A:$A,0),9),""),"")</f>
        <v/>
      </c>
      <c r="M138">
        <f>IFERROR(IF(ISNUMBER(INDEX(SPPR!$E:$Z,MATCH($A138,SPPR!$A:$A,0),10)),$C138*INDEX(SPPR!$E:$Z,MATCH($A138,SPPR!$A:$A,0),10),""),"")</f>
        <v/>
      </c>
      <c r="N138">
        <f>IFERROR(IF(ISNUMBER(INDEX(SPPR!$E:$Z,MATCH($A138,SPPR!$A:$A,0),11)),$C138*INDEX(SPPR!$E:$Z,MATCH($A138,SPPR!$A:$A,0),11),""),"")</f>
        <v/>
      </c>
      <c r="O138">
        <f>IFERROR(IF(ISNUMBER(INDEX(SPPR!$E:$Z,MATCH($A138,SPPR!$A:$A,0),12)),$C138*INDEX(SPPR!$E:$Z,MATCH($A138,SPPR!$A:$A,0),12),""),"")</f>
        <v/>
      </c>
      <c r="P138">
        <f>IFERROR(IF(ISNUMBER(INDEX(SPPR!$E:$Z,MATCH($A138,SPPR!$A:$A,0),13)),$C138*INDEX(SPPR!$E:$Z,MATCH($A138,SPPR!$A:$A,0),13),""),"")</f>
        <v/>
      </c>
      <c r="Q138">
        <f>IFERROR(IF(ISNUMBER(INDEX(SPPR!$E:$Z,MATCH($A138,SPPR!$A:$A,0),14)),$C138*INDEX(SPPR!$E:$Z,MATCH($A138,SPPR!$A:$A,0),14),""),"")</f>
        <v/>
      </c>
      <c r="R138">
        <f>IFERROR(IF(ISNUMBER(INDEX(SPPR!$E:$Z,MATCH($A138,SPPR!$A:$A,0),15)),$C138*INDEX(SPPR!$E:$Z,MATCH($A138,SPPR!$A:$A,0),15),""),"")</f>
        <v/>
      </c>
      <c r="S138">
        <f>IFERROR(IF(ISNUMBER(INDEX(SPPR!$E:$Z,MATCH($A138,SPPR!$A:$A,0),16)),$C138*INDEX(SPPR!$E:$Z,MATCH($A138,SPPR!$A:$A,0),16),""),"")</f>
        <v/>
      </c>
      <c r="T138">
        <f>IFERROR(IF(ISNUMBER(INDEX(SPPR!$E:$Z,MATCH($A138,SPPR!$A:$A,0),17)),$C138*INDEX(SPPR!$E:$Z,MATCH($A138,SPPR!$A:$A,0),17),""),"")</f>
        <v/>
      </c>
      <c r="U138">
        <f>IFERROR(IF(ISNUMBER(INDEX(SPPR!$E:$Z,MATCH($A138,SPPR!$A:$A,0),18)),$C138*INDEX(SPPR!$E:$Z,MATCH($A138,SPPR!$A:$A,0),18),""),"")</f>
        <v/>
      </c>
      <c r="V138">
        <f>IFERROR(IF(ISNUMBER(INDEX(SPPR!$E:$Z,MATCH($A138,SPPR!$A:$A,0),19)),$C138*INDEX(SPPR!$E:$Z,MATCH($A138,SPPR!$A:$A,0),19),""),"")</f>
        <v/>
      </c>
      <c r="W138">
        <f>IFERROR(IF(ISNUMBER(INDEX(SPPR!$E:$Z,MATCH($A138,SPPR!$A:$A,0),20)),$C138*INDEX(SPPR!$E:$Z,MATCH($A138,SPPR!$A:$A,0),20),""),"")</f>
        <v/>
      </c>
      <c r="X138">
        <f>IFERROR(IF(ISNUMBER(INDEX(SPPR!$E:$Z,MATCH($A138,SPPR!$A:$A,0),21)),$C138*INDEX(SPPR!$E:$Z,MATCH($A138,SPPR!$A:$A,0),21),""),"")</f>
        <v/>
      </c>
      <c r="Y138">
        <f>IFERROR(IF(ISNUMBER(INDEX(SPPR!$E:$Z,MATCH($A138,SPPR!$A:$A,0),22)),$C138*INDEX(SPPR!$E:$Z,MATCH($A138,SPPR!$A:$A,0),22),""),"")</f>
        <v/>
      </c>
    </row>
    <row r="139">
      <c r="A139" t="inlineStr">
        <is>
          <t>Octopus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IFERROR(IF(ISNUMBER(INDEX(SPPR!$E:$Z,MATCH($A139,SPPR!$A:$A,0),1)),$C139*INDEX(SPPR!$E:$Z,MATCH($A139,SPPR!$A:$A,0),1),""),"")</f>
        <v/>
      </c>
      <c r="E139">
        <f>IFERROR(IF(ISNUMBER(INDEX(SPPR!$E:$Z,MATCH($A139,SPPR!$A:$A,0),2)),$C139*INDEX(SPPR!$E:$Z,MATCH($A139,SPPR!$A:$A,0),2),""),"")</f>
        <v/>
      </c>
      <c r="F139">
        <f>IFERROR(IF(ISNUMBER(INDEX(SPPR!$E:$Z,MATCH($A139,SPPR!$A:$A,0),3)),$C139*INDEX(SPPR!$E:$Z,MATCH($A139,SPPR!$A:$A,0),3),""),"")</f>
        <v/>
      </c>
      <c r="G139">
        <f>IFERROR(IF(ISNUMBER(INDEX(SPPR!$E:$Z,MATCH($A139,SPPR!$A:$A,0),4)),$C139*INDEX(SPPR!$E:$Z,MATCH($A139,SPPR!$A:$A,0),4),""),"")</f>
        <v/>
      </c>
      <c r="H139">
        <f>IFERROR(IF(ISNUMBER(INDEX(SPPR!$E:$Z,MATCH($A139,SPPR!$A:$A,0),5)),$C139*INDEX(SPPR!$E:$Z,MATCH($A139,SPPR!$A:$A,0),5),""),"")</f>
        <v/>
      </c>
      <c r="I139">
        <f>IFERROR(IF(ISNUMBER(INDEX(SPPR!$E:$Z,MATCH($A139,SPPR!$A:$A,0),6)),$C139*INDEX(SPPR!$E:$Z,MATCH($A139,SPPR!$A:$A,0),6),""),"")</f>
        <v/>
      </c>
      <c r="J139">
        <f>IFERROR(IF(ISNUMBER(INDEX(SPPR!$E:$Z,MATCH($A139,SPPR!$A:$A,0),7)),$C139*INDEX(SPPR!$E:$Z,MATCH($A139,SPPR!$A:$A,0),7),""),"")</f>
        <v/>
      </c>
      <c r="K139">
        <f>IFERROR(IF(ISNUMBER(INDEX(SPPR!$E:$Z,MATCH($A139,SPPR!$A:$A,0),8)),$C139*INDEX(SPPR!$E:$Z,MATCH($A139,SPPR!$A:$A,0),8),""),"")</f>
        <v/>
      </c>
      <c r="L139">
        <f>IFERROR(IF(ISNUMBER(INDEX(SPPR!$E:$Z,MATCH($A139,SPPR!$A:$A,0),9)),$C139*INDEX(SPPR!$E:$Z,MATCH($A139,SPPR!$A:$A,0),9),""),"")</f>
        <v/>
      </c>
      <c r="M139">
        <f>IFERROR(IF(ISNUMBER(INDEX(SPPR!$E:$Z,MATCH($A139,SPPR!$A:$A,0),10)),$C139*INDEX(SPPR!$E:$Z,MATCH($A139,SPPR!$A:$A,0),10),""),"")</f>
        <v/>
      </c>
      <c r="N139">
        <f>IFERROR(IF(ISNUMBER(INDEX(SPPR!$E:$Z,MATCH($A139,SPPR!$A:$A,0),11)),$C139*INDEX(SPPR!$E:$Z,MATCH($A139,SPPR!$A:$A,0),11),""),"")</f>
        <v/>
      </c>
      <c r="O139">
        <f>IFERROR(IF(ISNUMBER(INDEX(SPPR!$E:$Z,MATCH($A139,SPPR!$A:$A,0),12)),$C139*INDEX(SPPR!$E:$Z,MATCH($A139,SPPR!$A:$A,0),12),""),"")</f>
        <v/>
      </c>
      <c r="P139">
        <f>IFERROR(IF(ISNUMBER(INDEX(SPPR!$E:$Z,MATCH($A139,SPPR!$A:$A,0),13)),$C139*INDEX(SPPR!$E:$Z,MATCH($A139,SPPR!$A:$A,0),13),""),"")</f>
        <v/>
      </c>
      <c r="Q139">
        <f>IFERROR(IF(ISNUMBER(INDEX(SPPR!$E:$Z,MATCH($A139,SPPR!$A:$A,0),14)),$C139*INDEX(SPPR!$E:$Z,MATCH($A139,SPPR!$A:$A,0),14),""),"")</f>
        <v/>
      </c>
      <c r="R139">
        <f>IFERROR(IF(ISNUMBER(INDEX(SPPR!$E:$Z,MATCH($A139,SPPR!$A:$A,0),15)),$C139*INDEX(SPPR!$E:$Z,MATCH($A139,SPPR!$A:$A,0),15),""),"")</f>
        <v/>
      </c>
      <c r="S139">
        <f>IFERROR(IF(ISNUMBER(INDEX(SPPR!$E:$Z,MATCH($A139,SPPR!$A:$A,0),16)),$C139*INDEX(SPPR!$E:$Z,MATCH($A139,SPPR!$A:$A,0),16),""),"")</f>
        <v/>
      </c>
      <c r="T139">
        <f>IFERROR(IF(ISNUMBER(INDEX(SPPR!$E:$Z,MATCH($A139,SPPR!$A:$A,0),17)),$C139*INDEX(SPPR!$E:$Z,MATCH($A139,SPPR!$A:$A,0),17),""),"")</f>
        <v/>
      </c>
      <c r="U139">
        <f>IFERROR(IF(ISNUMBER(INDEX(SPPR!$E:$Z,MATCH($A139,SPPR!$A:$A,0),18)),$C139*INDEX(SPPR!$E:$Z,MATCH($A139,SPPR!$A:$A,0),18),""),"")</f>
        <v/>
      </c>
      <c r="V139">
        <f>IFERROR(IF(ISNUMBER(INDEX(SPPR!$E:$Z,MATCH($A139,SPPR!$A:$A,0),19)),$C139*INDEX(SPPR!$E:$Z,MATCH($A139,SPPR!$A:$A,0),19),""),"")</f>
        <v/>
      </c>
      <c r="W139">
        <f>IFERROR(IF(ISNUMBER(INDEX(SPPR!$E:$Z,MATCH($A139,SPPR!$A:$A,0),20)),$C139*INDEX(SPPR!$E:$Z,MATCH($A139,SPPR!$A:$A,0),20),""),"")</f>
        <v/>
      </c>
      <c r="X139">
        <f>IFERROR(IF(ISNUMBER(INDEX(SPPR!$E:$Z,MATCH($A139,SPPR!$A:$A,0),21)),$C139*INDEX(SPPR!$E:$Z,MATCH($A139,SPPR!$A:$A,0),21),""),"")</f>
        <v/>
      </c>
      <c r="Y139">
        <f>IFERROR(IF(ISNUMBER(INDEX(SPPR!$E:$Z,MATCH($A139,SPPR!$A:$A,0),22)),$C139*INDEX(SPPR!$E:$Z,MATCH($A139,SPPR!$A:$A,0),22),""),"")</f>
        <v/>
      </c>
    </row>
    <row r="140">
      <c r="A140" t="inlineStr">
        <is>
          <t>Gobiidae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IFERROR(IF(ISNUMBER(INDEX(SPPR!$E:$Z,MATCH($A140,SPPR!$A:$A,0),1)),$C140*INDEX(SPPR!$E:$Z,MATCH($A140,SPPR!$A:$A,0),1),""),"")</f>
        <v/>
      </c>
      <c r="E140">
        <f>IFERROR(IF(ISNUMBER(INDEX(SPPR!$E:$Z,MATCH($A140,SPPR!$A:$A,0),2)),$C140*INDEX(SPPR!$E:$Z,MATCH($A140,SPPR!$A:$A,0),2),""),"")</f>
        <v/>
      </c>
      <c r="F140">
        <f>IFERROR(IF(ISNUMBER(INDEX(SPPR!$E:$Z,MATCH($A140,SPPR!$A:$A,0),3)),$C140*INDEX(SPPR!$E:$Z,MATCH($A140,SPPR!$A:$A,0),3),""),"")</f>
        <v/>
      </c>
      <c r="G140">
        <f>IFERROR(IF(ISNUMBER(INDEX(SPPR!$E:$Z,MATCH($A140,SPPR!$A:$A,0),4)),$C140*INDEX(SPPR!$E:$Z,MATCH($A140,SPPR!$A:$A,0),4),""),"")</f>
        <v/>
      </c>
      <c r="H140">
        <f>IFERROR(IF(ISNUMBER(INDEX(SPPR!$E:$Z,MATCH($A140,SPPR!$A:$A,0),5)),$C140*INDEX(SPPR!$E:$Z,MATCH($A140,SPPR!$A:$A,0),5),""),"")</f>
        <v/>
      </c>
      <c r="I140">
        <f>IFERROR(IF(ISNUMBER(INDEX(SPPR!$E:$Z,MATCH($A140,SPPR!$A:$A,0),6)),$C140*INDEX(SPPR!$E:$Z,MATCH($A140,SPPR!$A:$A,0),6),""),"")</f>
        <v/>
      </c>
      <c r="J140">
        <f>IFERROR(IF(ISNUMBER(INDEX(SPPR!$E:$Z,MATCH($A140,SPPR!$A:$A,0),7)),$C140*INDEX(SPPR!$E:$Z,MATCH($A140,SPPR!$A:$A,0),7),""),"")</f>
        <v/>
      </c>
      <c r="K140">
        <f>IFERROR(IF(ISNUMBER(INDEX(SPPR!$E:$Z,MATCH($A140,SPPR!$A:$A,0),8)),$C140*INDEX(SPPR!$E:$Z,MATCH($A140,SPPR!$A:$A,0),8),""),"")</f>
        <v/>
      </c>
      <c r="L140">
        <f>IFERROR(IF(ISNUMBER(INDEX(SPPR!$E:$Z,MATCH($A140,SPPR!$A:$A,0),9)),$C140*INDEX(SPPR!$E:$Z,MATCH($A140,SPPR!$A:$A,0),9),""),"")</f>
        <v/>
      </c>
      <c r="M140">
        <f>IFERROR(IF(ISNUMBER(INDEX(SPPR!$E:$Z,MATCH($A140,SPPR!$A:$A,0),10)),$C140*INDEX(SPPR!$E:$Z,MATCH($A140,SPPR!$A:$A,0),10),""),"")</f>
        <v/>
      </c>
      <c r="N140">
        <f>IFERROR(IF(ISNUMBER(INDEX(SPPR!$E:$Z,MATCH($A140,SPPR!$A:$A,0),11)),$C140*INDEX(SPPR!$E:$Z,MATCH($A140,SPPR!$A:$A,0),11),""),"")</f>
        <v/>
      </c>
      <c r="O140">
        <f>IFERROR(IF(ISNUMBER(INDEX(SPPR!$E:$Z,MATCH($A140,SPPR!$A:$A,0),12)),$C140*INDEX(SPPR!$E:$Z,MATCH($A140,SPPR!$A:$A,0),12),""),"")</f>
        <v/>
      </c>
      <c r="P140">
        <f>IFERROR(IF(ISNUMBER(INDEX(SPPR!$E:$Z,MATCH($A140,SPPR!$A:$A,0),13)),$C140*INDEX(SPPR!$E:$Z,MATCH($A140,SPPR!$A:$A,0),13),""),"")</f>
        <v/>
      </c>
      <c r="Q140">
        <f>IFERROR(IF(ISNUMBER(INDEX(SPPR!$E:$Z,MATCH($A140,SPPR!$A:$A,0),14)),$C140*INDEX(SPPR!$E:$Z,MATCH($A140,SPPR!$A:$A,0),14),""),"")</f>
        <v/>
      </c>
      <c r="R140">
        <f>IFERROR(IF(ISNUMBER(INDEX(SPPR!$E:$Z,MATCH($A140,SPPR!$A:$A,0),15)),$C140*INDEX(SPPR!$E:$Z,MATCH($A140,SPPR!$A:$A,0),15),""),"")</f>
        <v/>
      </c>
      <c r="S140">
        <f>IFERROR(IF(ISNUMBER(INDEX(SPPR!$E:$Z,MATCH($A140,SPPR!$A:$A,0),16)),$C140*INDEX(SPPR!$E:$Z,MATCH($A140,SPPR!$A:$A,0),16),""),"")</f>
        <v/>
      </c>
      <c r="T140">
        <f>IFERROR(IF(ISNUMBER(INDEX(SPPR!$E:$Z,MATCH($A140,SPPR!$A:$A,0),17)),$C140*INDEX(SPPR!$E:$Z,MATCH($A140,SPPR!$A:$A,0),17),""),"")</f>
        <v/>
      </c>
      <c r="U140">
        <f>IFERROR(IF(ISNUMBER(INDEX(SPPR!$E:$Z,MATCH($A140,SPPR!$A:$A,0),18)),$C140*INDEX(SPPR!$E:$Z,MATCH($A140,SPPR!$A:$A,0),18),""),"")</f>
        <v/>
      </c>
      <c r="V140">
        <f>IFERROR(IF(ISNUMBER(INDEX(SPPR!$E:$Z,MATCH($A140,SPPR!$A:$A,0),19)),$C140*INDEX(SPPR!$E:$Z,MATCH($A140,SPPR!$A:$A,0),19),""),"")</f>
        <v/>
      </c>
      <c r="W140">
        <f>IFERROR(IF(ISNUMBER(INDEX(SPPR!$E:$Z,MATCH($A140,SPPR!$A:$A,0),20)),$C140*INDEX(SPPR!$E:$Z,MATCH($A140,SPPR!$A:$A,0),20),""),"")</f>
        <v/>
      </c>
      <c r="X140">
        <f>IFERROR(IF(ISNUMBER(INDEX(SPPR!$E:$Z,MATCH($A140,SPPR!$A:$A,0),21)),$C140*INDEX(SPPR!$E:$Z,MATCH($A140,SPPR!$A:$A,0),21),""),"")</f>
        <v/>
      </c>
      <c r="Y140">
        <f>IFERROR(IF(ISNUMBER(INDEX(SPPR!$E:$Z,MATCH($A140,SPPR!$A:$A,0),22)),$C140*INDEX(SPPR!$E:$Z,MATCH($A140,SPPR!$A:$A,0),22),""),"")</f>
        <v/>
      </c>
    </row>
    <row r="141">
      <c r="A141" t="inlineStr">
        <is>
          <t>Carcharhinus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IFERROR(IF(ISNUMBER(INDEX(SPPR!$E:$Z,MATCH($A141,SPPR!$A:$A,0),1)),$C141*INDEX(SPPR!$E:$Z,MATCH($A141,SPPR!$A:$A,0),1),""),"")</f>
        <v/>
      </c>
      <c r="E141">
        <f>IFERROR(IF(ISNUMBER(INDEX(SPPR!$E:$Z,MATCH($A141,SPPR!$A:$A,0),2)),$C141*INDEX(SPPR!$E:$Z,MATCH($A141,SPPR!$A:$A,0),2),""),"")</f>
        <v/>
      </c>
      <c r="F141">
        <f>IFERROR(IF(ISNUMBER(INDEX(SPPR!$E:$Z,MATCH($A141,SPPR!$A:$A,0),3)),$C141*INDEX(SPPR!$E:$Z,MATCH($A141,SPPR!$A:$A,0),3),""),"")</f>
        <v/>
      </c>
      <c r="G141">
        <f>IFERROR(IF(ISNUMBER(INDEX(SPPR!$E:$Z,MATCH($A141,SPPR!$A:$A,0),4)),$C141*INDEX(SPPR!$E:$Z,MATCH($A141,SPPR!$A:$A,0),4),""),"")</f>
        <v/>
      </c>
      <c r="H141">
        <f>IFERROR(IF(ISNUMBER(INDEX(SPPR!$E:$Z,MATCH($A141,SPPR!$A:$A,0),5)),$C141*INDEX(SPPR!$E:$Z,MATCH($A141,SPPR!$A:$A,0),5),""),"")</f>
        <v/>
      </c>
      <c r="I141">
        <f>IFERROR(IF(ISNUMBER(INDEX(SPPR!$E:$Z,MATCH($A141,SPPR!$A:$A,0),6)),$C141*INDEX(SPPR!$E:$Z,MATCH($A141,SPPR!$A:$A,0),6),""),"")</f>
        <v/>
      </c>
      <c r="J141">
        <f>IFERROR(IF(ISNUMBER(INDEX(SPPR!$E:$Z,MATCH($A141,SPPR!$A:$A,0),7)),$C141*INDEX(SPPR!$E:$Z,MATCH($A141,SPPR!$A:$A,0),7),""),"")</f>
        <v/>
      </c>
      <c r="K141">
        <f>IFERROR(IF(ISNUMBER(INDEX(SPPR!$E:$Z,MATCH($A141,SPPR!$A:$A,0),8)),$C141*INDEX(SPPR!$E:$Z,MATCH($A141,SPPR!$A:$A,0),8),""),"")</f>
        <v/>
      </c>
      <c r="L141">
        <f>IFERROR(IF(ISNUMBER(INDEX(SPPR!$E:$Z,MATCH($A141,SPPR!$A:$A,0),9)),$C141*INDEX(SPPR!$E:$Z,MATCH($A141,SPPR!$A:$A,0),9),""),"")</f>
        <v/>
      </c>
      <c r="M141">
        <f>IFERROR(IF(ISNUMBER(INDEX(SPPR!$E:$Z,MATCH($A141,SPPR!$A:$A,0),10)),$C141*INDEX(SPPR!$E:$Z,MATCH($A141,SPPR!$A:$A,0),10),""),"")</f>
        <v/>
      </c>
      <c r="N141">
        <f>IFERROR(IF(ISNUMBER(INDEX(SPPR!$E:$Z,MATCH($A141,SPPR!$A:$A,0),11)),$C141*INDEX(SPPR!$E:$Z,MATCH($A141,SPPR!$A:$A,0),11),""),"")</f>
        <v/>
      </c>
      <c r="O141">
        <f>IFERROR(IF(ISNUMBER(INDEX(SPPR!$E:$Z,MATCH($A141,SPPR!$A:$A,0),12)),$C141*INDEX(SPPR!$E:$Z,MATCH($A141,SPPR!$A:$A,0),12),""),"")</f>
        <v/>
      </c>
      <c r="P141">
        <f>IFERROR(IF(ISNUMBER(INDEX(SPPR!$E:$Z,MATCH($A141,SPPR!$A:$A,0),13)),$C141*INDEX(SPPR!$E:$Z,MATCH($A141,SPPR!$A:$A,0),13),""),"")</f>
        <v/>
      </c>
      <c r="Q141">
        <f>IFERROR(IF(ISNUMBER(INDEX(SPPR!$E:$Z,MATCH($A141,SPPR!$A:$A,0),14)),$C141*INDEX(SPPR!$E:$Z,MATCH($A141,SPPR!$A:$A,0),14),""),"")</f>
        <v/>
      </c>
      <c r="R141">
        <f>IFERROR(IF(ISNUMBER(INDEX(SPPR!$E:$Z,MATCH($A141,SPPR!$A:$A,0),15)),$C141*INDEX(SPPR!$E:$Z,MATCH($A141,SPPR!$A:$A,0),15),""),"")</f>
        <v/>
      </c>
      <c r="S141">
        <f>IFERROR(IF(ISNUMBER(INDEX(SPPR!$E:$Z,MATCH($A141,SPPR!$A:$A,0),16)),$C141*INDEX(SPPR!$E:$Z,MATCH($A141,SPPR!$A:$A,0),16),""),"")</f>
        <v/>
      </c>
      <c r="T141">
        <f>IFERROR(IF(ISNUMBER(INDEX(SPPR!$E:$Z,MATCH($A141,SPPR!$A:$A,0),17)),$C141*INDEX(SPPR!$E:$Z,MATCH($A141,SPPR!$A:$A,0),17),""),"")</f>
        <v/>
      </c>
      <c r="U141">
        <f>IFERROR(IF(ISNUMBER(INDEX(SPPR!$E:$Z,MATCH($A141,SPPR!$A:$A,0),18)),$C141*INDEX(SPPR!$E:$Z,MATCH($A141,SPPR!$A:$A,0),18),""),"")</f>
        <v/>
      </c>
      <c r="V141">
        <f>IFERROR(IF(ISNUMBER(INDEX(SPPR!$E:$Z,MATCH($A141,SPPR!$A:$A,0),19)),$C141*INDEX(SPPR!$E:$Z,MATCH($A141,SPPR!$A:$A,0),19),""),"")</f>
        <v/>
      </c>
      <c r="W141">
        <f>IFERROR(IF(ISNUMBER(INDEX(SPPR!$E:$Z,MATCH($A141,SPPR!$A:$A,0),20)),$C141*INDEX(SPPR!$E:$Z,MATCH($A141,SPPR!$A:$A,0),20),""),"")</f>
        <v/>
      </c>
      <c r="X141">
        <f>IFERROR(IF(ISNUMBER(INDEX(SPPR!$E:$Z,MATCH($A141,SPPR!$A:$A,0),21)),$C141*INDEX(SPPR!$E:$Z,MATCH($A141,SPPR!$A:$A,0),21),""),"")</f>
        <v/>
      </c>
      <c r="Y141">
        <f>IFERROR(IF(ISNUMBER(INDEX(SPPR!$E:$Z,MATCH($A141,SPPR!$A:$A,0),22)),$C141*INDEX(SPPR!$E:$Z,MATCH($A141,SPPR!$A:$A,0),22),""),"")</f>
        <v/>
      </c>
    </row>
    <row r="142">
      <c r="A142" t="inlineStr">
        <is>
          <t>Trachinotus ovatus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IFERROR(IF(ISNUMBER(INDEX(SPPR!$E:$Z,MATCH($A142,SPPR!$A:$A,0),1)),$C142*INDEX(SPPR!$E:$Z,MATCH($A142,SPPR!$A:$A,0),1),""),"")</f>
        <v/>
      </c>
      <c r="E142">
        <f>IFERROR(IF(ISNUMBER(INDEX(SPPR!$E:$Z,MATCH($A142,SPPR!$A:$A,0),2)),$C142*INDEX(SPPR!$E:$Z,MATCH($A142,SPPR!$A:$A,0),2),""),"")</f>
        <v/>
      </c>
      <c r="F142">
        <f>IFERROR(IF(ISNUMBER(INDEX(SPPR!$E:$Z,MATCH($A142,SPPR!$A:$A,0),3)),$C142*INDEX(SPPR!$E:$Z,MATCH($A142,SPPR!$A:$A,0),3),""),"")</f>
        <v/>
      </c>
      <c r="G142">
        <f>IFERROR(IF(ISNUMBER(INDEX(SPPR!$E:$Z,MATCH($A142,SPPR!$A:$A,0),4)),$C142*INDEX(SPPR!$E:$Z,MATCH($A142,SPPR!$A:$A,0),4),""),"")</f>
        <v/>
      </c>
      <c r="H142">
        <f>IFERROR(IF(ISNUMBER(INDEX(SPPR!$E:$Z,MATCH($A142,SPPR!$A:$A,0),5)),$C142*INDEX(SPPR!$E:$Z,MATCH($A142,SPPR!$A:$A,0),5),""),"")</f>
        <v/>
      </c>
      <c r="I142">
        <f>IFERROR(IF(ISNUMBER(INDEX(SPPR!$E:$Z,MATCH($A142,SPPR!$A:$A,0),6)),$C142*INDEX(SPPR!$E:$Z,MATCH($A142,SPPR!$A:$A,0),6),""),"")</f>
        <v/>
      </c>
      <c r="J142">
        <f>IFERROR(IF(ISNUMBER(INDEX(SPPR!$E:$Z,MATCH($A142,SPPR!$A:$A,0),7)),$C142*INDEX(SPPR!$E:$Z,MATCH($A142,SPPR!$A:$A,0),7),""),"")</f>
        <v/>
      </c>
      <c r="K142">
        <f>IFERROR(IF(ISNUMBER(INDEX(SPPR!$E:$Z,MATCH($A142,SPPR!$A:$A,0),8)),$C142*INDEX(SPPR!$E:$Z,MATCH($A142,SPPR!$A:$A,0),8),""),"")</f>
        <v/>
      </c>
      <c r="L142">
        <f>IFERROR(IF(ISNUMBER(INDEX(SPPR!$E:$Z,MATCH($A142,SPPR!$A:$A,0),9)),$C142*INDEX(SPPR!$E:$Z,MATCH($A142,SPPR!$A:$A,0),9),""),"")</f>
        <v/>
      </c>
      <c r="M142">
        <f>IFERROR(IF(ISNUMBER(INDEX(SPPR!$E:$Z,MATCH($A142,SPPR!$A:$A,0),10)),$C142*INDEX(SPPR!$E:$Z,MATCH($A142,SPPR!$A:$A,0),10),""),"")</f>
        <v/>
      </c>
      <c r="N142">
        <f>IFERROR(IF(ISNUMBER(INDEX(SPPR!$E:$Z,MATCH($A142,SPPR!$A:$A,0),11)),$C142*INDEX(SPPR!$E:$Z,MATCH($A142,SPPR!$A:$A,0),11),""),"")</f>
        <v/>
      </c>
      <c r="O142">
        <f>IFERROR(IF(ISNUMBER(INDEX(SPPR!$E:$Z,MATCH($A142,SPPR!$A:$A,0),12)),$C142*INDEX(SPPR!$E:$Z,MATCH($A142,SPPR!$A:$A,0),12),""),"")</f>
        <v/>
      </c>
      <c r="P142">
        <f>IFERROR(IF(ISNUMBER(INDEX(SPPR!$E:$Z,MATCH($A142,SPPR!$A:$A,0),13)),$C142*INDEX(SPPR!$E:$Z,MATCH($A142,SPPR!$A:$A,0),13),""),"")</f>
        <v/>
      </c>
      <c r="Q142">
        <f>IFERROR(IF(ISNUMBER(INDEX(SPPR!$E:$Z,MATCH($A142,SPPR!$A:$A,0),14)),$C142*INDEX(SPPR!$E:$Z,MATCH($A142,SPPR!$A:$A,0),14),""),"")</f>
        <v/>
      </c>
      <c r="R142">
        <f>IFERROR(IF(ISNUMBER(INDEX(SPPR!$E:$Z,MATCH($A142,SPPR!$A:$A,0),15)),$C142*INDEX(SPPR!$E:$Z,MATCH($A142,SPPR!$A:$A,0),15),""),"")</f>
        <v/>
      </c>
      <c r="S142">
        <f>IFERROR(IF(ISNUMBER(INDEX(SPPR!$E:$Z,MATCH($A142,SPPR!$A:$A,0),16)),$C142*INDEX(SPPR!$E:$Z,MATCH($A142,SPPR!$A:$A,0),16),""),"")</f>
        <v/>
      </c>
      <c r="T142">
        <f>IFERROR(IF(ISNUMBER(INDEX(SPPR!$E:$Z,MATCH($A142,SPPR!$A:$A,0),17)),$C142*INDEX(SPPR!$E:$Z,MATCH($A142,SPPR!$A:$A,0),17),""),"")</f>
        <v/>
      </c>
      <c r="U142">
        <f>IFERROR(IF(ISNUMBER(INDEX(SPPR!$E:$Z,MATCH($A142,SPPR!$A:$A,0),18)),$C142*INDEX(SPPR!$E:$Z,MATCH($A142,SPPR!$A:$A,0),18),""),"")</f>
        <v/>
      </c>
      <c r="V142">
        <f>IFERROR(IF(ISNUMBER(INDEX(SPPR!$E:$Z,MATCH($A142,SPPR!$A:$A,0),19)),$C142*INDEX(SPPR!$E:$Z,MATCH($A142,SPPR!$A:$A,0),19),""),"")</f>
        <v/>
      </c>
      <c r="W142">
        <f>IFERROR(IF(ISNUMBER(INDEX(SPPR!$E:$Z,MATCH($A142,SPPR!$A:$A,0),20)),$C142*INDEX(SPPR!$E:$Z,MATCH($A142,SPPR!$A:$A,0),20),""),"")</f>
        <v/>
      </c>
      <c r="X142">
        <f>IFERROR(IF(ISNUMBER(INDEX(SPPR!$E:$Z,MATCH($A142,SPPR!$A:$A,0),21)),$C142*INDEX(SPPR!$E:$Z,MATCH($A142,SPPR!$A:$A,0),21),""),"")</f>
        <v/>
      </c>
      <c r="Y142">
        <f>IFERROR(IF(ISNUMBER(INDEX(SPPR!$E:$Z,MATCH($A142,SPPR!$A:$A,0),22)),$C142*INDEX(SPPR!$E:$Z,MATCH($A142,SPPR!$A:$A,0),22),""),"")</f>
        <v/>
      </c>
    </row>
    <row r="143">
      <c r="A143" t="inlineStr">
        <is>
          <t>Pseudotolithus senegallus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IFERROR(IF(ISNUMBER(INDEX(SPPR!$E:$Z,MATCH($A143,SPPR!$A:$A,0),1)),$C143*INDEX(SPPR!$E:$Z,MATCH($A143,SPPR!$A:$A,0),1),""),"")</f>
        <v/>
      </c>
      <c r="E143">
        <f>IFERROR(IF(ISNUMBER(INDEX(SPPR!$E:$Z,MATCH($A143,SPPR!$A:$A,0),2)),$C143*INDEX(SPPR!$E:$Z,MATCH($A143,SPPR!$A:$A,0),2),""),"")</f>
        <v/>
      </c>
      <c r="F143">
        <f>IFERROR(IF(ISNUMBER(INDEX(SPPR!$E:$Z,MATCH($A143,SPPR!$A:$A,0),3)),$C143*INDEX(SPPR!$E:$Z,MATCH($A143,SPPR!$A:$A,0),3),""),"")</f>
        <v/>
      </c>
      <c r="G143">
        <f>IFERROR(IF(ISNUMBER(INDEX(SPPR!$E:$Z,MATCH($A143,SPPR!$A:$A,0),4)),$C143*INDEX(SPPR!$E:$Z,MATCH($A143,SPPR!$A:$A,0),4),""),"")</f>
        <v/>
      </c>
      <c r="H143">
        <f>IFERROR(IF(ISNUMBER(INDEX(SPPR!$E:$Z,MATCH($A143,SPPR!$A:$A,0),5)),$C143*INDEX(SPPR!$E:$Z,MATCH($A143,SPPR!$A:$A,0),5),""),"")</f>
        <v/>
      </c>
      <c r="I143">
        <f>IFERROR(IF(ISNUMBER(INDEX(SPPR!$E:$Z,MATCH($A143,SPPR!$A:$A,0),6)),$C143*INDEX(SPPR!$E:$Z,MATCH($A143,SPPR!$A:$A,0),6),""),"")</f>
        <v/>
      </c>
      <c r="J143">
        <f>IFERROR(IF(ISNUMBER(INDEX(SPPR!$E:$Z,MATCH($A143,SPPR!$A:$A,0),7)),$C143*INDEX(SPPR!$E:$Z,MATCH($A143,SPPR!$A:$A,0),7),""),"")</f>
        <v/>
      </c>
      <c r="K143">
        <f>IFERROR(IF(ISNUMBER(INDEX(SPPR!$E:$Z,MATCH($A143,SPPR!$A:$A,0),8)),$C143*INDEX(SPPR!$E:$Z,MATCH($A143,SPPR!$A:$A,0),8),""),"")</f>
        <v/>
      </c>
      <c r="L143">
        <f>IFERROR(IF(ISNUMBER(INDEX(SPPR!$E:$Z,MATCH($A143,SPPR!$A:$A,0),9)),$C143*INDEX(SPPR!$E:$Z,MATCH($A143,SPPR!$A:$A,0),9),""),"")</f>
        <v/>
      </c>
      <c r="M143">
        <f>IFERROR(IF(ISNUMBER(INDEX(SPPR!$E:$Z,MATCH($A143,SPPR!$A:$A,0),10)),$C143*INDEX(SPPR!$E:$Z,MATCH($A143,SPPR!$A:$A,0),10),""),"")</f>
        <v/>
      </c>
      <c r="N143">
        <f>IFERROR(IF(ISNUMBER(INDEX(SPPR!$E:$Z,MATCH($A143,SPPR!$A:$A,0),11)),$C143*INDEX(SPPR!$E:$Z,MATCH($A143,SPPR!$A:$A,0),11),""),"")</f>
        <v/>
      </c>
      <c r="O143">
        <f>IFERROR(IF(ISNUMBER(INDEX(SPPR!$E:$Z,MATCH($A143,SPPR!$A:$A,0),12)),$C143*INDEX(SPPR!$E:$Z,MATCH($A143,SPPR!$A:$A,0),12),""),"")</f>
        <v/>
      </c>
      <c r="P143">
        <f>IFERROR(IF(ISNUMBER(INDEX(SPPR!$E:$Z,MATCH($A143,SPPR!$A:$A,0),13)),$C143*INDEX(SPPR!$E:$Z,MATCH($A143,SPPR!$A:$A,0),13),""),"")</f>
        <v/>
      </c>
      <c r="Q143">
        <f>IFERROR(IF(ISNUMBER(INDEX(SPPR!$E:$Z,MATCH($A143,SPPR!$A:$A,0),14)),$C143*INDEX(SPPR!$E:$Z,MATCH($A143,SPPR!$A:$A,0),14),""),"")</f>
        <v/>
      </c>
      <c r="R143">
        <f>IFERROR(IF(ISNUMBER(INDEX(SPPR!$E:$Z,MATCH($A143,SPPR!$A:$A,0),15)),$C143*INDEX(SPPR!$E:$Z,MATCH($A143,SPPR!$A:$A,0),15),""),"")</f>
        <v/>
      </c>
      <c r="S143">
        <f>IFERROR(IF(ISNUMBER(INDEX(SPPR!$E:$Z,MATCH($A143,SPPR!$A:$A,0),16)),$C143*INDEX(SPPR!$E:$Z,MATCH($A143,SPPR!$A:$A,0),16),""),"")</f>
        <v/>
      </c>
      <c r="T143">
        <f>IFERROR(IF(ISNUMBER(INDEX(SPPR!$E:$Z,MATCH($A143,SPPR!$A:$A,0),17)),$C143*INDEX(SPPR!$E:$Z,MATCH($A143,SPPR!$A:$A,0),17),""),"")</f>
        <v/>
      </c>
      <c r="U143">
        <f>IFERROR(IF(ISNUMBER(INDEX(SPPR!$E:$Z,MATCH($A143,SPPR!$A:$A,0),18)),$C143*INDEX(SPPR!$E:$Z,MATCH($A143,SPPR!$A:$A,0),18),""),"")</f>
        <v/>
      </c>
      <c r="V143">
        <f>IFERROR(IF(ISNUMBER(INDEX(SPPR!$E:$Z,MATCH($A143,SPPR!$A:$A,0),19)),$C143*INDEX(SPPR!$E:$Z,MATCH($A143,SPPR!$A:$A,0),19),""),"")</f>
        <v/>
      </c>
      <c r="W143">
        <f>IFERROR(IF(ISNUMBER(INDEX(SPPR!$E:$Z,MATCH($A143,SPPR!$A:$A,0),20)),$C143*INDEX(SPPR!$E:$Z,MATCH($A143,SPPR!$A:$A,0),20),""),"")</f>
        <v/>
      </c>
      <c r="X143">
        <f>IFERROR(IF(ISNUMBER(INDEX(SPPR!$E:$Z,MATCH($A143,SPPR!$A:$A,0),21)),$C143*INDEX(SPPR!$E:$Z,MATCH($A143,SPPR!$A:$A,0),21),""),"")</f>
        <v/>
      </c>
      <c r="Y143">
        <f>IFERROR(IF(ISNUMBER(INDEX(SPPR!$E:$Z,MATCH($A143,SPPR!$A:$A,0),22)),$C143*INDEX(SPPR!$E:$Z,MATCH($A143,SPPR!$A:$A,0),22),""),"")</f>
        <v/>
      </c>
    </row>
    <row r="144">
      <c r="A144" t="inlineStr">
        <is>
          <t>Mugil cephalus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IFERROR(IF(ISNUMBER(INDEX(SPPR!$E:$Z,MATCH($A144,SPPR!$A:$A,0),1)),$C144*INDEX(SPPR!$E:$Z,MATCH($A144,SPPR!$A:$A,0),1),""),"")</f>
        <v/>
      </c>
      <c r="E144">
        <f>IFERROR(IF(ISNUMBER(INDEX(SPPR!$E:$Z,MATCH($A144,SPPR!$A:$A,0),2)),$C144*INDEX(SPPR!$E:$Z,MATCH($A144,SPPR!$A:$A,0),2),""),"")</f>
        <v/>
      </c>
      <c r="F144">
        <f>IFERROR(IF(ISNUMBER(INDEX(SPPR!$E:$Z,MATCH($A144,SPPR!$A:$A,0),3)),$C144*INDEX(SPPR!$E:$Z,MATCH($A144,SPPR!$A:$A,0),3),""),"")</f>
        <v/>
      </c>
      <c r="G144">
        <f>IFERROR(IF(ISNUMBER(INDEX(SPPR!$E:$Z,MATCH($A144,SPPR!$A:$A,0),4)),$C144*INDEX(SPPR!$E:$Z,MATCH($A144,SPPR!$A:$A,0),4),""),"")</f>
        <v/>
      </c>
      <c r="H144">
        <f>IFERROR(IF(ISNUMBER(INDEX(SPPR!$E:$Z,MATCH($A144,SPPR!$A:$A,0),5)),$C144*INDEX(SPPR!$E:$Z,MATCH($A144,SPPR!$A:$A,0),5),""),"")</f>
        <v/>
      </c>
      <c r="I144">
        <f>IFERROR(IF(ISNUMBER(INDEX(SPPR!$E:$Z,MATCH($A144,SPPR!$A:$A,0),6)),$C144*INDEX(SPPR!$E:$Z,MATCH($A144,SPPR!$A:$A,0),6),""),"")</f>
        <v/>
      </c>
      <c r="J144">
        <f>IFERROR(IF(ISNUMBER(INDEX(SPPR!$E:$Z,MATCH($A144,SPPR!$A:$A,0),7)),$C144*INDEX(SPPR!$E:$Z,MATCH($A144,SPPR!$A:$A,0),7),""),"")</f>
        <v/>
      </c>
      <c r="K144">
        <f>IFERROR(IF(ISNUMBER(INDEX(SPPR!$E:$Z,MATCH($A144,SPPR!$A:$A,0),8)),$C144*INDEX(SPPR!$E:$Z,MATCH($A144,SPPR!$A:$A,0),8),""),"")</f>
        <v/>
      </c>
      <c r="L144">
        <f>IFERROR(IF(ISNUMBER(INDEX(SPPR!$E:$Z,MATCH($A144,SPPR!$A:$A,0),9)),$C144*INDEX(SPPR!$E:$Z,MATCH($A144,SPPR!$A:$A,0),9),""),"")</f>
        <v/>
      </c>
      <c r="M144">
        <f>IFERROR(IF(ISNUMBER(INDEX(SPPR!$E:$Z,MATCH($A144,SPPR!$A:$A,0),10)),$C144*INDEX(SPPR!$E:$Z,MATCH($A144,SPPR!$A:$A,0),10),""),"")</f>
        <v/>
      </c>
      <c r="N144">
        <f>IFERROR(IF(ISNUMBER(INDEX(SPPR!$E:$Z,MATCH($A144,SPPR!$A:$A,0),11)),$C144*INDEX(SPPR!$E:$Z,MATCH($A144,SPPR!$A:$A,0),11),""),"")</f>
        <v/>
      </c>
      <c r="O144">
        <f>IFERROR(IF(ISNUMBER(INDEX(SPPR!$E:$Z,MATCH($A144,SPPR!$A:$A,0),12)),$C144*INDEX(SPPR!$E:$Z,MATCH($A144,SPPR!$A:$A,0),12),""),"")</f>
        <v/>
      </c>
      <c r="P144">
        <f>IFERROR(IF(ISNUMBER(INDEX(SPPR!$E:$Z,MATCH($A144,SPPR!$A:$A,0),13)),$C144*INDEX(SPPR!$E:$Z,MATCH($A144,SPPR!$A:$A,0),13),""),"")</f>
        <v/>
      </c>
      <c r="Q144">
        <f>IFERROR(IF(ISNUMBER(INDEX(SPPR!$E:$Z,MATCH($A144,SPPR!$A:$A,0),14)),$C144*INDEX(SPPR!$E:$Z,MATCH($A144,SPPR!$A:$A,0),14),""),"")</f>
        <v/>
      </c>
      <c r="R144">
        <f>IFERROR(IF(ISNUMBER(INDEX(SPPR!$E:$Z,MATCH($A144,SPPR!$A:$A,0),15)),$C144*INDEX(SPPR!$E:$Z,MATCH($A144,SPPR!$A:$A,0),15),""),"")</f>
        <v/>
      </c>
      <c r="S144">
        <f>IFERROR(IF(ISNUMBER(INDEX(SPPR!$E:$Z,MATCH($A144,SPPR!$A:$A,0),16)),$C144*INDEX(SPPR!$E:$Z,MATCH($A144,SPPR!$A:$A,0),16),""),"")</f>
        <v/>
      </c>
      <c r="T144">
        <f>IFERROR(IF(ISNUMBER(INDEX(SPPR!$E:$Z,MATCH($A144,SPPR!$A:$A,0),17)),$C144*INDEX(SPPR!$E:$Z,MATCH($A144,SPPR!$A:$A,0),17),""),"")</f>
        <v/>
      </c>
      <c r="U144">
        <f>IFERROR(IF(ISNUMBER(INDEX(SPPR!$E:$Z,MATCH($A144,SPPR!$A:$A,0),18)),$C144*INDEX(SPPR!$E:$Z,MATCH($A144,SPPR!$A:$A,0),18),""),"")</f>
        <v/>
      </c>
      <c r="V144">
        <f>IFERROR(IF(ISNUMBER(INDEX(SPPR!$E:$Z,MATCH($A144,SPPR!$A:$A,0),19)),$C144*INDEX(SPPR!$E:$Z,MATCH($A144,SPPR!$A:$A,0),19),""),"")</f>
        <v/>
      </c>
      <c r="W144">
        <f>IFERROR(IF(ISNUMBER(INDEX(SPPR!$E:$Z,MATCH($A144,SPPR!$A:$A,0),20)),$C144*INDEX(SPPR!$E:$Z,MATCH($A144,SPPR!$A:$A,0),20),""),"")</f>
        <v/>
      </c>
      <c r="X144">
        <f>IFERROR(IF(ISNUMBER(INDEX(SPPR!$E:$Z,MATCH($A144,SPPR!$A:$A,0),21)),$C144*INDEX(SPPR!$E:$Z,MATCH($A144,SPPR!$A:$A,0),21),""),"")</f>
        <v/>
      </c>
      <c r="Y144">
        <f>IFERROR(IF(ISNUMBER(INDEX(SPPR!$E:$Z,MATCH($A144,SPPR!$A:$A,0),22)),$C144*INDEX(SPPR!$E:$Z,MATCH($A144,SPPR!$A:$A,0),22),""),"")</f>
        <v/>
      </c>
    </row>
    <row r="145">
      <c r="A145" t="inlineStr">
        <is>
          <t>Ocypode cursor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IFERROR(IF(ISNUMBER(INDEX(SPPR!$E:$Z,MATCH($A145,SPPR!$A:$A,0),1)),$C145*INDEX(SPPR!$E:$Z,MATCH($A145,SPPR!$A:$A,0),1),""),"")</f>
        <v/>
      </c>
      <c r="E145">
        <f>IFERROR(IF(ISNUMBER(INDEX(SPPR!$E:$Z,MATCH($A145,SPPR!$A:$A,0),2)),$C145*INDEX(SPPR!$E:$Z,MATCH($A145,SPPR!$A:$A,0),2),""),"")</f>
        <v/>
      </c>
      <c r="F145">
        <f>IFERROR(IF(ISNUMBER(INDEX(SPPR!$E:$Z,MATCH($A145,SPPR!$A:$A,0),3)),$C145*INDEX(SPPR!$E:$Z,MATCH($A145,SPPR!$A:$A,0),3),""),"")</f>
        <v/>
      </c>
      <c r="G145">
        <f>IFERROR(IF(ISNUMBER(INDEX(SPPR!$E:$Z,MATCH($A145,SPPR!$A:$A,0),4)),$C145*INDEX(SPPR!$E:$Z,MATCH($A145,SPPR!$A:$A,0),4),""),"")</f>
        <v/>
      </c>
      <c r="H145">
        <f>IFERROR(IF(ISNUMBER(INDEX(SPPR!$E:$Z,MATCH($A145,SPPR!$A:$A,0),5)),$C145*INDEX(SPPR!$E:$Z,MATCH($A145,SPPR!$A:$A,0),5),""),"")</f>
        <v/>
      </c>
      <c r="I145">
        <f>IFERROR(IF(ISNUMBER(INDEX(SPPR!$E:$Z,MATCH($A145,SPPR!$A:$A,0),6)),$C145*INDEX(SPPR!$E:$Z,MATCH($A145,SPPR!$A:$A,0),6),""),"")</f>
        <v/>
      </c>
      <c r="J145">
        <f>IFERROR(IF(ISNUMBER(INDEX(SPPR!$E:$Z,MATCH($A145,SPPR!$A:$A,0),7)),$C145*INDEX(SPPR!$E:$Z,MATCH($A145,SPPR!$A:$A,0),7),""),"")</f>
        <v/>
      </c>
      <c r="K145">
        <f>IFERROR(IF(ISNUMBER(INDEX(SPPR!$E:$Z,MATCH($A145,SPPR!$A:$A,0),8)),$C145*INDEX(SPPR!$E:$Z,MATCH($A145,SPPR!$A:$A,0),8),""),"")</f>
        <v/>
      </c>
      <c r="L145">
        <f>IFERROR(IF(ISNUMBER(INDEX(SPPR!$E:$Z,MATCH($A145,SPPR!$A:$A,0),9)),$C145*INDEX(SPPR!$E:$Z,MATCH($A145,SPPR!$A:$A,0),9),""),"")</f>
        <v/>
      </c>
      <c r="M145">
        <f>IFERROR(IF(ISNUMBER(INDEX(SPPR!$E:$Z,MATCH($A145,SPPR!$A:$A,0),10)),$C145*INDEX(SPPR!$E:$Z,MATCH($A145,SPPR!$A:$A,0),10),""),"")</f>
        <v/>
      </c>
      <c r="N145">
        <f>IFERROR(IF(ISNUMBER(INDEX(SPPR!$E:$Z,MATCH($A145,SPPR!$A:$A,0),11)),$C145*INDEX(SPPR!$E:$Z,MATCH($A145,SPPR!$A:$A,0),11),""),"")</f>
        <v/>
      </c>
      <c r="O145">
        <f>IFERROR(IF(ISNUMBER(INDEX(SPPR!$E:$Z,MATCH($A145,SPPR!$A:$A,0),12)),$C145*INDEX(SPPR!$E:$Z,MATCH($A145,SPPR!$A:$A,0),12),""),"")</f>
        <v/>
      </c>
      <c r="P145">
        <f>IFERROR(IF(ISNUMBER(INDEX(SPPR!$E:$Z,MATCH($A145,SPPR!$A:$A,0),13)),$C145*INDEX(SPPR!$E:$Z,MATCH($A145,SPPR!$A:$A,0),13),""),"")</f>
        <v/>
      </c>
      <c r="Q145">
        <f>IFERROR(IF(ISNUMBER(INDEX(SPPR!$E:$Z,MATCH($A145,SPPR!$A:$A,0),14)),$C145*INDEX(SPPR!$E:$Z,MATCH($A145,SPPR!$A:$A,0),14),""),"")</f>
        <v/>
      </c>
      <c r="R145">
        <f>IFERROR(IF(ISNUMBER(INDEX(SPPR!$E:$Z,MATCH($A145,SPPR!$A:$A,0),15)),$C145*INDEX(SPPR!$E:$Z,MATCH($A145,SPPR!$A:$A,0),15),""),"")</f>
        <v/>
      </c>
      <c r="S145">
        <f>IFERROR(IF(ISNUMBER(INDEX(SPPR!$E:$Z,MATCH($A145,SPPR!$A:$A,0),16)),$C145*INDEX(SPPR!$E:$Z,MATCH($A145,SPPR!$A:$A,0),16),""),"")</f>
        <v/>
      </c>
      <c r="T145">
        <f>IFERROR(IF(ISNUMBER(INDEX(SPPR!$E:$Z,MATCH($A145,SPPR!$A:$A,0),17)),$C145*INDEX(SPPR!$E:$Z,MATCH($A145,SPPR!$A:$A,0),17),""),"")</f>
        <v/>
      </c>
      <c r="U145">
        <f>IFERROR(IF(ISNUMBER(INDEX(SPPR!$E:$Z,MATCH($A145,SPPR!$A:$A,0),18)),$C145*INDEX(SPPR!$E:$Z,MATCH($A145,SPPR!$A:$A,0),18),""),"")</f>
        <v/>
      </c>
      <c r="V145">
        <f>IFERROR(IF(ISNUMBER(INDEX(SPPR!$E:$Z,MATCH($A145,SPPR!$A:$A,0),19)),$C145*INDEX(SPPR!$E:$Z,MATCH($A145,SPPR!$A:$A,0),19),""),"")</f>
        <v/>
      </c>
      <c r="W145">
        <f>IFERROR(IF(ISNUMBER(INDEX(SPPR!$E:$Z,MATCH($A145,SPPR!$A:$A,0),20)),$C145*INDEX(SPPR!$E:$Z,MATCH($A145,SPPR!$A:$A,0),20),""),"")</f>
        <v/>
      </c>
      <c r="X145">
        <f>IFERROR(IF(ISNUMBER(INDEX(SPPR!$E:$Z,MATCH($A145,SPPR!$A:$A,0),21)),$C145*INDEX(SPPR!$E:$Z,MATCH($A145,SPPR!$A:$A,0),21),""),"")</f>
        <v/>
      </c>
      <c r="Y145">
        <f>IFERROR(IF(ISNUMBER(INDEX(SPPR!$E:$Z,MATCH($A145,SPPR!$A:$A,0),22)),$C145*INDEX(SPPR!$E:$Z,MATCH($A145,SPPR!$A:$A,0),22),""),"")</f>
        <v/>
      </c>
    </row>
    <row r="146">
      <c r="A146" t="inlineStr">
        <is>
          <t>Callinectes marginatus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IFERROR(IF(ISNUMBER(INDEX(SPPR!$E:$Z,MATCH($A146,SPPR!$A:$A,0),1)),$C146*INDEX(SPPR!$E:$Z,MATCH($A146,SPPR!$A:$A,0),1),""),"")</f>
        <v/>
      </c>
      <c r="E146">
        <f>IFERROR(IF(ISNUMBER(INDEX(SPPR!$E:$Z,MATCH($A146,SPPR!$A:$A,0),2)),$C146*INDEX(SPPR!$E:$Z,MATCH($A146,SPPR!$A:$A,0),2),""),"")</f>
        <v/>
      </c>
      <c r="F146">
        <f>IFERROR(IF(ISNUMBER(INDEX(SPPR!$E:$Z,MATCH($A146,SPPR!$A:$A,0),3)),$C146*INDEX(SPPR!$E:$Z,MATCH($A146,SPPR!$A:$A,0),3),""),"")</f>
        <v/>
      </c>
      <c r="G146">
        <f>IFERROR(IF(ISNUMBER(INDEX(SPPR!$E:$Z,MATCH($A146,SPPR!$A:$A,0),4)),$C146*INDEX(SPPR!$E:$Z,MATCH($A146,SPPR!$A:$A,0),4),""),"")</f>
        <v/>
      </c>
      <c r="H146">
        <f>IFERROR(IF(ISNUMBER(INDEX(SPPR!$E:$Z,MATCH($A146,SPPR!$A:$A,0),5)),$C146*INDEX(SPPR!$E:$Z,MATCH($A146,SPPR!$A:$A,0),5),""),"")</f>
        <v/>
      </c>
      <c r="I146">
        <f>IFERROR(IF(ISNUMBER(INDEX(SPPR!$E:$Z,MATCH($A146,SPPR!$A:$A,0),6)),$C146*INDEX(SPPR!$E:$Z,MATCH($A146,SPPR!$A:$A,0),6),""),"")</f>
        <v/>
      </c>
      <c r="J146">
        <f>IFERROR(IF(ISNUMBER(INDEX(SPPR!$E:$Z,MATCH($A146,SPPR!$A:$A,0),7)),$C146*INDEX(SPPR!$E:$Z,MATCH($A146,SPPR!$A:$A,0),7),""),"")</f>
        <v/>
      </c>
      <c r="K146">
        <f>IFERROR(IF(ISNUMBER(INDEX(SPPR!$E:$Z,MATCH($A146,SPPR!$A:$A,0),8)),$C146*INDEX(SPPR!$E:$Z,MATCH($A146,SPPR!$A:$A,0),8),""),"")</f>
        <v/>
      </c>
      <c r="L146">
        <f>IFERROR(IF(ISNUMBER(INDEX(SPPR!$E:$Z,MATCH($A146,SPPR!$A:$A,0),9)),$C146*INDEX(SPPR!$E:$Z,MATCH($A146,SPPR!$A:$A,0),9),""),"")</f>
        <v/>
      </c>
      <c r="M146">
        <f>IFERROR(IF(ISNUMBER(INDEX(SPPR!$E:$Z,MATCH($A146,SPPR!$A:$A,0),10)),$C146*INDEX(SPPR!$E:$Z,MATCH($A146,SPPR!$A:$A,0),10),""),"")</f>
        <v/>
      </c>
      <c r="N146">
        <f>IFERROR(IF(ISNUMBER(INDEX(SPPR!$E:$Z,MATCH($A146,SPPR!$A:$A,0),11)),$C146*INDEX(SPPR!$E:$Z,MATCH($A146,SPPR!$A:$A,0),11),""),"")</f>
        <v/>
      </c>
      <c r="O146">
        <f>IFERROR(IF(ISNUMBER(INDEX(SPPR!$E:$Z,MATCH($A146,SPPR!$A:$A,0),12)),$C146*INDEX(SPPR!$E:$Z,MATCH($A146,SPPR!$A:$A,0),12),""),"")</f>
        <v/>
      </c>
      <c r="P146">
        <f>IFERROR(IF(ISNUMBER(INDEX(SPPR!$E:$Z,MATCH($A146,SPPR!$A:$A,0),13)),$C146*INDEX(SPPR!$E:$Z,MATCH($A146,SPPR!$A:$A,0),13),""),"")</f>
        <v/>
      </c>
      <c r="Q146">
        <f>IFERROR(IF(ISNUMBER(INDEX(SPPR!$E:$Z,MATCH($A146,SPPR!$A:$A,0),14)),$C146*INDEX(SPPR!$E:$Z,MATCH($A146,SPPR!$A:$A,0),14),""),"")</f>
        <v/>
      </c>
      <c r="R146">
        <f>IFERROR(IF(ISNUMBER(INDEX(SPPR!$E:$Z,MATCH($A146,SPPR!$A:$A,0),15)),$C146*INDEX(SPPR!$E:$Z,MATCH($A146,SPPR!$A:$A,0),15),""),"")</f>
        <v/>
      </c>
      <c r="S146">
        <f>IFERROR(IF(ISNUMBER(INDEX(SPPR!$E:$Z,MATCH($A146,SPPR!$A:$A,0),16)),$C146*INDEX(SPPR!$E:$Z,MATCH($A146,SPPR!$A:$A,0),16),""),"")</f>
        <v/>
      </c>
      <c r="T146">
        <f>IFERROR(IF(ISNUMBER(INDEX(SPPR!$E:$Z,MATCH($A146,SPPR!$A:$A,0),17)),$C146*INDEX(SPPR!$E:$Z,MATCH($A146,SPPR!$A:$A,0),17),""),"")</f>
        <v/>
      </c>
      <c r="U146">
        <f>IFERROR(IF(ISNUMBER(INDEX(SPPR!$E:$Z,MATCH($A146,SPPR!$A:$A,0),18)),$C146*INDEX(SPPR!$E:$Z,MATCH($A146,SPPR!$A:$A,0),18),""),"")</f>
        <v/>
      </c>
      <c r="V146">
        <f>IFERROR(IF(ISNUMBER(INDEX(SPPR!$E:$Z,MATCH($A146,SPPR!$A:$A,0),19)),$C146*INDEX(SPPR!$E:$Z,MATCH($A146,SPPR!$A:$A,0),19),""),"")</f>
        <v/>
      </c>
      <c r="W146">
        <f>IFERROR(IF(ISNUMBER(INDEX(SPPR!$E:$Z,MATCH($A146,SPPR!$A:$A,0),20)),$C146*INDEX(SPPR!$E:$Z,MATCH($A146,SPPR!$A:$A,0),20),""),"")</f>
        <v/>
      </c>
      <c r="X146">
        <f>IFERROR(IF(ISNUMBER(INDEX(SPPR!$E:$Z,MATCH($A146,SPPR!$A:$A,0),21)),$C146*INDEX(SPPR!$E:$Z,MATCH($A146,SPPR!$A:$A,0),21),""),"")</f>
        <v/>
      </c>
      <c r="Y146">
        <f>IFERROR(IF(ISNUMBER(INDEX(SPPR!$E:$Z,MATCH($A146,SPPR!$A:$A,0),22)),$C146*INDEX(SPPR!$E:$Z,MATCH($A146,SPPR!$A:$A,0),22),""),"")</f>
        <v/>
      </c>
    </row>
    <row r="147">
      <c r="A147" t="inlineStr">
        <is>
          <t>Mytilidae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IFERROR(IF(ISNUMBER(INDEX(SPPR!$E:$Z,MATCH($A147,SPPR!$A:$A,0),1)),$C147*INDEX(SPPR!$E:$Z,MATCH($A147,SPPR!$A:$A,0),1),""),"")</f>
        <v/>
      </c>
      <c r="E147">
        <f>IFERROR(IF(ISNUMBER(INDEX(SPPR!$E:$Z,MATCH($A147,SPPR!$A:$A,0),2)),$C147*INDEX(SPPR!$E:$Z,MATCH($A147,SPPR!$A:$A,0),2),""),"")</f>
        <v/>
      </c>
      <c r="F147">
        <f>IFERROR(IF(ISNUMBER(INDEX(SPPR!$E:$Z,MATCH($A147,SPPR!$A:$A,0),3)),$C147*INDEX(SPPR!$E:$Z,MATCH($A147,SPPR!$A:$A,0),3),""),"")</f>
        <v/>
      </c>
      <c r="G147">
        <f>IFERROR(IF(ISNUMBER(INDEX(SPPR!$E:$Z,MATCH($A147,SPPR!$A:$A,0),4)),$C147*INDEX(SPPR!$E:$Z,MATCH($A147,SPPR!$A:$A,0),4),""),"")</f>
        <v/>
      </c>
      <c r="H147">
        <f>IFERROR(IF(ISNUMBER(INDEX(SPPR!$E:$Z,MATCH($A147,SPPR!$A:$A,0),5)),$C147*INDEX(SPPR!$E:$Z,MATCH($A147,SPPR!$A:$A,0),5),""),"")</f>
        <v/>
      </c>
      <c r="I147">
        <f>IFERROR(IF(ISNUMBER(INDEX(SPPR!$E:$Z,MATCH($A147,SPPR!$A:$A,0),6)),$C147*INDEX(SPPR!$E:$Z,MATCH($A147,SPPR!$A:$A,0),6),""),"")</f>
        <v/>
      </c>
      <c r="J147">
        <f>IFERROR(IF(ISNUMBER(INDEX(SPPR!$E:$Z,MATCH($A147,SPPR!$A:$A,0),7)),$C147*INDEX(SPPR!$E:$Z,MATCH($A147,SPPR!$A:$A,0),7),""),"")</f>
        <v/>
      </c>
      <c r="K147">
        <f>IFERROR(IF(ISNUMBER(INDEX(SPPR!$E:$Z,MATCH($A147,SPPR!$A:$A,0),8)),$C147*INDEX(SPPR!$E:$Z,MATCH($A147,SPPR!$A:$A,0),8),""),"")</f>
        <v/>
      </c>
      <c r="L147">
        <f>IFERROR(IF(ISNUMBER(INDEX(SPPR!$E:$Z,MATCH($A147,SPPR!$A:$A,0),9)),$C147*INDEX(SPPR!$E:$Z,MATCH($A147,SPPR!$A:$A,0),9),""),"")</f>
        <v/>
      </c>
      <c r="M147">
        <f>IFERROR(IF(ISNUMBER(INDEX(SPPR!$E:$Z,MATCH($A147,SPPR!$A:$A,0),10)),$C147*INDEX(SPPR!$E:$Z,MATCH($A147,SPPR!$A:$A,0),10),""),"")</f>
        <v/>
      </c>
      <c r="N147">
        <f>IFERROR(IF(ISNUMBER(INDEX(SPPR!$E:$Z,MATCH($A147,SPPR!$A:$A,0),11)),$C147*INDEX(SPPR!$E:$Z,MATCH($A147,SPPR!$A:$A,0),11),""),"")</f>
        <v/>
      </c>
      <c r="O147">
        <f>IFERROR(IF(ISNUMBER(INDEX(SPPR!$E:$Z,MATCH($A147,SPPR!$A:$A,0),12)),$C147*INDEX(SPPR!$E:$Z,MATCH($A147,SPPR!$A:$A,0),12),""),"")</f>
        <v/>
      </c>
      <c r="P147">
        <f>IFERROR(IF(ISNUMBER(INDEX(SPPR!$E:$Z,MATCH($A147,SPPR!$A:$A,0),13)),$C147*INDEX(SPPR!$E:$Z,MATCH($A147,SPPR!$A:$A,0),13),""),"")</f>
        <v/>
      </c>
      <c r="Q147">
        <f>IFERROR(IF(ISNUMBER(INDEX(SPPR!$E:$Z,MATCH($A147,SPPR!$A:$A,0),14)),$C147*INDEX(SPPR!$E:$Z,MATCH($A147,SPPR!$A:$A,0),14),""),"")</f>
        <v/>
      </c>
      <c r="R147">
        <f>IFERROR(IF(ISNUMBER(INDEX(SPPR!$E:$Z,MATCH($A147,SPPR!$A:$A,0),15)),$C147*INDEX(SPPR!$E:$Z,MATCH($A147,SPPR!$A:$A,0),15),""),"")</f>
        <v/>
      </c>
      <c r="S147">
        <f>IFERROR(IF(ISNUMBER(INDEX(SPPR!$E:$Z,MATCH($A147,SPPR!$A:$A,0),16)),$C147*INDEX(SPPR!$E:$Z,MATCH($A147,SPPR!$A:$A,0),16),""),"")</f>
        <v/>
      </c>
      <c r="T147">
        <f>IFERROR(IF(ISNUMBER(INDEX(SPPR!$E:$Z,MATCH($A147,SPPR!$A:$A,0),17)),$C147*INDEX(SPPR!$E:$Z,MATCH($A147,SPPR!$A:$A,0),17),""),"")</f>
        <v/>
      </c>
      <c r="U147">
        <f>IFERROR(IF(ISNUMBER(INDEX(SPPR!$E:$Z,MATCH($A147,SPPR!$A:$A,0),18)),$C147*INDEX(SPPR!$E:$Z,MATCH($A147,SPPR!$A:$A,0),18),""),"")</f>
        <v/>
      </c>
      <c r="V147">
        <f>IFERROR(IF(ISNUMBER(INDEX(SPPR!$E:$Z,MATCH($A147,SPPR!$A:$A,0),19)),$C147*INDEX(SPPR!$E:$Z,MATCH($A147,SPPR!$A:$A,0),19),""),"")</f>
        <v/>
      </c>
      <c r="W147">
        <f>IFERROR(IF(ISNUMBER(INDEX(SPPR!$E:$Z,MATCH($A147,SPPR!$A:$A,0),20)),$C147*INDEX(SPPR!$E:$Z,MATCH($A147,SPPR!$A:$A,0),20),""),"")</f>
        <v/>
      </c>
      <c r="X147">
        <f>IFERROR(IF(ISNUMBER(INDEX(SPPR!$E:$Z,MATCH($A147,SPPR!$A:$A,0),21)),$C147*INDEX(SPPR!$E:$Z,MATCH($A147,SPPR!$A:$A,0),21),""),"")</f>
        <v/>
      </c>
      <c r="Y147">
        <f>IFERROR(IF(ISNUMBER(INDEX(SPPR!$E:$Z,MATCH($A147,SPPR!$A:$A,0),22)),$C147*INDEX(SPPR!$E:$Z,MATCH($A147,SPPR!$A:$A,0),22),""),"")</f>
        <v/>
      </c>
    </row>
    <row r="148">
      <c r="A148" t="inlineStr">
        <is>
          <t>Seriola dumerili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IFERROR(IF(ISNUMBER(INDEX(SPPR!$E:$Z,MATCH($A148,SPPR!$A:$A,0),1)),$C148*INDEX(SPPR!$E:$Z,MATCH($A148,SPPR!$A:$A,0),1),""),"")</f>
        <v/>
      </c>
      <c r="E148">
        <f>IFERROR(IF(ISNUMBER(INDEX(SPPR!$E:$Z,MATCH($A148,SPPR!$A:$A,0),2)),$C148*INDEX(SPPR!$E:$Z,MATCH($A148,SPPR!$A:$A,0),2),""),"")</f>
        <v/>
      </c>
      <c r="F148">
        <f>IFERROR(IF(ISNUMBER(INDEX(SPPR!$E:$Z,MATCH($A148,SPPR!$A:$A,0),3)),$C148*INDEX(SPPR!$E:$Z,MATCH($A148,SPPR!$A:$A,0),3),""),"")</f>
        <v/>
      </c>
      <c r="G148">
        <f>IFERROR(IF(ISNUMBER(INDEX(SPPR!$E:$Z,MATCH($A148,SPPR!$A:$A,0),4)),$C148*INDEX(SPPR!$E:$Z,MATCH($A148,SPPR!$A:$A,0),4),""),"")</f>
        <v/>
      </c>
      <c r="H148">
        <f>IFERROR(IF(ISNUMBER(INDEX(SPPR!$E:$Z,MATCH($A148,SPPR!$A:$A,0),5)),$C148*INDEX(SPPR!$E:$Z,MATCH($A148,SPPR!$A:$A,0),5),""),"")</f>
        <v/>
      </c>
      <c r="I148">
        <f>IFERROR(IF(ISNUMBER(INDEX(SPPR!$E:$Z,MATCH($A148,SPPR!$A:$A,0),6)),$C148*INDEX(SPPR!$E:$Z,MATCH($A148,SPPR!$A:$A,0),6),""),"")</f>
        <v/>
      </c>
      <c r="J148">
        <f>IFERROR(IF(ISNUMBER(INDEX(SPPR!$E:$Z,MATCH($A148,SPPR!$A:$A,0),7)),$C148*INDEX(SPPR!$E:$Z,MATCH($A148,SPPR!$A:$A,0),7),""),"")</f>
        <v/>
      </c>
      <c r="K148">
        <f>IFERROR(IF(ISNUMBER(INDEX(SPPR!$E:$Z,MATCH($A148,SPPR!$A:$A,0),8)),$C148*INDEX(SPPR!$E:$Z,MATCH($A148,SPPR!$A:$A,0),8),""),"")</f>
        <v/>
      </c>
      <c r="L148">
        <f>IFERROR(IF(ISNUMBER(INDEX(SPPR!$E:$Z,MATCH($A148,SPPR!$A:$A,0),9)),$C148*INDEX(SPPR!$E:$Z,MATCH($A148,SPPR!$A:$A,0),9),""),"")</f>
        <v/>
      </c>
      <c r="M148">
        <f>IFERROR(IF(ISNUMBER(INDEX(SPPR!$E:$Z,MATCH($A148,SPPR!$A:$A,0),10)),$C148*INDEX(SPPR!$E:$Z,MATCH($A148,SPPR!$A:$A,0),10),""),"")</f>
        <v/>
      </c>
      <c r="N148">
        <f>IFERROR(IF(ISNUMBER(INDEX(SPPR!$E:$Z,MATCH($A148,SPPR!$A:$A,0),11)),$C148*INDEX(SPPR!$E:$Z,MATCH($A148,SPPR!$A:$A,0),11),""),"")</f>
        <v/>
      </c>
      <c r="O148">
        <f>IFERROR(IF(ISNUMBER(INDEX(SPPR!$E:$Z,MATCH($A148,SPPR!$A:$A,0),12)),$C148*INDEX(SPPR!$E:$Z,MATCH($A148,SPPR!$A:$A,0),12),""),"")</f>
        <v/>
      </c>
      <c r="P148">
        <f>IFERROR(IF(ISNUMBER(INDEX(SPPR!$E:$Z,MATCH($A148,SPPR!$A:$A,0),13)),$C148*INDEX(SPPR!$E:$Z,MATCH($A148,SPPR!$A:$A,0),13),""),"")</f>
        <v/>
      </c>
      <c r="Q148">
        <f>IFERROR(IF(ISNUMBER(INDEX(SPPR!$E:$Z,MATCH($A148,SPPR!$A:$A,0),14)),$C148*INDEX(SPPR!$E:$Z,MATCH($A148,SPPR!$A:$A,0),14),""),"")</f>
        <v/>
      </c>
      <c r="R148">
        <f>IFERROR(IF(ISNUMBER(INDEX(SPPR!$E:$Z,MATCH($A148,SPPR!$A:$A,0),15)),$C148*INDEX(SPPR!$E:$Z,MATCH($A148,SPPR!$A:$A,0),15),""),"")</f>
        <v/>
      </c>
      <c r="S148">
        <f>IFERROR(IF(ISNUMBER(INDEX(SPPR!$E:$Z,MATCH($A148,SPPR!$A:$A,0),16)),$C148*INDEX(SPPR!$E:$Z,MATCH($A148,SPPR!$A:$A,0),16),""),"")</f>
        <v/>
      </c>
      <c r="T148">
        <f>IFERROR(IF(ISNUMBER(INDEX(SPPR!$E:$Z,MATCH($A148,SPPR!$A:$A,0),17)),$C148*INDEX(SPPR!$E:$Z,MATCH($A148,SPPR!$A:$A,0),17),""),"")</f>
        <v/>
      </c>
      <c r="U148">
        <f>IFERROR(IF(ISNUMBER(INDEX(SPPR!$E:$Z,MATCH($A148,SPPR!$A:$A,0),18)),$C148*INDEX(SPPR!$E:$Z,MATCH($A148,SPPR!$A:$A,0),18),""),"")</f>
        <v/>
      </c>
      <c r="V148">
        <f>IFERROR(IF(ISNUMBER(INDEX(SPPR!$E:$Z,MATCH($A148,SPPR!$A:$A,0),19)),$C148*INDEX(SPPR!$E:$Z,MATCH($A148,SPPR!$A:$A,0),19),""),"")</f>
        <v/>
      </c>
      <c r="W148">
        <f>IFERROR(IF(ISNUMBER(INDEX(SPPR!$E:$Z,MATCH($A148,SPPR!$A:$A,0),20)),$C148*INDEX(SPPR!$E:$Z,MATCH($A148,SPPR!$A:$A,0),20),""),"")</f>
        <v/>
      </c>
      <c r="X148">
        <f>IFERROR(IF(ISNUMBER(INDEX(SPPR!$E:$Z,MATCH($A148,SPPR!$A:$A,0),21)),$C148*INDEX(SPPR!$E:$Z,MATCH($A148,SPPR!$A:$A,0),21),""),"")</f>
        <v/>
      </c>
      <c r="Y148">
        <f>IFERROR(IF(ISNUMBER(INDEX(SPPR!$E:$Z,MATCH($A148,SPPR!$A:$A,0),22)),$C148*INDEX(SPPR!$E:$Z,MATCH($A148,SPPR!$A:$A,0),22),""),"")</f>
        <v/>
      </c>
    </row>
    <row r="149">
      <c r="A149" t="inlineStr">
        <is>
          <t>Merluccius polli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IFERROR(IF(ISNUMBER(INDEX(SPPR!$E:$Z,MATCH($A149,SPPR!$A:$A,0),1)),$C149*INDEX(SPPR!$E:$Z,MATCH($A149,SPPR!$A:$A,0),1),""),"")</f>
        <v/>
      </c>
      <c r="E149">
        <f>IFERROR(IF(ISNUMBER(INDEX(SPPR!$E:$Z,MATCH($A149,SPPR!$A:$A,0),2)),$C149*INDEX(SPPR!$E:$Z,MATCH($A149,SPPR!$A:$A,0),2),""),"")</f>
        <v/>
      </c>
      <c r="F149">
        <f>IFERROR(IF(ISNUMBER(INDEX(SPPR!$E:$Z,MATCH($A149,SPPR!$A:$A,0),3)),$C149*INDEX(SPPR!$E:$Z,MATCH($A149,SPPR!$A:$A,0),3),""),"")</f>
        <v/>
      </c>
      <c r="G149">
        <f>IFERROR(IF(ISNUMBER(INDEX(SPPR!$E:$Z,MATCH($A149,SPPR!$A:$A,0),4)),$C149*INDEX(SPPR!$E:$Z,MATCH($A149,SPPR!$A:$A,0),4),""),"")</f>
        <v/>
      </c>
      <c r="H149">
        <f>IFERROR(IF(ISNUMBER(INDEX(SPPR!$E:$Z,MATCH($A149,SPPR!$A:$A,0),5)),$C149*INDEX(SPPR!$E:$Z,MATCH($A149,SPPR!$A:$A,0),5),""),"")</f>
        <v/>
      </c>
      <c r="I149">
        <f>IFERROR(IF(ISNUMBER(INDEX(SPPR!$E:$Z,MATCH($A149,SPPR!$A:$A,0),6)),$C149*INDEX(SPPR!$E:$Z,MATCH($A149,SPPR!$A:$A,0),6),""),"")</f>
        <v/>
      </c>
      <c r="J149">
        <f>IFERROR(IF(ISNUMBER(INDEX(SPPR!$E:$Z,MATCH($A149,SPPR!$A:$A,0),7)),$C149*INDEX(SPPR!$E:$Z,MATCH($A149,SPPR!$A:$A,0),7),""),"")</f>
        <v/>
      </c>
      <c r="K149">
        <f>IFERROR(IF(ISNUMBER(INDEX(SPPR!$E:$Z,MATCH($A149,SPPR!$A:$A,0),8)),$C149*INDEX(SPPR!$E:$Z,MATCH($A149,SPPR!$A:$A,0),8),""),"")</f>
        <v/>
      </c>
      <c r="L149">
        <f>IFERROR(IF(ISNUMBER(INDEX(SPPR!$E:$Z,MATCH($A149,SPPR!$A:$A,0),9)),$C149*INDEX(SPPR!$E:$Z,MATCH($A149,SPPR!$A:$A,0),9),""),"")</f>
        <v/>
      </c>
      <c r="M149">
        <f>IFERROR(IF(ISNUMBER(INDEX(SPPR!$E:$Z,MATCH($A149,SPPR!$A:$A,0),10)),$C149*INDEX(SPPR!$E:$Z,MATCH($A149,SPPR!$A:$A,0),10),""),"")</f>
        <v/>
      </c>
      <c r="N149">
        <f>IFERROR(IF(ISNUMBER(INDEX(SPPR!$E:$Z,MATCH($A149,SPPR!$A:$A,0),11)),$C149*INDEX(SPPR!$E:$Z,MATCH($A149,SPPR!$A:$A,0),11),""),"")</f>
        <v/>
      </c>
      <c r="O149">
        <f>IFERROR(IF(ISNUMBER(INDEX(SPPR!$E:$Z,MATCH($A149,SPPR!$A:$A,0),12)),$C149*INDEX(SPPR!$E:$Z,MATCH($A149,SPPR!$A:$A,0),12),""),"")</f>
        <v/>
      </c>
      <c r="P149">
        <f>IFERROR(IF(ISNUMBER(INDEX(SPPR!$E:$Z,MATCH($A149,SPPR!$A:$A,0),13)),$C149*INDEX(SPPR!$E:$Z,MATCH($A149,SPPR!$A:$A,0),13),""),"")</f>
        <v/>
      </c>
      <c r="Q149">
        <f>IFERROR(IF(ISNUMBER(INDEX(SPPR!$E:$Z,MATCH($A149,SPPR!$A:$A,0),14)),$C149*INDEX(SPPR!$E:$Z,MATCH($A149,SPPR!$A:$A,0),14),""),"")</f>
        <v/>
      </c>
      <c r="R149">
        <f>IFERROR(IF(ISNUMBER(INDEX(SPPR!$E:$Z,MATCH($A149,SPPR!$A:$A,0),15)),$C149*INDEX(SPPR!$E:$Z,MATCH($A149,SPPR!$A:$A,0),15),""),"")</f>
        <v/>
      </c>
      <c r="S149">
        <f>IFERROR(IF(ISNUMBER(INDEX(SPPR!$E:$Z,MATCH($A149,SPPR!$A:$A,0),16)),$C149*INDEX(SPPR!$E:$Z,MATCH($A149,SPPR!$A:$A,0),16),""),"")</f>
        <v/>
      </c>
      <c r="T149">
        <f>IFERROR(IF(ISNUMBER(INDEX(SPPR!$E:$Z,MATCH($A149,SPPR!$A:$A,0),17)),$C149*INDEX(SPPR!$E:$Z,MATCH($A149,SPPR!$A:$A,0),17),""),"")</f>
        <v/>
      </c>
      <c r="U149">
        <f>IFERROR(IF(ISNUMBER(INDEX(SPPR!$E:$Z,MATCH($A149,SPPR!$A:$A,0),18)),$C149*INDEX(SPPR!$E:$Z,MATCH($A149,SPPR!$A:$A,0),18),""),"")</f>
        <v/>
      </c>
      <c r="V149">
        <f>IFERROR(IF(ISNUMBER(INDEX(SPPR!$E:$Z,MATCH($A149,SPPR!$A:$A,0),19)),$C149*INDEX(SPPR!$E:$Z,MATCH($A149,SPPR!$A:$A,0),19),""),"")</f>
        <v/>
      </c>
      <c r="W149">
        <f>IFERROR(IF(ISNUMBER(INDEX(SPPR!$E:$Z,MATCH($A149,SPPR!$A:$A,0),20)),$C149*INDEX(SPPR!$E:$Z,MATCH($A149,SPPR!$A:$A,0),20),""),"")</f>
        <v/>
      </c>
      <c r="X149">
        <f>IFERROR(IF(ISNUMBER(INDEX(SPPR!$E:$Z,MATCH($A149,SPPR!$A:$A,0),21)),$C149*INDEX(SPPR!$E:$Z,MATCH($A149,SPPR!$A:$A,0),21),""),"")</f>
        <v/>
      </c>
      <c r="Y149">
        <f>IFERROR(IF(ISNUMBER(INDEX(SPPR!$E:$Z,MATCH($A149,SPPR!$A:$A,0),22)),$C149*INDEX(SPPR!$E:$Z,MATCH($A149,SPPR!$A:$A,0),22),""),"")</f>
        <v/>
      </c>
    </row>
    <row r="150">
      <c r="A150" t="inlineStr">
        <is>
          <t>Cymbium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IFERROR(IF(ISNUMBER(INDEX(SPPR!$E:$Z,MATCH($A150,SPPR!$A:$A,0),1)),$C150*INDEX(SPPR!$E:$Z,MATCH($A150,SPPR!$A:$A,0),1),""),"")</f>
        <v/>
      </c>
      <c r="E150">
        <f>IFERROR(IF(ISNUMBER(INDEX(SPPR!$E:$Z,MATCH($A150,SPPR!$A:$A,0),2)),$C150*INDEX(SPPR!$E:$Z,MATCH($A150,SPPR!$A:$A,0),2),""),"")</f>
        <v/>
      </c>
      <c r="F150">
        <f>IFERROR(IF(ISNUMBER(INDEX(SPPR!$E:$Z,MATCH($A150,SPPR!$A:$A,0),3)),$C150*INDEX(SPPR!$E:$Z,MATCH($A150,SPPR!$A:$A,0),3),""),"")</f>
        <v/>
      </c>
      <c r="G150">
        <f>IFERROR(IF(ISNUMBER(INDEX(SPPR!$E:$Z,MATCH($A150,SPPR!$A:$A,0),4)),$C150*INDEX(SPPR!$E:$Z,MATCH($A150,SPPR!$A:$A,0),4),""),"")</f>
        <v/>
      </c>
      <c r="H150">
        <f>IFERROR(IF(ISNUMBER(INDEX(SPPR!$E:$Z,MATCH($A150,SPPR!$A:$A,0),5)),$C150*INDEX(SPPR!$E:$Z,MATCH($A150,SPPR!$A:$A,0),5),""),"")</f>
        <v/>
      </c>
      <c r="I150">
        <f>IFERROR(IF(ISNUMBER(INDEX(SPPR!$E:$Z,MATCH($A150,SPPR!$A:$A,0),6)),$C150*INDEX(SPPR!$E:$Z,MATCH($A150,SPPR!$A:$A,0),6),""),"")</f>
        <v/>
      </c>
      <c r="J150">
        <f>IFERROR(IF(ISNUMBER(INDEX(SPPR!$E:$Z,MATCH($A150,SPPR!$A:$A,0),7)),$C150*INDEX(SPPR!$E:$Z,MATCH($A150,SPPR!$A:$A,0),7),""),"")</f>
        <v/>
      </c>
      <c r="K150">
        <f>IFERROR(IF(ISNUMBER(INDEX(SPPR!$E:$Z,MATCH($A150,SPPR!$A:$A,0),8)),$C150*INDEX(SPPR!$E:$Z,MATCH($A150,SPPR!$A:$A,0),8),""),"")</f>
        <v/>
      </c>
      <c r="L150">
        <f>IFERROR(IF(ISNUMBER(INDEX(SPPR!$E:$Z,MATCH($A150,SPPR!$A:$A,0),9)),$C150*INDEX(SPPR!$E:$Z,MATCH($A150,SPPR!$A:$A,0),9),""),"")</f>
        <v/>
      </c>
      <c r="M150">
        <f>IFERROR(IF(ISNUMBER(INDEX(SPPR!$E:$Z,MATCH($A150,SPPR!$A:$A,0),10)),$C150*INDEX(SPPR!$E:$Z,MATCH($A150,SPPR!$A:$A,0),10),""),"")</f>
        <v/>
      </c>
      <c r="N150">
        <f>IFERROR(IF(ISNUMBER(INDEX(SPPR!$E:$Z,MATCH($A150,SPPR!$A:$A,0),11)),$C150*INDEX(SPPR!$E:$Z,MATCH($A150,SPPR!$A:$A,0),11),""),"")</f>
        <v/>
      </c>
      <c r="O150">
        <f>IFERROR(IF(ISNUMBER(INDEX(SPPR!$E:$Z,MATCH($A150,SPPR!$A:$A,0),12)),$C150*INDEX(SPPR!$E:$Z,MATCH($A150,SPPR!$A:$A,0),12),""),"")</f>
        <v/>
      </c>
      <c r="P150">
        <f>IFERROR(IF(ISNUMBER(INDEX(SPPR!$E:$Z,MATCH($A150,SPPR!$A:$A,0),13)),$C150*INDEX(SPPR!$E:$Z,MATCH($A150,SPPR!$A:$A,0),13),""),"")</f>
        <v/>
      </c>
      <c r="Q150">
        <f>IFERROR(IF(ISNUMBER(INDEX(SPPR!$E:$Z,MATCH($A150,SPPR!$A:$A,0),14)),$C150*INDEX(SPPR!$E:$Z,MATCH($A150,SPPR!$A:$A,0),14),""),"")</f>
        <v/>
      </c>
      <c r="R150">
        <f>IFERROR(IF(ISNUMBER(INDEX(SPPR!$E:$Z,MATCH($A150,SPPR!$A:$A,0),15)),$C150*INDEX(SPPR!$E:$Z,MATCH($A150,SPPR!$A:$A,0),15),""),"")</f>
        <v/>
      </c>
      <c r="S150">
        <f>IFERROR(IF(ISNUMBER(INDEX(SPPR!$E:$Z,MATCH($A150,SPPR!$A:$A,0),16)),$C150*INDEX(SPPR!$E:$Z,MATCH($A150,SPPR!$A:$A,0),16),""),"")</f>
        <v/>
      </c>
      <c r="T150">
        <f>IFERROR(IF(ISNUMBER(INDEX(SPPR!$E:$Z,MATCH($A150,SPPR!$A:$A,0),17)),$C150*INDEX(SPPR!$E:$Z,MATCH($A150,SPPR!$A:$A,0),17),""),"")</f>
        <v/>
      </c>
      <c r="U150">
        <f>IFERROR(IF(ISNUMBER(INDEX(SPPR!$E:$Z,MATCH($A150,SPPR!$A:$A,0),18)),$C150*INDEX(SPPR!$E:$Z,MATCH($A150,SPPR!$A:$A,0),18),""),"")</f>
        <v/>
      </c>
      <c r="V150">
        <f>IFERROR(IF(ISNUMBER(INDEX(SPPR!$E:$Z,MATCH($A150,SPPR!$A:$A,0),19)),$C150*INDEX(SPPR!$E:$Z,MATCH($A150,SPPR!$A:$A,0),19),""),"")</f>
        <v/>
      </c>
      <c r="W150">
        <f>IFERROR(IF(ISNUMBER(INDEX(SPPR!$E:$Z,MATCH($A150,SPPR!$A:$A,0),20)),$C150*INDEX(SPPR!$E:$Z,MATCH($A150,SPPR!$A:$A,0),20),""),"")</f>
        <v/>
      </c>
      <c r="X150">
        <f>IFERROR(IF(ISNUMBER(INDEX(SPPR!$E:$Z,MATCH($A150,SPPR!$A:$A,0),21)),$C150*INDEX(SPPR!$E:$Z,MATCH($A150,SPPR!$A:$A,0),21),""),"")</f>
        <v/>
      </c>
      <c r="Y150">
        <f>IFERROR(IF(ISNUMBER(INDEX(SPPR!$E:$Z,MATCH($A150,SPPR!$A:$A,0),22)),$C150*INDEX(SPPR!$E:$Z,MATCH($A150,SPPR!$A:$A,0),22),""),"")</f>
        <v/>
      </c>
    </row>
    <row r="151">
      <c r="A151" t="inlineStr">
        <is>
          <t>Mugil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IFERROR(IF(ISNUMBER(INDEX(SPPR!$E:$Z,MATCH($A151,SPPR!$A:$A,0),1)),$C151*INDEX(SPPR!$E:$Z,MATCH($A151,SPPR!$A:$A,0),1),""),"")</f>
        <v/>
      </c>
      <c r="E151">
        <f>IFERROR(IF(ISNUMBER(INDEX(SPPR!$E:$Z,MATCH($A151,SPPR!$A:$A,0),2)),$C151*INDEX(SPPR!$E:$Z,MATCH($A151,SPPR!$A:$A,0),2),""),"")</f>
        <v/>
      </c>
      <c r="F151">
        <f>IFERROR(IF(ISNUMBER(INDEX(SPPR!$E:$Z,MATCH($A151,SPPR!$A:$A,0),3)),$C151*INDEX(SPPR!$E:$Z,MATCH($A151,SPPR!$A:$A,0),3),""),"")</f>
        <v/>
      </c>
      <c r="G151">
        <f>IFERROR(IF(ISNUMBER(INDEX(SPPR!$E:$Z,MATCH($A151,SPPR!$A:$A,0),4)),$C151*INDEX(SPPR!$E:$Z,MATCH($A151,SPPR!$A:$A,0),4),""),"")</f>
        <v/>
      </c>
      <c r="H151">
        <f>IFERROR(IF(ISNUMBER(INDEX(SPPR!$E:$Z,MATCH($A151,SPPR!$A:$A,0),5)),$C151*INDEX(SPPR!$E:$Z,MATCH($A151,SPPR!$A:$A,0),5),""),"")</f>
        <v/>
      </c>
      <c r="I151">
        <f>IFERROR(IF(ISNUMBER(INDEX(SPPR!$E:$Z,MATCH($A151,SPPR!$A:$A,0),6)),$C151*INDEX(SPPR!$E:$Z,MATCH($A151,SPPR!$A:$A,0),6),""),"")</f>
        <v/>
      </c>
      <c r="J151">
        <f>IFERROR(IF(ISNUMBER(INDEX(SPPR!$E:$Z,MATCH($A151,SPPR!$A:$A,0),7)),$C151*INDEX(SPPR!$E:$Z,MATCH($A151,SPPR!$A:$A,0),7),""),"")</f>
        <v/>
      </c>
      <c r="K151">
        <f>IFERROR(IF(ISNUMBER(INDEX(SPPR!$E:$Z,MATCH($A151,SPPR!$A:$A,0),8)),$C151*INDEX(SPPR!$E:$Z,MATCH($A151,SPPR!$A:$A,0),8),""),"")</f>
        <v/>
      </c>
      <c r="L151">
        <f>IFERROR(IF(ISNUMBER(INDEX(SPPR!$E:$Z,MATCH($A151,SPPR!$A:$A,0),9)),$C151*INDEX(SPPR!$E:$Z,MATCH($A151,SPPR!$A:$A,0),9),""),"")</f>
        <v/>
      </c>
      <c r="M151">
        <f>IFERROR(IF(ISNUMBER(INDEX(SPPR!$E:$Z,MATCH($A151,SPPR!$A:$A,0),10)),$C151*INDEX(SPPR!$E:$Z,MATCH($A151,SPPR!$A:$A,0),10),""),"")</f>
        <v/>
      </c>
      <c r="N151">
        <f>IFERROR(IF(ISNUMBER(INDEX(SPPR!$E:$Z,MATCH($A151,SPPR!$A:$A,0),11)),$C151*INDEX(SPPR!$E:$Z,MATCH($A151,SPPR!$A:$A,0),11),""),"")</f>
        <v/>
      </c>
      <c r="O151">
        <f>IFERROR(IF(ISNUMBER(INDEX(SPPR!$E:$Z,MATCH($A151,SPPR!$A:$A,0),12)),$C151*INDEX(SPPR!$E:$Z,MATCH($A151,SPPR!$A:$A,0),12),""),"")</f>
        <v/>
      </c>
      <c r="P151">
        <f>IFERROR(IF(ISNUMBER(INDEX(SPPR!$E:$Z,MATCH($A151,SPPR!$A:$A,0),13)),$C151*INDEX(SPPR!$E:$Z,MATCH($A151,SPPR!$A:$A,0),13),""),"")</f>
        <v/>
      </c>
      <c r="Q151">
        <f>IFERROR(IF(ISNUMBER(INDEX(SPPR!$E:$Z,MATCH($A151,SPPR!$A:$A,0),14)),$C151*INDEX(SPPR!$E:$Z,MATCH($A151,SPPR!$A:$A,0),14),""),"")</f>
        <v/>
      </c>
      <c r="R151">
        <f>IFERROR(IF(ISNUMBER(INDEX(SPPR!$E:$Z,MATCH($A151,SPPR!$A:$A,0),15)),$C151*INDEX(SPPR!$E:$Z,MATCH($A151,SPPR!$A:$A,0),15),""),"")</f>
        <v/>
      </c>
      <c r="S151">
        <f>IFERROR(IF(ISNUMBER(INDEX(SPPR!$E:$Z,MATCH($A151,SPPR!$A:$A,0),16)),$C151*INDEX(SPPR!$E:$Z,MATCH($A151,SPPR!$A:$A,0),16),""),"")</f>
        <v/>
      </c>
      <c r="T151">
        <f>IFERROR(IF(ISNUMBER(INDEX(SPPR!$E:$Z,MATCH($A151,SPPR!$A:$A,0),17)),$C151*INDEX(SPPR!$E:$Z,MATCH($A151,SPPR!$A:$A,0),17),""),"")</f>
        <v/>
      </c>
      <c r="U151">
        <f>IFERROR(IF(ISNUMBER(INDEX(SPPR!$E:$Z,MATCH($A151,SPPR!$A:$A,0),18)),$C151*INDEX(SPPR!$E:$Z,MATCH($A151,SPPR!$A:$A,0),18),""),"")</f>
        <v/>
      </c>
      <c r="V151">
        <f>IFERROR(IF(ISNUMBER(INDEX(SPPR!$E:$Z,MATCH($A151,SPPR!$A:$A,0),19)),$C151*INDEX(SPPR!$E:$Z,MATCH($A151,SPPR!$A:$A,0),19),""),"")</f>
        <v/>
      </c>
      <c r="W151">
        <f>IFERROR(IF(ISNUMBER(INDEX(SPPR!$E:$Z,MATCH($A151,SPPR!$A:$A,0),20)),$C151*INDEX(SPPR!$E:$Z,MATCH($A151,SPPR!$A:$A,0),20),""),"")</f>
        <v/>
      </c>
      <c r="X151">
        <f>IFERROR(IF(ISNUMBER(INDEX(SPPR!$E:$Z,MATCH($A151,SPPR!$A:$A,0),21)),$C151*INDEX(SPPR!$E:$Z,MATCH($A151,SPPR!$A:$A,0),21),""),"")</f>
        <v/>
      </c>
      <c r="Y151">
        <f>IFERROR(IF(ISNUMBER(INDEX(SPPR!$E:$Z,MATCH($A151,SPPR!$A:$A,0),22)),$C151*INDEX(SPPR!$E:$Z,MATCH($A151,SPPR!$A:$A,0),22),""),"")</f>
        <v/>
      </c>
    </row>
    <row r="152">
      <c r="A152" t="inlineStr">
        <is>
          <t>Epinephelus aeneus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IFERROR(IF(ISNUMBER(INDEX(SPPR!$E:$Z,MATCH($A152,SPPR!$A:$A,0),1)),$C152*INDEX(SPPR!$E:$Z,MATCH($A152,SPPR!$A:$A,0),1),""),"")</f>
        <v/>
      </c>
      <c r="E152">
        <f>IFERROR(IF(ISNUMBER(INDEX(SPPR!$E:$Z,MATCH($A152,SPPR!$A:$A,0),2)),$C152*INDEX(SPPR!$E:$Z,MATCH($A152,SPPR!$A:$A,0),2),""),"")</f>
        <v/>
      </c>
      <c r="F152">
        <f>IFERROR(IF(ISNUMBER(INDEX(SPPR!$E:$Z,MATCH($A152,SPPR!$A:$A,0),3)),$C152*INDEX(SPPR!$E:$Z,MATCH($A152,SPPR!$A:$A,0),3),""),"")</f>
        <v/>
      </c>
      <c r="G152">
        <f>IFERROR(IF(ISNUMBER(INDEX(SPPR!$E:$Z,MATCH($A152,SPPR!$A:$A,0),4)),$C152*INDEX(SPPR!$E:$Z,MATCH($A152,SPPR!$A:$A,0),4),""),"")</f>
        <v/>
      </c>
      <c r="H152">
        <f>IFERROR(IF(ISNUMBER(INDEX(SPPR!$E:$Z,MATCH($A152,SPPR!$A:$A,0),5)),$C152*INDEX(SPPR!$E:$Z,MATCH($A152,SPPR!$A:$A,0),5),""),"")</f>
        <v/>
      </c>
      <c r="I152">
        <f>IFERROR(IF(ISNUMBER(INDEX(SPPR!$E:$Z,MATCH($A152,SPPR!$A:$A,0),6)),$C152*INDEX(SPPR!$E:$Z,MATCH($A152,SPPR!$A:$A,0),6),""),"")</f>
        <v/>
      </c>
      <c r="J152">
        <f>IFERROR(IF(ISNUMBER(INDEX(SPPR!$E:$Z,MATCH($A152,SPPR!$A:$A,0),7)),$C152*INDEX(SPPR!$E:$Z,MATCH($A152,SPPR!$A:$A,0),7),""),"")</f>
        <v/>
      </c>
      <c r="K152">
        <f>IFERROR(IF(ISNUMBER(INDEX(SPPR!$E:$Z,MATCH($A152,SPPR!$A:$A,0),8)),$C152*INDEX(SPPR!$E:$Z,MATCH($A152,SPPR!$A:$A,0),8),""),"")</f>
        <v/>
      </c>
      <c r="L152">
        <f>IFERROR(IF(ISNUMBER(INDEX(SPPR!$E:$Z,MATCH($A152,SPPR!$A:$A,0),9)),$C152*INDEX(SPPR!$E:$Z,MATCH($A152,SPPR!$A:$A,0),9),""),"")</f>
        <v/>
      </c>
      <c r="M152">
        <f>IFERROR(IF(ISNUMBER(INDEX(SPPR!$E:$Z,MATCH($A152,SPPR!$A:$A,0),10)),$C152*INDEX(SPPR!$E:$Z,MATCH($A152,SPPR!$A:$A,0),10),""),"")</f>
        <v/>
      </c>
      <c r="N152">
        <f>IFERROR(IF(ISNUMBER(INDEX(SPPR!$E:$Z,MATCH($A152,SPPR!$A:$A,0),11)),$C152*INDEX(SPPR!$E:$Z,MATCH($A152,SPPR!$A:$A,0),11),""),"")</f>
        <v/>
      </c>
      <c r="O152">
        <f>IFERROR(IF(ISNUMBER(INDEX(SPPR!$E:$Z,MATCH($A152,SPPR!$A:$A,0),12)),$C152*INDEX(SPPR!$E:$Z,MATCH($A152,SPPR!$A:$A,0),12),""),"")</f>
        <v/>
      </c>
      <c r="P152">
        <f>IFERROR(IF(ISNUMBER(INDEX(SPPR!$E:$Z,MATCH($A152,SPPR!$A:$A,0),13)),$C152*INDEX(SPPR!$E:$Z,MATCH($A152,SPPR!$A:$A,0),13),""),"")</f>
        <v/>
      </c>
      <c r="Q152">
        <f>IFERROR(IF(ISNUMBER(INDEX(SPPR!$E:$Z,MATCH($A152,SPPR!$A:$A,0),14)),$C152*INDEX(SPPR!$E:$Z,MATCH($A152,SPPR!$A:$A,0),14),""),"")</f>
        <v/>
      </c>
      <c r="R152">
        <f>IFERROR(IF(ISNUMBER(INDEX(SPPR!$E:$Z,MATCH($A152,SPPR!$A:$A,0),15)),$C152*INDEX(SPPR!$E:$Z,MATCH($A152,SPPR!$A:$A,0),15),""),"")</f>
        <v/>
      </c>
      <c r="S152">
        <f>IFERROR(IF(ISNUMBER(INDEX(SPPR!$E:$Z,MATCH($A152,SPPR!$A:$A,0),16)),$C152*INDEX(SPPR!$E:$Z,MATCH($A152,SPPR!$A:$A,0),16),""),"")</f>
        <v/>
      </c>
      <c r="T152">
        <f>IFERROR(IF(ISNUMBER(INDEX(SPPR!$E:$Z,MATCH($A152,SPPR!$A:$A,0),17)),$C152*INDEX(SPPR!$E:$Z,MATCH($A152,SPPR!$A:$A,0),17),""),"")</f>
        <v/>
      </c>
      <c r="U152">
        <f>IFERROR(IF(ISNUMBER(INDEX(SPPR!$E:$Z,MATCH($A152,SPPR!$A:$A,0),18)),$C152*INDEX(SPPR!$E:$Z,MATCH($A152,SPPR!$A:$A,0),18),""),"")</f>
        <v/>
      </c>
      <c r="V152">
        <f>IFERROR(IF(ISNUMBER(INDEX(SPPR!$E:$Z,MATCH($A152,SPPR!$A:$A,0),19)),$C152*INDEX(SPPR!$E:$Z,MATCH($A152,SPPR!$A:$A,0),19),""),"")</f>
        <v/>
      </c>
      <c r="W152">
        <f>IFERROR(IF(ISNUMBER(INDEX(SPPR!$E:$Z,MATCH($A152,SPPR!$A:$A,0),20)),$C152*INDEX(SPPR!$E:$Z,MATCH($A152,SPPR!$A:$A,0),20),""),"")</f>
        <v/>
      </c>
      <c r="X152">
        <f>IFERROR(IF(ISNUMBER(INDEX(SPPR!$E:$Z,MATCH($A152,SPPR!$A:$A,0),21)),$C152*INDEX(SPPR!$E:$Z,MATCH($A152,SPPR!$A:$A,0),21),""),"")</f>
        <v/>
      </c>
      <c r="Y152">
        <f>IFERROR(IF(ISNUMBER(INDEX(SPPR!$E:$Z,MATCH($A152,SPPR!$A:$A,0),22)),$C152*INDEX(SPPR!$E:$Z,MATCH($A152,SPPR!$A:$A,0),22),""),"")</f>
        <v/>
      </c>
    </row>
    <row r="153">
      <c r="A153" t="inlineStr">
        <is>
          <t>Pomadasys incisus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IFERROR(IF(ISNUMBER(INDEX(SPPR!$E:$Z,MATCH($A153,SPPR!$A:$A,0),1)),$C153*INDEX(SPPR!$E:$Z,MATCH($A153,SPPR!$A:$A,0),1),""),"")</f>
        <v/>
      </c>
      <c r="E153">
        <f>IFERROR(IF(ISNUMBER(INDEX(SPPR!$E:$Z,MATCH($A153,SPPR!$A:$A,0),2)),$C153*INDEX(SPPR!$E:$Z,MATCH($A153,SPPR!$A:$A,0),2),""),"")</f>
        <v/>
      </c>
      <c r="F153">
        <f>IFERROR(IF(ISNUMBER(INDEX(SPPR!$E:$Z,MATCH($A153,SPPR!$A:$A,0),3)),$C153*INDEX(SPPR!$E:$Z,MATCH($A153,SPPR!$A:$A,0),3),""),"")</f>
        <v/>
      </c>
      <c r="G153">
        <f>IFERROR(IF(ISNUMBER(INDEX(SPPR!$E:$Z,MATCH($A153,SPPR!$A:$A,0),4)),$C153*INDEX(SPPR!$E:$Z,MATCH($A153,SPPR!$A:$A,0),4),""),"")</f>
        <v/>
      </c>
      <c r="H153">
        <f>IFERROR(IF(ISNUMBER(INDEX(SPPR!$E:$Z,MATCH($A153,SPPR!$A:$A,0),5)),$C153*INDEX(SPPR!$E:$Z,MATCH($A153,SPPR!$A:$A,0),5),""),"")</f>
        <v/>
      </c>
      <c r="I153">
        <f>IFERROR(IF(ISNUMBER(INDEX(SPPR!$E:$Z,MATCH($A153,SPPR!$A:$A,0),6)),$C153*INDEX(SPPR!$E:$Z,MATCH($A153,SPPR!$A:$A,0),6),""),"")</f>
        <v/>
      </c>
      <c r="J153">
        <f>IFERROR(IF(ISNUMBER(INDEX(SPPR!$E:$Z,MATCH($A153,SPPR!$A:$A,0),7)),$C153*INDEX(SPPR!$E:$Z,MATCH($A153,SPPR!$A:$A,0),7),""),"")</f>
        <v/>
      </c>
      <c r="K153">
        <f>IFERROR(IF(ISNUMBER(INDEX(SPPR!$E:$Z,MATCH($A153,SPPR!$A:$A,0),8)),$C153*INDEX(SPPR!$E:$Z,MATCH($A153,SPPR!$A:$A,0),8),""),"")</f>
        <v/>
      </c>
      <c r="L153">
        <f>IFERROR(IF(ISNUMBER(INDEX(SPPR!$E:$Z,MATCH($A153,SPPR!$A:$A,0),9)),$C153*INDEX(SPPR!$E:$Z,MATCH($A153,SPPR!$A:$A,0),9),""),"")</f>
        <v/>
      </c>
      <c r="M153">
        <f>IFERROR(IF(ISNUMBER(INDEX(SPPR!$E:$Z,MATCH($A153,SPPR!$A:$A,0),10)),$C153*INDEX(SPPR!$E:$Z,MATCH($A153,SPPR!$A:$A,0),10),""),"")</f>
        <v/>
      </c>
      <c r="N153">
        <f>IFERROR(IF(ISNUMBER(INDEX(SPPR!$E:$Z,MATCH($A153,SPPR!$A:$A,0),11)),$C153*INDEX(SPPR!$E:$Z,MATCH($A153,SPPR!$A:$A,0),11),""),"")</f>
        <v/>
      </c>
      <c r="O153">
        <f>IFERROR(IF(ISNUMBER(INDEX(SPPR!$E:$Z,MATCH($A153,SPPR!$A:$A,0),12)),$C153*INDEX(SPPR!$E:$Z,MATCH($A153,SPPR!$A:$A,0),12),""),"")</f>
        <v/>
      </c>
      <c r="P153">
        <f>IFERROR(IF(ISNUMBER(INDEX(SPPR!$E:$Z,MATCH($A153,SPPR!$A:$A,0),13)),$C153*INDEX(SPPR!$E:$Z,MATCH($A153,SPPR!$A:$A,0),13),""),"")</f>
        <v/>
      </c>
      <c r="Q153">
        <f>IFERROR(IF(ISNUMBER(INDEX(SPPR!$E:$Z,MATCH($A153,SPPR!$A:$A,0),14)),$C153*INDEX(SPPR!$E:$Z,MATCH($A153,SPPR!$A:$A,0),14),""),"")</f>
        <v/>
      </c>
      <c r="R153">
        <f>IFERROR(IF(ISNUMBER(INDEX(SPPR!$E:$Z,MATCH($A153,SPPR!$A:$A,0),15)),$C153*INDEX(SPPR!$E:$Z,MATCH($A153,SPPR!$A:$A,0),15),""),"")</f>
        <v/>
      </c>
      <c r="S153">
        <f>IFERROR(IF(ISNUMBER(INDEX(SPPR!$E:$Z,MATCH($A153,SPPR!$A:$A,0),16)),$C153*INDEX(SPPR!$E:$Z,MATCH($A153,SPPR!$A:$A,0),16),""),"")</f>
        <v/>
      </c>
      <c r="T153">
        <f>IFERROR(IF(ISNUMBER(INDEX(SPPR!$E:$Z,MATCH($A153,SPPR!$A:$A,0),17)),$C153*INDEX(SPPR!$E:$Z,MATCH($A153,SPPR!$A:$A,0),17),""),"")</f>
        <v/>
      </c>
      <c r="U153">
        <f>IFERROR(IF(ISNUMBER(INDEX(SPPR!$E:$Z,MATCH($A153,SPPR!$A:$A,0),18)),$C153*INDEX(SPPR!$E:$Z,MATCH($A153,SPPR!$A:$A,0),18),""),"")</f>
        <v/>
      </c>
      <c r="V153">
        <f>IFERROR(IF(ISNUMBER(INDEX(SPPR!$E:$Z,MATCH($A153,SPPR!$A:$A,0),19)),$C153*INDEX(SPPR!$E:$Z,MATCH($A153,SPPR!$A:$A,0),19),""),"")</f>
        <v/>
      </c>
      <c r="W153">
        <f>IFERROR(IF(ISNUMBER(INDEX(SPPR!$E:$Z,MATCH($A153,SPPR!$A:$A,0),20)),$C153*INDEX(SPPR!$E:$Z,MATCH($A153,SPPR!$A:$A,0),20),""),"")</f>
        <v/>
      </c>
      <c r="X153">
        <f>IFERROR(IF(ISNUMBER(INDEX(SPPR!$E:$Z,MATCH($A153,SPPR!$A:$A,0),21)),$C153*INDEX(SPPR!$E:$Z,MATCH($A153,SPPR!$A:$A,0),21),""),"")</f>
        <v/>
      </c>
      <c r="Y153">
        <f>IFERROR(IF(ISNUMBER(INDEX(SPPR!$E:$Z,MATCH($A153,SPPR!$A:$A,0),22)),$C153*INDEX(SPPR!$E:$Z,MATCH($A153,SPPR!$A:$A,0),22),""),"")</f>
        <v/>
      </c>
    </row>
    <row r="154">
      <c r="A154" t="inlineStr">
        <is>
          <t>Aristaeopsis edwardsiana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IFERROR(IF(ISNUMBER(INDEX(SPPR!$E:$Z,MATCH($A154,SPPR!$A:$A,0),1)),$C154*INDEX(SPPR!$E:$Z,MATCH($A154,SPPR!$A:$A,0),1),""),"")</f>
        <v/>
      </c>
      <c r="E154">
        <f>IFERROR(IF(ISNUMBER(INDEX(SPPR!$E:$Z,MATCH($A154,SPPR!$A:$A,0),2)),$C154*INDEX(SPPR!$E:$Z,MATCH($A154,SPPR!$A:$A,0),2),""),"")</f>
        <v/>
      </c>
      <c r="F154">
        <f>IFERROR(IF(ISNUMBER(INDEX(SPPR!$E:$Z,MATCH($A154,SPPR!$A:$A,0),3)),$C154*INDEX(SPPR!$E:$Z,MATCH($A154,SPPR!$A:$A,0),3),""),"")</f>
        <v/>
      </c>
      <c r="G154">
        <f>IFERROR(IF(ISNUMBER(INDEX(SPPR!$E:$Z,MATCH($A154,SPPR!$A:$A,0),4)),$C154*INDEX(SPPR!$E:$Z,MATCH($A154,SPPR!$A:$A,0),4),""),"")</f>
        <v/>
      </c>
      <c r="H154">
        <f>IFERROR(IF(ISNUMBER(INDEX(SPPR!$E:$Z,MATCH($A154,SPPR!$A:$A,0),5)),$C154*INDEX(SPPR!$E:$Z,MATCH($A154,SPPR!$A:$A,0),5),""),"")</f>
        <v/>
      </c>
      <c r="I154">
        <f>IFERROR(IF(ISNUMBER(INDEX(SPPR!$E:$Z,MATCH($A154,SPPR!$A:$A,0),6)),$C154*INDEX(SPPR!$E:$Z,MATCH($A154,SPPR!$A:$A,0),6),""),"")</f>
        <v/>
      </c>
      <c r="J154">
        <f>IFERROR(IF(ISNUMBER(INDEX(SPPR!$E:$Z,MATCH($A154,SPPR!$A:$A,0),7)),$C154*INDEX(SPPR!$E:$Z,MATCH($A154,SPPR!$A:$A,0),7),""),"")</f>
        <v/>
      </c>
      <c r="K154">
        <f>IFERROR(IF(ISNUMBER(INDEX(SPPR!$E:$Z,MATCH($A154,SPPR!$A:$A,0),8)),$C154*INDEX(SPPR!$E:$Z,MATCH($A154,SPPR!$A:$A,0),8),""),"")</f>
        <v/>
      </c>
      <c r="L154">
        <f>IFERROR(IF(ISNUMBER(INDEX(SPPR!$E:$Z,MATCH($A154,SPPR!$A:$A,0),9)),$C154*INDEX(SPPR!$E:$Z,MATCH($A154,SPPR!$A:$A,0),9),""),"")</f>
        <v/>
      </c>
      <c r="M154">
        <f>IFERROR(IF(ISNUMBER(INDEX(SPPR!$E:$Z,MATCH($A154,SPPR!$A:$A,0),10)),$C154*INDEX(SPPR!$E:$Z,MATCH($A154,SPPR!$A:$A,0),10),""),"")</f>
        <v/>
      </c>
      <c r="N154">
        <f>IFERROR(IF(ISNUMBER(INDEX(SPPR!$E:$Z,MATCH($A154,SPPR!$A:$A,0),11)),$C154*INDEX(SPPR!$E:$Z,MATCH($A154,SPPR!$A:$A,0),11),""),"")</f>
        <v/>
      </c>
      <c r="O154">
        <f>IFERROR(IF(ISNUMBER(INDEX(SPPR!$E:$Z,MATCH($A154,SPPR!$A:$A,0),12)),$C154*INDEX(SPPR!$E:$Z,MATCH($A154,SPPR!$A:$A,0),12),""),"")</f>
        <v/>
      </c>
      <c r="P154">
        <f>IFERROR(IF(ISNUMBER(INDEX(SPPR!$E:$Z,MATCH($A154,SPPR!$A:$A,0),13)),$C154*INDEX(SPPR!$E:$Z,MATCH($A154,SPPR!$A:$A,0),13),""),"")</f>
        <v/>
      </c>
      <c r="Q154">
        <f>IFERROR(IF(ISNUMBER(INDEX(SPPR!$E:$Z,MATCH($A154,SPPR!$A:$A,0),14)),$C154*INDEX(SPPR!$E:$Z,MATCH($A154,SPPR!$A:$A,0),14),""),"")</f>
        <v/>
      </c>
      <c r="R154">
        <f>IFERROR(IF(ISNUMBER(INDEX(SPPR!$E:$Z,MATCH($A154,SPPR!$A:$A,0),15)),$C154*INDEX(SPPR!$E:$Z,MATCH($A154,SPPR!$A:$A,0),15),""),"")</f>
        <v/>
      </c>
      <c r="S154">
        <f>IFERROR(IF(ISNUMBER(INDEX(SPPR!$E:$Z,MATCH($A154,SPPR!$A:$A,0),16)),$C154*INDEX(SPPR!$E:$Z,MATCH($A154,SPPR!$A:$A,0),16),""),"")</f>
        <v/>
      </c>
      <c r="T154">
        <f>IFERROR(IF(ISNUMBER(INDEX(SPPR!$E:$Z,MATCH($A154,SPPR!$A:$A,0),17)),$C154*INDEX(SPPR!$E:$Z,MATCH($A154,SPPR!$A:$A,0),17),""),"")</f>
        <v/>
      </c>
      <c r="U154">
        <f>IFERROR(IF(ISNUMBER(INDEX(SPPR!$E:$Z,MATCH($A154,SPPR!$A:$A,0),18)),$C154*INDEX(SPPR!$E:$Z,MATCH($A154,SPPR!$A:$A,0),18),""),"")</f>
        <v/>
      </c>
      <c r="V154">
        <f>IFERROR(IF(ISNUMBER(INDEX(SPPR!$E:$Z,MATCH($A154,SPPR!$A:$A,0),19)),$C154*INDEX(SPPR!$E:$Z,MATCH($A154,SPPR!$A:$A,0),19),""),"")</f>
        <v/>
      </c>
      <c r="W154">
        <f>IFERROR(IF(ISNUMBER(INDEX(SPPR!$E:$Z,MATCH($A154,SPPR!$A:$A,0),20)),$C154*INDEX(SPPR!$E:$Z,MATCH($A154,SPPR!$A:$A,0),20),""),"")</f>
        <v/>
      </c>
      <c r="X154">
        <f>IFERROR(IF(ISNUMBER(INDEX(SPPR!$E:$Z,MATCH($A154,SPPR!$A:$A,0),21)),$C154*INDEX(SPPR!$E:$Z,MATCH($A154,SPPR!$A:$A,0),21),""),"")</f>
        <v/>
      </c>
      <c r="Y154">
        <f>IFERROR(IF(ISNUMBER(INDEX(SPPR!$E:$Z,MATCH($A154,SPPR!$A:$A,0),22)),$C154*INDEX(SPPR!$E:$Z,MATCH($A154,SPPR!$A:$A,0),22),""),"")</f>
        <v/>
      </c>
    </row>
    <row r="155">
      <c r="A155" t="inlineStr">
        <is>
          <t>Plectorhinchus mediterraneus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IFERROR(IF(ISNUMBER(INDEX(SPPR!$E:$Z,MATCH($A155,SPPR!$A:$A,0),1)),$C155*INDEX(SPPR!$E:$Z,MATCH($A155,SPPR!$A:$A,0),1),""),"")</f>
        <v/>
      </c>
      <c r="E155">
        <f>IFERROR(IF(ISNUMBER(INDEX(SPPR!$E:$Z,MATCH($A155,SPPR!$A:$A,0),2)),$C155*INDEX(SPPR!$E:$Z,MATCH($A155,SPPR!$A:$A,0),2),""),"")</f>
        <v/>
      </c>
      <c r="F155">
        <f>IFERROR(IF(ISNUMBER(INDEX(SPPR!$E:$Z,MATCH($A155,SPPR!$A:$A,0),3)),$C155*INDEX(SPPR!$E:$Z,MATCH($A155,SPPR!$A:$A,0),3),""),"")</f>
        <v/>
      </c>
      <c r="G155">
        <f>IFERROR(IF(ISNUMBER(INDEX(SPPR!$E:$Z,MATCH($A155,SPPR!$A:$A,0),4)),$C155*INDEX(SPPR!$E:$Z,MATCH($A155,SPPR!$A:$A,0),4),""),"")</f>
        <v/>
      </c>
      <c r="H155">
        <f>IFERROR(IF(ISNUMBER(INDEX(SPPR!$E:$Z,MATCH($A155,SPPR!$A:$A,0),5)),$C155*INDEX(SPPR!$E:$Z,MATCH($A155,SPPR!$A:$A,0),5),""),"")</f>
        <v/>
      </c>
      <c r="I155">
        <f>IFERROR(IF(ISNUMBER(INDEX(SPPR!$E:$Z,MATCH($A155,SPPR!$A:$A,0),6)),$C155*INDEX(SPPR!$E:$Z,MATCH($A155,SPPR!$A:$A,0),6),""),"")</f>
        <v/>
      </c>
      <c r="J155">
        <f>IFERROR(IF(ISNUMBER(INDEX(SPPR!$E:$Z,MATCH($A155,SPPR!$A:$A,0),7)),$C155*INDEX(SPPR!$E:$Z,MATCH($A155,SPPR!$A:$A,0),7),""),"")</f>
        <v/>
      </c>
      <c r="K155">
        <f>IFERROR(IF(ISNUMBER(INDEX(SPPR!$E:$Z,MATCH($A155,SPPR!$A:$A,0),8)),$C155*INDEX(SPPR!$E:$Z,MATCH($A155,SPPR!$A:$A,0),8),""),"")</f>
        <v/>
      </c>
      <c r="L155">
        <f>IFERROR(IF(ISNUMBER(INDEX(SPPR!$E:$Z,MATCH($A155,SPPR!$A:$A,0),9)),$C155*INDEX(SPPR!$E:$Z,MATCH($A155,SPPR!$A:$A,0),9),""),"")</f>
        <v/>
      </c>
      <c r="M155">
        <f>IFERROR(IF(ISNUMBER(INDEX(SPPR!$E:$Z,MATCH($A155,SPPR!$A:$A,0),10)),$C155*INDEX(SPPR!$E:$Z,MATCH($A155,SPPR!$A:$A,0),10),""),"")</f>
        <v/>
      </c>
      <c r="N155">
        <f>IFERROR(IF(ISNUMBER(INDEX(SPPR!$E:$Z,MATCH($A155,SPPR!$A:$A,0),11)),$C155*INDEX(SPPR!$E:$Z,MATCH($A155,SPPR!$A:$A,0),11),""),"")</f>
        <v/>
      </c>
      <c r="O155">
        <f>IFERROR(IF(ISNUMBER(INDEX(SPPR!$E:$Z,MATCH($A155,SPPR!$A:$A,0),12)),$C155*INDEX(SPPR!$E:$Z,MATCH($A155,SPPR!$A:$A,0),12),""),"")</f>
        <v/>
      </c>
      <c r="P155">
        <f>IFERROR(IF(ISNUMBER(INDEX(SPPR!$E:$Z,MATCH($A155,SPPR!$A:$A,0),13)),$C155*INDEX(SPPR!$E:$Z,MATCH($A155,SPPR!$A:$A,0),13),""),"")</f>
        <v/>
      </c>
      <c r="Q155">
        <f>IFERROR(IF(ISNUMBER(INDEX(SPPR!$E:$Z,MATCH($A155,SPPR!$A:$A,0),14)),$C155*INDEX(SPPR!$E:$Z,MATCH($A155,SPPR!$A:$A,0),14),""),"")</f>
        <v/>
      </c>
      <c r="R155">
        <f>IFERROR(IF(ISNUMBER(INDEX(SPPR!$E:$Z,MATCH($A155,SPPR!$A:$A,0),15)),$C155*INDEX(SPPR!$E:$Z,MATCH($A155,SPPR!$A:$A,0),15),""),"")</f>
        <v/>
      </c>
      <c r="S155">
        <f>IFERROR(IF(ISNUMBER(INDEX(SPPR!$E:$Z,MATCH($A155,SPPR!$A:$A,0),16)),$C155*INDEX(SPPR!$E:$Z,MATCH($A155,SPPR!$A:$A,0),16),""),"")</f>
        <v/>
      </c>
      <c r="T155">
        <f>IFERROR(IF(ISNUMBER(INDEX(SPPR!$E:$Z,MATCH($A155,SPPR!$A:$A,0),17)),$C155*INDEX(SPPR!$E:$Z,MATCH($A155,SPPR!$A:$A,0),17),""),"")</f>
        <v/>
      </c>
      <c r="U155">
        <f>IFERROR(IF(ISNUMBER(INDEX(SPPR!$E:$Z,MATCH($A155,SPPR!$A:$A,0),18)),$C155*INDEX(SPPR!$E:$Z,MATCH($A155,SPPR!$A:$A,0),18),""),"")</f>
        <v/>
      </c>
      <c r="V155">
        <f>IFERROR(IF(ISNUMBER(INDEX(SPPR!$E:$Z,MATCH($A155,SPPR!$A:$A,0),19)),$C155*INDEX(SPPR!$E:$Z,MATCH($A155,SPPR!$A:$A,0),19),""),"")</f>
        <v/>
      </c>
      <c r="W155">
        <f>IFERROR(IF(ISNUMBER(INDEX(SPPR!$E:$Z,MATCH($A155,SPPR!$A:$A,0),20)),$C155*INDEX(SPPR!$E:$Z,MATCH($A155,SPPR!$A:$A,0),20),""),"")</f>
        <v/>
      </c>
      <c r="X155">
        <f>IFERROR(IF(ISNUMBER(INDEX(SPPR!$E:$Z,MATCH($A155,SPPR!$A:$A,0),21)),$C155*INDEX(SPPR!$E:$Z,MATCH($A155,SPPR!$A:$A,0),21),""),"")</f>
        <v/>
      </c>
      <c r="Y155">
        <f>IFERROR(IF(ISNUMBER(INDEX(SPPR!$E:$Z,MATCH($A155,SPPR!$A:$A,0),22)),$C155*INDEX(SPPR!$E:$Z,MATCH($A155,SPPR!$A:$A,0),22),""),"")</f>
        <v/>
      </c>
    </row>
    <row r="156">
      <c r="A156" t="inlineStr">
        <is>
          <t>Istiophoridae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IFERROR(IF(ISNUMBER(INDEX(SPPR!$E:$Z,MATCH($A156,SPPR!$A:$A,0),1)),$C156*INDEX(SPPR!$E:$Z,MATCH($A156,SPPR!$A:$A,0),1),""),"")</f>
        <v/>
      </c>
      <c r="E156">
        <f>IFERROR(IF(ISNUMBER(INDEX(SPPR!$E:$Z,MATCH($A156,SPPR!$A:$A,0),2)),$C156*INDEX(SPPR!$E:$Z,MATCH($A156,SPPR!$A:$A,0),2),""),"")</f>
        <v/>
      </c>
      <c r="F156">
        <f>IFERROR(IF(ISNUMBER(INDEX(SPPR!$E:$Z,MATCH($A156,SPPR!$A:$A,0),3)),$C156*INDEX(SPPR!$E:$Z,MATCH($A156,SPPR!$A:$A,0),3),""),"")</f>
        <v/>
      </c>
      <c r="G156">
        <f>IFERROR(IF(ISNUMBER(INDEX(SPPR!$E:$Z,MATCH($A156,SPPR!$A:$A,0),4)),$C156*INDEX(SPPR!$E:$Z,MATCH($A156,SPPR!$A:$A,0),4),""),"")</f>
        <v/>
      </c>
      <c r="H156">
        <f>IFERROR(IF(ISNUMBER(INDEX(SPPR!$E:$Z,MATCH($A156,SPPR!$A:$A,0),5)),$C156*INDEX(SPPR!$E:$Z,MATCH($A156,SPPR!$A:$A,0),5),""),"")</f>
        <v/>
      </c>
      <c r="I156">
        <f>IFERROR(IF(ISNUMBER(INDEX(SPPR!$E:$Z,MATCH($A156,SPPR!$A:$A,0),6)),$C156*INDEX(SPPR!$E:$Z,MATCH($A156,SPPR!$A:$A,0),6),""),"")</f>
        <v/>
      </c>
      <c r="J156">
        <f>IFERROR(IF(ISNUMBER(INDEX(SPPR!$E:$Z,MATCH($A156,SPPR!$A:$A,0),7)),$C156*INDEX(SPPR!$E:$Z,MATCH($A156,SPPR!$A:$A,0),7),""),"")</f>
        <v/>
      </c>
      <c r="K156">
        <f>IFERROR(IF(ISNUMBER(INDEX(SPPR!$E:$Z,MATCH($A156,SPPR!$A:$A,0),8)),$C156*INDEX(SPPR!$E:$Z,MATCH($A156,SPPR!$A:$A,0),8),""),"")</f>
        <v/>
      </c>
      <c r="L156">
        <f>IFERROR(IF(ISNUMBER(INDEX(SPPR!$E:$Z,MATCH($A156,SPPR!$A:$A,0),9)),$C156*INDEX(SPPR!$E:$Z,MATCH($A156,SPPR!$A:$A,0),9),""),"")</f>
        <v/>
      </c>
      <c r="M156">
        <f>IFERROR(IF(ISNUMBER(INDEX(SPPR!$E:$Z,MATCH($A156,SPPR!$A:$A,0),10)),$C156*INDEX(SPPR!$E:$Z,MATCH($A156,SPPR!$A:$A,0),10),""),"")</f>
        <v/>
      </c>
      <c r="N156">
        <f>IFERROR(IF(ISNUMBER(INDEX(SPPR!$E:$Z,MATCH($A156,SPPR!$A:$A,0),11)),$C156*INDEX(SPPR!$E:$Z,MATCH($A156,SPPR!$A:$A,0),11),""),"")</f>
        <v/>
      </c>
      <c r="O156">
        <f>IFERROR(IF(ISNUMBER(INDEX(SPPR!$E:$Z,MATCH($A156,SPPR!$A:$A,0),12)),$C156*INDEX(SPPR!$E:$Z,MATCH($A156,SPPR!$A:$A,0),12),""),"")</f>
        <v/>
      </c>
      <c r="P156">
        <f>IFERROR(IF(ISNUMBER(INDEX(SPPR!$E:$Z,MATCH($A156,SPPR!$A:$A,0),13)),$C156*INDEX(SPPR!$E:$Z,MATCH($A156,SPPR!$A:$A,0),13),""),"")</f>
        <v/>
      </c>
      <c r="Q156">
        <f>IFERROR(IF(ISNUMBER(INDEX(SPPR!$E:$Z,MATCH($A156,SPPR!$A:$A,0),14)),$C156*INDEX(SPPR!$E:$Z,MATCH($A156,SPPR!$A:$A,0),14),""),"")</f>
        <v/>
      </c>
      <c r="R156">
        <f>IFERROR(IF(ISNUMBER(INDEX(SPPR!$E:$Z,MATCH($A156,SPPR!$A:$A,0),15)),$C156*INDEX(SPPR!$E:$Z,MATCH($A156,SPPR!$A:$A,0),15),""),"")</f>
        <v/>
      </c>
      <c r="S156">
        <f>IFERROR(IF(ISNUMBER(INDEX(SPPR!$E:$Z,MATCH($A156,SPPR!$A:$A,0),16)),$C156*INDEX(SPPR!$E:$Z,MATCH($A156,SPPR!$A:$A,0),16),""),"")</f>
        <v/>
      </c>
      <c r="T156">
        <f>IFERROR(IF(ISNUMBER(INDEX(SPPR!$E:$Z,MATCH($A156,SPPR!$A:$A,0),17)),$C156*INDEX(SPPR!$E:$Z,MATCH($A156,SPPR!$A:$A,0),17),""),"")</f>
        <v/>
      </c>
      <c r="U156">
        <f>IFERROR(IF(ISNUMBER(INDEX(SPPR!$E:$Z,MATCH($A156,SPPR!$A:$A,0),18)),$C156*INDEX(SPPR!$E:$Z,MATCH($A156,SPPR!$A:$A,0),18),""),"")</f>
        <v/>
      </c>
      <c r="V156">
        <f>IFERROR(IF(ISNUMBER(INDEX(SPPR!$E:$Z,MATCH($A156,SPPR!$A:$A,0),19)),$C156*INDEX(SPPR!$E:$Z,MATCH($A156,SPPR!$A:$A,0),19),""),"")</f>
        <v/>
      </c>
      <c r="W156">
        <f>IFERROR(IF(ISNUMBER(INDEX(SPPR!$E:$Z,MATCH($A156,SPPR!$A:$A,0),20)),$C156*INDEX(SPPR!$E:$Z,MATCH($A156,SPPR!$A:$A,0),20),""),"")</f>
        <v/>
      </c>
      <c r="X156">
        <f>IFERROR(IF(ISNUMBER(INDEX(SPPR!$E:$Z,MATCH($A156,SPPR!$A:$A,0),21)),$C156*INDEX(SPPR!$E:$Z,MATCH($A156,SPPR!$A:$A,0),21),""),"")</f>
        <v/>
      </c>
      <c r="Y156">
        <f>IFERROR(IF(ISNUMBER(INDEX(SPPR!$E:$Z,MATCH($A156,SPPR!$A:$A,0),22)),$C156*INDEX(SPPR!$E:$Z,MATCH($A156,SPPR!$A:$A,0),22),""),"")</f>
        <v/>
      </c>
    </row>
    <row r="157">
      <c r="A157" t="inlineStr">
        <is>
          <t>Brotula barbata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IFERROR(IF(ISNUMBER(INDEX(SPPR!$E:$Z,MATCH($A157,SPPR!$A:$A,0),1)),$C157*INDEX(SPPR!$E:$Z,MATCH($A157,SPPR!$A:$A,0),1),""),"")</f>
        <v/>
      </c>
      <c r="E157">
        <f>IFERROR(IF(ISNUMBER(INDEX(SPPR!$E:$Z,MATCH($A157,SPPR!$A:$A,0),2)),$C157*INDEX(SPPR!$E:$Z,MATCH($A157,SPPR!$A:$A,0),2),""),"")</f>
        <v/>
      </c>
      <c r="F157">
        <f>IFERROR(IF(ISNUMBER(INDEX(SPPR!$E:$Z,MATCH($A157,SPPR!$A:$A,0),3)),$C157*INDEX(SPPR!$E:$Z,MATCH($A157,SPPR!$A:$A,0),3),""),"")</f>
        <v/>
      </c>
      <c r="G157">
        <f>IFERROR(IF(ISNUMBER(INDEX(SPPR!$E:$Z,MATCH($A157,SPPR!$A:$A,0),4)),$C157*INDEX(SPPR!$E:$Z,MATCH($A157,SPPR!$A:$A,0),4),""),"")</f>
        <v/>
      </c>
      <c r="H157">
        <f>IFERROR(IF(ISNUMBER(INDEX(SPPR!$E:$Z,MATCH($A157,SPPR!$A:$A,0),5)),$C157*INDEX(SPPR!$E:$Z,MATCH($A157,SPPR!$A:$A,0),5),""),"")</f>
        <v/>
      </c>
      <c r="I157">
        <f>IFERROR(IF(ISNUMBER(INDEX(SPPR!$E:$Z,MATCH($A157,SPPR!$A:$A,0),6)),$C157*INDEX(SPPR!$E:$Z,MATCH($A157,SPPR!$A:$A,0),6),""),"")</f>
        <v/>
      </c>
      <c r="J157">
        <f>IFERROR(IF(ISNUMBER(INDEX(SPPR!$E:$Z,MATCH($A157,SPPR!$A:$A,0),7)),$C157*INDEX(SPPR!$E:$Z,MATCH($A157,SPPR!$A:$A,0),7),""),"")</f>
        <v/>
      </c>
      <c r="K157">
        <f>IFERROR(IF(ISNUMBER(INDEX(SPPR!$E:$Z,MATCH($A157,SPPR!$A:$A,0),8)),$C157*INDEX(SPPR!$E:$Z,MATCH($A157,SPPR!$A:$A,0),8),""),"")</f>
        <v/>
      </c>
      <c r="L157">
        <f>IFERROR(IF(ISNUMBER(INDEX(SPPR!$E:$Z,MATCH($A157,SPPR!$A:$A,0),9)),$C157*INDEX(SPPR!$E:$Z,MATCH($A157,SPPR!$A:$A,0),9),""),"")</f>
        <v/>
      </c>
      <c r="M157">
        <f>IFERROR(IF(ISNUMBER(INDEX(SPPR!$E:$Z,MATCH($A157,SPPR!$A:$A,0),10)),$C157*INDEX(SPPR!$E:$Z,MATCH($A157,SPPR!$A:$A,0),10),""),"")</f>
        <v/>
      </c>
      <c r="N157">
        <f>IFERROR(IF(ISNUMBER(INDEX(SPPR!$E:$Z,MATCH($A157,SPPR!$A:$A,0),11)),$C157*INDEX(SPPR!$E:$Z,MATCH($A157,SPPR!$A:$A,0),11),""),"")</f>
        <v/>
      </c>
      <c r="O157">
        <f>IFERROR(IF(ISNUMBER(INDEX(SPPR!$E:$Z,MATCH($A157,SPPR!$A:$A,0),12)),$C157*INDEX(SPPR!$E:$Z,MATCH($A157,SPPR!$A:$A,0),12),""),"")</f>
        <v/>
      </c>
      <c r="P157">
        <f>IFERROR(IF(ISNUMBER(INDEX(SPPR!$E:$Z,MATCH($A157,SPPR!$A:$A,0),13)),$C157*INDEX(SPPR!$E:$Z,MATCH($A157,SPPR!$A:$A,0),13),""),"")</f>
        <v/>
      </c>
      <c r="Q157">
        <f>IFERROR(IF(ISNUMBER(INDEX(SPPR!$E:$Z,MATCH($A157,SPPR!$A:$A,0),14)),$C157*INDEX(SPPR!$E:$Z,MATCH($A157,SPPR!$A:$A,0),14),""),"")</f>
        <v/>
      </c>
      <c r="R157">
        <f>IFERROR(IF(ISNUMBER(INDEX(SPPR!$E:$Z,MATCH($A157,SPPR!$A:$A,0),15)),$C157*INDEX(SPPR!$E:$Z,MATCH($A157,SPPR!$A:$A,0),15),""),"")</f>
        <v/>
      </c>
      <c r="S157">
        <f>IFERROR(IF(ISNUMBER(INDEX(SPPR!$E:$Z,MATCH($A157,SPPR!$A:$A,0),16)),$C157*INDEX(SPPR!$E:$Z,MATCH($A157,SPPR!$A:$A,0),16),""),"")</f>
        <v/>
      </c>
      <c r="T157">
        <f>IFERROR(IF(ISNUMBER(INDEX(SPPR!$E:$Z,MATCH($A157,SPPR!$A:$A,0),17)),$C157*INDEX(SPPR!$E:$Z,MATCH($A157,SPPR!$A:$A,0),17),""),"")</f>
        <v/>
      </c>
      <c r="U157">
        <f>IFERROR(IF(ISNUMBER(INDEX(SPPR!$E:$Z,MATCH($A157,SPPR!$A:$A,0),18)),$C157*INDEX(SPPR!$E:$Z,MATCH($A157,SPPR!$A:$A,0),18),""),"")</f>
        <v/>
      </c>
      <c r="V157">
        <f>IFERROR(IF(ISNUMBER(INDEX(SPPR!$E:$Z,MATCH($A157,SPPR!$A:$A,0),19)),$C157*INDEX(SPPR!$E:$Z,MATCH($A157,SPPR!$A:$A,0),19),""),"")</f>
        <v/>
      </c>
      <c r="W157">
        <f>IFERROR(IF(ISNUMBER(INDEX(SPPR!$E:$Z,MATCH($A157,SPPR!$A:$A,0),20)),$C157*INDEX(SPPR!$E:$Z,MATCH($A157,SPPR!$A:$A,0),20),""),"")</f>
        <v/>
      </c>
      <c r="X157">
        <f>IFERROR(IF(ISNUMBER(INDEX(SPPR!$E:$Z,MATCH($A157,SPPR!$A:$A,0),21)),$C157*INDEX(SPPR!$E:$Z,MATCH($A157,SPPR!$A:$A,0),21),""),"")</f>
        <v/>
      </c>
      <c r="Y157">
        <f>IFERROR(IF(ISNUMBER(INDEX(SPPR!$E:$Z,MATCH($A157,SPPR!$A:$A,0),22)),$C157*INDEX(SPPR!$E:$Z,MATCH($A157,SPPR!$A:$A,0),22),""),"")</f>
        <v/>
      </c>
    </row>
    <row r="158">
      <c r="A158" t="inlineStr">
        <is>
          <t>Dentex angolensis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IFERROR(IF(ISNUMBER(INDEX(SPPR!$E:$Z,MATCH($A158,SPPR!$A:$A,0),1)),$C158*INDEX(SPPR!$E:$Z,MATCH($A158,SPPR!$A:$A,0),1),""),"")</f>
        <v/>
      </c>
      <c r="E158">
        <f>IFERROR(IF(ISNUMBER(INDEX(SPPR!$E:$Z,MATCH($A158,SPPR!$A:$A,0),2)),$C158*INDEX(SPPR!$E:$Z,MATCH($A158,SPPR!$A:$A,0),2),""),"")</f>
        <v/>
      </c>
      <c r="F158">
        <f>IFERROR(IF(ISNUMBER(INDEX(SPPR!$E:$Z,MATCH($A158,SPPR!$A:$A,0),3)),$C158*INDEX(SPPR!$E:$Z,MATCH($A158,SPPR!$A:$A,0),3),""),"")</f>
        <v/>
      </c>
      <c r="G158">
        <f>IFERROR(IF(ISNUMBER(INDEX(SPPR!$E:$Z,MATCH($A158,SPPR!$A:$A,0),4)),$C158*INDEX(SPPR!$E:$Z,MATCH($A158,SPPR!$A:$A,0),4),""),"")</f>
        <v/>
      </c>
      <c r="H158">
        <f>IFERROR(IF(ISNUMBER(INDEX(SPPR!$E:$Z,MATCH($A158,SPPR!$A:$A,0),5)),$C158*INDEX(SPPR!$E:$Z,MATCH($A158,SPPR!$A:$A,0),5),""),"")</f>
        <v/>
      </c>
      <c r="I158">
        <f>IFERROR(IF(ISNUMBER(INDEX(SPPR!$E:$Z,MATCH($A158,SPPR!$A:$A,0),6)),$C158*INDEX(SPPR!$E:$Z,MATCH($A158,SPPR!$A:$A,0),6),""),"")</f>
        <v/>
      </c>
      <c r="J158">
        <f>IFERROR(IF(ISNUMBER(INDEX(SPPR!$E:$Z,MATCH($A158,SPPR!$A:$A,0),7)),$C158*INDEX(SPPR!$E:$Z,MATCH($A158,SPPR!$A:$A,0),7),""),"")</f>
        <v/>
      </c>
      <c r="K158">
        <f>IFERROR(IF(ISNUMBER(INDEX(SPPR!$E:$Z,MATCH($A158,SPPR!$A:$A,0),8)),$C158*INDEX(SPPR!$E:$Z,MATCH($A158,SPPR!$A:$A,0),8),""),"")</f>
        <v/>
      </c>
      <c r="L158">
        <f>IFERROR(IF(ISNUMBER(INDEX(SPPR!$E:$Z,MATCH($A158,SPPR!$A:$A,0),9)),$C158*INDEX(SPPR!$E:$Z,MATCH($A158,SPPR!$A:$A,0),9),""),"")</f>
        <v/>
      </c>
      <c r="M158">
        <f>IFERROR(IF(ISNUMBER(INDEX(SPPR!$E:$Z,MATCH($A158,SPPR!$A:$A,0),10)),$C158*INDEX(SPPR!$E:$Z,MATCH($A158,SPPR!$A:$A,0),10),""),"")</f>
        <v/>
      </c>
      <c r="N158">
        <f>IFERROR(IF(ISNUMBER(INDEX(SPPR!$E:$Z,MATCH($A158,SPPR!$A:$A,0),11)),$C158*INDEX(SPPR!$E:$Z,MATCH($A158,SPPR!$A:$A,0),11),""),"")</f>
        <v/>
      </c>
      <c r="O158">
        <f>IFERROR(IF(ISNUMBER(INDEX(SPPR!$E:$Z,MATCH($A158,SPPR!$A:$A,0),12)),$C158*INDEX(SPPR!$E:$Z,MATCH($A158,SPPR!$A:$A,0),12),""),"")</f>
        <v/>
      </c>
      <c r="P158">
        <f>IFERROR(IF(ISNUMBER(INDEX(SPPR!$E:$Z,MATCH($A158,SPPR!$A:$A,0),13)),$C158*INDEX(SPPR!$E:$Z,MATCH($A158,SPPR!$A:$A,0),13),""),"")</f>
        <v/>
      </c>
      <c r="Q158">
        <f>IFERROR(IF(ISNUMBER(INDEX(SPPR!$E:$Z,MATCH($A158,SPPR!$A:$A,0),14)),$C158*INDEX(SPPR!$E:$Z,MATCH($A158,SPPR!$A:$A,0),14),""),"")</f>
        <v/>
      </c>
      <c r="R158">
        <f>IFERROR(IF(ISNUMBER(INDEX(SPPR!$E:$Z,MATCH($A158,SPPR!$A:$A,0),15)),$C158*INDEX(SPPR!$E:$Z,MATCH($A158,SPPR!$A:$A,0),15),""),"")</f>
        <v/>
      </c>
      <c r="S158">
        <f>IFERROR(IF(ISNUMBER(INDEX(SPPR!$E:$Z,MATCH($A158,SPPR!$A:$A,0),16)),$C158*INDEX(SPPR!$E:$Z,MATCH($A158,SPPR!$A:$A,0),16),""),"")</f>
        <v/>
      </c>
      <c r="T158">
        <f>IFERROR(IF(ISNUMBER(INDEX(SPPR!$E:$Z,MATCH($A158,SPPR!$A:$A,0),17)),$C158*INDEX(SPPR!$E:$Z,MATCH($A158,SPPR!$A:$A,0),17),""),"")</f>
        <v/>
      </c>
      <c r="U158">
        <f>IFERROR(IF(ISNUMBER(INDEX(SPPR!$E:$Z,MATCH($A158,SPPR!$A:$A,0),18)),$C158*INDEX(SPPR!$E:$Z,MATCH($A158,SPPR!$A:$A,0),18),""),"")</f>
        <v/>
      </c>
      <c r="V158">
        <f>IFERROR(IF(ISNUMBER(INDEX(SPPR!$E:$Z,MATCH($A158,SPPR!$A:$A,0),19)),$C158*INDEX(SPPR!$E:$Z,MATCH($A158,SPPR!$A:$A,0),19),""),"")</f>
        <v/>
      </c>
      <c r="W158">
        <f>IFERROR(IF(ISNUMBER(INDEX(SPPR!$E:$Z,MATCH($A158,SPPR!$A:$A,0),20)),$C158*INDEX(SPPR!$E:$Z,MATCH($A158,SPPR!$A:$A,0),20),""),"")</f>
        <v/>
      </c>
      <c r="X158">
        <f>IFERROR(IF(ISNUMBER(INDEX(SPPR!$E:$Z,MATCH($A158,SPPR!$A:$A,0),21)),$C158*INDEX(SPPR!$E:$Z,MATCH($A158,SPPR!$A:$A,0),21),""),"")</f>
        <v/>
      </c>
      <c r="Y158">
        <f>IFERROR(IF(ISNUMBER(INDEX(SPPR!$E:$Z,MATCH($A158,SPPR!$A:$A,0),22)),$C158*INDEX(SPPR!$E:$Z,MATCH($A158,SPPR!$A:$A,0),22),""),"")</f>
        <v/>
      </c>
    </row>
    <row r="159">
      <c r="A159" t="inlineStr">
        <is>
          <t>Sphyraena afra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IFERROR(IF(ISNUMBER(INDEX(SPPR!$E:$Z,MATCH($A159,SPPR!$A:$A,0),1)),$C159*INDEX(SPPR!$E:$Z,MATCH($A159,SPPR!$A:$A,0),1),""),"")</f>
        <v/>
      </c>
      <c r="E159">
        <f>IFERROR(IF(ISNUMBER(INDEX(SPPR!$E:$Z,MATCH($A159,SPPR!$A:$A,0),2)),$C159*INDEX(SPPR!$E:$Z,MATCH($A159,SPPR!$A:$A,0),2),""),"")</f>
        <v/>
      </c>
      <c r="F159">
        <f>IFERROR(IF(ISNUMBER(INDEX(SPPR!$E:$Z,MATCH($A159,SPPR!$A:$A,0),3)),$C159*INDEX(SPPR!$E:$Z,MATCH($A159,SPPR!$A:$A,0),3),""),"")</f>
        <v/>
      </c>
      <c r="G159">
        <f>IFERROR(IF(ISNUMBER(INDEX(SPPR!$E:$Z,MATCH($A159,SPPR!$A:$A,0),4)),$C159*INDEX(SPPR!$E:$Z,MATCH($A159,SPPR!$A:$A,0),4),""),"")</f>
        <v/>
      </c>
      <c r="H159">
        <f>IFERROR(IF(ISNUMBER(INDEX(SPPR!$E:$Z,MATCH($A159,SPPR!$A:$A,0),5)),$C159*INDEX(SPPR!$E:$Z,MATCH($A159,SPPR!$A:$A,0),5),""),"")</f>
        <v/>
      </c>
      <c r="I159">
        <f>IFERROR(IF(ISNUMBER(INDEX(SPPR!$E:$Z,MATCH($A159,SPPR!$A:$A,0),6)),$C159*INDEX(SPPR!$E:$Z,MATCH($A159,SPPR!$A:$A,0),6),""),"")</f>
        <v/>
      </c>
      <c r="J159">
        <f>IFERROR(IF(ISNUMBER(INDEX(SPPR!$E:$Z,MATCH($A159,SPPR!$A:$A,0),7)),$C159*INDEX(SPPR!$E:$Z,MATCH($A159,SPPR!$A:$A,0),7),""),"")</f>
        <v/>
      </c>
      <c r="K159">
        <f>IFERROR(IF(ISNUMBER(INDEX(SPPR!$E:$Z,MATCH($A159,SPPR!$A:$A,0),8)),$C159*INDEX(SPPR!$E:$Z,MATCH($A159,SPPR!$A:$A,0),8),""),"")</f>
        <v/>
      </c>
      <c r="L159">
        <f>IFERROR(IF(ISNUMBER(INDEX(SPPR!$E:$Z,MATCH($A159,SPPR!$A:$A,0),9)),$C159*INDEX(SPPR!$E:$Z,MATCH($A159,SPPR!$A:$A,0),9),""),"")</f>
        <v/>
      </c>
      <c r="M159">
        <f>IFERROR(IF(ISNUMBER(INDEX(SPPR!$E:$Z,MATCH($A159,SPPR!$A:$A,0),10)),$C159*INDEX(SPPR!$E:$Z,MATCH($A159,SPPR!$A:$A,0),10),""),"")</f>
        <v/>
      </c>
      <c r="N159">
        <f>IFERROR(IF(ISNUMBER(INDEX(SPPR!$E:$Z,MATCH($A159,SPPR!$A:$A,0),11)),$C159*INDEX(SPPR!$E:$Z,MATCH($A159,SPPR!$A:$A,0),11),""),"")</f>
        <v/>
      </c>
      <c r="O159">
        <f>IFERROR(IF(ISNUMBER(INDEX(SPPR!$E:$Z,MATCH($A159,SPPR!$A:$A,0),12)),$C159*INDEX(SPPR!$E:$Z,MATCH($A159,SPPR!$A:$A,0),12),""),"")</f>
        <v/>
      </c>
      <c r="P159">
        <f>IFERROR(IF(ISNUMBER(INDEX(SPPR!$E:$Z,MATCH($A159,SPPR!$A:$A,0),13)),$C159*INDEX(SPPR!$E:$Z,MATCH($A159,SPPR!$A:$A,0),13),""),"")</f>
        <v/>
      </c>
      <c r="Q159">
        <f>IFERROR(IF(ISNUMBER(INDEX(SPPR!$E:$Z,MATCH($A159,SPPR!$A:$A,0),14)),$C159*INDEX(SPPR!$E:$Z,MATCH($A159,SPPR!$A:$A,0),14),""),"")</f>
        <v/>
      </c>
      <c r="R159">
        <f>IFERROR(IF(ISNUMBER(INDEX(SPPR!$E:$Z,MATCH($A159,SPPR!$A:$A,0),15)),$C159*INDEX(SPPR!$E:$Z,MATCH($A159,SPPR!$A:$A,0),15),""),"")</f>
        <v/>
      </c>
      <c r="S159">
        <f>IFERROR(IF(ISNUMBER(INDEX(SPPR!$E:$Z,MATCH($A159,SPPR!$A:$A,0),16)),$C159*INDEX(SPPR!$E:$Z,MATCH($A159,SPPR!$A:$A,0),16),""),"")</f>
        <v/>
      </c>
      <c r="T159">
        <f>IFERROR(IF(ISNUMBER(INDEX(SPPR!$E:$Z,MATCH($A159,SPPR!$A:$A,0),17)),$C159*INDEX(SPPR!$E:$Z,MATCH($A159,SPPR!$A:$A,0),17),""),"")</f>
        <v/>
      </c>
      <c r="U159">
        <f>IFERROR(IF(ISNUMBER(INDEX(SPPR!$E:$Z,MATCH($A159,SPPR!$A:$A,0),18)),$C159*INDEX(SPPR!$E:$Z,MATCH($A159,SPPR!$A:$A,0),18),""),"")</f>
        <v/>
      </c>
      <c r="V159">
        <f>IFERROR(IF(ISNUMBER(INDEX(SPPR!$E:$Z,MATCH($A159,SPPR!$A:$A,0),19)),$C159*INDEX(SPPR!$E:$Z,MATCH($A159,SPPR!$A:$A,0),19),""),"")</f>
        <v/>
      </c>
      <c r="W159">
        <f>IFERROR(IF(ISNUMBER(INDEX(SPPR!$E:$Z,MATCH($A159,SPPR!$A:$A,0),20)),$C159*INDEX(SPPR!$E:$Z,MATCH($A159,SPPR!$A:$A,0),20),""),"")</f>
        <v/>
      </c>
      <c r="X159">
        <f>IFERROR(IF(ISNUMBER(INDEX(SPPR!$E:$Z,MATCH($A159,SPPR!$A:$A,0),21)),$C159*INDEX(SPPR!$E:$Z,MATCH($A159,SPPR!$A:$A,0),21),""),"")</f>
        <v/>
      </c>
      <c r="Y159">
        <f>IFERROR(IF(ISNUMBER(INDEX(SPPR!$E:$Z,MATCH($A159,SPPR!$A:$A,0),22)),$C159*INDEX(SPPR!$E:$Z,MATCH($A159,SPPR!$A:$A,0),22),""),"")</f>
        <v/>
      </c>
    </row>
    <row r="160">
      <c r="A160" t="inlineStr">
        <is>
          <t>Coryphaena hippurus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IFERROR(IF(ISNUMBER(INDEX(SPPR!$E:$Z,MATCH($A160,SPPR!$A:$A,0),1)),$C160*INDEX(SPPR!$E:$Z,MATCH($A160,SPPR!$A:$A,0),1),""),"")</f>
        <v/>
      </c>
      <c r="E160">
        <f>IFERROR(IF(ISNUMBER(INDEX(SPPR!$E:$Z,MATCH($A160,SPPR!$A:$A,0),2)),$C160*INDEX(SPPR!$E:$Z,MATCH($A160,SPPR!$A:$A,0),2),""),"")</f>
        <v/>
      </c>
      <c r="F160">
        <f>IFERROR(IF(ISNUMBER(INDEX(SPPR!$E:$Z,MATCH($A160,SPPR!$A:$A,0),3)),$C160*INDEX(SPPR!$E:$Z,MATCH($A160,SPPR!$A:$A,0),3),""),"")</f>
        <v/>
      </c>
      <c r="G160">
        <f>IFERROR(IF(ISNUMBER(INDEX(SPPR!$E:$Z,MATCH($A160,SPPR!$A:$A,0),4)),$C160*INDEX(SPPR!$E:$Z,MATCH($A160,SPPR!$A:$A,0),4),""),"")</f>
        <v/>
      </c>
      <c r="H160">
        <f>IFERROR(IF(ISNUMBER(INDEX(SPPR!$E:$Z,MATCH($A160,SPPR!$A:$A,0),5)),$C160*INDEX(SPPR!$E:$Z,MATCH($A160,SPPR!$A:$A,0),5),""),"")</f>
        <v/>
      </c>
      <c r="I160">
        <f>IFERROR(IF(ISNUMBER(INDEX(SPPR!$E:$Z,MATCH($A160,SPPR!$A:$A,0),6)),$C160*INDEX(SPPR!$E:$Z,MATCH($A160,SPPR!$A:$A,0),6),""),"")</f>
        <v/>
      </c>
      <c r="J160">
        <f>IFERROR(IF(ISNUMBER(INDEX(SPPR!$E:$Z,MATCH($A160,SPPR!$A:$A,0),7)),$C160*INDEX(SPPR!$E:$Z,MATCH($A160,SPPR!$A:$A,0),7),""),"")</f>
        <v/>
      </c>
      <c r="K160">
        <f>IFERROR(IF(ISNUMBER(INDEX(SPPR!$E:$Z,MATCH($A160,SPPR!$A:$A,0),8)),$C160*INDEX(SPPR!$E:$Z,MATCH($A160,SPPR!$A:$A,0),8),""),"")</f>
        <v/>
      </c>
      <c r="L160">
        <f>IFERROR(IF(ISNUMBER(INDEX(SPPR!$E:$Z,MATCH($A160,SPPR!$A:$A,0),9)),$C160*INDEX(SPPR!$E:$Z,MATCH($A160,SPPR!$A:$A,0),9),""),"")</f>
        <v/>
      </c>
      <c r="M160">
        <f>IFERROR(IF(ISNUMBER(INDEX(SPPR!$E:$Z,MATCH($A160,SPPR!$A:$A,0),10)),$C160*INDEX(SPPR!$E:$Z,MATCH($A160,SPPR!$A:$A,0),10),""),"")</f>
        <v/>
      </c>
      <c r="N160">
        <f>IFERROR(IF(ISNUMBER(INDEX(SPPR!$E:$Z,MATCH($A160,SPPR!$A:$A,0),11)),$C160*INDEX(SPPR!$E:$Z,MATCH($A160,SPPR!$A:$A,0),11),""),"")</f>
        <v/>
      </c>
      <c r="O160">
        <f>IFERROR(IF(ISNUMBER(INDEX(SPPR!$E:$Z,MATCH($A160,SPPR!$A:$A,0),12)),$C160*INDEX(SPPR!$E:$Z,MATCH($A160,SPPR!$A:$A,0),12),""),"")</f>
        <v/>
      </c>
      <c r="P160">
        <f>IFERROR(IF(ISNUMBER(INDEX(SPPR!$E:$Z,MATCH($A160,SPPR!$A:$A,0),13)),$C160*INDEX(SPPR!$E:$Z,MATCH($A160,SPPR!$A:$A,0),13),""),"")</f>
        <v/>
      </c>
      <c r="Q160">
        <f>IFERROR(IF(ISNUMBER(INDEX(SPPR!$E:$Z,MATCH($A160,SPPR!$A:$A,0),14)),$C160*INDEX(SPPR!$E:$Z,MATCH($A160,SPPR!$A:$A,0),14),""),"")</f>
        <v/>
      </c>
      <c r="R160">
        <f>IFERROR(IF(ISNUMBER(INDEX(SPPR!$E:$Z,MATCH($A160,SPPR!$A:$A,0),15)),$C160*INDEX(SPPR!$E:$Z,MATCH($A160,SPPR!$A:$A,0),15),""),"")</f>
        <v/>
      </c>
      <c r="S160">
        <f>IFERROR(IF(ISNUMBER(INDEX(SPPR!$E:$Z,MATCH($A160,SPPR!$A:$A,0),16)),$C160*INDEX(SPPR!$E:$Z,MATCH($A160,SPPR!$A:$A,0),16),""),"")</f>
        <v/>
      </c>
      <c r="T160">
        <f>IFERROR(IF(ISNUMBER(INDEX(SPPR!$E:$Z,MATCH($A160,SPPR!$A:$A,0),17)),$C160*INDEX(SPPR!$E:$Z,MATCH($A160,SPPR!$A:$A,0),17),""),"")</f>
        <v/>
      </c>
      <c r="U160">
        <f>IFERROR(IF(ISNUMBER(INDEX(SPPR!$E:$Z,MATCH($A160,SPPR!$A:$A,0),18)),$C160*INDEX(SPPR!$E:$Z,MATCH($A160,SPPR!$A:$A,0),18),""),"")</f>
        <v/>
      </c>
      <c r="V160">
        <f>IFERROR(IF(ISNUMBER(INDEX(SPPR!$E:$Z,MATCH($A160,SPPR!$A:$A,0),19)),$C160*INDEX(SPPR!$E:$Z,MATCH($A160,SPPR!$A:$A,0),19),""),"")</f>
        <v/>
      </c>
      <c r="W160">
        <f>IFERROR(IF(ISNUMBER(INDEX(SPPR!$E:$Z,MATCH($A160,SPPR!$A:$A,0),20)),$C160*INDEX(SPPR!$E:$Z,MATCH($A160,SPPR!$A:$A,0),20),""),"")</f>
        <v/>
      </c>
      <c r="X160">
        <f>IFERROR(IF(ISNUMBER(INDEX(SPPR!$E:$Z,MATCH($A160,SPPR!$A:$A,0),21)),$C160*INDEX(SPPR!$E:$Z,MATCH($A160,SPPR!$A:$A,0),21),""),"")</f>
        <v/>
      </c>
      <c r="Y160">
        <f>IFERROR(IF(ISNUMBER(INDEX(SPPR!$E:$Z,MATCH($A160,SPPR!$A:$A,0),22)),$C160*INDEX(SPPR!$E:$Z,MATCH($A160,SPPR!$A:$A,0),22),""),"")</f>
        <v/>
      </c>
    </row>
    <row r="161">
      <c r="A161" t="inlineStr">
        <is>
          <t>Centrophorus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IFERROR(IF(ISNUMBER(INDEX(SPPR!$E:$Z,MATCH($A161,SPPR!$A:$A,0),1)),$C161*INDEX(SPPR!$E:$Z,MATCH($A161,SPPR!$A:$A,0),1),""),"")</f>
        <v/>
      </c>
      <c r="E161">
        <f>IFERROR(IF(ISNUMBER(INDEX(SPPR!$E:$Z,MATCH($A161,SPPR!$A:$A,0),2)),$C161*INDEX(SPPR!$E:$Z,MATCH($A161,SPPR!$A:$A,0),2),""),"")</f>
        <v/>
      </c>
      <c r="F161">
        <f>IFERROR(IF(ISNUMBER(INDEX(SPPR!$E:$Z,MATCH($A161,SPPR!$A:$A,0),3)),$C161*INDEX(SPPR!$E:$Z,MATCH($A161,SPPR!$A:$A,0),3),""),"")</f>
        <v/>
      </c>
      <c r="G161">
        <f>IFERROR(IF(ISNUMBER(INDEX(SPPR!$E:$Z,MATCH($A161,SPPR!$A:$A,0),4)),$C161*INDEX(SPPR!$E:$Z,MATCH($A161,SPPR!$A:$A,0),4),""),"")</f>
        <v/>
      </c>
      <c r="H161">
        <f>IFERROR(IF(ISNUMBER(INDEX(SPPR!$E:$Z,MATCH($A161,SPPR!$A:$A,0),5)),$C161*INDEX(SPPR!$E:$Z,MATCH($A161,SPPR!$A:$A,0),5),""),"")</f>
        <v/>
      </c>
      <c r="I161">
        <f>IFERROR(IF(ISNUMBER(INDEX(SPPR!$E:$Z,MATCH($A161,SPPR!$A:$A,0),6)),$C161*INDEX(SPPR!$E:$Z,MATCH($A161,SPPR!$A:$A,0),6),""),"")</f>
        <v/>
      </c>
      <c r="J161">
        <f>IFERROR(IF(ISNUMBER(INDEX(SPPR!$E:$Z,MATCH($A161,SPPR!$A:$A,0),7)),$C161*INDEX(SPPR!$E:$Z,MATCH($A161,SPPR!$A:$A,0),7),""),"")</f>
        <v/>
      </c>
      <c r="K161">
        <f>IFERROR(IF(ISNUMBER(INDEX(SPPR!$E:$Z,MATCH($A161,SPPR!$A:$A,0),8)),$C161*INDEX(SPPR!$E:$Z,MATCH($A161,SPPR!$A:$A,0),8),""),"")</f>
        <v/>
      </c>
      <c r="L161">
        <f>IFERROR(IF(ISNUMBER(INDEX(SPPR!$E:$Z,MATCH($A161,SPPR!$A:$A,0),9)),$C161*INDEX(SPPR!$E:$Z,MATCH($A161,SPPR!$A:$A,0),9),""),"")</f>
        <v/>
      </c>
      <c r="M161">
        <f>IFERROR(IF(ISNUMBER(INDEX(SPPR!$E:$Z,MATCH($A161,SPPR!$A:$A,0),10)),$C161*INDEX(SPPR!$E:$Z,MATCH($A161,SPPR!$A:$A,0),10),""),"")</f>
        <v/>
      </c>
      <c r="N161">
        <f>IFERROR(IF(ISNUMBER(INDEX(SPPR!$E:$Z,MATCH($A161,SPPR!$A:$A,0),11)),$C161*INDEX(SPPR!$E:$Z,MATCH($A161,SPPR!$A:$A,0),11),""),"")</f>
        <v/>
      </c>
      <c r="O161">
        <f>IFERROR(IF(ISNUMBER(INDEX(SPPR!$E:$Z,MATCH($A161,SPPR!$A:$A,0),12)),$C161*INDEX(SPPR!$E:$Z,MATCH($A161,SPPR!$A:$A,0),12),""),"")</f>
        <v/>
      </c>
      <c r="P161">
        <f>IFERROR(IF(ISNUMBER(INDEX(SPPR!$E:$Z,MATCH($A161,SPPR!$A:$A,0),13)),$C161*INDEX(SPPR!$E:$Z,MATCH($A161,SPPR!$A:$A,0),13),""),"")</f>
        <v/>
      </c>
      <c r="Q161">
        <f>IFERROR(IF(ISNUMBER(INDEX(SPPR!$E:$Z,MATCH($A161,SPPR!$A:$A,0),14)),$C161*INDEX(SPPR!$E:$Z,MATCH($A161,SPPR!$A:$A,0),14),""),"")</f>
        <v/>
      </c>
      <c r="R161">
        <f>IFERROR(IF(ISNUMBER(INDEX(SPPR!$E:$Z,MATCH($A161,SPPR!$A:$A,0),15)),$C161*INDEX(SPPR!$E:$Z,MATCH($A161,SPPR!$A:$A,0),15),""),"")</f>
        <v/>
      </c>
      <c r="S161">
        <f>IFERROR(IF(ISNUMBER(INDEX(SPPR!$E:$Z,MATCH($A161,SPPR!$A:$A,0),16)),$C161*INDEX(SPPR!$E:$Z,MATCH($A161,SPPR!$A:$A,0),16),""),"")</f>
        <v/>
      </c>
      <c r="T161">
        <f>IFERROR(IF(ISNUMBER(INDEX(SPPR!$E:$Z,MATCH($A161,SPPR!$A:$A,0),17)),$C161*INDEX(SPPR!$E:$Z,MATCH($A161,SPPR!$A:$A,0),17),""),"")</f>
        <v/>
      </c>
      <c r="U161">
        <f>IFERROR(IF(ISNUMBER(INDEX(SPPR!$E:$Z,MATCH($A161,SPPR!$A:$A,0),18)),$C161*INDEX(SPPR!$E:$Z,MATCH($A161,SPPR!$A:$A,0),18),""),"")</f>
        <v/>
      </c>
      <c r="V161">
        <f>IFERROR(IF(ISNUMBER(INDEX(SPPR!$E:$Z,MATCH($A161,SPPR!$A:$A,0),19)),$C161*INDEX(SPPR!$E:$Z,MATCH($A161,SPPR!$A:$A,0),19),""),"")</f>
        <v/>
      </c>
      <c r="W161">
        <f>IFERROR(IF(ISNUMBER(INDEX(SPPR!$E:$Z,MATCH($A161,SPPR!$A:$A,0),20)),$C161*INDEX(SPPR!$E:$Z,MATCH($A161,SPPR!$A:$A,0),20),""),"")</f>
        <v/>
      </c>
      <c r="X161">
        <f>IFERROR(IF(ISNUMBER(INDEX(SPPR!$E:$Z,MATCH($A161,SPPR!$A:$A,0),21)),$C161*INDEX(SPPR!$E:$Z,MATCH($A161,SPPR!$A:$A,0),21),""),"")</f>
        <v/>
      </c>
      <c r="Y161">
        <f>IFERROR(IF(ISNUMBER(INDEX(SPPR!$E:$Z,MATCH($A161,SPPR!$A:$A,0),22)),$C161*INDEX(SPPR!$E:$Z,MATCH($A161,SPPR!$A:$A,0),22),""),"")</f>
        <v/>
      </c>
    </row>
    <row r="162">
      <c r="A162" t="inlineStr">
        <is>
          <t>Scorpaenidae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IFERROR(IF(ISNUMBER(INDEX(SPPR!$E:$Z,MATCH($A162,SPPR!$A:$A,0),1)),$C162*INDEX(SPPR!$E:$Z,MATCH($A162,SPPR!$A:$A,0),1),""),"")</f>
        <v/>
      </c>
      <c r="E162">
        <f>IFERROR(IF(ISNUMBER(INDEX(SPPR!$E:$Z,MATCH($A162,SPPR!$A:$A,0),2)),$C162*INDEX(SPPR!$E:$Z,MATCH($A162,SPPR!$A:$A,0),2),""),"")</f>
        <v/>
      </c>
      <c r="F162">
        <f>IFERROR(IF(ISNUMBER(INDEX(SPPR!$E:$Z,MATCH($A162,SPPR!$A:$A,0),3)),$C162*INDEX(SPPR!$E:$Z,MATCH($A162,SPPR!$A:$A,0),3),""),"")</f>
        <v/>
      </c>
      <c r="G162">
        <f>IFERROR(IF(ISNUMBER(INDEX(SPPR!$E:$Z,MATCH($A162,SPPR!$A:$A,0),4)),$C162*INDEX(SPPR!$E:$Z,MATCH($A162,SPPR!$A:$A,0),4),""),"")</f>
        <v/>
      </c>
      <c r="H162">
        <f>IFERROR(IF(ISNUMBER(INDEX(SPPR!$E:$Z,MATCH($A162,SPPR!$A:$A,0),5)),$C162*INDEX(SPPR!$E:$Z,MATCH($A162,SPPR!$A:$A,0),5),""),"")</f>
        <v/>
      </c>
      <c r="I162">
        <f>IFERROR(IF(ISNUMBER(INDEX(SPPR!$E:$Z,MATCH($A162,SPPR!$A:$A,0),6)),$C162*INDEX(SPPR!$E:$Z,MATCH($A162,SPPR!$A:$A,0),6),""),"")</f>
        <v/>
      </c>
      <c r="J162">
        <f>IFERROR(IF(ISNUMBER(INDEX(SPPR!$E:$Z,MATCH($A162,SPPR!$A:$A,0),7)),$C162*INDEX(SPPR!$E:$Z,MATCH($A162,SPPR!$A:$A,0),7),""),"")</f>
        <v/>
      </c>
      <c r="K162">
        <f>IFERROR(IF(ISNUMBER(INDEX(SPPR!$E:$Z,MATCH($A162,SPPR!$A:$A,0),8)),$C162*INDEX(SPPR!$E:$Z,MATCH($A162,SPPR!$A:$A,0),8),""),"")</f>
        <v/>
      </c>
      <c r="L162">
        <f>IFERROR(IF(ISNUMBER(INDEX(SPPR!$E:$Z,MATCH($A162,SPPR!$A:$A,0),9)),$C162*INDEX(SPPR!$E:$Z,MATCH($A162,SPPR!$A:$A,0),9),""),"")</f>
        <v/>
      </c>
      <c r="M162">
        <f>IFERROR(IF(ISNUMBER(INDEX(SPPR!$E:$Z,MATCH($A162,SPPR!$A:$A,0),10)),$C162*INDEX(SPPR!$E:$Z,MATCH($A162,SPPR!$A:$A,0),10),""),"")</f>
        <v/>
      </c>
      <c r="N162">
        <f>IFERROR(IF(ISNUMBER(INDEX(SPPR!$E:$Z,MATCH($A162,SPPR!$A:$A,0),11)),$C162*INDEX(SPPR!$E:$Z,MATCH($A162,SPPR!$A:$A,0),11),""),"")</f>
        <v/>
      </c>
      <c r="O162">
        <f>IFERROR(IF(ISNUMBER(INDEX(SPPR!$E:$Z,MATCH($A162,SPPR!$A:$A,0),12)),$C162*INDEX(SPPR!$E:$Z,MATCH($A162,SPPR!$A:$A,0),12),""),"")</f>
        <v/>
      </c>
      <c r="P162">
        <f>IFERROR(IF(ISNUMBER(INDEX(SPPR!$E:$Z,MATCH($A162,SPPR!$A:$A,0),13)),$C162*INDEX(SPPR!$E:$Z,MATCH($A162,SPPR!$A:$A,0),13),""),"")</f>
        <v/>
      </c>
      <c r="Q162">
        <f>IFERROR(IF(ISNUMBER(INDEX(SPPR!$E:$Z,MATCH($A162,SPPR!$A:$A,0),14)),$C162*INDEX(SPPR!$E:$Z,MATCH($A162,SPPR!$A:$A,0),14),""),"")</f>
        <v/>
      </c>
      <c r="R162">
        <f>IFERROR(IF(ISNUMBER(INDEX(SPPR!$E:$Z,MATCH($A162,SPPR!$A:$A,0),15)),$C162*INDEX(SPPR!$E:$Z,MATCH($A162,SPPR!$A:$A,0),15),""),"")</f>
        <v/>
      </c>
      <c r="S162">
        <f>IFERROR(IF(ISNUMBER(INDEX(SPPR!$E:$Z,MATCH($A162,SPPR!$A:$A,0),16)),$C162*INDEX(SPPR!$E:$Z,MATCH($A162,SPPR!$A:$A,0),16),""),"")</f>
        <v/>
      </c>
      <c r="T162">
        <f>IFERROR(IF(ISNUMBER(INDEX(SPPR!$E:$Z,MATCH($A162,SPPR!$A:$A,0),17)),$C162*INDEX(SPPR!$E:$Z,MATCH($A162,SPPR!$A:$A,0),17),""),"")</f>
        <v/>
      </c>
      <c r="U162">
        <f>IFERROR(IF(ISNUMBER(INDEX(SPPR!$E:$Z,MATCH($A162,SPPR!$A:$A,0),18)),$C162*INDEX(SPPR!$E:$Z,MATCH($A162,SPPR!$A:$A,0),18),""),"")</f>
        <v/>
      </c>
      <c r="V162">
        <f>IFERROR(IF(ISNUMBER(INDEX(SPPR!$E:$Z,MATCH($A162,SPPR!$A:$A,0),19)),$C162*INDEX(SPPR!$E:$Z,MATCH($A162,SPPR!$A:$A,0),19),""),"")</f>
        <v/>
      </c>
      <c r="W162">
        <f>IFERROR(IF(ISNUMBER(INDEX(SPPR!$E:$Z,MATCH($A162,SPPR!$A:$A,0),20)),$C162*INDEX(SPPR!$E:$Z,MATCH($A162,SPPR!$A:$A,0),20),""),"")</f>
        <v/>
      </c>
      <c r="X162">
        <f>IFERROR(IF(ISNUMBER(INDEX(SPPR!$E:$Z,MATCH($A162,SPPR!$A:$A,0),21)),$C162*INDEX(SPPR!$E:$Z,MATCH($A162,SPPR!$A:$A,0),21),""),"")</f>
        <v/>
      </c>
      <c r="Y162">
        <f>IFERROR(IF(ISNUMBER(INDEX(SPPR!$E:$Z,MATCH($A162,SPPR!$A:$A,0),22)),$C162*INDEX(SPPR!$E:$Z,MATCH($A162,SPPR!$A:$A,0),22),""),"")</f>
        <v/>
      </c>
    </row>
    <row r="163">
      <c r="A163" t="inlineStr">
        <is>
          <t>Isurus oxyrinchus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IFERROR(IF(ISNUMBER(INDEX(SPPR!$E:$Z,MATCH($A163,SPPR!$A:$A,0),1)),$C163*INDEX(SPPR!$E:$Z,MATCH($A163,SPPR!$A:$A,0),1),""),"")</f>
        <v/>
      </c>
      <c r="E163">
        <f>IFERROR(IF(ISNUMBER(INDEX(SPPR!$E:$Z,MATCH($A163,SPPR!$A:$A,0),2)),$C163*INDEX(SPPR!$E:$Z,MATCH($A163,SPPR!$A:$A,0),2),""),"")</f>
        <v/>
      </c>
      <c r="F163">
        <f>IFERROR(IF(ISNUMBER(INDEX(SPPR!$E:$Z,MATCH($A163,SPPR!$A:$A,0),3)),$C163*INDEX(SPPR!$E:$Z,MATCH($A163,SPPR!$A:$A,0),3),""),"")</f>
        <v/>
      </c>
      <c r="G163">
        <f>IFERROR(IF(ISNUMBER(INDEX(SPPR!$E:$Z,MATCH($A163,SPPR!$A:$A,0),4)),$C163*INDEX(SPPR!$E:$Z,MATCH($A163,SPPR!$A:$A,0),4),""),"")</f>
        <v/>
      </c>
      <c r="H163">
        <f>IFERROR(IF(ISNUMBER(INDEX(SPPR!$E:$Z,MATCH($A163,SPPR!$A:$A,0),5)),$C163*INDEX(SPPR!$E:$Z,MATCH($A163,SPPR!$A:$A,0),5),""),"")</f>
        <v/>
      </c>
      <c r="I163">
        <f>IFERROR(IF(ISNUMBER(INDEX(SPPR!$E:$Z,MATCH($A163,SPPR!$A:$A,0),6)),$C163*INDEX(SPPR!$E:$Z,MATCH($A163,SPPR!$A:$A,0),6),""),"")</f>
        <v/>
      </c>
      <c r="J163">
        <f>IFERROR(IF(ISNUMBER(INDEX(SPPR!$E:$Z,MATCH($A163,SPPR!$A:$A,0),7)),$C163*INDEX(SPPR!$E:$Z,MATCH($A163,SPPR!$A:$A,0),7),""),"")</f>
        <v/>
      </c>
      <c r="K163">
        <f>IFERROR(IF(ISNUMBER(INDEX(SPPR!$E:$Z,MATCH($A163,SPPR!$A:$A,0),8)),$C163*INDEX(SPPR!$E:$Z,MATCH($A163,SPPR!$A:$A,0),8),""),"")</f>
        <v/>
      </c>
      <c r="L163">
        <f>IFERROR(IF(ISNUMBER(INDEX(SPPR!$E:$Z,MATCH($A163,SPPR!$A:$A,0),9)),$C163*INDEX(SPPR!$E:$Z,MATCH($A163,SPPR!$A:$A,0),9),""),"")</f>
        <v/>
      </c>
      <c r="M163">
        <f>IFERROR(IF(ISNUMBER(INDEX(SPPR!$E:$Z,MATCH($A163,SPPR!$A:$A,0),10)),$C163*INDEX(SPPR!$E:$Z,MATCH($A163,SPPR!$A:$A,0),10),""),"")</f>
        <v/>
      </c>
      <c r="N163">
        <f>IFERROR(IF(ISNUMBER(INDEX(SPPR!$E:$Z,MATCH($A163,SPPR!$A:$A,0),11)),$C163*INDEX(SPPR!$E:$Z,MATCH($A163,SPPR!$A:$A,0),11),""),"")</f>
        <v/>
      </c>
      <c r="O163">
        <f>IFERROR(IF(ISNUMBER(INDEX(SPPR!$E:$Z,MATCH($A163,SPPR!$A:$A,0),12)),$C163*INDEX(SPPR!$E:$Z,MATCH($A163,SPPR!$A:$A,0),12),""),"")</f>
        <v/>
      </c>
      <c r="P163">
        <f>IFERROR(IF(ISNUMBER(INDEX(SPPR!$E:$Z,MATCH($A163,SPPR!$A:$A,0),13)),$C163*INDEX(SPPR!$E:$Z,MATCH($A163,SPPR!$A:$A,0),13),""),"")</f>
        <v/>
      </c>
      <c r="Q163">
        <f>IFERROR(IF(ISNUMBER(INDEX(SPPR!$E:$Z,MATCH($A163,SPPR!$A:$A,0),14)),$C163*INDEX(SPPR!$E:$Z,MATCH($A163,SPPR!$A:$A,0),14),""),"")</f>
        <v/>
      </c>
      <c r="R163">
        <f>IFERROR(IF(ISNUMBER(INDEX(SPPR!$E:$Z,MATCH($A163,SPPR!$A:$A,0),15)),$C163*INDEX(SPPR!$E:$Z,MATCH($A163,SPPR!$A:$A,0),15),""),"")</f>
        <v/>
      </c>
      <c r="S163">
        <f>IFERROR(IF(ISNUMBER(INDEX(SPPR!$E:$Z,MATCH($A163,SPPR!$A:$A,0),16)),$C163*INDEX(SPPR!$E:$Z,MATCH($A163,SPPR!$A:$A,0),16),""),"")</f>
        <v/>
      </c>
      <c r="T163">
        <f>IFERROR(IF(ISNUMBER(INDEX(SPPR!$E:$Z,MATCH($A163,SPPR!$A:$A,0),17)),$C163*INDEX(SPPR!$E:$Z,MATCH($A163,SPPR!$A:$A,0),17),""),"")</f>
        <v/>
      </c>
      <c r="U163">
        <f>IFERROR(IF(ISNUMBER(INDEX(SPPR!$E:$Z,MATCH($A163,SPPR!$A:$A,0),18)),$C163*INDEX(SPPR!$E:$Z,MATCH($A163,SPPR!$A:$A,0),18),""),"")</f>
        <v/>
      </c>
      <c r="V163">
        <f>IFERROR(IF(ISNUMBER(INDEX(SPPR!$E:$Z,MATCH($A163,SPPR!$A:$A,0),19)),$C163*INDEX(SPPR!$E:$Z,MATCH($A163,SPPR!$A:$A,0),19),""),"")</f>
        <v/>
      </c>
      <c r="W163">
        <f>IFERROR(IF(ISNUMBER(INDEX(SPPR!$E:$Z,MATCH($A163,SPPR!$A:$A,0),20)),$C163*INDEX(SPPR!$E:$Z,MATCH($A163,SPPR!$A:$A,0),20),""),"")</f>
        <v/>
      </c>
      <c r="X163">
        <f>IFERROR(IF(ISNUMBER(INDEX(SPPR!$E:$Z,MATCH($A163,SPPR!$A:$A,0),21)),$C163*INDEX(SPPR!$E:$Z,MATCH($A163,SPPR!$A:$A,0),21),""),"")</f>
        <v/>
      </c>
      <c r="Y163">
        <f>IFERROR(IF(ISNUMBER(INDEX(SPPR!$E:$Z,MATCH($A163,SPPR!$A:$A,0),22)),$C163*INDEX(SPPR!$E:$Z,MATCH($A163,SPPR!$A:$A,0),22),""),"")</f>
        <v/>
      </c>
    </row>
    <row r="164">
      <c r="A164" t="inlineStr">
        <is>
          <t>Lutjanus endecacanthus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IFERROR(IF(ISNUMBER(INDEX(SPPR!$E:$Z,MATCH($A164,SPPR!$A:$A,0),1)),$C164*INDEX(SPPR!$E:$Z,MATCH($A164,SPPR!$A:$A,0),1),""),"")</f>
        <v/>
      </c>
      <c r="E164">
        <f>IFERROR(IF(ISNUMBER(INDEX(SPPR!$E:$Z,MATCH($A164,SPPR!$A:$A,0),2)),$C164*INDEX(SPPR!$E:$Z,MATCH($A164,SPPR!$A:$A,0),2),""),"")</f>
        <v/>
      </c>
      <c r="F164">
        <f>IFERROR(IF(ISNUMBER(INDEX(SPPR!$E:$Z,MATCH($A164,SPPR!$A:$A,0),3)),$C164*INDEX(SPPR!$E:$Z,MATCH($A164,SPPR!$A:$A,0),3),""),"")</f>
        <v/>
      </c>
      <c r="G164">
        <f>IFERROR(IF(ISNUMBER(INDEX(SPPR!$E:$Z,MATCH($A164,SPPR!$A:$A,0),4)),$C164*INDEX(SPPR!$E:$Z,MATCH($A164,SPPR!$A:$A,0),4),""),"")</f>
        <v/>
      </c>
      <c r="H164">
        <f>IFERROR(IF(ISNUMBER(INDEX(SPPR!$E:$Z,MATCH($A164,SPPR!$A:$A,0),5)),$C164*INDEX(SPPR!$E:$Z,MATCH($A164,SPPR!$A:$A,0),5),""),"")</f>
        <v/>
      </c>
      <c r="I164">
        <f>IFERROR(IF(ISNUMBER(INDEX(SPPR!$E:$Z,MATCH($A164,SPPR!$A:$A,0),6)),$C164*INDEX(SPPR!$E:$Z,MATCH($A164,SPPR!$A:$A,0),6),""),"")</f>
        <v/>
      </c>
      <c r="J164">
        <f>IFERROR(IF(ISNUMBER(INDEX(SPPR!$E:$Z,MATCH($A164,SPPR!$A:$A,0),7)),$C164*INDEX(SPPR!$E:$Z,MATCH($A164,SPPR!$A:$A,0),7),""),"")</f>
        <v/>
      </c>
      <c r="K164">
        <f>IFERROR(IF(ISNUMBER(INDEX(SPPR!$E:$Z,MATCH($A164,SPPR!$A:$A,0),8)),$C164*INDEX(SPPR!$E:$Z,MATCH($A164,SPPR!$A:$A,0),8),""),"")</f>
        <v/>
      </c>
      <c r="L164">
        <f>IFERROR(IF(ISNUMBER(INDEX(SPPR!$E:$Z,MATCH($A164,SPPR!$A:$A,0),9)),$C164*INDEX(SPPR!$E:$Z,MATCH($A164,SPPR!$A:$A,0),9),""),"")</f>
        <v/>
      </c>
      <c r="M164">
        <f>IFERROR(IF(ISNUMBER(INDEX(SPPR!$E:$Z,MATCH($A164,SPPR!$A:$A,0),10)),$C164*INDEX(SPPR!$E:$Z,MATCH($A164,SPPR!$A:$A,0),10),""),"")</f>
        <v/>
      </c>
      <c r="N164">
        <f>IFERROR(IF(ISNUMBER(INDEX(SPPR!$E:$Z,MATCH($A164,SPPR!$A:$A,0),11)),$C164*INDEX(SPPR!$E:$Z,MATCH($A164,SPPR!$A:$A,0),11),""),"")</f>
        <v/>
      </c>
      <c r="O164">
        <f>IFERROR(IF(ISNUMBER(INDEX(SPPR!$E:$Z,MATCH($A164,SPPR!$A:$A,0),12)),$C164*INDEX(SPPR!$E:$Z,MATCH($A164,SPPR!$A:$A,0),12),""),"")</f>
        <v/>
      </c>
      <c r="P164">
        <f>IFERROR(IF(ISNUMBER(INDEX(SPPR!$E:$Z,MATCH($A164,SPPR!$A:$A,0),13)),$C164*INDEX(SPPR!$E:$Z,MATCH($A164,SPPR!$A:$A,0),13),""),"")</f>
        <v/>
      </c>
      <c r="Q164">
        <f>IFERROR(IF(ISNUMBER(INDEX(SPPR!$E:$Z,MATCH($A164,SPPR!$A:$A,0),14)),$C164*INDEX(SPPR!$E:$Z,MATCH($A164,SPPR!$A:$A,0),14),""),"")</f>
        <v/>
      </c>
      <c r="R164">
        <f>IFERROR(IF(ISNUMBER(INDEX(SPPR!$E:$Z,MATCH($A164,SPPR!$A:$A,0),15)),$C164*INDEX(SPPR!$E:$Z,MATCH($A164,SPPR!$A:$A,0),15),""),"")</f>
        <v/>
      </c>
      <c r="S164">
        <f>IFERROR(IF(ISNUMBER(INDEX(SPPR!$E:$Z,MATCH($A164,SPPR!$A:$A,0),16)),$C164*INDEX(SPPR!$E:$Z,MATCH($A164,SPPR!$A:$A,0),16),""),"")</f>
        <v/>
      </c>
      <c r="T164">
        <f>IFERROR(IF(ISNUMBER(INDEX(SPPR!$E:$Z,MATCH($A164,SPPR!$A:$A,0),17)),$C164*INDEX(SPPR!$E:$Z,MATCH($A164,SPPR!$A:$A,0),17),""),"")</f>
        <v/>
      </c>
      <c r="U164">
        <f>IFERROR(IF(ISNUMBER(INDEX(SPPR!$E:$Z,MATCH($A164,SPPR!$A:$A,0),18)),$C164*INDEX(SPPR!$E:$Z,MATCH($A164,SPPR!$A:$A,0),18),""),"")</f>
        <v/>
      </c>
      <c r="V164">
        <f>IFERROR(IF(ISNUMBER(INDEX(SPPR!$E:$Z,MATCH($A164,SPPR!$A:$A,0),19)),$C164*INDEX(SPPR!$E:$Z,MATCH($A164,SPPR!$A:$A,0),19),""),"")</f>
        <v/>
      </c>
      <c r="W164">
        <f>IFERROR(IF(ISNUMBER(INDEX(SPPR!$E:$Z,MATCH($A164,SPPR!$A:$A,0),20)),$C164*INDEX(SPPR!$E:$Z,MATCH($A164,SPPR!$A:$A,0),20),""),"")</f>
        <v/>
      </c>
      <c r="X164">
        <f>IFERROR(IF(ISNUMBER(INDEX(SPPR!$E:$Z,MATCH($A164,SPPR!$A:$A,0),21)),$C164*INDEX(SPPR!$E:$Z,MATCH($A164,SPPR!$A:$A,0),21),""),"")</f>
        <v/>
      </c>
      <c r="Y164">
        <f>IFERROR(IF(ISNUMBER(INDEX(SPPR!$E:$Z,MATCH($A164,SPPR!$A:$A,0),22)),$C164*INDEX(SPPR!$E:$Z,MATCH($A164,SPPR!$A:$A,0),22),""),"")</f>
        <v/>
      </c>
    </row>
    <row r="165">
      <c r="A165" t="inlineStr">
        <is>
          <t>Scorpaeniformes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IFERROR(IF(ISNUMBER(INDEX(SPPR!$E:$Z,MATCH($A165,SPPR!$A:$A,0),1)),$C165*INDEX(SPPR!$E:$Z,MATCH($A165,SPPR!$A:$A,0),1),""),"")</f>
        <v/>
      </c>
      <c r="E165">
        <f>IFERROR(IF(ISNUMBER(INDEX(SPPR!$E:$Z,MATCH($A165,SPPR!$A:$A,0),2)),$C165*INDEX(SPPR!$E:$Z,MATCH($A165,SPPR!$A:$A,0),2),""),"")</f>
        <v/>
      </c>
      <c r="F165">
        <f>IFERROR(IF(ISNUMBER(INDEX(SPPR!$E:$Z,MATCH($A165,SPPR!$A:$A,0),3)),$C165*INDEX(SPPR!$E:$Z,MATCH($A165,SPPR!$A:$A,0),3),""),"")</f>
        <v/>
      </c>
      <c r="G165">
        <f>IFERROR(IF(ISNUMBER(INDEX(SPPR!$E:$Z,MATCH($A165,SPPR!$A:$A,0),4)),$C165*INDEX(SPPR!$E:$Z,MATCH($A165,SPPR!$A:$A,0),4),""),"")</f>
        <v/>
      </c>
      <c r="H165">
        <f>IFERROR(IF(ISNUMBER(INDEX(SPPR!$E:$Z,MATCH($A165,SPPR!$A:$A,0),5)),$C165*INDEX(SPPR!$E:$Z,MATCH($A165,SPPR!$A:$A,0),5),""),"")</f>
        <v/>
      </c>
      <c r="I165">
        <f>IFERROR(IF(ISNUMBER(INDEX(SPPR!$E:$Z,MATCH($A165,SPPR!$A:$A,0),6)),$C165*INDEX(SPPR!$E:$Z,MATCH($A165,SPPR!$A:$A,0),6),""),"")</f>
        <v/>
      </c>
      <c r="J165">
        <f>IFERROR(IF(ISNUMBER(INDEX(SPPR!$E:$Z,MATCH($A165,SPPR!$A:$A,0),7)),$C165*INDEX(SPPR!$E:$Z,MATCH($A165,SPPR!$A:$A,0),7),""),"")</f>
        <v/>
      </c>
      <c r="K165">
        <f>IFERROR(IF(ISNUMBER(INDEX(SPPR!$E:$Z,MATCH($A165,SPPR!$A:$A,0),8)),$C165*INDEX(SPPR!$E:$Z,MATCH($A165,SPPR!$A:$A,0),8),""),"")</f>
        <v/>
      </c>
      <c r="L165">
        <f>IFERROR(IF(ISNUMBER(INDEX(SPPR!$E:$Z,MATCH($A165,SPPR!$A:$A,0),9)),$C165*INDEX(SPPR!$E:$Z,MATCH($A165,SPPR!$A:$A,0),9),""),"")</f>
        <v/>
      </c>
      <c r="M165">
        <f>IFERROR(IF(ISNUMBER(INDEX(SPPR!$E:$Z,MATCH($A165,SPPR!$A:$A,0),10)),$C165*INDEX(SPPR!$E:$Z,MATCH($A165,SPPR!$A:$A,0),10),""),"")</f>
        <v/>
      </c>
      <c r="N165">
        <f>IFERROR(IF(ISNUMBER(INDEX(SPPR!$E:$Z,MATCH($A165,SPPR!$A:$A,0),11)),$C165*INDEX(SPPR!$E:$Z,MATCH($A165,SPPR!$A:$A,0),11),""),"")</f>
        <v/>
      </c>
      <c r="O165">
        <f>IFERROR(IF(ISNUMBER(INDEX(SPPR!$E:$Z,MATCH($A165,SPPR!$A:$A,0),12)),$C165*INDEX(SPPR!$E:$Z,MATCH($A165,SPPR!$A:$A,0),12),""),"")</f>
        <v/>
      </c>
      <c r="P165">
        <f>IFERROR(IF(ISNUMBER(INDEX(SPPR!$E:$Z,MATCH($A165,SPPR!$A:$A,0),13)),$C165*INDEX(SPPR!$E:$Z,MATCH($A165,SPPR!$A:$A,0),13),""),"")</f>
        <v/>
      </c>
      <c r="Q165">
        <f>IFERROR(IF(ISNUMBER(INDEX(SPPR!$E:$Z,MATCH($A165,SPPR!$A:$A,0),14)),$C165*INDEX(SPPR!$E:$Z,MATCH($A165,SPPR!$A:$A,0),14),""),"")</f>
        <v/>
      </c>
      <c r="R165">
        <f>IFERROR(IF(ISNUMBER(INDEX(SPPR!$E:$Z,MATCH($A165,SPPR!$A:$A,0),15)),$C165*INDEX(SPPR!$E:$Z,MATCH($A165,SPPR!$A:$A,0),15),""),"")</f>
        <v/>
      </c>
      <c r="S165">
        <f>IFERROR(IF(ISNUMBER(INDEX(SPPR!$E:$Z,MATCH($A165,SPPR!$A:$A,0),16)),$C165*INDEX(SPPR!$E:$Z,MATCH($A165,SPPR!$A:$A,0),16),""),"")</f>
        <v/>
      </c>
      <c r="T165">
        <f>IFERROR(IF(ISNUMBER(INDEX(SPPR!$E:$Z,MATCH($A165,SPPR!$A:$A,0),17)),$C165*INDEX(SPPR!$E:$Z,MATCH($A165,SPPR!$A:$A,0),17),""),"")</f>
        <v/>
      </c>
      <c r="U165">
        <f>IFERROR(IF(ISNUMBER(INDEX(SPPR!$E:$Z,MATCH($A165,SPPR!$A:$A,0),18)),$C165*INDEX(SPPR!$E:$Z,MATCH($A165,SPPR!$A:$A,0),18),""),"")</f>
        <v/>
      </c>
      <c r="V165">
        <f>IFERROR(IF(ISNUMBER(INDEX(SPPR!$E:$Z,MATCH($A165,SPPR!$A:$A,0),19)),$C165*INDEX(SPPR!$E:$Z,MATCH($A165,SPPR!$A:$A,0),19),""),"")</f>
        <v/>
      </c>
      <c r="W165">
        <f>IFERROR(IF(ISNUMBER(INDEX(SPPR!$E:$Z,MATCH($A165,SPPR!$A:$A,0),20)),$C165*INDEX(SPPR!$E:$Z,MATCH($A165,SPPR!$A:$A,0),20),""),"")</f>
        <v/>
      </c>
      <c r="X165">
        <f>IFERROR(IF(ISNUMBER(INDEX(SPPR!$E:$Z,MATCH($A165,SPPR!$A:$A,0),21)),$C165*INDEX(SPPR!$E:$Z,MATCH($A165,SPPR!$A:$A,0),21),""),"")</f>
        <v/>
      </c>
      <c r="Y165">
        <f>IFERROR(IF(ISNUMBER(INDEX(SPPR!$E:$Z,MATCH($A165,SPPR!$A:$A,0),22)),$C165*INDEX(SPPR!$E:$Z,MATCH($A165,SPPR!$A:$A,0),22),""),"")</f>
        <v/>
      </c>
    </row>
    <row r="166">
      <c r="A166" t="inlineStr">
        <is>
          <t>Mullidae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IFERROR(IF(ISNUMBER(INDEX(SPPR!$E:$Z,MATCH($A166,SPPR!$A:$A,0),1)),$C166*INDEX(SPPR!$E:$Z,MATCH($A166,SPPR!$A:$A,0),1),""),"")</f>
        <v/>
      </c>
      <c r="E166">
        <f>IFERROR(IF(ISNUMBER(INDEX(SPPR!$E:$Z,MATCH($A166,SPPR!$A:$A,0),2)),$C166*INDEX(SPPR!$E:$Z,MATCH($A166,SPPR!$A:$A,0),2),""),"")</f>
        <v/>
      </c>
      <c r="F166">
        <f>IFERROR(IF(ISNUMBER(INDEX(SPPR!$E:$Z,MATCH($A166,SPPR!$A:$A,0),3)),$C166*INDEX(SPPR!$E:$Z,MATCH($A166,SPPR!$A:$A,0),3),""),"")</f>
        <v/>
      </c>
      <c r="G166">
        <f>IFERROR(IF(ISNUMBER(INDEX(SPPR!$E:$Z,MATCH($A166,SPPR!$A:$A,0),4)),$C166*INDEX(SPPR!$E:$Z,MATCH($A166,SPPR!$A:$A,0),4),""),"")</f>
        <v/>
      </c>
      <c r="H166">
        <f>IFERROR(IF(ISNUMBER(INDEX(SPPR!$E:$Z,MATCH($A166,SPPR!$A:$A,0),5)),$C166*INDEX(SPPR!$E:$Z,MATCH($A166,SPPR!$A:$A,0),5),""),"")</f>
        <v/>
      </c>
      <c r="I166">
        <f>IFERROR(IF(ISNUMBER(INDEX(SPPR!$E:$Z,MATCH($A166,SPPR!$A:$A,0),6)),$C166*INDEX(SPPR!$E:$Z,MATCH($A166,SPPR!$A:$A,0),6),""),"")</f>
        <v/>
      </c>
      <c r="J166">
        <f>IFERROR(IF(ISNUMBER(INDEX(SPPR!$E:$Z,MATCH($A166,SPPR!$A:$A,0),7)),$C166*INDEX(SPPR!$E:$Z,MATCH($A166,SPPR!$A:$A,0),7),""),"")</f>
        <v/>
      </c>
      <c r="K166">
        <f>IFERROR(IF(ISNUMBER(INDEX(SPPR!$E:$Z,MATCH($A166,SPPR!$A:$A,0),8)),$C166*INDEX(SPPR!$E:$Z,MATCH($A166,SPPR!$A:$A,0),8),""),"")</f>
        <v/>
      </c>
      <c r="L166">
        <f>IFERROR(IF(ISNUMBER(INDEX(SPPR!$E:$Z,MATCH($A166,SPPR!$A:$A,0),9)),$C166*INDEX(SPPR!$E:$Z,MATCH($A166,SPPR!$A:$A,0),9),""),"")</f>
        <v/>
      </c>
      <c r="M166">
        <f>IFERROR(IF(ISNUMBER(INDEX(SPPR!$E:$Z,MATCH($A166,SPPR!$A:$A,0),10)),$C166*INDEX(SPPR!$E:$Z,MATCH($A166,SPPR!$A:$A,0),10),""),"")</f>
        <v/>
      </c>
      <c r="N166">
        <f>IFERROR(IF(ISNUMBER(INDEX(SPPR!$E:$Z,MATCH($A166,SPPR!$A:$A,0),11)),$C166*INDEX(SPPR!$E:$Z,MATCH($A166,SPPR!$A:$A,0),11),""),"")</f>
        <v/>
      </c>
      <c r="O166">
        <f>IFERROR(IF(ISNUMBER(INDEX(SPPR!$E:$Z,MATCH($A166,SPPR!$A:$A,0),12)),$C166*INDEX(SPPR!$E:$Z,MATCH($A166,SPPR!$A:$A,0),12),""),"")</f>
        <v/>
      </c>
      <c r="P166">
        <f>IFERROR(IF(ISNUMBER(INDEX(SPPR!$E:$Z,MATCH($A166,SPPR!$A:$A,0),13)),$C166*INDEX(SPPR!$E:$Z,MATCH($A166,SPPR!$A:$A,0),13),""),"")</f>
        <v/>
      </c>
      <c r="Q166">
        <f>IFERROR(IF(ISNUMBER(INDEX(SPPR!$E:$Z,MATCH($A166,SPPR!$A:$A,0),14)),$C166*INDEX(SPPR!$E:$Z,MATCH($A166,SPPR!$A:$A,0),14),""),"")</f>
        <v/>
      </c>
      <c r="R166">
        <f>IFERROR(IF(ISNUMBER(INDEX(SPPR!$E:$Z,MATCH($A166,SPPR!$A:$A,0),15)),$C166*INDEX(SPPR!$E:$Z,MATCH($A166,SPPR!$A:$A,0),15),""),"")</f>
        <v/>
      </c>
      <c r="S166">
        <f>IFERROR(IF(ISNUMBER(INDEX(SPPR!$E:$Z,MATCH($A166,SPPR!$A:$A,0),16)),$C166*INDEX(SPPR!$E:$Z,MATCH($A166,SPPR!$A:$A,0),16),""),"")</f>
        <v/>
      </c>
      <c r="T166">
        <f>IFERROR(IF(ISNUMBER(INDEX(SPPR!$E:$Z,MATCH($A166,SPPR!$A:$A,0),17)),$C166*INDEX(SPPR!$E:$Z,MATCH($A166,SPPR!$A:$A,0),17),""),"")</f>
        <v/>
      </c>
      <c r="U166">
        <f>IFERROR(IF(ISNUMBER(INDEX(SPPR!$E:$Z,MATCH($A166,SPPR!$A:$A,0),18)),$C166*INDEX(SPPR!$E:$Z,MATCH($A166,SPPR!$A:$A,0),18),""),"")</f>
        <v/>
      </c>
      <c r="V166">
        <f>IFERROR(IF(ISNUMBER(INDEX(SPPR!$E:$Z,MATCH($A166,SPPR!$A:$A,0),19)),$C166*INDEX(SPPR!$E:$Z,MATCH($A166,SPPR!$A:$A,0),19),""),"")</f>
        <v/>
      </c>
      <c r="W166">
        <f>IFERROR(IF(ISNUMBER(INDEX(SPPR!$E:$Z,MATCH($A166,SPPR!$A:$A,0),20)),$C166*INDEX(SPPR!$E:$Z,MATCH($A166,SPPR!$A:$A,0),20),""),"")</f>
        <v/>
      </c>
      <c r="X166">
        <f>IFERROR(IF(ISNUMBER(INDEX(SPPR!$E:$Z,MATCH($A166,SPPR!$A:$A,0),21)),$C166*INDEX(SPPR!$E:$Z,MATCH($A166,SPPR!$A:$A,0),21),""),"")</f>
        <v/>
      </c>
      <c r="Y166">
        <f>IFERROR(IF(ISNUMBER(INDEX(SPPR!$E:$Z,MATCH($A166,SPPR!$A:$A,0),22)),$C166*INDEX(SPPR!$E:$Z,MATCH($A166,SPPR!$A:$A,0),22),""),"")</f>
        <v/>
      </c>
    </row>
    <row r="167">
      <c r="A167" t="inlineStr">
        <is>
          <t>Carcharhinidae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IFERROR(IF(ISNUMBER(INDEX(SPPR!$E:$Z,MATCH($A167,SPPR!$A:$A,0),1)),$C167*INDEX(SPPR!$E:$Z,MATCH($A167,SPPR!$A:$A,0),1),""),"")</f>
        <v/>
      </c>
      <c r="E167">
        <f>IFERROR(IF(ISNUMBER(INDEX(SPPR!$E:$Z,MATCH($A167,SPPR!$A:$A,0),2)),$C167*INDEX(SPPR!$E:$Z,MATCH($A167,SPPR!$A:$A,0),2),""),"")</f>
        <v/>
      </c>
      <c r="F167">
        <f>IFERROR(IF(ISNUMBER(INDEX(SPPR!$E:$Z,MATCH($A167,SPPR!$A:$A,0),3)),$C167*INDEX(SPPR!$E:$Z,MATCH($A167,SPPR!$A:$A,0),3),""),"")</f>
        <v/>
      </c>
      <c r="G167">
        <f>IFERROR(IF(ISNUMBER(INDEX(SPPR!$E:$Z,MATCH($A167,SPPR!$A:$A,0),4)),$C167*INDEX(SPPR!$E:$Z,MATCH($A167,SPPR!$A:$A,0),4),""),"")</f>
        <v/>
      </c>
      <c r="H167">
        <f>IFERROR(IF(ISNUMBER(INDEX(SPPR!$E:$Z,MATCH($A167,SPPR!$A:$A,0),5)),$C167*INDEX(SPPR!$E:$Z,MATCH($A167,SPPR!$A:$A,0),5),""),"")</f>
        <v/>
      </c>
      <c r="I167">
        <f>IFERROR(IF(ISNUMBER(INDEX(SPPR!$E:$Z,MATCH($A167,SPPR!$A:$A,0),6)),$C167*INDEX(SPPR!$E:$Z,MATCH($A167,SPPR!$A:$A,0),6),""),"")</f>
        <v/>
      </c>
      <c r="J167">
        <f>IFERROR(IF(ISNUMBER(INDEX(SPPR!$E:$Z,MATCH($A167,SPPR!$A:$A,0),7)),$C167*INDEX(SPPR!$E:$Z,MATCH($A167,SPPR!$A:$A,0),7),""),"")</f>
        <v/>
      </c>
      <c r="K167">
        <f>IFERROR(IF(ISNUMBER(INDEX(SPPR!$E:$Z,MATCH($A167,SPPR!$A:$A,0),8)),$C167*INDEX(SPPR!$E:$Z,MATCH($A167,SPPR!$A:$A,0),8),""),"")</f>
        <v/>
      </c>
      <c r="L167">
        <f>IFERROR(IF(ISNUMBER(INDEX(SPPR!$E:$Z,MATCH($A167,SPPR!$A:$A,0),9)),$C167*INDEX(SPPR!$E:$Z,MATCH($A167,SPPR!$A:$A,0),9),""),"")</f>
        <v/>
      </c>
      <c r="M167">
        <f>IFERROR(IF(ISNUMBER(INDEX(SPPR!$E:$Z,MATCH($A167,SPPR!$A:$A,0),10)),$C167*INDEX(SPPR!$E:$Z,MATCH($A167,SPPR!$A:$A,0),10),""),"")</f>
        <v/>
      </c>
      <c r="N167">
        <f>IFERROR(IF(ISNUMBER(INDEX(SPPR!$E:$Z,MATCH($A167,SPPR!$A:$A,0),11)),$C167*INDEX(SPPR!$E:$Z,MATCH($A167,SPPR!$A:$A,0),11),""),"")</f>
        <v/>
      </c>
      <c r="O167">
        <f>IFERROR(IF(ISNUMBER(INDEX(SPPR!$E:$Z,MATCH($A167,SPPR!$A:$A,0),12)),$C167*INDEX(SPPR!$E:$Z,MATCH($A167,SPPR!$A:$A,0),12),""),"")</f>
        <v/>
      </c>
      <c r="P167">
        <f>IFERROR(IF(ISNUMBER(INDEX(SPPR!$E:$Z,MATCH($A167,SPPR!$A:$A,0),13)),$C167*INDEX(SPPR!$E:$Z,MATCH($A167,SPPR!$A:$A,0),13),""),"")</f>
        <v/>
      </c>
      <c r="Q167">
        <f>IFERROR(IF(ISNUMBER(INDEX(SPPR!$E:$Z,MATCH($A167,SPPR!$A:$A,0),14)),$C167*INDEX(SPPR!$E:$Z,MATCH($A167,SPPR!$A:$A,0),14),""),"")</f>
        <v/>
      </c>
      <c r="R167">
        <f>IFERROR(IF(ISNUMBER(INDEX(SPPR!$E:$Z,MATCH($A167,SPPR!$A:$A,0),15)),$C167*INDEX(SPPR!$E:$Z,MATCH($A167,SPPR!$A:$A,0),15),""),"")</f>
        <v/>
      </c>
      <c r="S167">
        <f>IFERROR(IF(ISNUMBER(INDEX(SPPR!$E:$Z,MATCH($A167,SPPR!$A:$A,0),16)),$C167*INDEX(SPPR!$E:$Z,MATCH($A167,SPPR!$A:$A,0),16),""),"")</f>
        <v/>
      </c>
      <c r="T167">
        <f>IFERROR(IF(ISNUMBER(INDEX(SPPR!$E:$Z,MATCH($A167,SPPR!$A:$A,0),17)),$C167*INDEX(SPPR!$E:$Z,MATCH($A167,SPPR!$A:$A,0),17),""),"")</f>
        <v/>
      </c>
      <c r="U167">
        <f>IFERROR(IF(ISNUMBER(INDEX(SPPR!$E:$Z,MATCH($A167,SPPR!$A:$A,0),18)),$C167*INDEX(SPPR!$E:$Z,MATCH($A167,SPPR!$A:$A,0),18),""),"")</f>
        <v/>
      </c>
      <c r="V167">
        <f>IFERROR(IF(ISNUMBER(INDEX(SPPR!$E:$Z,MATCH($A167,SPPR!$A:$A,0),19)),$C167*INDEX(SPPR!$E:$Z,MATCH($A167,SPPR!$A:$A,0),19),""),"")</f>
        <v/>
      </c>
      <c r="W167">
        <f>IFERROR(IF(ISNUMBER(INDEX(SPPR!$E:$Z,MATCH($A167,SPPR!$A:$A,0),20)),$C167*INDEX(SPPR!$E:$Z,MATCH($A167,SPPR!$A:$A,0),20),""),"")</f>
        <v/>
      </c>
      <c r="X167">
        <f>IFERROR(IF(ISNUMBER(INDEX(SPPR!$E:$Z,MATCH($A167,SPPR!$A:$A,0),21)),$C167*INDEX(SPPR!$E:$Z,MATCH($A167,SPPR!$A:$A,0),21),""),"")</f>
        <v/>
      </c>
      <c r="Y167">
        <f>IFERROR(IF(ISNUMBER(INDEX(SPPR!$E:$Z,MATCH($A167,SPPR!$A:$A,0),22)),$C167*INDEX(SPPR!$E:$Z,MATCH($A167,SPPR!$A:$A,0),22),""),"")</f>
        <v/>
      </c>
    </row>
    <row r="168">
      <c r="A168" t="inlineStr">
        <is>
          <t>Guentherus altivela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IFERROR(IF(ISNUMBER(INDEX(SPPR!$E:$Z,MATCH($A168,SPPR!$A:$A,0),1)),$C168*INDEX(SPPR!$E:$Z,MATCH($A168,SPPR!$A:$A,0),1),""),"")</f>
        <v/>
      </c>
      <c r="E168">
        <f>IFERROR(IF(ISNUMBER(INDEX(SPPR!$E:$Z,MATCH($A168,SPPR!$A:$A,0),2)),$C168*INDEX(SPPR!$E:$Z,MATCH($A168,SPPR!$A:$A,0),2),""),"")</f>
        <v/>
      </c>
      <c r="F168">
        <f>IFERROR(IF(ISNUMBER(INDEX(SPPR!$E:$Z,MATCH($A168,SPPR!$A:$A,0),3)),$C168*INDEX(SPPR!$E:$Z,MATCH($A168,SPPR!$A:$A,0),3),""),"")</f>
        <v/>
      </c>
      <c r="G168">
        <f>IFERROR(IF(ISNUMBER(INDEX(SPPR!$E:$Z,MATCH($A168,SPPR!$A:$A,0),4)),$C168*INDEX(SPPR!$E:$Z,MATCH($A168,SPPR!$A:$A,0),4),""),"")</f>
        <v/>
      </c>
      <c r="H168">
        <f>IFERROR(IF(ISNUMBER(INDEX(SPPR!$E:$Z,MATCH($A168,SPPR!$A:$A,0),5)),$C168*INDEX(SPPR!$E:$Z,MATCH($A168,SPPR!$A:$A,0),5),""),"")</f>
        <v/>
      </c>
      <c r="I168">
        <f>IFERROR(IF(ISNUMBER(INDEX(SPPR!$E:$Z,MATCH($A168,SPPR!$A:$A,0),6)),$C168*INDEX(SPPR!$E:$Z,MATCH($A168,SPPR!$A:$A,0),6),""),"")</f>
        <v/>
      </c>
      <c r="J168">
        <f>IFERROR(IF(ISNUMBER(INDEX(SPPR!$E:$Z,MATCH($A168,SPPR!$A:$A,0),7)),$C168*INDEX(SPPR!$E:$Z,MATCH($A168,SPPR!$A:$A,0),7),""),"")</f>
        <v/>
      </c>
      <c r="K168">
        <f>IFERROR(IF(ISNUMBER(INDEX(SPPR!$E:$Z,MATCH($A168,SPPR!$A:$A,0),8)),$C168*INDEX(SPPR!$E:$Z,MATCH($A168,SPPR!$A:$A,0),8),""),"")</f>
        <v/>
      </c>
      <c r="L168">
        <f>IFERROR(IF(ISNUMBER(INDEX(SPPR!$E:$Z,MATCH($A168,SPPR!$A:$A,0),9)),$C168*INDEX(SPPR!$E:$Z,MATCH($A168,SPPR!$A:$A,0),9),""),"")</f>
        <v/>
      </c>
      <c r="M168">
        <f>IFERROR(IF(ISNUMBER(INDEX(SPPR!$E:$Z,MATCH($A168,SPPR!$A:$A,0),10)),$C168*INDEX(SPPR!$E:$Z,MATCH($A168,SPPR!$A:$A,0),10),""),"")</f>
        <v/>
      </c>
      <c r="N168">
        <f>IFERROR(IF(ISNUMBER(INDEX(SPPR!$E:$Z,MATCH($A168,SPPR!$A:$A,0),11)),$C168*INDEX(SPPR!$E:$Z,MATCH($A168,SPPR!$A:$A,0),11),""),"")</f>
        <v/>
      </c>
      <c r="O168">
        <f>IFERROR(IF(ISNUMBER(INDEX(SPPR!$E:$Z,MATCH($A168,SPPR!$A:$A,0),12)),$C168*INDEX(SPPR!$E:$Z,MATCH($A168,SPPR!$A:$A,0),12),""),"")</f>
        <v/>
      </c>
      <c r="P168">
        <f>IFERROR(IF(ISNUMBER(INDEX(SPPR!$E:$Z,MATCH($A168,SPPR!$A:$A,0),13)),$C168*INDEX(SPPR!$E:$Z,MATCH($A168,SPPR!$A:$A,0),13),""),"")</f>
        <v/>
      </c>
      <c r="Q168">
        <f>IFERROR(IF(ISNUMBER(INDEX(SPPR!$E:$Z,MATCH($A168,SPPR!$A:$A,0),14)),$C168*INDEX(SPPR!$E:$Z,MATCH($A168,SPPR!$A:$A,0),14),""),"")</f>
        <v/>
      </c>
      <c r="R168">
        <f>IFERROR(IF(ISNUMBER(INDEX(SPPR!$E:$Z,MATCH($A168,SPPR!$A:$A,0),15)),$C168*INDEX(SPPR!$E:$Z,MATCH($A168,SPPR!$A:$A,0),15),""),"")</f>
        <v/>
      </c>
      <c r="S168">
        <f>IFERROR(IF(ISNUMBER(INDEX(SPPR!$E:$Z,MATCH($A168,SPPR!$A:$A,0),16)),$C168*INDEX(SPPR!$E:$Z,MATCH($A168,SPPR!$A:$A,0),16),""),"")</f>
        <v/>
      </c>
      <c r="T168">
        <f>IFERROR(IF(ISNUMBER(INDEX(SPPR!$E:$Z,MATCH($A168,SPPR!$A:$A,0),17)),$C168*INDEX(SPPR!$E:$Z,MATCH($A168,SPPR!$A:$A,0),17),""),"")</f>
        <v/>
      </c>
      <c r="U168">
        <f>IFERROR(IF(ISNUMBER(INDEX(SPPR!$E:$Z,MATCH($A168,SPPR!$A:$A,0),18)),$C168*INDEX(SPPR!$E:$Z,MATCH($A168,SPPR!$A:$A,0),18),""),"")</f>
        <v/>
      </c>
      <c r="V168">
        <f>IFERROR(IF(ISNUMBER(INDEX(SPPR!$E:$Z,MATCH($A168,SPPR!$A:$A,0),19)),$C168*INDEX(SPPR!$E:$Z,MATCH($A168,SPPR!$A:$A,0),19),""),"")</f>
        <v/>
      </c>
      <c r="W168">
        <f>IFERROR(IF(ISNUMBER(INDEX(SPPR!$E:$Z,MATCH($A168,SPPR!$A:$A,0),20)),$C168*INDEX(SPPR!$E:$Z,MATCH($A168,SPPR!$A:$A,0),20),""),"")</f>
        <v/>
      </c>
      <c r="X168">
        <f>IFERROR(IF(ISNUMBER(INDEX(SPPR!$E:$Z,MATCH($A168,SPPR!$A:$A,0),21)),$C168*INDEX(SPPR!$E:$Z,MATCH($A168,SPPR!$A:$A,0),21),""),"")</f>
        <v/>
      </c>
      <c r="Y168">
        <f>IFERROR(IF(ISNUMBER(INDEX(SPPR!$E:$Z,MATCH($A168,SPPR!$A:$A,0),22)),$C168*INDEX(SPPR!$E:$Z,MATCH($A168,SPPR!$A:$A,0),22),""),"")</f>
        <v/>
      </c>
    </row>
    <row r="169">
      <c r="A169" t="inlineStr">
        <is>
          <t>Lobotes surinamensis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IFERROR(IF(ISNUMBER(INDEX(SPPR!$E:$Z,MATCH($A169,SPPR!$A:$A,0),1)),$C169*INDEX(SPPR!$E:$Z,MATCH($A169,SPPR!$A:$A,0),1),""),"")</f>
        <v/>
      </c>
      <c r="E169">
        <f>IFERROR(IF(ISNUMBER(INDEX(SPPR!$E:$Z,MATCH($A169,SPPR!$A:$A,0),2)),$C169*INDEX(SPPR!$E:$Z,MATCH($A169,SPPR!$A:$A,0),2),""),"")</f>
        <v/>
      </c>
      <c r="F169">
        <f>IFERROR(IF(ISNUMBER(INDEX(SPPR!$E:$Z,MATCH($A169,SPPR!$A:$A,0),3)),$C169*INDEX(SPPR!$E:$Z,MATCH($A169,SPPR!$A:$A,0),3),""),"")</f>
        <v/>
      </c>
      <c r="G169">
        <f>IFERROR(IF(ISNUMBER(INDEX(SPPR!$E:$Z,MATCH($A169,SPPR!$A:$A,0),4)),$C169*INDEX(SPPR!$E:$Z,MATCH($A169,SPPR!$A:$A,0),4),""),"")</f>
        <v/>
      </c>
      <c r="H169">
        <f>IFERROR(IF(ISNUMBER(INDEX(SPPR!$E:$Z,MATCH($A169,SPPR!$A:$A,0),5)),$C169*INDEX(SPPR!$E:$Z,MATCH($A169,SPPR!$A:$A,0),5),""),"")</f>
        <v/>
      </c>
      <c r="I169">
        <f>IFERROR(IF(ISNUMBER(INDEX(SPPR!$E:$Z,MATCH($A169,SPPR!$A:$A,0),6)),$C169*INDEX(SPPR!$E:$Z,MATCH($A169,SPPR!$A:$A,0),6),""),"")</f>
        <v/>
      </c>
      <c r="J169">
        <f>IFERROR(IF(ISNUMBER(INDEX(SPPR!$E:$Z,MATCH($A169,SPPR!$A:$A,0),7)),$C169*INDEX(SPPR!$E:$Z,MATCH($A169,SPPR!$A:$A,0),7),""),"")</f>
        <v/>
      </c>
      <c r="K169">
        <f>IFERROR(IF(ISNUMBER(INDEX(SPPR!$E:$Z,MATCH($A169,SPPR!$A:$A,0),8)),$C169*INDEX(SPPR!$E:$Z,MATCH($A169,SPPR!$A:$A,0),8),""),"")</f>
        <v/>
      </c>
      <c r="L169">
        <f>IFERROR(IF(ISNUMBER(INDEX(SPPR!$E:$Z,MATCH($A169,SPPR!$A:$A,0),9)),$C169*INDEX(SPPR!$E:$Z,MATCH($A169,SPPR!$A:$A,0),9),""),"")</f>
        <v/>
      </c>
      <c r="M169">
        <f>IFERROR(IF(ISNUMBER(INDEX(SPPR!$E:$Z,MATCH($A169,SPPR!$A:$A,0),10)),$C169*INDEX(SPPR!$E:$Z,MATCH($A169,SPPR!$A:$A,0),10),""),"")</f>
        <v/>
      </c>
      <c r="N169">
        <f>IFERROR(IF(ISNUMBER(INDEX(SPPR!$E:$Z,MATCH($A169,SPPR!$A:$A,0),11)),$C169*INDEX(SPPR!$E:$Z,MATCH($A169,SPPR!$A:$A,0),11),""),"")</f>
        <v/>
      </c>
      <c r="O169">
        <f>IFERROR(IF(ISNUMBER(INDEX(SPPR!$E:$Z,MATCH($A169,SPPR!$A:$A,0),12)),$C169*INDEX(SPPR!$E:$Z,MATCH($A169,SPPR!$A:$A,0),12),""),"")</f>
        <v/>
      </c>
      <c r="P169">
        <f>IFERROR(IF(ISNUMBER(INDEX(SPPR!$E:$Z,MATCH($A169,SPPR!$A:$A,0),13)),$C169*INDEX(SPPR!$E:$Z,MATCH($A169,SPPR!$A:$A,0),13),""),"")</f>
        <v/>
      </c>
      <c r="Q169">
        <f>IFERROR(IF(ISNUMBER(INDEX(SPPR!$E:$Z,MATCH($A169,SPPR!$A:$A,0),14)),$C169*INDEX(SPPR!$E:$Z,MATCH($A169,SPPR!$A:$A,0),14),""),"")</f>
        <v/>
      </c>
      <c r="R169">
        <f>IFERROR(IF(ISNUMBER(INDEX(SPPR!$E:$Z,MATCH($A169,SPPR!$A:$A,0),15)),$C169*INDEX(SPPR!$E:$Z,MATCH($A169,SPPR!$A:$A,0),15),""),"")</f>
        <v/>
      </c>
      <c r="S169">
        <f>IFERROR(IF(ISNUMBER(INDEX(SPPR!$E:$Z,MATCH($A169,SPPR!$A:$A,0),16)),$C169*INDEX(SPPR!$E:$Z,MATCH($A169,SPPR!$A:$A,0),16),""),"")</f>
        <v/>
      </c>
      <c r="T169">
        <f>IFERROR(IF(ISNUMBER(INDEX(SPPR!$E:$Z,MATCH($A169,SPPR!$A:$A,0),17)),$C169*INDEX(SPPR!$E:$Z,MATCH($A169,SPPR!$A:$A,0),17),""),"")</f>
        <v/>
      </c>
      <c r="U169">
        <f>IFERROR(IF(ISNUMBER(INDEX(SPPR!$E:$Z,MATCH($A169,SPPR!$A:$A,0),18)),$C169*INDEX(SPPR!$E:$Z,MATCH($A169,SPPR!$A:$A,0),18),""),"")</f>
        <v/>
      </c>
      <c r="V169">
        <f>IFERROR(IF(ISNUMBER(INDEX(SPPR!$E:$Z,MATCH($A169,SPPR!$A:$A,0),19)),$C169*INDEX(SPPR!$E:$Z,MATCH($A169,SPPR!$A:$A,0),19),""),"")</f>
        <v/>
      </c>
      <c r="W169">
        <f>IFERROR(IF(ISNUMBER(INDEX(SPPR!$E:$Z,MATCH($A169,SPPR!$A:$A,0),20)),$C169*INDEX(SPPR!$E:$Z,MATCH($A169,SPPR!$A:$A,0),20),""),"")</f>
        <v/>
      </c>
      <c r="X169">
        <f>IFERROR(IF(ISNUMBER(INDEX(SPPR!$E:$Z,MATCH($A169,SPPR!$A:$A,0),21)),$C169*INDEX(SPPR!$E:$Z,MATCH($A169,SPPR!$A:$A,0),21),""),"")</f>
        <v/>
      </c>
      <c r="Y169">
        <f>IFERROR(IF(ISNUMBER(INDEX(SPPR!$E:$Z,MATCH($A169,SPPR!$A:$A,0),22)),$C169*INDEX(SPPR!$E:$Z,MATCH($A169,SPPR!$A:$A,0),22),""),"")</f>
        <v/>
      </c>
    </row>
    <row r="170">
      <c r="A170" t="inlineStr">
        <is>
          <t>Lethrinus atlanticus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IFERROR(IF(ISNUMBER(INDEX(SPPR!$E:$Z,MATCH($A170,SPPR!$A:$A,0),1)),$C170*INDEX(SPPR!$E:$Z,MATCH($A170,SPPR!$A:$A,0),1),""),"")</f>
        <v/>
      </c>
      <c r="E170">
        <f>IFERROR(IF(ISNUMBER(INDEX(SPPR!$E:$Z,MATCH($A170,SPPR!$A:$A,0),2)),$C170*INDEX(SPPR!$E:$Z,MATCH($A170,SPPR!$A:$A,0),2),""),"")</f>
        <v/>
      </c>
      <c r="F170">
        <f>IFERROR(IF(ISNUMBER(INDEX(SPPR!$E:$Z,MATCH($A170,SPPR!$A:$A,0),3)),$C170*INDEX(SPPR!$E:$Z,MATCH($A170,SPPR!$A:$A,0),3),""),"")</f>
        <v/>
      </c>
      <c r="G170">
        <f>IFERROR(IF(ISNUMBER(INDEX(SPPR!$E:$Z,MATCH($A170,SPPR!$A:$A,0),4)),$C170*INDEX(SPPR!$E:$Z,MATCH($A170,SPPR!$A:$A,0),4),""),"")</f>
        <v/>
      </c>
      <c r="H170">
        <f>IFERROR(IF(ISNUMBER(INDEX(SPPR!$E:$Z,MATCH($A170,SPPR!$A:$A,0),5)),$C170*INDEX(SPPR!$E:$Z,MATCH($A170,SPPR!$A:$A,0),5),""),"")</f>
        <v/>
      </c>
      <c r="I170">
        <f>IFERROR(IF(ISNUMBER(INDEX(SPPR!$E:$Z,MATCH($A170,SPPR!$A:$A,0),6)),$C170*INDEX(SPPR!$E:$Z,MATCH($A170,SPPR!$A:$A,0),6),""),"")</f>
        <v/>
      </c>
      <c r="J170">
        <f>IFERROR(IF(ISNUMBER(INDEX(SPPR!$E:$Z,MATCH($A170,SPPR!$A:$A,0),7)),$C170*INDEX(SPPR!$E:$Z,MATCH($A170,SPPR!$A:$A,0),7),""),"")</f>
        <v/>
      </c>
      <c r="K170">
        <f>IFERROR(IF(ISNUMBER(INDEX(SPPR!$E:$Z,MATCH($A170,SPPR!$A:$A,0),8)),$C170*INDEX(SPPR!$E:$Z,MATCH($A170,SPPR!$A:$A,0),8),""),"")</f>
        <v/>
      </c>
      <c r="L170">
        <f>IFERROR(IF(ISNUMBER(INDEX(SPPR!$E:$Z,MATCH($A170,SPPR!$A:$A,0),9)),$C170*INDEX(SPPR!$E:$Z,MATCH($A170,SPPR!$A:$A,0),9),""),"")</f>
        <v/>
      </c>
      <c r="M170">
        <f>IFERROR(IF(ISNUMBER(INDEX(SPPR!$E:$Z,MATCH($A170,SPPR!$A:$A,0),10)),$C170*INDEX(SPPR!$E:$Z,MATCH($A170,SPPR!$A:$A,0),10),""),"")</f>
        <v/>
      </c>
      <c r="N170">
        <f>IFERROR(IF(ISNUMBER(INDEX(SPPR!$E:$Z,MATCH($A170,SPPR!$A:$A,0),11)),$C170*INDEX(SPPR!$E:$Z,MATCH($A170,SPPR!$A:$A,0),11),""),"")</f>
        <v/>
      </c>
      <c r="O170">
        <f>IFERROR(IF(ISNUMBER(INDEX(SPPR!$E:$Z,MATCH($A170,SPPR!$A:$A,0),12)),$C170*INDEX(SPPR!$E:$Z,MATCH($A170,SPPR!$A:$A,0),12),""),"")</f>
        <v/>
      </c>
      <c r="P170">
        <f>IFERROR(IF(ISNUMBER(INDEX(SPPR!$E:$Z,MATCH($A170,SPPR!$A:$A,0),13)),$C170*INDEX(SPPR!$E:$Z,MATCH($A170,SPPR!$A:$A,0),13),""),"")</f>
        <v/>
      </c>
      <c r="Q170">
        <f>IFERROR(IF(ISNUMBER(INDEX(SPPR!$E:$Z,MATCH($A170,SPPR!$A:$A,0),14)),$C170*INDEX(SPPR!$E:$Z,MATCH($A170,SPPR!$A:$A,0),14),""),"")</f>
        <v/>
      </c>
      <c r="R170">
        <f>IFERROR(IF(ISNUMBER(INDEX(SPPR!$E:$Z,MATCH($A170,SPPR!$A:$A,0),15)),$C170*INDEX(SPPR!$E:$Z,MATCH($A170,SPPR!$A:$A,0),15),""),"")</f>
        <v/>
      </c>
      <c r="S170">
        <f>IFERROR(IF(ISNUMBER(INDEX(SPPR!$E:$Z,MATCH($A170,SPPR!$A:$A,0),16)),$C170*INDEX(SPPR!$E:$Z,MATCH($A170,SPPR!$A:$A,0),16),""),"")</f>
        <v/>
      </c>
      <c r="T170">
        <f>IFERROR(IF(ISNUMBER(INDEX(SPPR!$E:$Z,MATCH($A170,SPPR!$A:$A,0),17)),$C170*INDEX(SPPR!$E:$Z,MATCH($A170,SPPR!$A:$A,0),17),""),"")</f>
        <v/>
      </c>
      <c r="U170">
        <f>IFERROR(IF(ISNUMBER(INDEX(SPPR!$E:$Z,MATCH($A170,SPPR!$A:$A,0),18)),$C170*INDEX(SPPR!$E:$Z,MATCH($A170,SPPR!$A:$A,0),18),""),"")</f>
        <v/>
      </c>
      <c r="V170">
        <f>IFERROR(IF(ISNUMBER(INDEX(SPPR!$E:$Z,MATCH($A170,SPPR!$A:$A,0),19)),$C170*INDEX(SPPR!$E:$Z,MATCH($A170,SPPR!$A:$A,0),19),""),"")</f>
        <v/>
      </c>
      <c r="W170">
        <f>IFERROR(IF(ISNUMBER(INDEX(SPPR!$E:$Z,MATCH($A170,SPPR!$A:$A,0),20)),$C170*INDEX(SPPR!$E:$Z,MATCH($A170,SPPR!$A:$A,0),20),""),"")</f>
        <v/>
      </c>
      <c r="X170">
        <f>IFERROR(IF(ISNUMBER(INDEX(SPPR!$E:$Z,MATCH($A170,SPPR!$A:$A,0),21)),$C170*INDEX(SPPR!$E:$Z,MATCH($A170,SPPR!$A:$A,0),21),""),"")</f>
        <v/>
      </c>
      <c r="Y170">
        <f>IFERROR(IF(ISNUMBER(INDEX(SPPR!$E:$Z,MATCH($A170,SPPR!$A:$A,0),22)),$C170*INDEX(SPPR!$E:$Z,MATCH($A170,SPPR!$A:$A,0),22),""),"")</f>
        <v/>
      </c>
    </row>
    <row r="171">
      <c r="A171" t="inlineStr">
        <is>
          <t>Sphyrna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IFERROR(IF(ISNUMBER(INDEX(SPPR!$E:$Z,MATCH($A171,SPPR!$A:$A,0),1)),$C171*INDEX(SPPR!$E:$Z,MATCH($A171,SPPR!$A:$A,0),1),""),"")</f>
        <v/>
      </c>
      <c r="E171">
        <f>IFERROR(IF(ISNUMBER(INDEX(SPPR!$E:$Z,MATCH($A171,SPPR!$A:$A,0),2)),$C171*INDEX(SPPR!$E:$Z,MATCH($A171,SPPR!$A:$A,0),2),""),"")</f>
        <v/>
      </c>
      <c r="F171">
        <f>IFERROR(IF(ISNUMBER(INDEX(SPPR!$E:$Z,MATCH($A171,SPPR!$A:$A,0),3)),$C171*INDEX(SPPR!$E:$Z,MATCH($A171,SPPR!$A:$A,0),3),""),"")</f>
        <v/>
      </c>
      <c r="G171">
        <f>IFERROR(IF(ISNUMBER(INDEX(SPPR!$E:$Z,MATCH($A171,SPPR!$A:$A,0),4)),$C171*INDEX(SPPR!$E:$Z,MATCH($A171,SPPR!$A:$A,0),4),""),"")</f>
        <v/>
      </c>
      <c r="H171">
        <f>IFERROR(IF(ISNUMBER(INDEX(SPPR!$E:$Z,MATCH($A171,SPPR!$A:$A,0),5)),$C171*INDEX(SPPR!$E:$Z,MATCH($A171,SPPR!$A:$A,0),5),""),"")</f>
        <v/>
      </c>
      <c r="I171">
        <f>IFERROR(IF(ISNUMBER(INDEX(SPPR!$E:$Z,MATCH($A171,SPPR!$A:$A,0),6)),$C171*INDEX(SPPR!$E:$Z,MATCH($A171,SPPR!$A:$A,0),6),""),"")</f>
        <v/>
      </c>
      <c r="J171">
        <f>IFERROR(IF(ISNUMBER(INDEX(SPPR!$E:$Z,MATCH($A171,SPPR!$A:$A,0),7)),$C171*INDEX(SPPR!$E:$Z,MATCH($A171,SPPR!$A:$A,0),7),""),"")</f>
        <v/>
      </c>
      <c r="K171">
        <f>IFERROR(IF(ISNUMBER(INDEX(SPPR!$E:$Z,MATCH($A171,SPPR!$A:$A,0),8)),$C171*INDEX(SPPR!$E:$Z,MATCH($A171,SPPR!$A:$A,0),8),""),"")</f>
        <v/>
      </c>
      <c r="L171">
        <f>IFERROR(IF(ISNUMBER(INDEX(SPPR!$E:$Z,MATCH($A171,SPPR!$A:$A,0),9)),$C171*INDEX(SPPR!$E:$Z,MATCH($A171,SPPR!$A:$A,0),9),""),"")</f>
        <v/>
      </c>
      <c r="M171">
        <f>IFERROR(IF(ISNUMBER(INDEX(SPPR!$E:$Z,MATCH($A171,SPPR!$A:$A,0),10)),$C171*INDEX(SPPR!$E:$Z,MATCH($A171,SPPR!$A:$A,0),10),""),"")</f>
        <v/>
      </c>
      <c r="N171">
        <f>IFERROR(IF(ISNUMBER(INDEX(SPPR!$E:$Z,MATCH($A171,SPPR!$A:$A,0),11)),$C171*INDEX(SPPR!$E:$Z,MATCH($A171,SPPR!$A:$A,0),11),""),"")</f>
        <v/>
      </c>
      <c r="O171">
        <f>IFERROR(IF(ISNUMBER(INDEX(SPPR!$E:$Z,MATCH($A171,SPPR!$A:$A,0),12)),$C171*INDEX(SPPR!$E:$Z,MATCH($A171,SPPR!$A:$A,0),12),""),"")</f>
        <v/>
      </c>
      <c r="P171">
        <f>IFERROR(IF(ISNUMBER(INDEX(SPPR!$E:$Z,MATCH($A171,SPPR!$A:$A,0),13)),$C171*INDEX(SPPR!$E:$Z,MATCH($A171,SPPR!$A:$A,0),13),""),"")</f>
        <v/>
      </c>
      <c r="Q171">
        <f>IFERROR(IF(ISNUMBER(INDEX(SPPR!$E:$Z,MATCH($A171,SPPR!$A:$A,0),14)),$C171*INDEX(SPPR!$E:$Z,MATCH($A171,SPPR!$A:$A,0),14),""),"")</f>
        <v/>
      </c>
      <c r="R171">
        <f>IFERROR(IF(ISNUMBER(INDEX(SPPR!$E:$Z,MATCH($A171,SPPR!$A:$A,0),15)),$C171*INDEX(SPPR!$E:$Z,MATCH($A171,SPPR!$A:$A,0),15),""),"")</f>
        <v/>
      </c>
      <c r="S171">
        <f>IFERROR(IF(ISNUMBER(INDEX(SPPR!$E:$Z,MATCH($A171,SPPR!$A:$A,0),16)),$C171*INDEX(SPPR!$E:$Z,MATCH($A171,SPPR!$A:$A,0),16),""),"")</f>
        <v/>
      </c>
      <c r="T171">
        <f>IFERROR(IF(ISNUMBER(INDEX(SPPR!$E:$Z,MATCH($A171,SPPR!$A:$A,0),17)),$C171*INDEX(SPPR!$E:$Z,MATCH($A171,SPPR!$A:$A,0),17),""),"")</f>
        <v/>
      </c>
      <c r="U171">
        <f>IFERROR(IF(ISNUMBER(INDEX(SPPR!$E:$Z,MATCH($A171,SPPR!$A:$A,0),18)),$C171*INDEX(SPPR!$E:$Z,MATCH($A171,SPPR!$A:$A,0),18),""),"")</f>
        <v/>
      </c>
      <c r="V171">
        <f>IFERROR(IF(ISNUMBER(INDEX(SPPR!$E:$Z,MATCH($A171,SPPR!$A:$A,0),19)),$C171*INDEX(SPPR!$E:$Z,MATCH($A171,SPPR!$A:$A,0),19),""),"")</f>
        <v/>
      </c>
      <c r="W171">
        <f>IFERROR(IF(ISNUMBER(INDEX(SPPR!$E:$Z,MATCH($A171,SPPR!$A:$A,0),20)),$C171*INDEX(SPPR!$E:$Z,MATCH($A171,SPPR!$A:$A,0),20),""),"")</f>
        <v/>
      </c>
      <c r="X171">
        <f>IFERROR(IF(ISNUMBER(INDEX(SPPR!$E:$Z,MATCH($A171,SPPR!$A:$A,0),21)),$C171*INDEX(SPPR!$E:$Z,MATCH($A171,SPPR!$A:$A,0),21),""),"")</f>
        <v/>
      </c>
      <c r="Y171">
        <f>IFERROR(IF(ISNUMBER(INDEX(SPPR!$E:$Z,MATCH($A171,SPPR!$A:$A,0),22)),$C171*INDEX(SPPR!$E:$Z,MATCH($A171,SPPR!$A:$A,0),22),""),"")</f>
        <v/>
      </c>
    </row>
    <row r="172">
      <c r="A172" t="inlineStr">
        <is>
          <t>Rhinobatos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IFERROR(IF(ISNUMBER(INDEX(SPPR!$E:$Z,MATCH($A172,SPPR!$A:$A,0),1)),$C172*INDEX(SPPR!$E:$Z,MATCH($A172,SPPR!$A:$A,0),1),""),"")</f>
        <v/>
      </c>
      <c r="E172">
        <f>IFERROR(IF(ISNUMBER(INDEX(SPPR!$E:$Z,MATCH($A172,SPPR!$A:$A,0),2)),$C172*INDEX(SPPR!$E:$Z,MATCH($A172,SPPR!$A:$A,0),2),""),"")</f>
        <v/>
      </c>
      <c r="F172">
        <f>IFERROR(IF(ISNUMBER(INDEX(SPPR!$E:$Z,MATCH($A172,SPPR!$A:$A,0),3)),$C172*INDEX(SPPR!$E:$Z,MATCH($A172,SPPR!$A:$A,0),3),""),"")</f>
        <v/>
      </c>
      <c r="G172">
        <f>IFERROR(IF(ISNUMBER(INDEX(SPPR!$E:$Z,MATCH($A172,SPPR!$A:$A,0),4)),$C172*INDEX(SPPR!$E:$Z,MATCH($A172,SPPR!$A:$A,0),4),""),"")</f>
        <v/>
      </c>
      <c r="H172">
        <f>IFERROR(IF(ISNUMBER(INDEX(SPPR!$E:$Z,MATCH($A172,SPPR!$A:$A,0),5)),$C172*INDEX(SPPR!$E:$Z,MATCH($A172,SPPR!$A:$A,0),5),""),"")</f>
        <v/>
      </c>
      <c r="I172">
        <f>IFERROR(IF(ISNUMBER(INDEX(SPPR!$E:$Z,MATCH($A172,SPPR!$A:$A,0),6)),$C172*INDEX(SPPR!$E:$Z,MATCH($A172,SPPR!$A:$A,0),6),""),"")</f>
        <v/>
      </c>
      <c r="J172">
        <f>IFERROR(IF(ISNUMBER(INDEX(SPPR!$E:$Z,MATCH($A172,SPPR!$A:$A,0),7)),$C172*INDEX(SPPR!$E:$Z,MATCH($A172,SPPR!$A:$A,0),7),""),"")</f>
        <v/>
      </c>
      <c r="K172">
        <f>IFERROR(IF(ISNUMBER(INDEX(SPPR!$E:$Z,MATCH($A172,SPPR!$A:$A,0),8)),$C172*INDEX(SPPR!$E:$Z,MATCH($A172,SPPR!$A:$A,0),8),""),"")</f>
        <v/>
      </c>
      <c r="L172">
        <f>IFERROR(IF(ISNUMBER(INDEX(SPPR!$E:$Z,MATCH($A172,SPPR!$A:$A,0),9)),$C172*INDEX(SPPR!$E:$Z,MATCH($A172,SPPR!$A:$A,0),9),""),"")</f>
        <v/>
      </c>
      <c r="M172">
        <f>IFERROR(IF(ISNUMBER(INDEX(SPPR!$E:$Z,MATCH($A172,SPPR!$A:$A,0),10)),$C172*INDEX(SPPR!$E:$Z,MATCH($A172,SPPR!$A:$A,0),10),""),"")</f>
        <v/>
      </c>
      <c r="N172">
        <f>IFERROR(IF(ISNUMBER(INDEX(SPPR!$E:$Z,MATCH($A172,SPPR!$A:$A,0),11)),$C172*INDEX(SPPR!$E:$Z,MATCH($A172,SPPR!$A:$A,0),11),""),"")</f>
        <v/>
      </c>
      <c r="O172">
        <f>IFERROR(IF(ISNUMBER(INDEX(SPPR!$E:$Z,MATCH($A172,SPPR!$A:$A,0),12)),$C172*INDEX(SPPR!$E:$Z,MATCH($A172,SPPR!$A:$A,0),12),""),"")</f>
        <v/>
      </c>
      <c r="P172">
        <f>IFERROR(IF(ISNUMBER(INDEX(SPPR!$E:$Z,MATCH($A172,SPPR!$A:$A,0),13)),$C172*INDEX(SPPR!$E:$Z,MATCH($A172,SPPR!$A:$A,0),13),""),"")</f>
        <v/>
      </c>
      <c r="Q172">
        <f>IFERROR(IF(ISNUMBER(INDEX(SPPR!$E:$Z,MATCH($A172,SPPR!$A:$A,0),14)),$C172*INDEX(SPPR!$E:$Z,MATCH($A172,SPPR!$A:$A,0),14),""),"")</f>
        <v/>
      </c>
      <c r="R172">
        <f>IFERROR(IF(ISNUMBER(INDEX(SPPR!$E:$Z,MATCH($A172,SPPR!$A:$A,0),15)),$C172*INDEX(SPPR!$E:$Z,MATCH($A172,SPPR!$A:$A,0),15),""),"")</f>
        <v/>
      </c>
      <c r="S172">
        <f>IFERROR(IF(ISNUMBER(INDEX(SPPR!$E:$Z,MATCH($A172,SPPR!$A:$A,0),16)),$C172*INDEX(SPPR!$E:$Z,MATCH($A172,SPPR!$A:$A,0),16),""),"")</f>
        <v/>
      </c>
      <c r="T172">
        <f>IFERROR(IF(ISNUMBER(INDEX(SPPR!$E:$Z,MATCH($A172,SPPR!$A:$A,0),17)),$C172*INDEX(SPPR!$E:$Z,MATCH($A172,SPPR!$A:$A,0),17),""),"")</f>
        <v/>
      </c>
      <c r="U172">
        <f>IFERROR(IF(ISNUMBER(INDEX(SPPR!$E:$Z,MATCH($A172,SPPR!$A:$A,0),18)),$C172*INDEX(SPPR!$E:$Z,MATCH($A172,SPPR!$A:$A,0),18),""),"")</f>
        <v/>
      </c>
      <c r="V172">
        <f>IFERROR(IF(ISNUMBER(INDEX(SPPR!$E:$Z,MATCH($A172,SPPR!$A:$A,0),19)),$C172*INDEX(SPPR!$E:$Z,MATCH($A172,SPPR!$A:$A,0),19),""),"")</f>
        <v/>
      </c>
      <c r="W172">
        <f>IFERROR(IF(ISNUMBER(INDEX(SPPR!$E:$Z,MATCH($A172,SPPR!$A:$A,0),20)),$C172*INDEX(SPPR!$E:$Z,MATCH($A172,SPPR!$A:$A,0),20),""),"")</f>
        <v/>
      </c>
      <c r="X172">
        <f>IFERROR(IF(ISNUMBER(INDEX(SPPR!$E:$Z,MATCH($A172,SPPR!$A:$A,0),21)),$C172*INDEX(SPPR!$E:$Z,MATCH($A172,SPPR!$A:$A,0),21),""),"")</f>
        <v/>
      </c>
      <c r="Y172">
        <f>IFERROR(IF(ISNUMBER(INDEX(SPPR!$E:$Z,MATCH($A172,SPPR!$A:$A,0),22)),$C172*INDEX(SPPR!$E:$Z,MATCH($A172,SPPR!$A:$A,0),22),""),"")</f>
        <v/>
      </c>
    </row>
    <row r="173">
      <c r="A173" t="inlineStr">
        <is>
          <t>Lithognathus mormyrus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IFERROR(IF(ISNUMBER(INDEX(SPPR!$E:$Z,MATCH($A173,SPPR!$A:$A,0),1)),$C173*INDEX(SPPR!$E:$Z,MATCH($A173,SPPR!$A:$A,0),1),""),"")</f>
        <v/>
      </c>
      <c r="E173">
        <f>IFERROR(IF(ISNUMBER(INDEX(SPPR!$E:$Z,MATCH($A173,SPPR!$A:$A,0),2)),$C173*INDEX(SPPR!$E:$Z,MATCH($A173,SPPR!$A:$A,0),2),""),"")</f>
        <v/>
      </c>
      <c r="F173">
        <f>IFERROR(IF(ISNUMBER(INDEX(SPPR!$E:$Z,MATCH($A173,SPPR!$A:$A,0),3)),$C173*INDEX(SPPR!$E:$Z,MATCH($A173,SPPR!$A:$A,0),3),""),"")</f>
        <v/>
      </c>
      <c r="G173">
        <f>IFERROR(IF(ISNUMBER(INDEX(SPPR!$E:$Z,MATCH($A173,SPPR!$A:$A,0),4)),$C173*INDEX(SPPR!$E:$Z,MATCH($A173,SPPR!$A:$A,0),4),""),"")</f>
        <v/>
      </c>
      <c r="H173">
        <f>IFERROR(IF(ISNUMBER(INDEX(SPPR!$E:$Z,MATCH($A173,SPPR!$A:$A,0),5)),$C173*INDEX(SPPR!$E:$Z,MATCH($A173,SPPR!$A:$A,0),5),""),"")</f>
        <v/>
      </c>
      <c r="I173">
        <f>IFERROR(IF(ISNUMBER(INDEX(SPPR!$E:$Z,MATCH($A173,SPPR!$A:$A,0),6)),$C173*INDEX(SPPR!$E:$Z,MATCH($A173,SPPR!$A:$A,0),6),""),"")</f>
        <v/>
      </c>
      <c r="J173">
        <f>IFERROR(IF(ISNUMBER(INDEX(SPPR!$E:$Z,MATCH($A173,SPPR!$A:$A,0),7)),$C173*INDEX(SPPR!$E:$Z,MATCH($A173,SPPR!$A:$A,0),7),""),"")</f>
        <v/>
      </c>
      <c r="K173">
        <f>IFERROR(IF(ISNUMBER(INDEX(SPPR!$E:$Z,MATCH($A173,SPPR!$A:$A,0),8)),$C173*INDEX(SPPR!$E:$Z,MATCH($A173,SPPR!$A:$A,0),8),""),"")</f>
        <v/>
      </c>
      <c r="L173">
        <f>IFERROR(IF(ISNUMBER(INDEX(SPPR!$E:$Z,MATCH($A173,SPPR!$A:$A,0),9)),$C173*INDEX(SPPR!$E:$Z,MATCH($A173,SPPR!$A:$A,0),9),""),"")</f>
        <v/>
      </c>
      <c r="M173">
        <f>IFERROR(IF(ISNUMBER(INDEX(SPPR!$E:$Z,MATCH($A173,SPPR!$A:$A,0),10)),$C173*INDEX(SPPR!$E:$Z,MATCH($A173,SPPR!$A:$A,0),10),""),"")</f>
        <v/>
      </c>
      <c r="N173">
        <f>IFERROR(IF(ISNUMBER(INDEX(SPPR!$E:$Z,MATCH($A173,SPPR!$A:$A,0),11)),$C173*INDEX(SPPR!$E:$Z,MATCH($A173,SPPR!$A:$A,0),11),""),"")</f>
        <v/>
      </c>
      <c r="O173">
        <f>IFERROR(IF(ISNUMBER(INDEX(SPPR!$E:$Z,MATCH($A173,SPPR!$A:$A,0),12)),$C173*INDEX(SPPR!$E:$Z,MATCH($A173,SPPR!$A:$A,0),12),""),"")</f>
        <v/>
      </c>
      <c r="P173">
        <f>IFERROR(IF(ISNUMBER(INDEX(SPPR!$E:$Z,MATCH($A173,SPPR!$A:$A,0),13)),$C173*INDEX(SPPR!$E:$Z,MATCH($A173,SPPR!$A:$A,0),13),""),"")</f>
        <v/>
      </c>
      <c r="Q173">
        <f>IFERROR(IF(ISNUMBER(INDEX(SPPR!$E:$Z,MATCH($A173,SPPR!$A:$A,0),14)),$C173*INDEX(SPPR!$E:$Z,MATCH($A173,SPPR!$A:$A,0),14),""),"")</f>
        <v/>
      </c>
      <c r="R173">
        <f>IFERROR(IF(ISNUMBER(INDEX(SPPR!$E:$Z,MATCH($A173,SPPR!$A:$A,0),15)),$C173*INDEX(SPPR!$E:$Z,MATCH($A173,SPPR!$A:$A,0),15),""),"")</f>
        <v/>
      </c>
      <c r="S173">
        <f>IFERROR(IF(ISNUMBER(INDEX(SPPR!$E:$Z,MATCH($A173,SPPR!$A:$A,0),16)),$C173*INDEX(SPPR!$E:$Z,MATCH($A173,SPPR!$A:$A,0),16),""),"")</f>
        <v/>
      </c>
      <c r="T173">
        <f>IFERROR(IF(ISNUMBER(INDEX(SPPR!$E:$Z,MATCH($A173,SPPR!$A:$A,0),17)),$C173*INDEX(SPPR!$E:$Z,MATCH($A173,SPPR!$A:$A,0),17),""),"")</f>
        <v/>
      </c>
      <c r="U173">
        <f>IFERROR(IF(ISNUMBER(INDEX(SPPR!$E:$Z,MATCH($A173,SPPR!$A:$A,0),18)),$C173*INDEX(SPPR!$E:$Z,MATCH($A173,SPPR!$A:$A,0),18),""),"")</f>
        <v/>
      </c>
      <c r="V173">
        <f>IFERROR(IF(ISNUMBER(INDEX(SPPR!$E:$Z,MATCH($A173,SPPR!$A:$A,0),19)),$C173*INDEX(SPPR!$E:$Z,MATCH($A173,SPPR!$A:$A,0),19),""),"")</f>
        <v/>
      </c>
      <c r="W173">
        <f>IFERROR(IF(ISNUMBER(INDEX(SPPR!$E:$Z,MATCH($A173,SPPR!$A:$A,0),20)),$C173*INDEX(SPPR!$E:$Z,MATCH($A173,SPPR!$A:$A,0),20),""),"")</f>
        <v/>
      </c>
      <c r="X173">
        <f>IFERROR(IF(ISNUMBER(INDEX(SPPR!$E:$Z,MATCH($A173,SPPR!$A:$A,0),21)),$C173*INDEX(SPPR!$E:$Z,MATCH($A173,SPPR!$A:$A,0),21),""),"")</f>
        <v/>
      </c>
      <c r="Y173">
        <f>IFERROR(IF(ISNUMBER(INDEX(SPPR!$E:$Z,MATCH($A173,SPPR!$A:$A,0),22)),$C173*INDEX(SPPR!$E:$Z,MATCH($A173,SPPR!$A:$A,0),22),""),"")</f>
        <v/>
      </c>
    </row>
    <row r="174">
      <c r="A174" t="inlineStr">
        <is>
          <t>Palinuridae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IFERROR(IF(ISNUMBER(INDEX(SPPR!$E:$Z,MATCH($A174,SPPR!$A:$A,0),1)),$C174*INDEX(SPPR!$E:$Z,MATCH($A174,SPPR!$A:$A,0),1),""),"")</f>
        <v/>
      </c>
      <c r="E174">
        <f>IFERROR(IF(ISNUMBER(INDEX(SPPR!$E:$Z,MATCH($A174,SPPR!$A:$A,0),2)),$C174*INDEX(SPPR!$E:$Z,MATCH($A174,SPPR!$A:$A,0),2),""),"")</f>
        <v/>
      </c>
      <c r="F174">
        <f>IFERROR(IF(ISNUMBER(INDEX(SPPR!$E:$Z,MATCH($A174,SPPR!$A:$A,0),3)),$C174*INDEX(SPPR!$E:$Z,MATCH($A174,SPPR!$A:$A,0),3),""),"")</f>
        <v/>
      </c>
      <c r="G174">
        <f>IFERROR(IF(ISNUMBER(INDEX(SPPR!$E:$Z,MATCH($A174,SPPR!$A:$A,0),4)),$C174*INDEX(SPPR!$E:$Z,MATCH($A174,SPPR!$A:$A,0),4),""),"")</f>
        <v/>
      </c>
      <c r="H174">
        <f>IFERROR(IF(ISNUMBER(INDEX(SPPR!$E:$Z,MATCH($A174,SPPR!$A:$A,0),5)),$C174*INDEX(SPPR!$E:$Z,MATCH($A174,SPPR!$A:$A,0),5),""),"")</f>
        <v/>
      </c>
      <c r="I174">
        <f>IFERROR(IF(ISNUMBER(INDEX(SPPR!$E:$Z,MATCH($A174,SPPR!$A:$A,0),6)),$C174*INDEX(SPPR!$E:$Z,MATCH($A174,SPPR!$A:$A,0),6),""),"")</f>
        <v/>
      </c>
      <c r="J174">
        <f>IFERROR(IF(ISNUMBER(INDEX(SPPR!$E:$Z,MATCH($A174,SPPR!$A:$A,0),7)),$C174*INDEX(SPPR!$E:$Z,MATCH($A174,SPPR!$A:$A,0),7),""),"")</f>
        <v/>
      </c>
      <c r="K174">
        <f>IFERROR(IF(ISNUMBER(INDEX(SPPR!$E:$Z,MATCH($A174,SPPR!$A:$A,0),8)),$C174*INDEX(SPPR!$E:$Z,MATCH($A174,SPPR!$A:$A,0),8),""),"")</f>
        <v/>
      </c>
      <c r="L174">
        <f>IFERROR(IF(ISNUMBER(INDEX(SPPR!$E:$Z,MATCH($A174,SPPR!$A:$A,0),9)),$C174*INDEX(SPPR!$E:$Z,MATCH($A174,SPPR!$A:$A,0),9),""),"")</f>
        <v/>
      </c>
      <c r="M174">
        <f>IFERROR(IF(ISNUMBER(INDEX(SPPR!$E:$Z,MATCH($A174,SPPR!$A:$A,0),10)),$C174*INDEX(SPPR!$E:$Z,MATCH($A174,SPPR!$A:$A,0),10),""),"")</f>
        <v/>
      </c>
      <c r="N174">
        <f>IFERROR(IF(ISNUMBER(INDEX(SPPR!$E:$Z,MATCH($A174,SPPR!$A:$A,0),11)),$C174*INDEX(SPPR!$E:$Z,MATCH($A174,SPPR!$A:$A,0),11),""),"")</f>
        <v/>
      </c>
      <c r="O174">
        <f>IFERROR(IF(ISNUMBER(INDEX(SPPR!$E:$Z,MATCH($A174,SPPR!$A:$A,0),12)),$C174*INDEX(SPPR!$E:$Z,MATCH($A174,SPPR!$A:$A,0),12),""),"")</f>
        <v/>
      </c>
      <c r="P174">
        <f>IFERROR(IF(ISNUMBER(INDEX(SPPR!$E:$Z,MATCH($A174,SPPR!$A:$A,0),13)),$C174*INDEX(SPPR!$E:$Z,MATCH($A174,SPPR!$A:$A,0),13),""),"")</f>
        <v/>
      </c>
      <c r="Q174">
        <f>IFERROR(IF(ISNUMBER(INDEX(SPPR!$E:$Z,MATCH($A174,SPPR!$A:$A,0),14)),$C174*INDEX(SPPR!$E:$Z,MATCH($A174,SPPR!$A:$A,0),14),""),"")</f>
        <v/>
      </c>
      <c r="R174">
        <f>IFERROR(IF(ISNUMBER(INDEX(SPPR!$E:$Z,MATCH($A174,SPPR!$A:$A,0),15)),$C174*INDEX(SPPR!$E:$Z,MATCH($A174,SPPR!$A:$A,0),15),""),"")</f>
        <v/>
      </c>
      <c r="S174">
        <f>IFERROR(IF(ISNUMBER(INDEX(SPPR!$E:$Z,MATCH($A174,SPPR!$A:$A,0),16)),$C174*INDEX(SPPR!$E:$Z,MATCH($A174,SPPR!$A:$A,0),16),""),"")</f>
        <v/>
      </c>
      <c r="T174">
        <f>IFERROR(IF(ISNUMBER(INDEX(SPPR!$E:$Z,MATCH($A174,SPPR!$A:$A,0),17)),$C174*INDEX(SPPR!$E:$Z,MATCH($A174,SPPR!$A:$A,0),17),""),"")</f>
        <v/>
      </c>
      <c r="U174">
        <f>IFERROR(IF(ISNUMBER(INDEX(SPPR!$E:$Z,MATCH($A174,SPPR!$A:$A,0),18)),$C174*INDEX(SPPR!$E:$Z,MATCH($A174,SPPR!$A:$A,0),18),""),"")</f>
        <v/>
      </c>
      <c r="V174">
        <f>IFERROR(IF(ISNUMBER(INDEX(SPPR!$E:$Z,MATCH($A174,SPPR!$A:$A,0),19)),$C174*INDEX(SPPR!$E:$Z,MATCH($A174,SPPR!$A:$A,0),19),""),"")</f>
        <v/>
      </c>
      <c r="W174">
        <f>IFERROR(IF(ISNUMBER(INDEX(SPPR!$E:$Z,MATCH($A174,SPPR!$A:$A,0),20)),$C174*INDEX(SPPR!$E:$Z,MATCH($A174,SPPR!$A:$A,0),20),""),"")</f>
        <v/>
      </c>
      <c r="X174">
        <f>IFERROR(IF(ISNUMBER(INDEX(SPPR!$E:$Z,MATCH($A174,SPPR!$A:$A,0),21)),$C174*INDEX(SPPR!$E:$Z,MATCH($A174,SPPR!$A:$A,0),21),""),"")</f>
        <v/>
      </c>
      <c r="Y174">
        <f>IFERROR(IF(ISNUMBER(INDEX(SPPR!$E:$Z,MATCH($A174,SPPR!$A:$A,0),22)),$C174*INDEX(SPPR!$E:$Z,MATCH($A174,SPPR!$A:$A,0),22),""),"")</f>
        <v/>
      </c>
    </row>
    <row r="175">
      <c r="A175" t="inlineStr">
        <is>
          <t>Raja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IFERROR(IF(ISNUMBER(INDEX(SPPR!$E:$Z,MATCH($A175,SPPR!$A:$A,0),1)),$C175*INDEX(SPPR!$E:$Z,MATCH($A175,SPPR!$A:$A,0),1),""),"")</f>
        <v/>
      </c>
      <c r="E175">
        <f>IFERROR(IF(ISNUMBER(INDEX(SPPR!$E:$Z,MATCH($A175,SPPR!$A:$A,0),2)),$C175*INDEX(SPPR!$E:$Z,MATCH($A175,SPPR!$A:$A,0),2),""),"")</f>
        <v/>
      </c>
      <c r="F175">
        <f>IFERROR(IF(ISNUMBER(INDEX(SPPR!$E:$Z,MATCH($A175,SPPR!$A:$A,0),3)),$C175*INDEX(SPPR!$E:$Z,MATCH($A175,SPPR!$A:$A,0),3),""),"")</f>
        <v/>
      </c>
      <c r="G175">
        <f>IFERROR(IF(ISNUMBER(INDEX(SPPR!$E:$Z,MATCH($A175,SPPR!$A:$A,0),4)),$C175*INDEX(SPPR!$E:$Z,MATCH($A175,SPPR!$A:$A,0),4),""),"")</f>
        <v/>
      </c>
      <c r="H175">
        <f>IFERROR(IF(ISNUMBER(INDEX(SPPR!$E:$Z,MATCH($A175,SPPR!$A:$A,0),5)),$C175*INDEX(SPPR!$E:$Z,MATCH($A175,SPPR!$A:$A,0),5),""),"")</f>
        <v/>
      </c>
      <c r="I175">
        <f>IFERROR(IF(ISNUMBER(INDEX(SPPR!$E:$Z,MATCH($A175,SPPR!$A:$A,0),6)),$C175*INDEX(SPPR!$E:$Z,MATCH($A175,SPPR!$A:$A,0),6),""),"")</f>
        <v/>
      </c>
      <c r="J175">
        <f>IFERROR(IF(ISNUMBER(INDEX(SPPR!$E:$Z,MATCH($A175,SPPR!$A:$A,0),7)),$C175*INDEX(SPPR!$E:$Z,MATCH($A175,SPPR!$A:$A,0),7),""),"")</f>
        <v/>
      </c>
      <c r="K175">
        <f>IFERROR(IF(ISNUMBER(INDEX(SPPR!$E:$Z,MATCH($A175,SPPR!$A:$A,0),8)),$C175*INDEX(SPPR!$E:$Z,MATCH($A175,SPPR!$A:$A,0),8),""),"")</f>
        <v/>
      </c>
      <c r="L175">
        <f>IFERROR(IF(ISNUMBER(INDEX(SPPR!$E:$Z,MATCH($A175,SPPR!$A:$A,0),9)),$C175*INDEX(SPPR!$E:$Z,MATCH($A175,SPPR!$A:$A,0),9),""),"")</f>
        <v/>
      </c>
      <c r="M175">
        <f>IFERROR(IF(ISNUMBER(INDEX(SPPR!$E:$Z,MATCH($A175,SPPR!$A:$A,0),10)),$C175*INDEX(SPPR!$E:$Z,MATCH($A175,SPPR!$A:$A,0),10),""),"")</f>
        <v/>
      </c>
      <c r="N175">
        <f>IFERROR(IF(ISNUMBER(INDEX(SPPR!$E:$Z,MATCH($A175,SPPR!$A:$A,0),11)),$C175*INDEX(SPPR!$E:$Z,MATCH($A175,SPPR!$A:$A,0),11),""),"")</f>
        <v/>
      </c>
      <c r="O175">
        <f>IFERROR(IF(ISNUMBER(INDEX(SPPR!$E:$Z,MATCH($A175,SPPR!$A:$A,0),12)),$C175*INDEX(SPPR!$E:$Z,MATCH($A175,SPPR!$A:$A,0),12),""),"")</f>
        <v/>
      </c>
      <c r="P175">
        <f>IFERROR(IF(ISNUMBER(INDEX(SPPR!$E:$Z,MATCH($A175,SPPR!$A:$A,0),13)),$C175*INDEX(SPPR!$E:$Z,MATCH($A175,SPPR!$A:$A,0),13),""),"")</f>
        <v/>
      </c>
      <c r="Q175">
        <f>IFERROR(IF(ISNUMBER(INDEX(SPPR!$E:$Z,MATCH($A175,SPPR!$A:$A,0),14)),$C175*INDEX(SPPR!$E:$Z,MATCH($A175,SPPR!$A:$A,0),14),""),"")</f>
        <v/>
      </c>
      <c r="R175">
        <f>IFERROR(IF(ISNUMBER(INDEX(SPPR!$E:$Z,MATCH($A175,SPPR!$A:$A,0),15)),$C175*INDEX(SPPR!$E:$Z,MATCH($A175,SPPR!$A:$A,0),15),""),"")</f>
        <v/>
      </c>
      <c r="S175">
        <f>IFERROR(IF(ISNUMBER(INDEX(SPPR!$E:$Z,MATCH($A175,SPPR!$A:$A,0),16)),$C175*INDEX(SPPR!$E:$Z,MATCH($A175,SPPR!$A:$A,0),16),""),"")</f>
        <v/>
      </c>
      <c r="T175">
        <f>IFERROR(IF(ISNUMBER(INDEX(SPPR!$E:$Z,MATCH($A175,SPPR!$A:$A,0),17)),$C175*INDEX(SPPR!$E:$Z,MATCH($A175,SPPR!$A:$A,0),17),""),"")</f>
        <v/>
      </c>
      <c r="U175">
        <f>IFERROR(IF(ISNUMBER(INDEX(SPPR!$E:$Z,MATCH($A175,SPPR!$A:$A,0),18)),$C175*INDEX(SPPR!$E:$Z,MATCH($A175,SPPR!$A:$A,0),18),""),"")</f>
        <v/>
      </c>
      <c r="V175">
        <f>IFERROR(IF(ISNUMBER(INDEX(SPPR!$E:$Z,MATCH($A175,SPPR!$A:$A,0),19)),$C175*INDEX(SPPR!$E:$Z,MATCH($A175,SPPR!$A:$A,0),19),""),"")</f>
        <v/>
      </c>
      <c r="W175">
        <f>IFERROR(IF(ISNUMBER(INDEX(SPPR!$E:$Z,MATCH($A175,SPPR!$A:$A,0),20)),$C175*INDEX(SPPR!$E:$Z,MATCH($A175,SPPR!$A:$A,0),20),""),"")</f>
        <v/>
      </c>
      <c r="X175">
        <f>IFERROR(IF(ISNUMBER(INDEX(SPPR!$E:$Z,MATCH($A175,SPPR!$A:$A,0),21)),$C175*INDEX(SPPR!$E:$Z,MATCH($A175,SPPR!$A:$A,0),21),""),"")</f>
        <v/>
      </c>
      <c r="Y175">
        <f>IFERROR(IF(ISNUMBER(INDEX(SPPR!$E:$Z,MATCH($A175,SPPR!$A:$A,0),22)),$C175*INDEX(SPPR!$E:$Z,MATCH($A175,SPPR!$A:$A,0),22),""),"")</f>
        <v/>
      </c>
    </row>
    <row r="176">
      <c r="A176" t="inlineStr">
        <is>
          <t>Pomatomus saltatrix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IFERROR(IF(ISNUMBER(INDEX(SPPR!$E:$Z,MATCH($A176,SPPR!$A:$A,0),1)),$C176*INDEX(SPPR!$E:$Z,MATCH($A176,SPPR!$A:$A,0),1),""),"")</f>
        <v/>
      </c>
      <c r="E176">
        <f>IFERROR(IF(ISNUMBER(INDEX(SPPR!$E:$Z,MATCH($A176,SPPR!$A:$A,0),2)),$C176*INDEX(SPPR!$E:$Z,MATCH($A176,SPPR!$A:$A,0),2),""),"")</f>
        <v/>
      </c>
      <c r="F176">
        <f>IFERROR(IF(ISNUMBER(INDEX(SPPR!$E:$Z,MATCH($A176,SPPR!$A:$A,0),3)),$C176*INDEX(SPPR!$E:$Z,MATCH($A176,SPPR!$A:$A,0),3),""),"")</f>
        <v/>
      </c>
      <c r="G176">
        <f>IFERROR(IF(ISNUMBER(INDEX(SPPR!$E:$Z,MATCH($A176,SPPR!$A:$A,0),4)),$C176*INDEX(SPPR!$E:$Z,MATCH($A176,SPPR!$A:$A,0),4),""),"")</f>
        <v/>
      </c>
      <c r="H176">
        <f>IFERROR(IF(ISNUMBER(INDEX(SPPR!$E:$Z,MATCH($A176,SPPR!$A:$A,0),5)),$C176*INDEX(SPPR!$E:$Z,MATCH($A176,SPPR!$A:$A,0),5),""),"")</f>
        <v/>
      </c>
      <c r="I176">
        <f>IFERROR(IF(ISNUMBER(INDEX(SPPR!$E:$Z,MATCH($A176,SPPR!$A:$A,0),6)),$C176*INDEX(SPPR!$E:$Z,MATCH($A176,SPPR!$A:$A,0),6),""),"")</f>
        <v/>
      </c>
      <c r="J176">
        <f>IFERROR(IF(ISNUMBER(INDEX(SPPR!$E:$Z,MATCH($A176,SPPR!$A:$A,0),7)),$C176*INDEX(SPPR!$E:$Z,MATCH($A176,SPPR!$A:$A,0),7),""),"")</f>
        <v/>
      </c>
      <c r="K176">
        <f>IFERROR(IF(ISNUMBER(INDEX(SPPR!$E:$Z,MATCH($A176,SPPR!$A:$A,0),8)),$C176*INDEX(SPPR!$E:$Z,MATCH($A176,SPPR!$A:$A,0),8),""),"")</f>
        <v/>
      </c>
      <c r="L176">
        <f>IFERROR(IF(ISNUMBER(INDEX(SPPR!$E:$Z,MATCH($A176,SPPR!$A:$A,0),9)),$C176*INDEX(SPPR!$E:$Z,MATCH($A176,SPPR!$A:$A,0),9),""),"")</f>
        <v/>
      </c>
      <c r="M176">
        <f>IFERROR(IF(ISNUMBER(INDEX(SPPR!$E:$Z,MATCH($A176,SPPR!$A:$A,0),10)),$C176*INDEX(SPPR!$E:$Z,MATCH($A176,SPPR!$A:$A,0),10),""),"")</f>
        <v/>
      </c>
      <c r="N176">
        <f>IFERROR(IF(ISNUMBER(INDEX(SPPR!$E:$Z,MATCH($A176,SPPR!$A:$A,0),11)),$C176*INDEX(SPPR!$E:$Z,MATCH($A176,SPPR!$A:$A,0),11),""),"")</f>
        <v/>
      </c>
      <c r="O176">
        <f>IFERROR(IF(ISNUMBER(INDEX(SPPR!$E:$Z,MATCH($A176,SPPR!$A:$A,0),12)),$C176*INDEX(SPPR!$E:$Z,MATCH($A176,SPPR!$A:$A,0),12),""),"")</f>
        <v/>
      </c>
      <c r="P176">
        <f>IFERROR(IF(ISNUMBER(INDEX(SPPR!$E:$Z,MATCH($A176,SPPR!$A:$A,0),13)),$C176*INDEX(SPPR!$E:$Z,MATCH($A176,SPPR!$A:$A,0),13),""),"")</f>
        <v/>
      </c>
      <c r="Q176">
        <f>IFERROR(IF(ISNUMBER(INDEX(SPPR!$E:$Z,MATCH($A176,SPPR!$A:$A,0),14)),$C176*INDEX(SPPR!$E:$Z,MATCH($A176,SPPR!$A:$A,0),14),""),"")</f>
        <v/>
      </c>
      <c r="R176">
        <f>IFERROR(IF(ISNUMBER(INDEX(SPPR!$E:$Z,MATCH($A176,SPPR!$A:$A,0),15)),$C176*INDEX(SPPR!$E:$Z,MATCH($A176,SPPR!$A:$A,0),15),""),"")</f>
        <v/>
      </c>
      <c r="S176">
        <f>IFERROR(IF(ISNUMBER(INDEX(SPPR!$E:$Z,MATCH($A176,SPPR!$A:$A,0),16)),$C176*INDEX(SPPR!$E:$Z,MATCH($A176,SPPR!$A:$A,0),16),""),"")</f>
        <v/>
      </c>
      <c r="T176">
        <f>IFERROR(IF(ISNUMBER(INDEX(SPPR!$E:$Z,MATCH($A176,SPPR!$A:$A,0),17)),$C176*INDEX(SPPR!$E:$Z,MATCH($A176,SPPR!$A:$A,0),17),""),"")</f>
        <v/>
      </c>
      <c r="U176">
        <f>IFERROR(IF(ISNUMBER(INDEX(SPPR!$E:$Z,MATCH($A176,SPPR!$A:$A,0),18)),$C176*INDEX(SPPR!$E:$Z,MATCH($A176,SPPR!$A:$A,0),18),""),"")</f>
        <v/>
      </c>
      <c r="V176">
        <f>IFERROR(IF(ISNUMBER(INDEX(SPPR!$E:$Z,MATCH($A176,SPPR!$A:$A,0),19)),$C176*INDEX(SPPR!$E:$Z,MATCH($A176,SPPR!$A:$A,0),19),""),"")</f>
        <v/>
      </c>
      <c r="W176">
        <f>IFERROR(IF(ISNUMBER(INDEX(SPPR!$E:$Z,MATCH($A176,SPPR!$A:$A,0),20)),$C176*INDEX(SPPR!$E:$Z,MATCH($A176,SPPR!$A:$A,0),20),""),"")</f>
        <v/>
      </c>
      <c r="X176">
        <f>IFERROR(IF(ISNUMBER(INDEX(SPPR!$E:$Z,MATCH($A176,SPPR!$A:$A,0),21)),$C176*INDEX(SPPR!$E:$Z,MATCH($A176,SPPR!$A:$A,0),21),""),"")</f>
        <v/>
      </c>
      <c r="Y176">
        <f>IFERROR(IF(ISNUMBER(INDEX(SPPR!$E:$Z,MATCH($A176,SPPR!$A:$A,0),22)),$C176*INDEX(SPPR!$E:$Z,MATCH($A176,SPPR!$A:$A,0),22),""),"")</f>
        <v/>
      </c>
    </row>
    <row r="177">
      <c r="A177" t="inlineStr">
        <is>
          <t>Parapenaeopsis atlantica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IFERROR(IF(ISNUMBER(INDEX(SPPR!$E:$Z,MATCH($A177,SPPR!$A:$A,0),1)),$C177*INDEX(SPPR!$E:$Z,MATCH($A177,SPPR!$A:$A,0),1),""),"")</f>
        <v/>
      </c>
      <c r="E177">
        <f>IFERROR(IF(ISNUMBER(INDEX(SPPR!$E:$Z,MATCH($A177,SPPR!$A:$A,0),2)),$C177*INDEX(SPPR!$E:$Z,MATCH($A177,SPPR!$A:$A,0),2),""),"")</f>
        <v/>
      </c>
      <c r="F177">
        <f>IFERROR(IF(ISNUMBER(INDEX(SPPR!$E:$Z,MATCH($A177,SPPR!$A:$A,0),3)),$C177*INDEX(SPPR!$E:$Z,MATCH($A177,SPPR!$A:$A,0),3),""),"")</f>
        <v/>
      </c>
      <c r="G177">
        <f>IFERROR(IF(ISNUMBER(INDEX(SPPR!$E:$Z,MATCH($A177,SPPR!$A:$A,0),4)),$C177*INDEX(SPPR!$E:$Z,MATCH($A177,SPPR!$A:$A,0),4),""),"")</f>
        <v/>
      </c>
      <c r="H177">
        <f>IFERROR(IF(ISNUMBER(INDEX(SPPR!$E:$Z,MATCH($A177,SPPR!$A:$A,0),5)),$C177*INDEX(SPPR!$E:$Z,MATCH($A177,SPPR!$A:$A,0),5),""),"")</f>
        <v/>
      </c>
      <c r="I177">
        <f>IFERROR(IF(ISNUMBER(INDEX(SPPR!$E:$Z,MATCH($A177,SPPR!$A:$A,0),6)),$C177*INDEX(SPPR!$E:$Z,MATCH($A177,SPPR!$A:$A,0),6),""),"")</f>
        <v/>
      </c>
      <c r="J177">
        <f>IFERROR(IF(ISNUMBER(INDEX(SPPR!$E:$Z,MATCH($A177,SPPR!$A:$A,0),7)),$C177*INDEX(SPPR!$E:$Z,MATCH($A177,SPPR!$A:$A,0),7),""),"")</f>
        <v/>
      </c>
      <c r="K177">
        <f>IFERROR(IF(ISNUMBER(INDEX(SPPR!$E:$Z,MATCH($A177,SPPR!$A:$A,0),8)),$C177*INDEX(SPPR!$E:$Z,MATCH($A177,SPPR!$A:$A,0),8),""),"")</f>
        <v/>
      </c>
      <c r="L177">
        <f>IFERROR(IF(ISNUMBER(INDEX(SPPR!$E:$Z,MATCH($A177,SPPR!$A:$A,0),9)),$C177*INDEX(SPPR!$E:$Z,MATCH($A177,SPPR!$A:$A,0),9),""),"")</f>
        <v/>
      </c>
      <c r="M177">
        <f>IFERROR(IF(ISNUMBER(INDEX(SPPR!$E:$Z,MATCH($A177,SPPR!$A:$A,0),10)),$C177*INDEX(SPPR!$E:$Z,MATCH($A177,SPPR!$A:$A,0),10),""),"")</f>
        <v/>
      </c>
      <c r="N177">
        <f>IFERROR(IF(ISNUMBER(INDEX(SPPR!$E:$Z,MATCH($A177,SPPR!$A:$A,0),11)),$C177*INDEX(SPPR!$E:$Z,MATCH($A177,SPPR!$A:$A,0),11),""),"")</f>
        <v/>
      </c>
      <c r="O177">
        <f>IFERROR(IF(ISNUMBER(INDEX(SPPR!$E:$Z,MATCH($A177,SPPR!$A:$A,0),12)),$C177*INDEX(SPPR!$E:$Z,MATCH($A177,SPPR!$A:$A,0),12),""),"")</f>
        <v/>
      </c>
      <c r="P177">
        <f>IFERROR(IF(ISNUMBER(INDEX(SPPR!$E:$Z,MATCH($A177,SPPR!$A:$A,0),13)),$C177*INDEX(SPPR!$E:$Z,MATCH($A177,SPPR!$A:$A,0),13),""),"")</f>
        <v/>
      </c>
      <c r="Q177">
        <f>IFERROR(IF(ISNUMBER(INDEX(SPPR!$E:$Z,MATCH($A177,SPPR!$A:$A,0),14)),$C177*INDEX(SPPR!$E:$Z,MATCH($A177,SPPR!$A:$A,0),14),""),"")</f>
        <v/>
      </c>
      <c r="R177">
        <f>IFERROR(IF(ISNUMBER(INDEX(SPPR!$E:$Z,MATCH($A177,SPPR!$A:$A,0),15)),$C177*INDEX(SPPR!$E:$Z,MATCH($A177,SPPR!$A:$A,0),15),""),"")</f>
        <v/>
      </c>
      <c r="S177">
        <f>IFERROR(IF(ISNUMBER(INDEX(SPPR!$E:$Z,MATCH($A177,SPPR!$A:$A,0),16)),$C177*INDEX(SPPR!$E:$Z,MATCH($A177,SPPR!$A:$A,0),16),""),"")</f>
        <v/>
      </c>
      <c r="T177">
        <f>IFERROR(IF(ISNUMBER(INDEX(SPPR!$E:$Z,MATCH($A177,SPPR!$A:$A,0),17)),$C177*INDEX(SPPR!$E:$Z,MATCH($A177,SPPR!$A:$A,0),17),""),"")</f>
        <v/>
      </c>
      <c r="U177">
        <f>IFERROR(IF(ISNUMBER(INDEX(SPPR!$E:$Z,MATCH($A177,SPPR!$A:$A,0),18)),$C177*INDEX(SPPR!$E:$Z,MATCH($A177,SPPR!$A:$A,0),18),""),"")</f>
        <v/>
      </c>
      <c r="V177">
        <f>IFERROR(IF(ISNUMBER(INDEX(SPPR!$E:$Z,MATCH($A177,SPPR!$A:$A,0),19)),$C177*INDEX(SPPR!$E:$Z,MATCH($A177,SPPR!$A:$A,0),19),""),"")</f>
        <v/>
      </c>
      <c r="W177">
        <f>IFERROR(IF(ISNUMBER(INDEX(SPPR!$E:$Z,MATCH($A177,SPPR!$A:$A,0),20)),$C177*INDEX(SPPR!$E:$Z,MATCH($A177,SPPR!$A:$A,0),20),""),"")</f>
        <v/>
      </c>
      <c r="X177">
        <f>IFERROR(IF(ISNUMBER(INDEX(SPPR!$E:$Z,MATCH($A177,SPPR!$A:$A,0),21)),$C177*INDEX(SPPR!$E:$Z,MATCH($A177,SPPR!$A:$A,0),21),""),"")</f>
        <v/>
      </c>
      <c r="Y177">
        <f>IFERROR(IF(ISNUMBER(INDEX(SPPR!$E:$Z,MATCH($A177,SPPR!$A:$A,0),22)),$C177*INDEX(SPPR!$E:$Z,MATCH($A177,SPPR!$A:$A,0),22),""),"")</f>
        <v/>
      </c>
    </row>
    <row r="178">
      <c r="A178" t="inlineStr">
        <is>
          <t>Hemiramphus brasiliensis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IFERROR(IF(ISNUMBER(INDEX(SPPR!$E:$Z,MATCH($A178,SPPR!$A:$A,0),1)),$C178*INDEX(SPPR!$E:$Z,MATCH($A178,SPPR!$A:$A,0),1),""),"")</f>
        <v/>
      </c>
      <c r="E178">
        <f>IFERROR(IF(ISNUMBER(INDEX(SPPR!$E:$Z,MATCH($A178,SPPR!$A:$A,0),2)),$C178*INDEX(SPPR!$E:$Z,MATCH($A178,SPPR!$A:$A,0),2),""),"")</f>
        <v/>
      </c>
      <c r="F178">
        <f>IFERROR(IF(ISNUMBER(INDEX(SPPR!$E:$Z,MATCH($A178,SPPR!$A:$A,0),3)),$C178*INDEX(SPPR!$E:$Z,MATCH($A178,SPPR!$A:$A,0),3),""),"")</f>
        <v/>
      </c>
      <c r="G178">
        <f>IFERROR(IF(ISNUMBER(INDEX(SPPR!$E:$Z,MATCH($A178,SPPR!$A:$A,0),4)),$C178*INDEX(SPPR!$E:$Z,MATCH($A178,SPPR!$A:$A,0),4),""),"")</f>
        <v/>
      </c>
      <c r="H178">
        <f>IFERROR(IF(ISNUMBER(INDEX(SPPR!$E:$Z,MATCH($A178,SPPR!$A:$A,0),5)),$C178*INDEX(SPPR!$E:$Z,MATCH($A178,SPPR!$A:$A,0),5),""),"")</f>
        <v/>
      </c>
      <c r="I178">
        <f>IFERROR(IF(ISNUMBER(INDEX(SPPR!$E:$Z,MATCH($A178,SPPR!$A:$A,0),6)),$C178*INDEX(SPPR!$E:$Z,MATCH($A178,SPPR!$A:$A,0),6),""),"")</f>
        <v/>
      </c>
      <c r="J178">
        <f>IFERROR(IF(ISNUMBER(INDEX(SPPR!$E:$Z,MATCH($A178,SPPR!$A:$A,0),7)),$C178*INDEX(SPPR!$E:$Z,MATCH($A178,SPPR!$A:$A,0),7),""),"")</f>
        <v/>
      </c>
      <c r="K178">
        <f>IFERROR(IF(ISNUMBER(INDEX(SPPR!$E:$Z,MATCH($A178,SPPR!$A:$A,0),8)),$C178*INDEX(SPPR!$E:$Z,MATCH($A178,SPPR!$A:$A,0),8),""),"")</f>
        <v/>
      </c>
      <c r="L178">
        <f>IFERROR(IF(ISNUMBER(INDEX(SPPR!$E:$Z,MATCH($A178,SPPR!$A:$A,0),9)),$C178*INDEX(SPPR!$E:$Z,MATCH($A178,SPPR!$A:$A,0),9),""),"")</f>
        <v/>
      </c>
      <c r="M178">
        <f>IFERROR(IF(ISNUMBER(INDEX(SPPR!$E:$Z,MATCH($A178,SPPR!$A:$A,0),10)),$C178*INDEX(SPPR!$E:$Z,MATCH($A178,SPPR!$A:$A,0),10),""),"")</f>
        <v/>
      </c>
      <c r="N178">
        <f>IFERROR(IF(ISNUMBER(INDEX(SPPR!$E:$Z,MATCH($A178,SPPR!$A:$A,0),11)),$C178*INDEX(SPPR!$E:$Z,MATCH($A178,SPPR!$A:$A,0),11),""),"")</f>
        <v/>
      </c>
      <c r="O178">
        <f>IFERROR(IF(ISNUMBER(INDEX(SPPR!$E:$Z,MATCH($A178,SPPR!$A:$A,0),12)),$C178*INDEX(SPPR!$E:$Z,MATCH($A178,SPPR!$A:$A,0),12),""),"")</f>
        <v/>
      </c>
      <c r="P178">
        <f>IFERROR(IF(ISNUMBER(INDEX(SPPR!$E:$Z,MATCH($A178,SPPR!$A:$A,0),13)),$C178*INDEX(SPPR!$E:$Z,MATCH($A178,SPPR!$A:$A,0),13),""),"")</f>
        <v/>
      </c>
      <c r="Q178">
        <f>IFERROR(IF(ISNUMBER(INDEX(SPPR!$E:$Z,MATCH($A178,SPPR!$A:$A,0),14)),$C178*INDEX(SPPR!$E:$Z,MATCH($A178,SPPR!$A:$A,0),14),""),"")</f>
        <v/>
      </c>
      <c r="R178">
        <f>IFERROR(IF(ISNUMBER(INDEX(SPPR!$E:$Z,MATCH($A178,SPPR!$A:$A,0),15)),$C178*INDEX(SPPR!$E:$Z,MATCH($A178,SPPR!$A:$A,0),15),""),"")</f>
        <v/>
      </c>
      <c r="S178">
        <f>IFERROR(IF(ISNUMBER(INDEX(SPPR!$E:$Z,MATCH($A178,SPPR!$A:$A,0),16)),$C178*INDEX(SPPR!$E:$Z,MATCH($A178,SPPR!$A:$A,0),16),""),"")</f>
        <v/>
      </c>
      <c r="T178">
        <f>IFERROR(IF(ISNUMBER(INDEX(SPPR!$E:$Z,MATCH($A178,SPPR!$A:$A,0),17)),$C178*INDEX(SPPR!$E:$Z,MATCH($A178,SPPR!$A:$A,0),17),""),"")</f>
        <v/>
      </c>
      <c r="U178">
        <f>IFERROR(IF(ISNUMBER(INDEX(SPPR!$E:$Z,MATCH($A178,SPPR!$A:$A,0),18)),$C178*INDEX(SPPR!$E:$Z,MATCH($A178,SPPR!$A:$A,0),18),""),"")</f>
        <v/>
      </c>
      <c r="V178">
        <f>IFERROR(IF(ISNUMBER(INDEX(SPPR!$E:$Z,MATCH($A178,SPPR!$A:$A,0),19)),$C178*INDEX(SPPR!$E:$Z,MATCH($A178,SPPR!$A:$A,0),19),""),"")</f>
        <v/>
      </c>
      <c r="W178">
        <f>IFERROR(IF(ISNUMBER(INDEX(SPPR!$E:$Z,MATCH($A178,SPPR!$A:$A,0),20)),$C178*INDEX(SPPR!$E:$Z,MATCH($A178,SPPR!$A:$A,0),20),""),"")</f>
        <v/>
      </c>
      <c r="X178">
        <f>IFERROR(IF(ISNUMBER(INDEX(SPPR!$E:$Z,MATCH($A178,SPPR!$A:$A,0),21)),$C178*INDEX(SPPR!$E:$Z,MATCH($A178,SPPR!$A:$A,0),21),""),"")</f>
        <v/>
      </c>
      <c r="Y178">
        <f>IFERROR(IF(ISNUMBER(INDEX(SPPR!$E:$Z,MATCH($A178,SPPR!$A:$A,0),22)),$C178*INDEX(SPPR!$E:$Z,MATCH($A178,SPPR!$A:$A,0),22),""),"")</f>
        <v/>
      </c>
    </row>
    <row r="179">
      <c r="A179" t="inlineStr">
        <is>
          <t>Kajikia albida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IFERROR(IF(ISNUMBER(INDEX(SPPR!$E:$Z,MATCH($A179,SPPR!$A:$A,0),1)),$C179*INDEX(SPPR!$E:$Z,MATCH($A179,SPPR!$A:$A,0),1),""),"")</f>
        <v/>
      </c>
      <c r="E179">
        <f>IFERROR(IF(ISNUMBER(INDEX(SPPR!$E:$Z,MATCH($A179,SPPR!$A:$A,0),2)),$C179*INDEX(SPPR!$E:$Z,MATCH($A179,SPPR!$A:$A,0),2),""),"")</f>
        <v/>
      </c>
      <c r="F179">
        <f>IFERROR(IF(ISNUMBER(INDEX(SPPR!$E:$Z,MATCH($A179,SPPR!$A:$A,0),3)),$C179*INDEX(SPPR!$E:$Z,MATCH($A179,SPPR!$A:$A,0),3),""),"")</f>
        <v/>
      </c>
      <c r="G179">
        <f>IFERROR(IF(ISNUMBER(INDEX(SPPR!$E:$Z,MATCH($A179,SPPR!$A:$A,0),4)),$C179*INDEX(SPPR!$E:$Z,MATCH($A179,SPPR!$A:$A,0),4),""),"")</f>
        <v/>
      </c>
      <c r="H179">
        <f>IFERROR(IF(ISNUMBER(INDEX(SPPR!$E:$Z,MATCH($A179,SPPR!$A:$A,0),5)),$C179*INDEX(SPPR!$E:$Z,MATCH($A179,SPPR!$A:$A,0),5),""),"")</f>
        <v/>
      </c>
      <c r="I179">
        <f>IFERROR(IF(ISNUMBER(INDEX(SPPR!$E:$Z,MATCH($A179,SPPR!$A:$A,0),6)),$C179*INDEX(SPPR!$E:$Z,MATCH($A179,SPPR!$A:$A,0),6),""),"")</f>
        <v/>
      </c>
      <c r="J179">
        <f>IFERROR(IF(ISNUMBER(INDEX(SPPR!$E:$Z,MATCH($A179,SPPR!$A:$A,0),7)),$C179*INDEX(SPPR!$E:$Z,MATCH($A179,SPPR!$A:$A,0),7),""),"")</f>
        <v/>
      </c>
      <c r="K179">
        <f>IFERROR(IF(ISNUMBER(INDEX(SPPR!$E:$Z,MATCH($A179,SPPR!$A:$A,0),8)),$C179*INDEX(SPPR!$E:$Z,MATCH($A179,SPPR!$A:$A,0),8),""),"")</f>
        <v/>
      </c>
      <c r="L179">
        <f>IFERROR(IF(ISNUMBER(INDEX(SPPR!$E:$Z,MATCH($A179,SPPR!$A:$A,0),9)),$C179*INDEX(SPPR!$E:$Z,MATCH($A179,SPPR!$A:$A,0),9),""),"")</f>
        <v/>
      </c>
      <c r="M179">
        <f>IFERROR(IF(ISNUMBER(INDEX(SPPR!$E:$Z,MATCH($A179,SPPR!$A:$A,0),10)),$C179*INDEX(SPPR!$E:$Z,MATCH($A179,SPPR!$A:$A,0),10),""),"")</f>
        <v/>
      </c>
      <c r="N179">
        <f>IFERROR(IF(ISNUMBER(INDEX(SPPR!$E:$Z,MATCH($A179,SPPR!$A:$A,0),11)),$C179*INDEX(SPPR!$E:$Z,MATCH($A179,SPPR!$A:$A,0),11),""),"")</f>
        <v/>
      </c>
      <c r="O179">
        <f>IFERROR(IF(ISNUMBER(INDEX(SPPR!$E:$Z,MATCH($A179,SPPR!$A:$A,0),12)),$C179*INDEX(SPPR!$E:$Z,MATCH($A179,SPPR!$A:$A,0),12),""),"")</f>
        <v/>
      </c>
      <c r="P179">
        <f>IFERROR(IF(ISNUMBER(INDEX(SPPR!$E:$Z,MATCH($A179,SPPR!$A:$A,0),13)),$C179*INDEX(SPPR!$E:$Z,MATCH($A179,SPPR!$A:$A,0),13),""),"")</f>
        <v/>
      </c>
      <c r="Q179">
        <f>IFERROR(IF(ISNUMBER(INDEX(SPPR!$E:$Z,MATCH($A179,SPPR!$A:$A,0),14)),$C179*INDEX(SPPR!$E:$Z,MATCH($A179,SPPR!$A:$A,0),14),""),"")</f>
        <v/>
      </c>
      <c r="R179">
        <f>IFERROR(IF(ISNUMBER(INDEX(SPPR!$E:$Z,MATCH($A179,SPPR!$A:$A,0),15)),$C179*INDEX(SPPR!$E:$Z,MATCH($A179,SPPR!$A:$A,0),15),""),"")</f>
        <v/>
      </c>
      <c r="S179">
        <f>IFERROR(IF(ISNUMBER(INDEX(SPPR!$E:$Z,MATCH($A179,SPPR!$A:$A,0),16)),$C179*INDEX(SPPR!$E:$Z,MATCH($A179,SPPR!$A:$A,0),16),""),"")</f>
        <v/>
      </c>
      <c r="T179">
        <f>IFERROR(IF(ISNUMBER(INDEX(SPPR!$E:$Z,MATCH($A179,SPPR!$A:$A,0),17)),$C179*INDEX(SPPR!$E:$Z,MATCH($A179,SPPR!$A:$A,0),17),""),"")</f>
        <v/>
      </c>
      <c r="U179">
        <f>IFERROR(IF(ISNUMBER(INDEX(SPPR!$E:$Z,MATCH($A179,SPPR!$A:$A,0),18)),$C179*INDEX(SPPR!$E:$Z,MATCH($A179,SPPR!$A:$A,0),18),""),"")</f>
        <v/>
      </c>
      <c r="V179">
        <f>IFERROR(IF(ISNUMBER(INDEX(SPPR!$E:$Z,MATCH($A179,SPPR!$A:$A,0),19)),$C179*INDEX(SPPR!$E:$Z,MATCH($A179,SPPR!$A:$A,0),19),""),"")</f>
        <v/>
      </c>
      <c r="W179">
        <f>IFERROR(IF(ISNUMBER(INDEX(SPPR!$E:$Z,MATCH($A179,SPPR!$A:$A,0),20)),$C179*INDEX(SPPR!$E:$Z,MATCH($A179,SPPR!$A:$A,0),20),""),"")</f>
        <v/>
      </c>
      <c r="X179">
        <f>IFERROR(IF(ISNUMBER(INDEX(SPPR!$E:$Z,MATCH($A179,SPPR!$A:$A,0),21)),$C179*INDEX(SPPR!$E:$Z,MATCH($A179,SPPR!$A:$A,0),21),""),"")</f>
        <v/>
      </c>
      <c r="Y179">
        <f>IFERROR(IF(ISNUMBER(INDEX(SPPR!$E:$Z,MATCH($A179,SPPR!$A:$A,0),22)),$C179*INDEX(SPPR!$E:$Z,MATCH($A179,SPPR!$A:$A,0),22),""),"")</f>
        <v/>
      </c>
    </row>
    <row r="180">
      <c r="A180" t="inlineStr">
        <is>
          <t>Trichiurus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IFERROR(IF(ISNUMBER(INDEX(SPPR!$E:$Z,MATCH($A180,SPPR!$A:$A,0),1)),$C180*INDEX(SPPR!$E:$Z,MATCH($A180,SPPR!$A:$A,0),1),""),"")</f>
        <v/>
      </c>
      <c r="E180">
        <f>IFERROR(IF(ISNUMBER(INDEX(SPPR!$E:$Z,MATCH($A180,SPPR!$A:$A,0),2)),$C180*INDEX(SPPR!$E:$Z,MATCH($A180,SPPR!$A:$A,0),2),""),"")</f>
        <v/>
      </c>
      <c r="F180">
        <f>IFERROR(IF(ISNUMBER(INDEX(SPPR!$E:$Z,MATCH($A180,SPPR!$A:$A,0),3)),$C180*INDEX(SPPR!$E:$Z,MATCH($A180,SPPR!$A:$A,0),3),""),"")</f>
        <v/>
      </c>
      <c r="G180">
        <f>IFERROR(IF(ISNUMBER(INDEX(SPPR!$E:$Z,MATCH($A180,SPPR!$A:$A,0),4)),$C180*INDEX(SPPR!$E:$Z,MATCH($A180,SPPR!$A:$A,0),4),""),"")</f>
        <v/>
      </c>
      <c r="H180">
        <f>IFERROR(IF(ISNUMBER(INDEX(SPPR!$E:$Z,MATCH($A180,SPPR!$A:$A,0),5)),$C180*INDEX(SPPR!$E:$Z,MATCH($A180,SPPR!$A:$A,0),5),""),"")</f>
        <v/>
      </c>
      <c r="I180">
        <f>IFERROR(IF(ISNUMBER(INDEX(SPPR!$E:$Z,MATCH($A180,SPPR!$A:$A,0),6)),$C180*INDEX(SPPR!$E:$Z,MATCH($A180,SPPR!$A:$A,0),6),""),"")</f>
        <v/>
      </c>
      <c r="J180">
        <f>IFERROR(IF(ISNUMBER(INDEX(SPPR!$E:$Z,MATCH($A180,SPPR!$A:$A,0),7)),$C180*INDEX(SPPR!$E:$Z,MATCH($A180,SPPR!$A:$A,0),7),""),"")</f>
        <v/>
      </c>
      <c r="K180">
        <f>IFERROR(IF(ISNUMBER(INDEX(SPPR!$E:$Z,MATCH($A180,SPPR!$A:$A,0),8)),$C180*INDEX(SPPR!$E:$Z,MATCH($A180,SPPR!$A:$A,0),8),""),"")</f>
        <v/>
      </c>
      <c r="L180">
        <f>IFERROR(IF(ISNUMBER(INDEX(SPPR!$E:$Z,MATCH($A180,SPPR!$A:$A,0),9)),$C180*INDEX(SPPR!$E:$Z,MATCH($A180,SPPR!$A:$A,0),9),""),"")</f>
        <v/>
      </c>
      <c r="M180">
        <f>IFERROR(IF(ISNUMBER(INDEX(SPPR!$E:$Z,MATCH($A180,SPPR!$A:$A,0),10)),$C180*INDEX(SPPR!$E:$Z,MATCH($A180,SPPR!$A:$A,0),10),""),"")</f>
        <v/>
      </c>
      <c r="N180">
        <f>IFERROR(IF(ISNUMBER(INDEX(SPPR!$E:$Z,MATCH($A180,SPPR!$A:$A,0),11)),$C180*INDEX(SPPR!$E:$Z,MATCH($A180,SPPR!$A:$A,0),11),""),"")</f>
        <v/>
      </c>
      <c r="O180">
        <f>IFERROR(IF(ISNUMBER(INDEX(SPPR!$E:$Z,MATCH($A180,SPPR!$A:$A,0),12)),$C180*INDEX(SPPR!$E:$Z,MATCH($A180,SPPR!$A:$A,0),12),""),"")</f>
        <v/>
      </c>
      <c r="P180">
        <f>IFERROR(IF(ISNUMBER(INDEX(SPPR!$E:$Z,MATCH($A180,SPPR!$A:$A,0),13)),$C180*INDEX(SPPR!$E:$Z,MATCH($A180,SPPR!$A:$A,0),13),""),"")</f>
        <v/>
      </c>
      <c r="Q180">
        <f>IFERROR(IF(ISNUMBER(INDEX(SPPR!$E:$Z,MATCH($A180,SPPR!$A:$A,0),14)),$C180*INDEX(SPPR!$E:$Z,MATCH($A180,SPPR!$A:$A,0),14),""),"")</f>
        <v/>
      </c>
      <c r="R180">
        <f>IFERROR(IF(ISNUMBER(INDEX(SPPR!$E:$Z,MATCH($A180,SPPR!$A:$A,0),15)),$C180*INDEX(SPPR!$E:$Z,MATCH($A180,SPPR!$A:$A,0),15),""),"")</f>
        <v/>
      </c>
      <c r="S180">
        <f>IFERROR(IF(ISNUMBER(INDEX(SPPR!$E:$Z,MATCH($A180,SPPR!$A:$A,0),16)),$C180*INDEX(SPPR!$E:$Z,MATCH($A180,SPPR!$A:$A,0),16),""),"")</f>
        <v/>
      </c>
      <c r="T180">
        <f>IFERROR(IF(ISNUMBER(INDEX(SPPR!$E:$Z,MATCH($A180,SPPR!$A:$A,0),17)),$C180*INDEX(SPPR!$E:$Z,MATCH($A180,SPPR!$A:$A,0),17),""),"")</f>
        <v/>
      </c>
      <c r="U180">
        <f>IFERROR(IF(ISNUMBER(INDEX(SPPR!$E:$Z,MATCH($A180,SPPR!$A:$A,0),18)),$C180*INDEX(SPPR!$E:$Z,MATCH($A180,SPPR!$A:$A,0),18),""),"")</f>
        <v/>
      </c>
      <c r="V180">
        <f>IFERROR(IF(ISNUMBER(INDEX(SPPR!$E:$Z,MATCH($A180,SPPR!$A:$A,0),19)),$C180*INDEX(SPPR!$E:$Z,MATCH($A180,SPPR!$A:$A,0),19),""),"")</f>
        <v/>
      </c>
      <c r="W180">
        <f>IFERROR(IF(ISNUMBER(INDEX(SPPR!$E:$Z,MATCH($A180,SPPR!$A:$A,0),20)),$C180*INDEX(SPPR!$E:$Z,MATCH($A180,SPPR!$A:$A,0),20),""),"")</f>
        <v/>
      </c>
      <c r="X180">
        <f>IFERROR(IF(ISNUMBER(INDEX(SPPR!$E:$Z,MATCH($A180,SPPR!$A:$A,0),21)),$C180*INDEX(SPPR!$E:$Z,MATCH($A180,SPPR!$A:$A,0),21),""),"")</f>
        <v/>
      </c>
      <c r="Y180">
        <f>IFERROR(IF(ISNUMBER(INDEX(SPPR!$E:$Z,MATCH($A180,SPPR!$A:$A,0),22)),$C180*INDEX(SPPR!$E:$Z,MATCH($A180,SPPR!$A:$A,0),22),""),"")</f>
        <v/>
      </c>
    </row>
    <row r="181">
      <c r="A181" t="inlineStr">
        <is>
          <t>Brama brama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IFERROR(IF(ISNUMBER(INDEX(SPPR!$E:$Z,MATCH($A181,SPPR!$A:$A,0),1)),$C181*INDEX(SPPR!$E:$Z,MATCH($A181,SPPR!$A:$A,0),1),""),"")</f>
        <v/>
      </c>
      <c r="E181">
        <f>IFERROR(IF(ISNUMBER(INDEX(SPPR!$E:$Z,MATCH($A181,SPPR!$A:$A,0),2)),$C181*INDEX(SPPR!$E:$Z,MATCH($A181,SPPR!$A:$A,0),2),""),"")</f>
        <v/>
      </c>
      <c r="F181">
        <f>IFERROR(IF(ISNUMBER(INDEX(SPPR!$E:$Z,MATCH($A181,SPPR!$A:$A,0),3)),$C181*INDEX(SPPR!$E:$Z,MATCH($A181,SPPR!$A:$A,0),3),""),"")</f>
        <v/>
      </c>
      <c r="G181">
        <f>IFERROR(IF(ISNUMBER(INDEX(SPPR!$E:$Z,MATCH($A181,SPPR!$A:$A,0),4)),$C181*INDEX(SPPR!$E:$Z,MATCH($A181,SPPR!$A:$A,0),4),""),"")</f>
        <v/>
      </c>
      <c r="H181">
        <f>IFERROR(IF(ISNUMBER(INDEX(SPPR!$E:$Z,MATCH($A181,SPPR!$A:$A,0),5)),$C181*INDEX(SPPR!$E:$Z,MATCH($A181,SPPR!$A:$A,0),5),""),"")</f>
        <v/>
      </c>
      <c r="I181">
        <f>IFERROR(IF(ISNUMBER(INDEX(SPPR!$E:$Z,MATCH($A181,SPPR!$A:$A,0),6)),$C181*INDEX(SPPR!$E:$Z,MATCH($A181,SPPR!$A:$A,0),6),""),"")</f>
        <v/>
      </c>
      <c r="J181">
        <f>IFERROR(IF(ISNUMBER(INDEX(SPPR!$E:$Z,MATCH($A181,SPPR!$A:$A,0),7)),$C181*INDEX(SPPR!$E:$Z,MATCH($A181,SPPR!$A:$A,0),7),""),"")</f>
        <v/>
      </c>
      <c r="K181">
        <f>IFERROR(IF(ISNUMBER(INDEX(SPPR!$E:$Z,MATCH($A181,SPPR!$A:$A,0),8)),$C181*INDEX(SPPR!$E:$Z,MATCH($A181,SPPR!$A:$A,0),8),""),"")</f>
        <v/>
      </c>
      <c r="L181">
        <f>IFERROR(IF(ISNUMBER(INDEX(SPPR!$E:$Z,MATCH($A181,SPPR!$A:$A,0),9)),$C181*INDEX(SPPR!$E:$Z,MATCH($A181,SPPR!$A:$A,0),9),""),"")</f>
        <v/>
      </c>
      <c r="M181">
        <f>IFERROR(IF(ISNUMBER(INDEX(SPPR!$E:$Z,MATCH($A181,SPPR!$A:$A,0),10)),$C181*INDEX(SPPR!$E:$Z,MATCH($A181,SPPR!$A:$A,0),10),""),"")</f>
        <v/>
      </c>
      <c r="N181">
        <f>IFERROR(IF(ISNUMBER(INDEX(SPPR!$E:$Z,MATCH($A181,SPPR!$A:$A,0),11)),$C181*INDEX(SPPR!$E:$Z,MATCH($A181,SPPR!$A:$A,0),11),""),"")</f>
        <v/>
      </c>
      <c r="O181">
        <f>IFERROR(IF(ISNUMBER(INDEX(SPPR!$E:$Z,MATCH($A181,SPPR!$A:$A,0),12)),$C181*INDEX(SPPR!$E:$Z,MATCH($A181,SPPR!$A:$A,0),12),""),"")</f>
        <v/>
      </c>
      <c r="P181">
        <f>IFERROR(IF(ISNUMBER(INDEX(SPPR!$E:$Z,MATCH($A181,SPPR!$A:$A,0),13)),$C181*INDEX(SPPR!$E:$Z,MATCH($A181,SPPR!$A:$A,0),13),""),"")</f>
        <v/>
      </c>
      <c r="Q181">
        <f>IFERROR(IF(ISNUMBER(INDEX(SPPR!$E:$Z,MATCH($A181,SPPR!$A:$A,0),14)),$C181*INDEX(SPPR!$E:$Z,MATCH($A181,SPPR!$A:$A,0),14),""),"")</f>
        <v/>
      </c>
      <c r="R181">
        <f>IFERROR(IF(ISNUMBER(INDEX(SPPR!$E:$Z,MATCH($A181,SPPR!$A:$A,0),15)),$C181*INDEX(SPPR!$E:$Z,MATCH($A181,SPPR!$A:$A,0),15),""),"")</f>
        <v/>
      </c>
      <c r="S181">
        <f>IFERROR(IF(ISNUMBER(INDEX(SPPR!$E:$Z,MATCH($A181,SPPR!$A:$A,0),16)),$C181*INDEX(SPPR!$E:$Z,MATCH($A181,SPPR!$A:$A,0),16),""),"")</f>
        <v/>
      </c>
      <c r="T181">
        <f>IFERROR(IF(ISNUMBER(INDEX(SPPR!$E:$Z,MATCH($A181,SPPR!$A:$A,0),17)),$C181*INDEX(SPPR!$E:$Z,MATCH($A181,SPPR!$A:$A,0),17),""),"")</f>
        <v/>
      </c>
      <c r="U181">
        <f>IFERROR(IF(ISNUMBER(INDEX(SPPR!$E:$Z,MATCH($A181,SPPR!$A:$A,0),18)),$C181*INDEX(SPPR!$E:$Z,MATCH($A181,SPPR!$A:$A,0),18),""),"")</f>
        <v/>
      </c>
      <c r="V181">
        <f>IFERROR(IF(ISNUMBER(INDEX(SPPR!$E:$Z,MATCH($A181,SPPR!$A:$A,0),19)),$C181*INDEX(SPPR!$E:$Z,MATCH($A181,SPPR!$A:$A,0),19),""),"")</f>
        <v/>
      </c>
      <c r="W181">
        <f>IFERROR(IF(ISNUMBER(INDEX(SPPR!$E:$Z,MATCH($A181,SPPR!$A:$A,0),20)),$C181*INDEX(SPPR!$E:$Z,MATCH($A181,SPPR!$A:$A,0),20),""),"")</f>
        <v/>
      </c>
      <c r="X181">
        <f>IFERROR(IF(ISNUMBER(INDEX(SPPR!$E:$Z,MATCH($A181,SPPR!$A:$A,0),21)),$C181*INDEX(SPPR!$E:$Z,MATCH($A181,SPPR!$A:$A,0),21),""),"")</f>
        <v/>
      </c>
      <c r="Y181">
        <f>IFERROR(IF(ISNUMBER(INDEX(SPPR!$E:$Z,MATCH($A181,SPPR!$A:$A,0),22)),$C181*INDEX(SPPR!$E:$Z,MATCH($A181,SPPR!$A:$A,0),22),""),"")</f>
        <v/>
      </c>
    </row>
    <row r="182">
      <c r="A182" t="inlineStr">
        <is>
          <t>Pagrus caeruleostictus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IFERROR(IF(ISNUMBER(INDEX(SPPR!$E:$Z,MATCH($A182,SPPR!$A:$A,0),1)),$C182*INDEX(SPPR!$E:$Z,MATCH($A182,SPPR!$A:$A,0),1),""),"")</f>
        <v/>
      </c>
      <c r="E182">
        <f>IFERROR(IF(ISNUMBER(INDEX(SPPR!$E:$Z,MATCH($A182,SPPR!$A:$A,0),2)),$C182*INDEX(SPPR!$E:$Z,MATCH($A182,SPPR!$A:$A,0),2),""),"")</f>
        <v/>
      </c>
      <c r="F182">
        <f>IFERROR(IF(ISNUMBER(INDEX(SPPR!$E:$Z,MATCH($A182,SPPR!$A:$A,0),3)),$C182*INDEX(SPPR!$E:$Z,MATCH($A182,SPPR!$A:$A,0),3),""),"")</f>
        <v/>
      </c>
      <c r="G182">
        <f>IFERROR(IF(ISNUMBER(INDEX(SPPR!$E:$Z,MATCH($A182,SPPR!$A:$A,0),4)),$C182*INDEX(SPPR!$E:$Z,MATCH($A182,SPPR!$A:$A,0),4),""),"")</f>
        <v/>
      </c>
      <c r="H182">
        <f>IFERROR(IF(ISNUMBER(INDEX(SPPR!$E:$Z,MATCH($A182,SPPR!$A:$A,0),5)),$C182*INDEX(SPPR!$E:$Z,MATCH($A182,SPPR!$A:$A,0),5),""),"")</f>
        <v/>
      </c>
      <c r="I182">
        <f>IFERROR(IF(ISNUMBER(INDEX(SPPR!$E:$Z,MATCH($A182,SPPR!$A:$A,0),6)),$C182*INDEX(SPPR!$E:$Z,MATCH($A182,SPPR!$A:$A,0),6),""),"")</f>
        <v/>
      </c>
      <c r="J182">
        <f>IFERROR(IF(ISNUMBER(INDEX(SPPR!$E:$Z,MATCH($A182,SPPR!$A:$A,0),7)),$C182*INDEX(SPPR!$E:$Z,MATCH($A182,SPPR!$A:$A,0),7),""),"")</f>
        <v/>
      </c>
      <c r="K182">
        <f>IFERROR(IF(ISNUMBER(INDEX(SPPR!$E:$Z,MATCH($A182,SPPR!$A:$A,0),8)),$C182*INDEX(SPPR!$E:$Z,MATCH($A182,SPPR!$A:$A,0),8),""),"")</f>
        <v/>
      </c>
      <c r="L182">
        <f>IFERROR(IF(ISNUMBER(INDEX(SPPR!$E:$Z,MATCH($A182,SPPR!$A:$A,0),9)),$C182*INDEX(SPPR!$E:$Z,MATCH($A182,SPPR!$A:$A,0),9),""),"")</f>
        <v/>
      </c>
      <c r="M182">
        <f>IFERROR(IF(ISNUMBER(INDEX(SPPR!$E:$Z,MATCH($A182,SPPR!$A:$A,0),10)),$C182*INDEX(SPPR!$E:$Z,MATCH($A182,SPPR!$A:$A,0),10),""),"")</f>
        <v/>
      </c>
      <c r="N182">
        <f>IFERROR(IF(ISNUMBER(INDEX(SPPR!$E:$Z,MATCH($A182,SPPR!$A:$A,0),11)),$C182*INDEX(SPPR!$E:$Z,MATCH($A182,SPPR!$A:$A,0),11),""),"")</f>
        <v/>
      </c>
      <c r="O182">
        <f>IFERROR(IF(ISNUMBER(INDEX(SPPR!$E:$Z,MATCH($A182,SPPR!$A:$A,0),12)),$C182*INDEX(SPPR!$E:$Z,MATCH($A182,SPPR!$A:$A,0),12),""),"")</f>
        <v/>
      </c>
      <c r="P182">
        <f>IFERROR(IF(ISNUMBER(INDEX(SPPR!$E:$Z,MATCH($A182,SPPR!$A:$A,0),13)),$C182*INDEX(SPPR!$E:$Z,MATCH($A182,SPPR!$A:$A,0),13),""),"")</f>
        <v/>
      </c>
      <c r="Q182">
        <f>IFERROR(IF(ISNUMBER(INDEX(SPPR!$E:$Z,MATCH($A182,SPPR!$A:$A,0),14)),$C182*INDEX(SPPR!$E:$Z,MATCH($A182,SPPR!$A:$A,0),14),""),"")</f>
        <v/>
      </c>
      <c r="R182">
        <f>IFERROR(IF(ISNUMBER(INDEX(SPPR!$E:$Z,MATCH($A182,SPPR!$A:$A,0),15)),$C182*INDEX(SPPR!$E:$Z,MATCH($A182,SPPR!$A:$A,0),15),""),"")</f>
        <v/>
      </c>
      <c r="S182">
        <f>IFERROR(IF(ISNUMBER(INDEX(SPPR!$E:$Z,MATCH($A182,SPPR!$A:$A,0),16)),$C182*INDEX(SPPR!$E:$Z,MATCH($A182,SPPR!$A:$A,0),16),""),"")</f>
        <v/>
      </c>
      <c r="T182">
        <f>IFERROR(IF(ISNUMBER(INDEX(SPPR!$E:$Z,MATCH($A182,SPPR!$A:$A,0),17)),$C182*INDEX(SPPR!$E:$Z,MATCH($A182,SPPR!$A:$A,0),17),""),"")</f>
        <v/>
      </c>
      <c r="U182">
        <f>IFERROR(IF(ISNUMBER(INDEX(SPPR!$E:$Z,MATCH($A182,SPPR!$A:$A,0),18)),$C182*INDEX(SPPR!$E:$Z,MATCH($A182,SPPR!$A:$A,0),18),""),"")</f>
        <v/>
      </c>
      <c r="V182">
        <f>IFERROR(IF(ISNUMBER(INDEX(SPPR!$E:$Z,MATCH($A182,SPPR!$A:$A,0),19)),$C182*INDEX(SPPR!$E:$Z,MATCH($A182,SPPR!$A:$A,0),19),""),"")</f>
        <v/>
      </c>
      <c r="W182">
        <f>IFERROR(IF(ISNUMBER(INDEX(SPPR!$E:$Z,MATCH($A182,SPPR!$A:$A,0),20)),$C182*INDEX(SPPR!$E:$Z,MATCH($A182,SPPR!$A:$A,0),20),""),"")</f>
        <v/>
      </c>
      <c r="X182">
        <f>IFERROR(IF(ISNUMBER(INDEX(SPPR!$E:$Z,MATCH($A182,SPPR!$A:$A,0),21)),$C182*INDEX(SPPR!$E:$Z,MATCH($A182,SPPR!$A:$A,0),21),""),"")</f>
        <v/>
      </c>
      <c r="Y182">
        <f>IFERROR(IF(ISNUMBER(INDEX(SPPR!$E:$Z,MATCH($A182,SPPR!$A:$A,0),22)),$C182*INDEX(SPPR!$E:$Z,MATCH($A182,SPPR!$A:$A,0),22),""),"")</f>
        <v/>
      </c>
    </row>
    <row r="183">
      <c r="A183" t="inlineStr">
        <is>
          <t>Gerres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IFERROR(IF(ISNUMBER(INDEX(SPPR!$E:$Z,MATCH($A183,SPPR!$A:$A,0),1)),$C183*INDEX(SPPR!$E:$Z,MATCH($A183,SPPR!$A:$A,0),1),""),"")</f>
        <v/>
      </c>
      <c r="E183">
        <f>IFERROR(IF(ISNUMBER(INDEX(SPPR!$E:$Z,MATCH($A183,SPPR!$A:$A,0),2)),$C183*INDEX(SPPR!$E:$Z,MATCH($A183,SPPR!$A:$A,0),2),""),"")</f>
        <v/>
      </c>
      <c r="F183">
        <f>IFERROR(IF(ISNUMBER(INDEX(SPPR!$E:$Z,MATCH($A183,SPPR!$A:$A,0),3)),$C183*INDEX(SPPR!$E:$Z,MATCH($A183,SPPR!$A:$A,0),3),""),"")</f>
        <v/>
      </c>
      <c r="G183">
        <f>IFERROR(IF(ISNUMBER(INDEX(SPPR!$E:$Z,MATCH($A183,SPPR!$A:$A,0),4)),$C183*INDEX(SPPR!$E:$Z,MATCH($A183,SPPR!$A:$A,0),4),""),"")</f>
        <v/>
      </c>
      <c r="H183">
        <f>IFERROR(IF(ISNUMBER(INDEX(SPPR!$E:$Z,MATCH($A183,SPPR!$A:$A,0),5)),$C183*INDEX(SPPR!$E:$Z,MATCH($A183,SPPR!$A:$A,0),5),""),"")</f>
        <v/>
      </c>
      <c r="I183">
        <f>IFERROR(IF(ISNUMBER(INDEX(SPPR!$E:$Z,MATCH($A183,SPPR!$A:$A,0),6)),$C183*INDEX(SPPR!$E:$Z,MATCH($A183,SPPR!$A:$A,0),6),""),"")</f>
        <v/>
      </c>
      <c r="J183">
        <f>IFERROR(IF(ISNUMBER(INDEX(SPPR!$E:$Z,MATCH($A183,SPPR!$A:$A,0),7)),$C183*INDEX(SPPR!$E:$Z,MATCH($A183,SPPR!$A:$A,0),7),""),"")</f>
        <v/>
      </c>
      <c r="K183">
        <f>IFERROR(IF(ISNUMBER(INDEX(SPPR!$E:$Z,MATCH($A183,SPPR!$A:$A,0),8)),$C183*INDEX(SPPR!$E:$Z,MATCH($A183,SPPR!$A:$A,0),8),""),"")</f>
        <v/>
      </c>
      <c r="L183">
        <f>IFERROR(IF(ISNUMBER(INDEX(SPPR!$E:$Z,MATCH($A183,SPPR!$A:$A,0),9)),$C183*INDEX(SPPR!$E:$Z,MATCH($A183,SPPR!$A:$A,0),9),""),"")</f>
        <v/>
      </c>
      <c r="M183">
        <f>IFERROR(IF(ISNUMBER(INDEX(SPPR!$E:$Z,MATCH($A183,SPPR!$A:$A,0),10)),$C183*INDEX(SPPR!$E:$Z,MATCH($A183,SPPR!$A:$A,0),10),""),"")</f>
        <v/>
      </c>
      <c r="N183">
        <f>IFERROR(IF(ISNUMBER(INDEX(SPPR!$E:$Z,MATCH($A183,SPPR!$A:$A,0),11)),$C183*INDEX(SPPR!$E:$Z,MATCH($A183,SPPR!$A:$A,0),11),""),"")</f>
        <v/>
      </c>
      <c r="O183">
        <f>IFERROR(IF(ISNUMBER(INDEX(SPPR!$E:$Z,MATCH($A183,SPPR!$A:$A,0),12)),$C183*INDEX(SPPR!$E:$Z,MATCH($A183,SPPR!$A:$A,0),12),""),"")</f>
        <v/>
      </c>
      <c r="P183">
        <f>IFERROR(IF(ISNUMBER(INDEX(SPPR!$E:$Z,MATCH($A183,SPPR!$A:$A,0),13)),$C183*INDEX(SPPR!$E:$Z,MATCH($A183,SPPR!$A:$A,0),13),""),"")</f>
        <v/>
      </c>
      <c r="Q183">
        <f>IFERROR(IF(ISNUMBER(INDEX(SPPR!$E:$Z,MATCH($A183,SPPR!$A:$A,0),14)),$C183*INDEX(SPPR!$E:$Z,MATCH($A183,SPPR!$A:$A,0),14),""),"")</f>
        <v/>
      </c>
      <c r="R183">
        <f>IFERROR(IF(ISNUMBER(INDEX(SPPR!$E:$Z,MATCH($A183,SPPR!$A:$A,0),15)),$C183*INDEX(SPPR!$E:$Z,MATCH($A183,SPPR!$A:$A,0),15),""),"")</f>
        <v/>
      </c>
      <c r="S183">
        <f>IFERROR(IF(ISNUMBER(INDEX(SPPR!$E:$Z,MATCH($A183,SPPR!$A:$A,0),16)),$C183*INDEX(SPPR!$E:$Z,MATCH($A183,SPPR!$A:$A,0),16),""),"")</f>
        <v/>
      </c>
      <c r="T183">
        <f>IFERROR(IF(ISNUMBER(INDEX(SPPR!$E:$Z,MATCH($A183,SPPR!$A:$A,0),17)),$C183*INDEX(SPPR!$E:$Z,MATCH($A183,SPPR!$A:$A,0),17),""),"")</f>
        <v/>
      </c>
      <c r="U183">
        <f>IFERROR(IF(ISNUMBER(INDEX(SPPR!$E:$Z,MATCH($A183,SPPR!$A:$A,0),18)),$C183*INDEX(SPPR!$E:$Z,MATCH($A183,SPPR!$A:$A,0),18),""),"")</f>
        <v/>
      </c>
      <c r="V183">
        <f>IFERROR(IF(ISNUMBER(INDEX(SPPR!$E:$Z,MATCH($A183,SPPR!$A:$A,0),19)),$C183*INDEX(SPPR!$E:$Z,MATCH($A183,SPPR!$A:$A,0),19),""),"")</f>
        <v/>
      </c>
      <c r="W183">
        <f>IFERROR(IF(ISNUMBER(INDEX(SPPR!$E:$Z,MATCH($A183,SPPR!$A:$A,0),20)),$C183*INDEX(SPPR!$E:$Z,MATCH($A183,SPPR!$A:$A,0),20),""),"")</f>
        <v/>
      </c>
      <c r="X183">
        <f>IFERROR(IF(ISNUMBER(INDEX(SPPR!$E:$Z,MATCH($A183,SPPR!$A:$A,0),21)),$C183*INDEX(SPPR!$E:$Z,MATCH($A183,SPPR!$A:$A,0),21),""),"")</f>
        <v/>
      </c>
      <c r="Y183">
        <f>IFERROR(IF(ISNUMBER(INDEX(SPPR!$E:$Z,MATCH($A183,SPPR!$A:$A,0),22)),$C183*INDEX(SPPR!$E:$Z,MATCH($A183,SPPR!$A:$A,0),22),""),"")</f>
        <v/>
      </c>
    </row>
    <row r="184">
      <c r="A184" t="inlineStr">
        <is>
          <t>Carcharhinus limbatus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IFERROR(IF(ISNUMBER(INDEX(SPPR!$E:$Z,MATCH($A184,SPPR!$A:$A,0),1)),$C184*INDEX(SPPR!$E:$Z,MATCH($A184,SPPR!$A:$A,0),1),""),"")</f>
        <v/>
      </c>
      <c r="E184">
        <f>IFERROR(IF(ISNUMBER(INDEX(SPPR!$E:$Z,MATCH($A184,SPPR!$A:$A,0),2)),$C184*INDEX(SPPR!$E:$Z,MATCH($A184,SPPR!$A:$A,0),2),""),"")</f>
        <v/>
      </c>
      <c r="F184">
        <f>IFERROR(IF(ISNUMBER(INDEX(SPPR!$E:$Z,MATCH($A184,SPPR!$A:$A,0),3)),$C184*INDEX(SPPR!$E:$Z,MATCH($A184,SPPR!$A:$A,0),3),""),"")</f>
        <v/>
      </c>
      <c r="G184">
        <f>IFERROR(IF(ISNUMBER(INDEX(SPPR!$E:$Z,MATCH($A184,SPPR!$A:$A,0),4)),$C184*INDEX(SPPR!$E:$Z,MATCH($A184,SPPR!$A:$A,0),4),""),"")</f>
        <v/>
      </c>
      <c r="H184">
        <f>IFERROR(IF(ISNUMBER(INDEX(SPPR!$E:$Z,MATCH($A184,SPPR!$A:$A,0),5)),$C184*INDEX(SPPR!$E:$Z,MATCH($A184,SPPR!$A:$A,0),5),""),"")</f>
        <v/>
      </c>
      <c r="I184">
        <f>IFERROR(IF(ISNUMBER(INDEX(SPPR!$E:$Z,MATCH($A184,SPPR!$A:$A,0),6)),$C184*INDEX(SPPR!$E:$Z,MATCH($A184,SPPR!$A:$A,0),6),""),"")</f>
        <v/>
      </c>
      <c r="J184">
        <f>IFERROR(IF(ISNUMBER(INDEX(SPPR!$E:$Z,MATCH($A184,SPPR!$A:$A,0),7)),$C184*INDEX(SPPR!$E:$Z,MATCH($A184,SPPR!$A:$A,0),7),""),"")</f>
        <v/>
      </c>
      <c r="K184">
        <f>IFERROR(IF(ISNUMBER(INDEX(SPPR!$E:$Z,MATCH($A184,SPPR!$A:$A,0),8)),$C184*INDEX(SPPR!$E:$Z,MATCH($A184,SPPR!$A:$A,0),8),""),"")</f>
        <v/>
      </c>
      <c r="L184">
        <f>IFERROR(IF(ISNUMBER(INDEX(SPPR!$E:$Z,MATCH($A184,SPPR!$A:$A,0),9)),$C184*INDEX(SPPR!$E:$Z,MATCH($A184,SPPR!$A:$A,0),9),""),"")</f>
        <v/>
      </c>
      <c r="M184">
        <f>IFERROR(IF(ISNUMBER(INDEX(SPPR!$E:$Z,MATCH($A184,SPPR!$A:$A,0),10)),$C184*INDEX(SPPR!$E:$Z,MATCH($A184,SPPR!$A:$A,0),10),""),"")</f>
        <v/>
      </c>
      <c r="N184">
        <f>IFERROR(IF(ISNUMBER(INDEX(SPPR!$E:$Z,MATCH($A184,SPPR!$A:$A,0),11)),$C184*INDEX(SPPR!$E:$Z,MATCH($A184,SPPR!$A:$A,0),11),""),"")</f>
        <v/>
      </c>
      <c r="O184">
        <f>IFERROR(IF(ISNUMBER(INDEX(SPPR!$E:$Z,MATCH($A184,SPPR!$A:$A,0),12)),$C184*INDEX(SPPR!$E:$Z,MATCH($A184,SPPR!$A:$A,0),12),""),"")</f>
        <v/>
      </c>
      <c r="P184">
        <f>IFERROR(IF(ISNUMBER(INDEX(SPPR!$E:$Z,MATCH($A184,SPPR!$A:$A,0),13)),$C184*INDEX(SPPR!$E:$Z,MATCH($A184,SPPR!$A:$A,0),13),""),"")</f>
        <v/>
      </c>
      <c r="Q184">
        <f>IFERROR(IF(ISNUMBER(INDEX(SPPR!$E:$Z,MATCH($A184,SPPR!$A:$A,0),14)),$C184*INDEX(SPPR!$E:$Z,MATCH($A184,SPPR!$A:$A,0),14),""),"")</f>
        <v/>
      </c>
      <c r="R184">
        <f>IFERROR(IF(ISNUMBER(INDEX(SPPR!$E:$Z,MATCH($A184,SPPR!$A:$A,0),15)),$C184*INDEX(SPPR!$E:$Z,MATCH($A184,SPPR!$A:$A,0),15),""),"")</f>
        <v/>
      </c>
      <c r="S184">
        <f>IFERROR(IF(ISNUMBER(INDEX(SPPR!$E:$Z,MATCH($A184,SPPR!$A:$A,0),16)),$C184*INDEX(SPPR!$E:$Z,MATCH($A184,SPPR!$A:$A,0),16),""),"")</f>
        <v/>
      </c>
      <c r="T184">
        <f>IFERROR(IF(ISNUMBER(INDEX(SPPR!$E:$Z,MATCH($A184,SPPR!$A:$A,0),17)),$C184*INDEX(SPPR!$E:$Z,MATCH($A184,SPPR!$A:$A,0),17),""),"")</f>
        <v/>
      </c>
      <c r="U184">
        <f>IFERROR(IF(ISNUMBER(INDEX(SPPR!$E:$Z,MATCH($A184,SPPR!$A:$A,0),18)),$C184*INDEX(SPPR!$E:$Z,MATCH($A184,SPPR!$A:$A,0),18),""),"")</f>
        <v/>
      </c>
      <c r="V184">
        <f>IFERROR(IF(ISNUMBER(INDEX(SPPR!$E:$Z,MATCH($A184,SPPR!$A:$A,0),19)),$C184*INDEX(SPPR!$E:$Z,MATCH($A184,SPPR!$A:$A,0),19),""),"")</f>
        <v/>
      </c>
      <c r="W184">
        <f>IFERROR(IF(ISNUMBER(INDEX(SPPR!$E:$Z,MATCH($A184,SPPR!$A:$A,0),20)),$C184*INDEX(SPPR!$E:$Z,MATCH($A184,SPPR!$A:$A,0),20),""),"")</f>
        <v/>
      </c>
      <c r="X184">
        <f>IFERROR(IF(ISNUMBER(INDEX(SPPR!$E:$Z,MATCH($A184,SPPR!$A:$A,0),21)),$C184*INDEX(SPPR!$E:$Z,MATCH($A184,SPPR!$A:$A,0),21),""),"")</f>
        <v/>
      </c>
      <c r="Y184">
        <f>IFERROR(IF(ISNUMBER(INDEX(SPPR!$E:$Z,MATCH($A184,SPPR!$A:$A,0),22)),$C184*INDEX(SPPR!$E:$Z,MATCH($A184,SPPR!$A:$A,0),22),""),"")</f>
        <v/>
      </c>
    </row>
    <row r="185">
      <c r="A185" t="inlineStr">
        <is>
          <t>Merluccius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IFERROR(IF(ISNUMBER(INDEX(SPPR!$E:$Z,MATCH($A185,SPPR!$A:$A,0),1)),$C185*INDEX(SPPR!$E:$Z,MATCH($A185,SPPR!$A:$A,0),1),""),"")</f>
        <v/>
      </c>
      <c r="E185">
        <f>IFERROR(IF(ISNUMBER(INDEX(SPPR!$E:$Z,MATCH($A185,SPPR!$A:$A,0),2)),$C185*INDEX(SPPR!$E:$Z,MATCH($A185,SPPR!$A:$A,0),2),""),"")</f>
        <v/>
      </c>
      <c r="F185">
        <f>IFERROR(IF(ISNUMBER(INDEX(SPPR!$E:$Z,MATCH($A185,SPPR!$A:$A,0),3)),$C185*INDEX(SPPR!$E:$Z,MATCH($A185,SPPR!$A:$A,0),3),""),"")</f>
        <v/>
      </c>
      <c r="G185">
        <f>IFERROR(IF(ISNUMBER(INDEX(SPPR!$E:$Z,MATCH($A185,SPPR!$A:$A,0),4)),$C185*INDEX(SPPR!$E:$Z,MATCH($A185,SPPR!$A:$A,0),4),""),"")</f>
        <v/>
      </c>
      <c r="H185">
        <f>IFERROR(IF(ISNUMBER(INDEX(SPPR!$E:$Z,MATCH($A185,SPPR!$A:$A,0),5)),$C185*INDEX(SPPR!$E:$Z,MATCH($A185,SPPR!$A:$A,0),5),""),"")</f>
        <v/>
      </c>
      <c r="I185">
        <f>IFERROR(IF(ISNUMBER(INDEX(SPPR!$E:$Z,MATCH($A185,SPPR!$A:$A,0),6)),$C185*INDEX(SPPR!$E:$Z,MATCH($A185,SPPR!$A:$A,0),6),""),"")</f>
        <v/>
      </c>
      <c r="J185">
        <f>IFERROR(IF(ISNUMBER(INDEX(SPPR!$E:$Z,MATCH($A185,SPPR!$A:$A,0),7)),$C185*INDEX(SPPR!$E:$Z,MATCH($A185,SPPR!$A:$A,0),7),""),"")</f>
        <v/>
      </c>
      <c r="K185">
        <f>IFERROR(IF(ISNUMBER(INDEX(SPPR!$E:$Z,MATCH($A185,SPPR!$A:$A,0),8)),$C185*INDEX(SPPR!$E:$Z,MATCH($A185,SPPR!$A:$A,0),8),""),"")</f>
        <v/>
      </c>
      <c r="L185">
        <f>IFERROR(IF(ISNUMBER(INDEX(SPPR!$E:$Z,MATCH($A185,SPPR!$A:$A,0),9)),$C185*INDEX(SPPR!$E:$Z,MATCH($A185,SPPR!$A:$A,0),9),""),"")</f>
        <v/>
      </c>
      <c r="M185">
        <f>IFERROR(IF(ISNUMBER(INDEX(SPPR!$E:$Z,MATCH($A185,SPPR!$A:$A,0),10)),$C185*INDEX(SPPR!$E:$Z,MATCH($A185,SPPR!$A:$A,0),10),""),"")</f>
        <v/>
      </c>
      <c r="N185">
        <f>IFERROR(IF(ISNUMBER(INDEX(SPPR!$E:$Z,MATCH($A185,SPPR!$A:$A,0),11)),$C185*INDEX(SPPR!$E:$Z,MATCH($A185,SPPR!$A:$A,0),11),""),"")</f>
        <v/>
      </c>
      <c r="O185">
        <f>IFERROR(IF(ISNUMBER(INDEX(SPPR!$E:$Z,MATCH($A185,SPPR!$A:$A,0),12)),$C185*INDEX(SPPR!$E:$Z,MATCH($A185,SPPR!$A:$A,0),12),""),"")</f>
        <v/>
      </c>
      <c r="P185">
        <f>IFERROR(IF(ISNUMBER(INDEX(SPPR!$E:$Z,MATCH($A185,SPPR!$A:$A,0),13)),$C185*INDEX(SPPR!$E:$Z,MATCH($A185,SPPR!$A:$A,0),13),""),"")</f>
        <v/>
      </c>
      <c r="Q185">
        <f>IFERROR(IF(ISNUMBER(INDEX(SPPR!$E:$Z,MATCH($A185,SPPR!$A:$A,0),14)),$C185*INDEX(SPPR!$E:$Z,MATCH($A185,SPPR!$A:$A,0),14),""),"")</f>
        <v/>
      </c>
      <c r="R185">
        <f>IFERROR(IF(ISNUMBER(INDEX(SPPR!$E:$Z,MATCH($A185,SPPR!$A:$A,0),15)),$C185*INDEX(SPPR!$E:$Z,MATCH($A185,SPPR!$A:$A,0),15),""),"")</f>
        <v/>
      </c>
      <c r="S185">
        <f>IFERROR(IF(ISNUMBER(INDEX(SPPR!$E:$Z,MATCH($A185,SPPR!$A:$A,0),16)),$C185*INDEX(SPPR!$E:$Z,MATCH($A185,SPPR!$A:$A,0),16),""),"")</f>
        <v/>
      </c>
      <c r="T185">
        <f>IFERROR(IF(ISNUMBER(INDEX(SPPR!$E:$Z,MATCH($A185,SPPR!$A:$A,0),17)),$C185*INDEX(SPPR!$E:$Z,MATCH($A185,SPPR!$A:$A,0),17),""),"")</f>
        <v/>
      </c>
      <c r="U185">
        <f>IFERROR(IF(ISNUMBER(INDEX(SPPR!$E:$Z,MATCH($A185,SPPR!$A:$A,0),18)),$C185*INDEX(SPPR!$E:$Z,MATCH($A185,SPPR!$A:$A,0),18),""),"")</f>
        <v/>
      </c>
      <c r="V185">
        <f>IFERROR(IF(ISNUMBER(INDEX(SPPR!$E:$Z,MATCH($A185,SPPR!$A:$A,0),19)),$C185*INDEX(SPPR!$E:$Z,MATCH($A185,SPPR!$A:$A,0),19),""),"")</f>
        <v/>
      </c>
      <c r="W185">
        <f>IFERROR(IF(ISNUMBER(INDEX(SPPR!$E:$Z,MATCH($A185,SPPR!$A:$A,0),20)),$C185*INDEX(SPPR!$E:$Z,MATCH($A185,SPPR!$A:$A,0),20),""),"")</f>
        <v/>
      </c>
      <c r="X185">
        <f>IFERROR(IF(ISNUMBER(INDEX(SPPR!$E:$Z,MATCH($A185,SPPR!$A:$A,0),21)),$C185*INDEX(SPPR!$E:$Z,MATCH($A185,SPPR!$A:$A,0),21),""),"")</f>
        <v/>
      </c>
      <c r="Y185">
        <f>IFERROR(IF(ISNUMBER(INDEX(SPPR!$E:$Z,MATCH($A185,SPPR!$A:$A,0),22)),$C185*INDEX(SPPR!$E:$Z,MATCH($A185,SPPR!$A:$A,0),22),""),"")</f>
        <v/>
      </c>
    </row>
    <row r="186">
      <c r="A186" t="inlineStr">
        <is>
          <t>Torpedinidae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IFERROR(IF(ISNUMBER(INDEX(SPPR!$E:$Z,MATCH($A186,SPPR!$A:$A,0),1)),$C186*INDEX(SPPR!$E:$Z,MATCH($A186,SPPR!$A:$A,0),1),""),"")</f>
        <v/>
      </c>
      <c r="E186">
        <f>IFERROR(IF(ISNUMBER(INDEX(SPPR!$E:$Z,MATCH($A186,SPPR!$A:$A,0),2)),$C186*INDEX(SPPR!$E:$Z,MATCH($A186,SPPR!$A:$A,0),2),""),"")</f>
        <v/>
      </c>
      <c r="F186">
        <f>IFERROR(IF(ISNUMBER(INDEX(SPPR!$E:$Z,MATCH($A186,SPPR!$A:$A,0),3)),$C186*INDEX(SPPR!$E:$Z,MATCH($A186,SPPR!$A:$A,0),3),""),"")</f>
        <v/>
      </c>
      <c r="G186">
        <f>IFERROR(IF(ISNUMBER(INDEX(SPPR!$E:$Z,MATCH($A186,SPPR!$A:$A,0),4)),$C186*INDEX(SPPR!$E:$Z,MATCH($A186,SPPR!$A:$A,0),4),""),"")</f>
        <v/>
      </c>
      <c r="H186">
        <f>IFERROR(IF(ISNUMBER(INDEX(SPPR!$E:$Z,MATCH($A186,SPPR!$A:$A,0),5)),$C186*INDEX(SPPR!$E:$Z,MATCH($A186,SPPR!$A:$A,0),5),""),"")</f>
        <v/>
      </c>
      <c r="I186">
        <f>IFERROR(IF(ISNUMBER(INDEX(SPPR!$E:$Z,MATCH($A186,SPPR!$A:$A,0),6)),$C186*INDEX(SPPR!$E:$Z,MATCH($A186,SPPR!$A:$A,0),6),""),"")</f>
        <v/>
      </c>
      <c r="J186">
        <f>IFERROR(IF(ISNUMBER(INDEX(SPPR!$E:$Z,MATCH($A186,SPPR!$A:$A,0),7)),$C186*INDEX(SPPR!$E:$Z,MATCH($A186,SPPR!$A:$A,0),7),""),"")</f>
        <v/>
      </c>
      <c r="K186">
        <f>IFERROR(IF(ISNUMBER(INDEX(SPPR!$E:$Z,MATCH($A186,SPPR!$A:$A,0),8)),$C186*INDEX(SPPR!$E:$Z,MATCH($A186,SPPR!$A:$A,0),8),""),"")</f>
        <v/>
      </c>
      <c r="L186">
        <f>IFERROR(IF(ISNUMBER(INDEX(SPPR!$E:$Z,MATCH($A186,SPPR!$A:$A,0),9)),$C186*INDEX(SPPR!$E:$Z,MATCH($A186,SPPR!$A:$A,0),9),""),"")</f>
        <v/>
      </c>
      <c r="M186">
        <f>IFERROR(IF(ISNUMBER(INDEX(SPPR!$E:$Z,MATCH($A186,SPPR!$A:$A,0),10)),$C186*INDEX(SPPR!$E:$Z,MATCH($A186,SPPR!$A:$A,0),10),""),"")</f>
        <v/>
      </c>
      <c r="N186">
        <f>IFERROR(IF(ISNUMBER(INDEX(SPPR!$E:$Z,MATCH($A186,SPPR!$A:$A,0),11)),$C186*INDEX(SPPR!$E:$Z,MATCH($A186,SPPR!$A:$A,0),11),""),"")</f>
        <v/>
      </c>
      <c r="O186">
        <f>IFERROR(IF(ISNUMBER(INDEX(SPPR!$E:$Z,MATCH($A186,SPPR!$A:$A,0),12)),$C186*INDEX(SPPR!$E:$Z,MATCH($A186,SPPR!$A:$A,0),12),""),"")</f>
        <v/>
      </c>
      <c r="P186">
        <f>IFERROR(IF(ISNUMBER(INDEX(SPPR!$E:$Z,MATCH($A186,SPPR!$A:$A,0),13)),$C186*INDEX(SPPR!$E:$Z,MATCH($A186,SPPR!$A:$A,0),13),""),"")</f>
        <v/>
      </c>
      <c r="Q186">
        <f>IFERROR(IF(ISNUMBER(INDEX(SPPR!$E:$Z,MATCH($A186,SPPR!$A:$A,0),14)),$C186*INDEX(SPPR!$E:$Z,MATCH($A186,SPPR!$A:$A,0),14),""),"")</f>
        <v/>
      </c>
      <c r="R186">
        <f>IFERROR(IF(ISNUMBER(INDEX(SPPR!$E:$Z,MATCH($A186,SPPR!$A:$A,0),15)),$C186*INDEX(SPPR!$E:$Z,MATCH($A186,SPPR!$A:$A,0),15),""),"")</f>
        <v/>
      </c>
      <c r="S186">
        <f>IFERROR(IF(ISNUMBER(INDEX(SPPR!$E:$Z,MATCH($A186,SPPR!$A:$A,0),16)),$C186*INDEX(SPPR!$E:$Z,MATCH($A186,SPPR!$A:$A,0),16),""),"")</f>
        <v/>
      </c>
      <c r="T186">
        <f>IFERROR(IF(ISNUMBER(INDEX(SPPR!$E:$Z,MATCH($A186,SPPR!$A:$A,0),17)),$C186*INDEX(SPPR!$E:$Z,MATCH($A186,SPPR!$A:$A,0),17),""),"")</f>
        <v/>
      </c>
      <c r="U186">
        <f>IFERROR(IF(ISNUMBER(INDEX(SPPR!$E:$Z,MATCH($A186,SPPR!$A:$A,0),18)),$C186*INDEX(SPPR!$E:$Z,MATCH($A186,SPPR!$A:$A,0),18),""),"")</f>
        <v/>
      </c>
      <c r="V186">
        <f>IFERROR(IF(ISNUMBER(INDEX(SPPR!$E:$Z,MATCH($A186,SPPR!$A:$A,0),19)),$C186*INDEX(SPPR!$E:$Z,MATCH($A186,SPPR!$A:$A,0),19),""),"")</f>
        <v/>
      </c>
      <c r="W186">
        <f>IFERROR(IF(ISNUMBER(INDEX(SPPR!$E:$Z,MATCH($A186,SPPR!$A:$A,0),20)),$C186*INDEX(SPPR!$E:$Z,MATCH($A186,SPPR!$A:$A,0),20),""),"")</f>
        <v/>
      </c>
      <c r="X186">
        <f>IFERROR(IF(ISNUMBER(INDEX(SPPR!$E:$Z,MATCH($A186,SPPR!$A:$A,0),21)),$C186*INDEX(SPPR!$E:$Z,MATCH($A186,SPPR!$A:$A,0),21),""),"")</f>
        <v/>
      </c>
      <c r="Y186">
        <f>IFERROR(IF(ISNUMBER(INDEX(SPPR!$E:$Z,MATCH($A186,SPPR!$A:$A,0),22)),$C186*INDEX(SPPR!$E:$Z,MATCH($A186,SPPR!$A:$A,0),22),""),"")</f>
        <v/>
      </c>
    </row>
    <row r="187">
      <c r="A187" t="inlineStr">
        <is>
          <t>Peristediidae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IFERROR(IF(ISNUMBER(INDEX(SPPR!$E:$Z,MATCH($A187,SPPR!$A:$A,0),1)),$C187*INDEX(SPPR!$E:$Z,MATCH($A187,SPPR!$A:$A,0),1),""),"")</f>
        <v/>
      </c>
      <c r="E187">
        <f>IFERROR(IF(ISNUMBER(INDEX(SPPR!$E:$Z,MATCH($A187,SPPR!$A:$A,0),2)),$C187*INDEX(SPPR!$E:$Z,MATCH($A187,SPPR!$A:$A,0),2),""),"")</f>
        <v/>
      </c>
      <c r="F187">
        <f>IFERROR(IF(ISNUMBER(INDEX(SPPR!$E:$Z,MATCH($A187,SPPR!$A:$A,0),3)),$C187*INDEX(SPPR!$E:$Z,MATCH($A187,SPPR!$A:$A,0),3),""),"")</f>
        <v/>
      </c>
      <c r="G187">
        <f>IFERROR(IF(ISNUMBER(INDEX(SPPR!$E:$Z,MATCH($A187,SPPR!$A:$A,0),4)),$C187*INDEX(SPPR!$E:$Z,MATCH($A187,SPPR!$A:$A,0),4),""),"")</f>
        <v/>
      </c>
      <c r="H187">
        <f>IFERROR(IF(ISNUMBER(INDEX(SPPR!$E:$Z,MATCH($A187,SPPR!$A:$A,0),5)),$C187*INDEX(SPPR!$E:$Z,MATCH($A187,SPPR!$A:$A,0),5),""),"")</f>
        <v/>
      </c>
      <c r="I187">
        <f>IFERROR(IF(ISNUMBER(INDEX(SPPR!$E:$Z,MATCH($A187,SPPR!$A:$A,0),6)),$C187*INDEX(SPPR!$E:$Z,MATCH($A187,SPPR!$A:$A,0),6),""),"")</f>
        <v/>
      </c>
      <c r="J187">
        <f>IFERROR(IF(ISNUMBER(INDEX(SPPR!$E:$Z,MATCH($A187,SPPR!$A:$A,0),7)),$C187*INDEX(SPPR!$E:$Z,MATCH($A187,SPPR!$A:$A,0),7),""),"")</f>
        <v/>
      </c>
      <c r="K187">
        <f>IFERROR(IF(ISNUMBER(INDEX(SPPR!$E:$Z,MATCH($A187,SPPR!$A:$A,0),8)),$C187*INDEX(SPPR!$E:$Z,MATCH($A187,SPPR!$A:$A,0),8),""),"")</f>
        <v/>
      </c>
      <c r="L187">
        <f>IFERROR(IF(ISNUMBER(INDEX(SPPR!$E:$Z,MATCH($A187,SPPR!$A:$A,0),9)),$C187*INDEX(SPPR!$E:$Z,MATCH($A187,SPPR!$A:$A,0),9),""),"")</f>
        <v/>
      </c>
      <c r="M187">
        <f>IFERROR(IF(ISNUMBER(INDEX(SPPR!$E:$Z,MATCH($A187,SPPR!$A:$A,0),10)),$C187*INDEX(SPPR!$E:$Z,MATCH($A187,SPPR!$A:$A,0),10),""),"")</f>
        <v/>
      </c>
      <c r="N187">
        <f>IFERROR(IF(ISNUMBER(INDEX(SPPR!$E:$Z,MATCH($A187,SPPR!$A:$A,0),11)),$C187*INDEX(SPPR!$E:$Z,MATCH($A187,SPPR!$A:$A,0),11),""),"")</f>
        <v/>
      </c>
      <c r="O187">
        <f>IFERROR(IF(ISNUMBER(INDEX(SPPR!$E:$Z,MATCH($A187,SPPR!$A:$A,0),12)),$C187*INDEX(SPPR!$E:$Z,MATCH($A187,SPPR!$A:$A,0),12),""),"")</f>
        <v/>
      </c>
      <c r="P187">
        <f>IFERROR(IF(ISNUMBER(INDEX(SPPR!$E:$Z,MATCH($A187,SPPR!$A:$A,0),13)),$C187*INDEX(SPPR!$E:$Z,MATCH($A187,SPPR!$A:$A,0),13),""),"")</f>
        <v/>
      </c>
      <c r="Q187">
        <f>IFERROR(IF(ISNUMBER(INDEX(SPPR!$E:$Z,MATCH($A187,SPPR!$A:$A,0),14)),$C187*INDEX(SPPR!$E:$Z,MATCH($A187,SPPR!$A:$A,0),14),""),"")</f>
        <v/>
      </c>
      <c r="R187">
        <f>IFERROR(IF(ISNUMBER(INDEX(SPPR!$E:$Z,MATCH($A187,SPPR!$A:$A,0),15)),$C187*INDEX(SPPR!$E:$Z,MATCH($A187,SPPR!$A:$A,0),15),""),"")</f>
        <v/>
      </c>
      <c r="S187">
        <f>IFERROR(IF(ISNUMBER(INDEX(SPPR!$E:$Z,MATCH($A187,SPPR!$A:$A,0),16)),$C187*INDEX(SPPR!$E:$Z,MATCH($A187,SPPR!$A:$A,0),16),""),"")</f>
        <v/>
      </c>
      <c r="T187">
        <f>IFERROR(IF(ISNUMBER(INDEX(SPPR!$E:$Z,MATCH($A187,SPPR!$A:$A,0),17)),$C187*INDEX(SPPR!$E:$Z,MATCH($A187,SPPR!$A:$A,0),17),""),"")</f>
        <v/>
      </c>
      <c r="U187">
        <f>IFERROR(IF(ISNUMBER(INDEX(SPPR!$E:$Z,MATCH($A187,SPPR!$A:$A,0),18)),$C187*INDEX(SPPR!$E:$Z,MATCH($A187,SPPR!$A:$A,0),18),""),"")</f>
        <v/>
      </c>
      <c r="V187">
        <f>IFERROR(IF(ISNUMBER(INDEX(SPPR!$E:$Z,MATCH($A187,SPPR!$A:$A,0),19)),$C187*INDEX(SPPR!$E:$Z,MATCH($A187,SPPR!$A:$A,0),19),""),"")</f>
        <v/>
      </c>
      <c r="W187">
        <f>IFERROR(IF(ISNUMBER(INDEX(SPPR!$E:$Z,MATCH($A187,SPPR!$A:$A,0),20)),$C187*INDEX(SPPR!$E:$Z,MATCH($A187,SPPR!$A:$A,0),20),""),"")</f>
        <v/>
      </c>
      <c r="X187">
        <f>IFERROR(IF(ISNUMBER(INDEX(SPPR!$E:$Z,MATCH($A187,SPPR!$A:$A,0),21)),$C187*INDEX(SPPR!$E:$Z,MATCH($A187,SPPR!$A:$A,0),21),""),"")</f>
        <v/>
      </c>
      <c r="Y187">
        <f>IFERROR(IF(ISNUMBER(INDEX(SPPR!$E:$Z,MATCH($A187,SPPR!$A:$A,0),22)),$C187*INDEX(SPPR!$E:$Z,MATCH($A187,SPPR!$A:$A,0),22),""),"")</f>
        <v/>
      </c>
    </row>
    <row r="188">
      <c r="A188" t="inlineStr">
        <is>
          <t>Eucinostomus melanopterus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IFERROR(IF(ISNUMBER(INDEX(SPPR!$E:$Z,MATCH($A188,SPPR!$A:$A,0),1)),$C188*INDEX(SPPR!$E:$Z,MATCH($A188,SPPR!$A:$A,0),1),""),"")</f>
        <v/>
      </c>
      <c r="E188">
        <f>IFERROR(IF(ISNUMBER(INDEX(SPPR!$E:$Z,MATCH($A188,SPPR!$A:$A,0),2)),$C188*INDEX(SPPR!$E:$Z,MATCH($A188,SPPR!$A:$A,0),2),""),"")</f>
        <v/>
      </c>
      <c r="F188">
        <f>IFERROR(IF(ISNUMBER(INDEX(SPPR!$E:$Z,MATCH($A188,SPPR!$A:$A,0),3)),$C188*INDEX(SPPR!$E:$Z,MATCH($A188,SPPR!$A:$A,0),3),""),"")</f>
        <v/>
      </c>
      <c r="G188">
        <f>IFERROR(IF(ISNUMBER(INDEX(SPPR!$E:$Z,MATCH($A188,SPPR!$A:$A,0),4)),$C188*INDEX(SPPR!$E:$Z,MATCH($A188,SPPR!$A:$A,0),4),""),"")</f>
        <v/>
      </c>
      <c r="H188">
        <f>IFERROR(IF(ISNUMBER(INDEX(SPPR!$E:$Z,MATCH($A188,SPPR!$A:$A,0),5)),$C188*INDEX(SPPR!$E:$Z,MATCH($A188,SPPR!$A:$A,0),5),""),"")</f>
        <v/>
      </c>
      <c r="I188">
        <f>IFERROR(IF(ISNUMBER(INDEX(SPPR!$E:$Z,MATCH($A188,SPPR!$A:$A,0),6)),$C188*INDEX(SPPR!$E:$Z,MATCH($A188,SPPR!$A:$A,0),6),""),"")</f>
        <v/>
      </c>
      <c r="J188">
        <f>IFERROR(IF(ISNUMBER(INDEX(SPPR!$E:$Z,MATCH($A188,SPPR!$A:$A,0),7)),$C188*INDEX(SPPR!$E:$Z,MATCH($A188,SPPR!$A:$A,0),7),""),"")</f>
        <v/>
      </c>
      <c r="K188">
        <f>IFERROR(IF(ISNUMBER(INDEX(SPPR!$E:$Z,MATCH($A188,SPPR!$A:$A,0),8)),$C188*INDEX(SPPR!$E:$Z,MATCH($A188,SPPR!$A:$A,0),8),""),"")</f>
        <v/>
      </c>
      <c r="L188">
        <f>IFERROR(IF(ISNUMBER(INDEX(SPPR!$E:$Z,MATCH($A188,SPPR!$A:$A,0),9)),$C188*INDEX(SPPR!$E:$Z,MATCH($A188,SPPR!$A:$A,0),9),""),"")</f>
        <v/>
      </c>
      <c r="M188">
        <f>IFERROR(IF(ISNUMBER(INDEX(SPPR!$E:$Z,MATCH($A188,SPPR!$A:$A,0),10)),$C188*INDEX(SPPR!$E:$Z,MATCH($A188,SPPR!$A:$A,0),10),""),"")</f>
        <v/>
      </c>
      <c r="N188">
        <f>IFERROR(IF(ISNUMBER(INDEX(SPPR!$E:$Z,MATCH($A188,SPPR!$A:$A,0),11)),$C188*INDEX(SPPR!$E:$Z,MATCH($A188,SPPR!$A:$A,0),11),""),"")</f>
        <v/>
      </c>
      <c r="O188">
        <f>IFERROR(IF(ISNUMBER(INDEX(SPPR!$E:$Z,MATCH($A188,SPPR!$A:$A,0),12)),$C188*INDEX(SPPR!$E:$Z,MATCH($A188,SPPR!$A:$A,0),12),""),"")</f>
        <v/>
      </c>
      <c r="P188">
        <f>IFERROR(IF(ISNUMBER(INDEX(SPPR!$E:$Z,MATCH($A188,SPPR!$A:$A,0),13)),$C188*INDEX(SPPR!$E:$Z,MATCH($A188,SPPR!$A:$A,0),13),""),"")</f>
        <v/>
      </c>
      <c r="Q188">
        <f>IFERROR(IF(ISNUMBER(INDEX(SPPR!$E:$Z,MATCH($A188,SPPR!$A:$A,0),14)),$C188*INDEX(SPPR!$E:$Z,MATCH($A188,SPPR!$A:$A,0),14),""),"")</f>
        <v/>
      </c>
      <c r="R188">
        <f>IFERROR(IF(ISNUMBER(INDEX(SPPR!$E:$Z,MATCH($A188,SPPR!$A:$A,0),15)),$C188*INDEX(SPPR!$E:$Z,MATCH($A188,SPPR!$A:$A,0),15),""),"")</f>
        <v/>
      </c>
      <c r="S188">
        <f>IFERROR(IF(ISNUMBER(INDEX(SPPR!$E:$Z,MATCH($A188,SPPR!$A:$A,0),16)),$C188*INDEX(SPPR!$E:$Z,MATCH($A188,SPPR!$A:$A,0),16),""),"")</f>
        <v/>
      </c>
      <c r="T188">
        <f>IFERROR(IF(ISNUMBER(INDEX(SPPR!$E:$Z,MATCH($A188,SPPR!$A:$A,0),17)),$C188*INDEX(SPPR!$E:$Z,MATCH($A188,SPPR!$A:$A,0),17),""),"")</f>
        <v/>
      </c>
      <c r="U188">
        <f>IFERROR(IF(ISNUMBER(INDEX(SPPR!$E:$Z,MATCH($A188,SPPR!$A:$A,0),18)),$C188*INDEX(SPPR!$E:$Z,MATCH($A188,SPPR!$A:$A,0),18),""),"")</f>
        <v/>
      </c>
      <c r="V188">
        <f>IFERROR(IF(ISNUMBER(INDEX(SPPR!$E:$Z,MATCH($A188,SPPR!$A:$A,0),19)),$C188*INDEX(SPPR!$E:$Z,MATCH($A188,SPPR!$A:$A,0),19),""),"")</f>
        <v/>
      </c>
      <c r="W188">
        <f>IFERROR(IF(ISNUMBER(INDEX(SPPR!$E:$Z,MATCH($A188,SPPR!$A:$A,0),20)),$C188*INDEX(SPPR!$E:$Z,MATCH($A188,SPPR!$A:$A,0),20),""),"")</f>
        <v/>
      </c>
      <c r="X188">
        <f>IFERROR(IF(ISNUMBER(INDEX(SPPR!$E:$Z,MATCH($A188,SPPR!$A:$A,0),21)),$C188*INDEX(SPPR!$E:$Z,MATCH($A188,SPPR!$A:$A,0),21),""),"")</f>
        <v/>
      </c>
      <c r="Y188">
        <f>IFERROR(IF(ISNUMBER(INDEX(SPPR!$E:$Z,MATCH($A188,SPPR!$A:$A,0),22)),$C188*INDEX(SPPR!$E:$Z,MATCH($A188,SPPR!$A:$A,0),22),""),"")</f>
        <v/>
      </c>
    </row>
    <row r="189">
      <c r="A189" t="inlineStr">
        <is>
          <t>Hemiramphidae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IFERROR(IF(ISNUMBER(INDEX(SPPR!$E:$Z,MATCH($A189,SPPR!$A:$A,0),1)),$C189*INDEX(SPPR!$E:$Z,MATCH($A189,SPPR!$A:$A,0),1),""),"")</f>
        <v/>
      </c>
      <c r="E189">
        <f>IFERROR(IF(ISNUMBER(INDEX(SPPR!$E:$Z,MATCH($A189,SPPR!$A:$A,0),2)),$C189*INDEX(SPPR!$E:$Z,MATCH($A189,SPPR!$A:$A,0),2),""),"")</f>
        <v/>
      </c>
      <c r="F189">
        <f>IFERROR(IF(ISNUMBER(INDEX(SPPR!$E:$Z,MATCH($A189,SPPR!$A:$A,0),3)),$C189*INDEX(SPPR!$E:$Z,MATCH($A189,SPPR!$A:$A,0),3),""),"")</f>
        <v/>
      </c>
      <c r="G189">
        <f>IFERROR(IF(ISNUMBER(INDEX(SPPR!$E:$Z,MATCH($A189,SPPR!$A:$A,0),4)),$C189*INDEX(SPPR!$E:$Z,MATCH($A189,SPPR!$A:$A,0),4),""),"")</f>
        <v/>
      </c>
      <c r="H189">
        <f>IFERROR(IF(ISNUMBER(INDEX(SPPR!$E:$Z,MATCH($A189,SPPR!$A:$A,0),5)),$C189*INDEX(SPPR!$E:$Z,MATCH($A189,SPPR!$A:$A,0),5),""),"")</f>
        <v/>
      </c>
      <c r="I189">
        <f>IFERROR(IF(ISNUMBER(INDEX(SPPR!$E:$Z,MATCH($A189,SPPR!$A:$A,0),6)),$C189*INDEX(SPPR!$E:$Z,MATCH($A189,SPPR!$A:$A,0),6),""),"")</f>
        <v/>
      </c>
      <c r="J189">
        <f>IFERROR(IF(ISNUMBER(INDEX(SPPR!$E:$Z,MATCH($A189,SPPR!$A:$A,0),7)),$C189*INDEX(SPPR!$E:$Z,MATCH($A189,SPPR!$A:$A,0),7),""),"")</f>
        <v/>
      </c>
      <c r="K189">
        <f>IFERROR(IF(ISNUMBER(INDEX(SPPR!$E:$Z,MATCH($A189,SPPR!$A:$A,0),8)),$C189*INDEX(SPPR!$E:$Z,MATCH($A189,SPPR!$A:$A,0),8),""),"")</f>
        <v/>
      </c>
      <c r="L189">
        <f>IFERROR(IF(ISNUMBER(INDEX(SPPR!$E:$Z,MATCH($A189,SPPR!$A:$A,0),9)),$C189*INDEX(SPPR!$E:$Z,MATCH($A189,SPPR!$A:$A,0),9),""),"")</f>
        <v/>
      </c>
      <c r="M189">
        <f>IFERROR(IF(ISNUMBER(INDEX(SPPR!$E:$Z,MATCH($A189,SPPR!$A:$A,0),10)),$C189*INDEX(SPPR!$E:$Z,MATCH($A189,SPPR!$A:$A,0),10),""),"")</f>
        <v/>
      </c>
      <c r="N189">
        <f>IFERROR(IF(ISNUMBER(INDEX(SPPR!$E:$Z,MATCH($A189,SPPR!$A:$A,0),11)),$C189*INDEX(SPPR!$E:$Z,MATCH($A189,SPPR!$A:$A,0),11),""),"")</f>
        <v/>
      </c>
      <c r="O189">
        <f>IFERROR(IF(ISNUMBER(INDEX(SPPR!$E:$Z,MATCH($A189,SPPR!$A:$A,0),12)),$C189*INDEX(SPPR!$E:$Z,MATCH($A189,SPPR!$A:$A,0),12),""),"")</f>
        <v/>
      </c>
      <c r="P189">
        <f>IFERROR(IF(ISNUMBER(INDEX(SPPR!$E:$Z,MATCH($A189,SPPR!$A:$A,0),13)),$C189*INDEX(SPPR!$E:$Z,MATCH($A189,SPPR!$A:$A,0),13),""),"")</f>
        <v/>
      </c>
      <c r="Q189">
        <f>IFERROR(IF(ISNUMBER(INDEX(SPPR!$E:$Z,MATCH($A189,SPPR!$A:$A,0),14)),$C189*INDEX(SPPR!$E:$Z,MATCH($A189,SPPR!$A:$A,0),14),""),"")</f>
        <v/>
      </c>
      <c r="R189">
        <f>IFERROR(IF(ISNUMBER(INDEX(SPPR!$E:$Z,MATCH($A189,SPPR!$A:$A,0),15)),$C189*INDEX(SPPR!$E:$Z,MATCH($A189,SPPR!$A:$A,0),15),""),"")</f>
        <v/>
      </c>
      <c r="S189">
        <f>IFERROR(IF(ISNUMBER(INDEX(SPPR!$E:$Z,MATCH($A189,SPPR!$A:$A,0),16)),$C189*INDEX(SPPR!$E:$Z,MATCH($A189,SPPR!$A:$A,0),16),""),"")</f>
        <v/>
      </c>
      <c r="T189">
        <f>IFERROR(IF(ISNUMBER(INDEX(SPPR!$E:$Z,MATCH($A189,SPPR!$A:$A,0),17)),$C189*INDEX(SPPR!$E:$Z,MATCH($A189,SPPR!$A:$A,0),17),""),"")</f>
        <v/>
      </c>
      <c r="U189">
        <f>IFERROR(IF(ISNUMBER(INDEX(SPPR!$E:$Z,MATCH($A189,SPPR!$A:$A,0),18)),$C189*INDEX(SPPR!$E:$Z,MATCH($A189,SPPR!$A:$A,0),18),""),"")</f>
        <v/>
      </c>
      <c r="V189">
        <f>IFERROR(IF(ISNUMBER(INDEX(SPPR!$E:$Z,MATCH($A189,SPPR!$A:$A,0),19)),$C189*INDEX(SPPR!$E:$Z,MATCH($A189,SPPR!$A:$A,0),19),""),"")</f>
        <v/>
      </c>
      <c r="W189">
        <f>IFERROR(IF(ISNUMBER(INDEX(SPPR!$E:$Z,MATCH($A189,SPPR!$A:$A,0),20)),$C189*INDEX(SPPR!$E:$Z,MATCH($A189,SPPR!$A:$A,0),20),""),"")</f>
        <v/>
      </c>
      <c r="X189">
        <f>IFERROR(IF(ISNUMBER(INDEX(SPPR!$E:$Z,MATCH($A189,SPPR!$A:$A,0),21)),$C189*INDEX(SPPR!$E:$Z,MATCH($A189,SPPR!$A:$A,0),21),""),"")</f>
        <v/>
      </c>
      <c r="Y189">
        <f>IFERROR(IF(ISNUMBER(INDEX(SPPR!$E:$Z,MATCH($A189,SPPR!$A:$A,0),22)),$C189*INDEX(SPPR!$E:$Z,MATCH($A189,SPPR!$A:$A,0),22),""),"")</f>
        <v/>
      </c>
    </row>
    <row r="190">
      <c r="A190" t="inlineStr">
        <is>
          <t>Sphyraena barracuda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IFERROR(IF(ISNUMBER(INDEX(SPPR!$E:$Z,MATCH($A190,SPPR!$A:$A,0),1)),$C190*INDEX(SPPR!$E:$Z,MATCH($A190,SPPR!$A:$A,0),1),""),"")</f>
        <v/>
      </c>
      <c r="E190">
        <f>IFERROR(IF(ISNUMBER(INDEX(SPPR!$E:$Z,MATCH($A190,SPPR!$A:$A,0),2)),$C190*INDEX(SPPR!$E:$Z,MATCH($A190,SPPR!$A:$A,0),2),""),"")</f>
        <v/>
      </c>
      <c r="F190">
        <f>IFERROR(IF(ISNUMBER(INDEX(SPPR!$E:$Z,MATCH($A190,SPPR!$A:$A,0),3)),$C190*INDEX(SPPR!$E:$Z,MATCH($A190,SPPR!$A:$A,0),3),""),"")</f>
        <v/>
      </c>
      <c r="G190">
        <f>IFERROR(IF(ISNUMBER(INDEX(SPPR!$E:$Z,MATCH($A190,SPPR!$A:$A,0),4)),$C190*INDEX(SPPR!$E:$Z,MATCH($A190,SPPR!$A:$A,0),4),""),"")</f>
        <v/>
      </c>
      <c r="H190">
        <f>IFERROR(IF(ISNUMBER(INDEX(SPPR!$E:$Z,MATCH($A190,SPPR!$A:$A,0),5)),$C190*INDEX(SPPR!$E:$Z,MATCH($A190,SPPR!$A:$A,0),5),""),"")</f>
        <v/>
      </c>
      <c r="I190">
        <f>IFERROR(IF(ISNUMBER(INDEX(SPPR!$E:$Z,MATCH($A190,SPPR!$A:$A,0),6)),$C190*INDEX(SPPR!$E:$Z,MATCH($A190,SPPR!$A:$A,0),6),""),"")</f>
        <v/>
      </c>
      <c r="J190">
        <f>IFERROR(IF(ISNUMBER(INDEX(SPPR!$E:$Z,MATCH($A190,SPPR!$A:$A,0),7)),$C190*INDEX(SPPR!$E:$Z,MATCH($A190,SPPR!$A:$A,0),7),""),"")</f>
        <v/>
      </c>
      <c r="K190">
        <f>IFERROR(IF(ISNUMBER(INDEX(SPPR!$E:$Z,MATCH($A190,SPPR!$A:$A,0),8)),$C190*INDEX(SPPR!$E:$Z,MATCH($A190,SPPR!$A:$A,0),8),""),"")</f>
        <v/>
      </c>
      <c r="L190">
        <f>IFERROR(IF(ISNUMBER(INDEX(SPPR!$E:$Z,MATCH($A190,SPPR!$A:$A,0),9)),$C190*INDEX(SPPR!$E:$Z,MATCH($A190,SPPR!$A:$A,0),9),""),"")</f>
        <v/>
      </c>
      <c r="M190">
        <f>IFERROR(IF(ISNUMBER(INDEX(SPPR!$E:$Z,MATCH($A190,SPPR!$A:$A,0),10)),$C190*INDEX(SPPR!$E:$Z,MATCH($A190,SPPR!$A:$A,0),10),""),"")</f>
        <v/>
      </c>
      <c r="N190">
        <f>IFERROR(IF(ISNUMBER(INDEX(SPPR!$E:$Z,MATCH($A190,SPPR!$A:$A,0),11)),$C190*INDEX(SPPR!$E:$Z,MATCH($A190,SPPR!$A:$A,0),11),""),"")</f>
        <v/>
      </c>
      <c r="O190">
        <f>IFERROR(IF(ISNUMBER(INDEX(SPPR!$E:$Z,MATCH($A190,SPPR!$A:$A,0),12)),$C190*INDEX(SPPR!$E:$Z,MATCH($A190,SPPR!$A:$A,0),12),""),"")</f>
        <v/>
      </c>
      <c r="P190">
        <f>IFERROR(IF(ISNUMBER(INDEX(SPPR!$E:$Z,MATCH($A190,SPPR!$A:$A,0),13)),$C190*INDEX(SPPR!$E:$Z,MATCH($A190,SPPR!$A:$A,0),13),""),"")</f>
        <v/>
      </c>
      <c r="Q190">
        <f>IFERROR(IF(ISNUMBER(INDEX(SPPR!$E:$Z,MATCH($A190,SPPR!$A:$A,0),14)),$C190*INDEX(SPPR!$E:$Z,MATCH($A190,SPPR!$A:$A,0),14),""),"")</f>
        <v/>
      </c>
      <c r="R190">
        <f>IFERROR(IF(ISNUMBER(INDEX(SPPR!$E:$Z,MATCH($A190,SPPR!$A:$A,0),15)),$C190*INDEX(SPPR!$E:$Z,MATCH($A190,SPPR!$A:$A,0),15),""),"")</f>
        <v/>
      </c>
      <c r="S190">
        <f>IFERROR(IF(ISNUMBER(INDEX(SPPR!$E:$Z,MATCH($A190,SPPR!$A:$A,0),16)),$C190*INDEX(SPPR!$E:$Z,MATCH($A190,SPPR!$A:$A,0),16),""),"")</f>
        <v/>
      </c>
      <c r="T190">
        <f>IFERROR(IF(ISNUMBER(INDEX(SPPR!$E:$Z,MATCH($A190,SPPR!$A:$A,0),17)),$C190*INDEX(SPPR!$E:$Z,MATCH($A190,SPPR!$A:$A,0),17),""),"")</f>
        <v/>
      </c>
      <c r="U190">
        <f>IFERROR(IF(ISNUMBER(INDEX(SPPR!$E:$Z,MATCH($A190,SPPR!$A:$A,0),18)),$C190*INDEX(SPPR!$E:$Z,MATCH($A190,SPPR!$A:$A,0),18),""),"")</f>
        <v/>
      </c>
      <c r="V190">
        <f>IFERROR(IF(ISNUMBER(INDEX(SPPR!$E:$Z,MATCH($A190,SPPR!$A:$A,0),19)),$C190*INDEX(SPPR!$E:$Z,MATCH($A190,SPPR!$A:$A,0),19),""),"")</f>
        <v/>
      </c>
      <c r="W190">
        <f>IFERROR(IF(ISNUMBER(INDEX(SPPR!$E:$Z,MATCH($A190,SPPR!$A:$A,0),20)),$C190*INDEX(SPPR!$E:$Z,MATCH($A190,SPPR!$A:$A,0),20),""),"")</f>
        <v/>
      </c>
      <c r="X190">
        <f>IFERROR(IF(ISNUMBER(INDEX(SPPR!$E:$Z,MATCH($A190,SPPR!$A:$A,0),21)),$C190*INDEX(SPPR!$E:$Z,MATCH($A190,SPPR!$A:$A,0),21),""),"")</f>
        <v/>
      </c>
      <c r="Y190">
        <f>IFERROR(IF(ISNUMBER(INDEX(SPPR!$E:$Z,MATCH($A190,SPPR!$A:$A,0),22)),$C190*INDEX(SPPR!$E:$Z,MATCH($A190,SPPR!$A:$A,0),22),""),"")</f>
        <v/>
      </c>
    </row>
    <row r="191">
      <c r="A191" t="inlineStr">
        <is>
          <t>Decapoda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IFERROR(IF(ISNUMBER(INDEX(SPPR!$E:$Z,MATCH($A191,SPPR!$A:$A,0),1)),$C191*INDEX(SPPR!$E:$Z,MATCH($A191,SPPR!$A:$A,0),1),""),"")</f>
        <v/>
      </c>
      <c r="E191">
        <f>IFERROR(IF(ISNUMBER(INDEX(SPPR!$E:$Z,MATCH($A191,SPPR!$A:$A,0),2)),$C191*INDEX(SPPR!$E:$Z,MATCH($A191,SPPR!$A:$A,0),2),""),"")</f>
        <v/>
      </c>
      <c r="F191">
        <f>IFERROR(IF(ISNUMBER(INDEX(SPPR!$E:$Z,MATCH($A191,SPPR!$A:$A,0),3)),$C191*INDEX(SPPR!$E:$Z,MATCH($A191,SPPR!$A:$A,0),3),""),"")</f>
        <v/>
      </c>
      <c r="G191">
        <f>IFERROR(IF(ISNUMBER(INDEX(SPPR!$E:$Z,MATCH($A191,SPPR!$A:$A,0),4)),$C191*INDEX(SPPR!$E:$Z,MATCH($A191,SPPR!$A:$A,0),4),""),"")</f>
        <v/>
      </c>
      <c r="H191">
        <f>IFERROR(IF(ISNUMBER(INDEX(SPPR!$E:$Z,MATCH($A191,SPPR!$A:$A,0),5)),$C191*INDEX(SPPR!$E:$Z,MATCH($A191,SPPR!$A:$A,0),5),""),"")</f>
        <v/>
      </c>
      <c r="I191">
        <f>IFERROR(IF(ISNUMBER(INDEX(SPPR!$E:$Z,MATCH($A191,SPPR!$A:$A,0),6)),$C191*INDEX(SPPR!$E:$Z,MATCH($A191,SPPR!$A:$A,0),6),""),"")</f>
        <v/>
      </c>
      <c r="J191">
        <f>IFERROR(IF(ISNUMBER(INDEX(SPPR!$E:$Z,MATCH($A191,SPPR!$A:$A,0),7)),$C191*INDEX(SPPR!$E:$Z,MATCH($A191,SPPR!$A:$A,0),7),""),"")</f>
        <v/>
      </c>
      <c r="K191">
        <f>IFERROR(IF(ISNUMBER(INDEX(SPPR!$E:$Z,MATCH($A191,SPPR!$A:$A,0),8)),$C191*INDEX(SPPR!$E:$Z,MATCH($A191,SPPR!$A:$A,0),8),""),"")</f>
        <v/>
      </c>
      <c r="L191">
        <f>IFERROR(IF(ISNUMBER(INDEX(SPPR!$E:$Z,MATCH($A191,SPPR!$A:$A,0),9)),$C191*INDEX(SPPR!$E:$Z,MATCH($A191,SPPR!$A:$A,0),9),""),"")</f>
        <v/>
      </c>
      <c r="M191">
        <f>IFERROR(IF(ISNUMBER(INDEX(SPPR!$E:$Z,MATCH($A191,SPPR!$A:$A,0),10)),$C191*INDEX(SPPR!$E:$Z,MATCH($A191,SPPR!$A:$A,0),10),""),"")</f>
        <v/>
      </c>
      <c r="N191">
        <f>IFERROR(IF(ISNUMBER(INDEX(SPPR!$E:$Z,MATCH($A191,SPPR!$A:$A,0),11)),$C191*INDEX(SPPR!$E:$Z,MATCH($A191,SPPR!$A:$A,0),11),""),"")</f>
        <v/>
      </c>
      <c r="O191">
        <f>IFERROR(IF(ISNUMBER(INDEX(SPPR!$E:$Z,MATCH($A191,SPPR!$A:$A,0),12)),$C191*INDEX(SPPR!$E:$Z,MATCH($A191,SPPR!$A:$A,0),12),""),"")</f>
        <v/>
      </c>
      <c r="P191">
        <f>IFERROR(IF(ISNUMBER(INDEX(SPPR!$E:$Z,MATCH($A191,SPPR!$A:$A,0),13)),$C191*INDEX(SPPR!$E:$Z,MATCH($A191,SPPR!$A:$A,0),13),""),"")</f>
        <v/>
      </c>
      <c r="Q191">
        <f>IFERROR(IF(ISNUMBER(INDEX(SPPR!$E:$Z,MATCH($A191,SPPR!$A:$A,0),14)),$C191*INDEX(SPPR!$E:$Z,MATCH($A191,SPPR!$A:$A,0),14),""),"")</f>
        <v/>
      </c>
      <c r="R191">
        <f>IFERROR(IF(ISNUMBER(INDEX(SPPR!$E:$Z,MATCH($A191,SPPR!$A:$A,0),15)),$C191*INDEX(SPPR!$E:$Z,MATCH($A191,SPPR!$A:$A,0),15),""),"")</f>
        <v/>
      </c>
      <c r="S191">
        <f>IFERROR(IF(ISNUMBER(INDEX(SPPR!$E:$Z,MATCH($A191,SPPR!$A:$A,0),16)),$C191*INDEX(SPPR!$E:$Z,MATCH($A191,SPPR!$A:$A,0),16),""),"")</f>
        <v/>
      </c>
      <c r="T191">
        <f>IFERROR(IF(ISNUMBER(INDEX(SPPR!$E:$Z,MATCH($A191,SPPR!$A:$A,0),17)),$C191*INDEX(SPPR!$E:$Z,MATCH($A191,SPPR!$A:$A,0),17),""),"")</f>
        <v/>
      </c>
      <c r="U191">
        <f>IFERROR(IF(ISNUMBER(INDEX(SPPR!$E:$Z,MATCH($A191,SPPR!$A:$A,0),18)),$C191*INDEX(SPPR!$E:$Z,MATCH($A191,SPPR!$A:$A,0),18),""),"")</f>
        <v/>
      </c>
      <c r="V191">
        <f>IFERROR(IF(ISNUMBER(INDEX(SPPR!$E:$Z,MATCH($A191,SPPR!$A:$A,0),19)),$C191*INDEX(SPPR!$E:$Z,MATCH($A191,SPPR!$A:$A,0),19),""),"")</f>
        <v/>
      </c>
      <c r="W191">
        <f>IFERROR(IF(ISNUMBER(INDEX(SPPR!$E:$Z,MATCH($A191,SPPR!$A:$A,0),20)),$C191*INDEX(SPPR!$E:$Z,MATCH($A191,SPPR!$A:$A,0),20),""),"")</f>
        <v/>
      </c>
      <c r="X191">
        <f>IFERROR(IF(ISNUMBER(INDEX(SPPR!$E:$Z,MATCH($A191,SPPR!$A:$A,0),21)),$C191*INDEX(SPPR!$E:$Z,MATCH($A191,SPPR!$A:$A,0),21),""),"")</f>
        <v/>
      </c>
      <c r="Y191">
        <f>IFERROR(IF(ISNUMBER(INDEX(SPPR!$E:$Z,MATCH($A191,SPPR!$A:$A,0),22)),$C191*INDEX(SPPR!$E:$Z,MATCH($A191,SPPR!$A:$A,0),22),""),"")</f>
        <v/>
      </c>
    </row>
    <row r="192">
      <c r="A192" t="inlineStr">
        <is>
          <t>Tetraodontidae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IFERROR(IF(ISNUMBER(INDEX(SPPR!$E:$Z,MATCH($A192,SPPR!$A:$A,0),1)),$C192*INDEX(SPPR!$E:$Z,MATCH($A192,SPPR!$A:$A,0),1),""),"")</f>
        <v/>
      </c>
      <c r="E192">
        <f>IFERROR(IF(ISNUMBER(INDEX(SPPR!$E:$Z,MATCH($A192,SPPR!$A:$A,0),2)),$C192*INDEX(SPPR!$E:$Z,MATCH($A192,SPPR!$A:$A,0),2),""),"")</f>
        <v/>
      </c>
      <c r="F192">
        <f>IFERROR(IF(ISNUMBER(INDEX(SPPR!$E:$Z,MATCH($A192,SPPR!$A:$A,0),3)),$C192*INDEX(SPPR!$E:$Z,MATCH($A192,SPPR!$A:$A,0),3),""),"")</f>
        <v/>
      </c>
      <c r="G192">
        <f>IFERROR(IF(ISNUMBER(INDEX(SPPR!$E:$Z,MATCH($A192,SPPR!$A:$A,0),4)),$C192*INDEX(SPPR!$E:$Z,MATCH($A192,SPPR!$A:$A,0),4),""),"")</f>
        <v/>
      </c>
      <c r="H192">
        <f>IFERROR(IF(ISNUMBER(INDEX(SPPR!$E:$Z,MATCH($A192,SPPR!$A:$A,0),5)),$C192*INDEX(SPPR!$E:$Z,MATCH($A192,SPPR!$A:$A,0),5),""),"")</f>
        <v/>
      </c>
      <c r="I192">
        <f>IFERROR(IF(ISNUMBER(INDEX(SPPR!$E:$Z,MATCH($A192,SPPR!$A:$A,0),6)),$C192*INDEX(SPPR!$E:$Z,MATCH($A192,SPPR!$A:$A,0),6),""),"")</f>
        <v/>
      </c>
      <c r="J192">
        <f>IFERROR(IF(ISNUMBER(INDEX(SPPR!$E:$Z,MATCH($A192,SPPR!$A:$A,0),7)),$C192*INDEX(SPPR!$E:$Z,MATCH($A192,SPPR!$A:$A,0),7),""),"")</f>
        <v/>
      </c>
      <c r="K192">
        <f>IFERROR(IF(ISNUMBER(INDEX(SPPR!$E:$Z,MATCH($A192,SPPR!$A:$A,0),8)),$C192*INDEX(SPPR!$E:$Z,MATCH($A192,SPPR!$A:$A,0),8),""),"")</f>
        <v/>
      </c>
      <c r="L192">
        <f>IFERROR(IF(ISNUMBER(INDEX(SPPR!$E:$Z,MATCH($A192,SPPR!$A:$A,0),9)),$C192*INDEX(SPPR!$E:$Z,MATCH($A192,SPPR!$A:$A,0),9),""),"")</f>
        <v/>
      </c>
      <c r="M192">
        <f>IFERROR(IF(ISNUMBER(INDEX(SPPR!$E:$Z,MATCH($A192,SPPR!$A:$A,0),10)),$C192*INDEX(SPPR!$E:$Z,MATCH($A192,SPPR!$A:$A,0),10),""),"")</f>
        <v/>
      </c>
      <c r="N192">
        <f>IFERROR(IF(ISNUMBER(INDEX(SPPR!$E:$Z,MATCH($A192,SPPR!$A:$A,0),11)),$C192*INDEX(SPPR!$E:$Z,MATCH($A192,SPPR!$A:$A,0),11),""),"")</f>
        <v/>
      </c>
      <c r="O192">
        <f>IFERROR(IF(ISNUMBER(INDEX(SPPR!$E:$Z,MATCH($A192,SPPR!$A:$A,0),12)),$C192*INDEX(SPPR!$E:$Z,MATCH($A192,SPPR!$A:$A,0),12),""),"")</f>
        <v/>
      </c>
      <c r="P192">
        <f>IFERROR(IF(ISNUMBER(INDEX(SPPR!$E:$Z,MATCH($A192,SPPR!$A:$A,0),13)),$C192*INDEX(SPPR!$E:$Z,MATCH($A192,SPPR!$A:$A,0),13),""),"")</f>
        <v/>
      </c>
      <c r="Q192">
        <f>IFERROR(IF(ISNUMBER(INDEX(SPPR!$E:$Z,MATCH($A192,SPPR!$A:$A,0),14)),$C192*INDEX(SPPR!$E:$Z,MATCH($A192,SPPR!$A:$A,0),14),""),"")</f>
        <v/>
      </c>
      <c r="R192">
        <f>IFERROR(IF(ISNUMBER(INDEX(SPPR!$E:$Z,MATCH($A192,SPPR!$A:$A,0),15)),$C192*INDEX(SPPR!$E:$Z,MATCH($A192,SPPR!$A:$A,0),15),""),"")</f>
        <v/>
      </c>
      <c r="S192">
        <f>IFERROR(IF(ISNUMBER(INDEX(SPPR!$E:$Z,MATCH($A192,SPPR!$A:$A,0),16)),$C192*INDEX(SPPR!$E:$Z,MATCH($A192,SPPR!$A:$A,0),16),""),"")</f>
        <v/>
      </c>
      <c r="T192">
        <f>IFERROR(IF(ISNUMBER(INDEX(SPPR!$E:$Z,MATCH($A192,SPPR!$A:$A,0),17)),$C192*INDEX(SPPR!$E:$Z,MATCH($A192,SPPR!$A:$A,0),17),""),"")</f>
        <v/>
      </c>
      <c r="U192">
        <f>IFERROR(IF(ISNUMBER(INDEX(SPPR!$E:$Z,MATCH($A192,SPPR!$A:$A,0),18)),$C192*INDEX(SPPR!$E:$Z,MATCH($A192,SPPR!$A:$A,0),18),""),"")</f>
        <v/>
      </c>
      <c r="V192">
        <f>IFERROR(IF(ISNUMBER(INDEX(SPPR!$E:$Z,MATCH($A192,SPPR!$A:$A,0),19)),$C192*INDEX(SPPR!$E:$Z,MATCH($A192,SPPR!$A:$A,0),19),""),"")</f>
        <v/>
      </c>
      <c r="W192">
        <f>IFERROR(IF(ISNUMBER(INDEX(SPPR!$E:$Z,MATCH($A192,SPPR!$A:$A,0),20)),$C192*INDEX(SPPR!$E:$Z,MATCH($A192,SPPR!$A:$A,0),20),""),"")</f>
        <v/>
      </c>
      <c r="X192">
        <f>IFERROR(IF(ISNUMBER(INDEX(SPPR!$E:$Z,MATCH($A192,SPPR!$A:$A,0),21)),$C192*INDEX(SPPR!$E:$Z,MATCH($A192,SPPR!$A:$A,0),21),""),"")</f>
        <v/>
      </c>
      <c r="Y192">
        <f>IFERROR(IF(ISNUMBER(INDEX(SPPR!$E:$Z,MATCH($A192,SPPR!$A:$A,0),22)),$C192*INDEX(SPPR!$E:$Z,MATCH($A192,SPPR!$A:$A,0),22),""),"")</f>
        <v/>
      </c>
    </row>
    <row r="193">
      <c r="A193" t="inlineStr">
        <is>
          <t>Dentex congoensis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IFERROR(IF(ISNUMBER(INDEX(SPPR!$E:$Z,MATCH($A193,SPPR!$A:$A,0),1)),$C193*INDEX(SPPR!$E:$Z,MATCH($A193,SPPR!$A:$A,0),1),""),"")</f>
        <v/>
      </c>
      <c r="E193">
        <f>IFERROR(IF(ISNUMBER(INDEX(SPPR!$E:$Z,MATCH($A193,SPPR!$A:$A,0),2)),$C193*INDEX(SPPR!$E:$Z,MATCH($A193,SPPR!$A:$A,0),2),""),"")</f>
        <v/>
      </c>
      <c r="F193">
        <f>IFERROR(IF(ISNUMBER(INDEX(SPPR!$E:$Z,MATCH($A193,SPPR!$A:$A,0),3)),$C193*INDEX(SPPR!$E:$Z,MATCH($A193,SPPR!$A:$A,0),3),""),"")</f>
        <v/>
      </c>
      <c r="G193">
        <f>IFERROR(IF(ISNUMBER(INDEX(SPPR!$E:$Z,MATCH($A193,SPPR!$A:$A,0),4)),$C193*INDEX(SPPR!$E:$Z,MATCH($A193,SPPR!$A:$A,0),4),""),"")</f>
        <v/>
      </c>
      <c r="H193">
        <f>IFERROR(IF(ISNUMBER(INDEX(SPPR!$E:$Z,MATCH($A193,SPPR!$A:$A,0),5)),$C193*INDEX(SPPR!$E:$Z,MATCH($A193,SPPR!$A:$A,0),5),""),"")</f>
        <v/>
      </c>
      <c r="I193">
        <f>IFERROR(IF(ISNUMBER(INDEX(SPPR!$E:$Z,MATCH($A193,SPPR!$A:$A,0),6)),$C193*INDEX(SPPR!$E:$Z,MATCH($A193,SPPR!$A:$A,0),6),""),"")</f>
        <v/>
      </c>
      <c r="J193">
        <f>IFERROR(IF(ISNUMBER(INDEX(SPPR!$E:$Z,MATCH($A193,SPPR!$A:$A,0),7)),$C193*INDEX(SPPR!$E:$Z,MATCH($A193,SPPR!$A:$A,0),7),""),"")</f>
        <v/>
      </c>
      <c r="K193">
        <f>IFERROR(IF(ISNUMBER(INDEX(SPPR!$E:$Z,MATCH($A193,SPPR!$A:$A,0),8)),$C193*INDEX(SPPR!$E:$Z,MATCH($A193,SPPR!$A:$A,0),8),""),"")</f>
        <v/>
      </c>
      <c r="L193">
        <f>IFERROR(IF(ISNUMBER(INDEX(SPPR!$E:$Z,MATCH($A193,SPPR!$A:$A,0),9)),$C193*INDEX(SPPR!$E:$Z,MATCH($A193,SPPR!$A:$A,0),9),""),"")</f>
        <v/>
      </c>
      <c r="M193">
        <f>IFERROR(IF(ISNUMBER(INDEX(SPPR!$E:$Z,MATCH($A193,SPPR!$A:$A,0),10)),$C193*INDEX(SPPR!$E:$Z,MATCH($A193,SPPR!$A:$A,0),10),""),"")</f>
        <v/>
      </c>
      <c r="N193">
        <f>IFERROR(IF(ISNUMBER(INDEX(SPPR!$E:$Z,MATCH($A193,SPPR!$A:$A,0),11)),$C193*INDEX(SPPR!$E:$Z,MATCH($A193,SPPR!$A:$A,0),11),""),"")</f>
        <v/>
      </c>
      <c r="O193">
        <f>IFERROR(IF(ISNUMBER(INDEX(SPPR!$E:$Z,MATCH($A193,SPPR!$A:$A,0),12)),$C193*INDEX(SPPR!$E:$Z,MATCH($A193,SPPR!$A:$A,0),12),""),"")</f>
        <v/>
      </c>
      <c r="P193">
        <f>IFERROR(IF(ISNUMBER(INDEX(SPPR!$E:$Z,MATCH($A193,SPPR!$A:$A,0),13)),$C193*INDEX(SPPR!$E:$Z,MATCH($A193,SPPR!$A:$A,0),13),""),"")</f>
        <v/>
      </c>
      <c r="Q193">
        <f>IFERROR(IF(ISNUMBER(INDEX(SPPR!$E:$Z,MATCH($A193,SPPR!$A:$A,0),14)),$C193*INDEX(SPPR!$E:$Z,MATCH($A193,SPPR!$A:$A,0),14),""),"")</f>
        <v/>
      </c>
      <c r="R193">
        <f>IFERROR(IF(ISNUMBER(INDEX(SPPR!$E:$Z,MATCH($A193,SPPR!$A:$A,0),15)),$C193*INDEX(SPPR!$E:$Z,MATCH($A193,SPPR!$A:$A,0),15),""),"")</f>
        <v/>
      </c>
      <c r="S193">
        <f>IFERROR(IF(ISNUMBER(INDEX(SPPR!$E:$Z,MATCH($A193,SPPR!$A:$A,0),16)),$C193*INDEX(SPPR!$E:$Z,MATCH($A193,SPPR!$A:$A,0),16),""),"")</f>
        <v/>
      </c>
      <c r="T193">
        <f>IFERROR(IF(ISNUMBER(INDEX(SPPR!$E:$Z,MATCH($A193,SPPR!$A:$A,0),17)),$C193*INDEX(SPPR!$E:$Z,MATCH($A193,SPPR!$A:$A,0),17),""),"")</f>
        <v/>
      </c>
      <c r="U193">
        <f>IFERROR(IF(ISNUMBER(INDEX(SPPR!$E:$Z,MATCH($A193,SPPR!$A:$A,0),18)),$C193*INDEX(SPPR!$E:$Z,MATCH($A193,SPPR!$A:$A,0),18),""),"")</f>
        <v/>
      </c>
      <c r="V193">
        <f>IFERROR(IF(ISNUMBER(INDEX(SPPR!$E:$Z,MATCH($A193,SPPR!$A:$A,0),19)),$C193*INDEX(SPPR!$E:$Z,MATCH($A193,SPPR!$A:$A,0),19),""),"")</f>
        <v/>
      </c>
      <c r="W193">
        <f>IFERROR(IF(ISNUMBER(INDEX(SPPR!$E:$Z,MATCH($A193,SPPR!$A:$A,0),20)),$C193*INDEX(SPPR!$E:$Z,MATCH($A193,SPPR!$A:$A,0),20),""),"")</f>
        <v/>
      </c>
      <c r="X193">
        <f>IFERROR(IF(ISNUMBER(INDEX(SPPR!$E:$Z,MATCH($A193,SPPR!$A:$A,0),21)),$C193*INDEX(SPPR!$E:$Z,MATCH($A193,SPPR!$A:$A,0),21),""),"")</f>
        <v/>
      </c>
      <c r="Y193">
        <f>IFERROR(IF(ISNUMBER(INDEX(SPPR!$E:$Z,MATCH($A193,SPPR!$A:$A,0),22)),$C193*INDEX(SPPR!$E:$Z,MATCH($A193,SPPR!$A:$A,0),22),""),"")</f>
        <v/>
      </c>
    </row>
    <row r="194">
      <c r="A194" t="inlineStr">
        <is>
          <t>Triglidae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IFERROR(IF(ISNUMBER(INDEX(SPPR!$E:$Z,MATCH($A194,SPPR!$A:$A,0),1)),$C194*INDEX(SPPR!$E:$Z,MATCH($A194,SPPR!$A:$A,0),1),""),"")</f>
        <v/>
      </c>
      <c r="E194">
        <f>IFERROR(IF(ISNUMBER(INDEX(SPPR!$E:$Z,MATCH($A194,SPPR!$A:$A,0),2)),$C194*INDEX(SPPR!$E:$Z,MATCH($A194,SPPR!$A:$A,0),2),""),"")</f>
        <v/>
      </c>
      <c r="F194">
        <f>IFERROR(IF(ISNUMBER(INDEX(SPPR!$E:$Z,MATCH($A194,SPPR!$A:$A,0),3)),$C194*INDEX(SPPR!$E:$Z,MATCH($A194,SPPR!$A:$A,0),3),""),"")</f>
        <v/>
      </c>
      <c r="G194">
        <f>IFERROR(IF(ISNUMBER(INDEX(SPPR!$E:$Z,MATCH($A194,SPPR!$A:$A,0),4)),$C194*INDEX(SPPR!$E:$Z,MATCH($A194,SPPR!$A:$A,0),4),""),"")</f>
        <v/>
      </c>
      <c r="H194">
        <f>IFERROR(IF(ISNUMBER(INDEX(SPPR!$E:$Z,MATCH($A194,SPPR!$A:$A,0),5)),$C194*INDEX(SPPR!$E:$Z,MATCH($A194,SPPR!$A:$A,0),5),""),"")</f>
        <v/>
      </c>
      <c r="I194">
        <f>IFERROR(IF(ISNUMBER(INDEX(SPPR!$E:$Z,MATCH($A194,SPPR!$A:$A,0),6)),$C194*INDEX(SPPR!$E:$Z,MATCH($A194,SPPR!$A:$A,0),6),""),"")</f>
        <v/>
      </c>
      <c r="J194">
        <f>IFERROR(IF(ISNUMBER(INDEX(SPPR!$E:$Z,MATCH($A194,SPPR!$A:$A,0),7)),$C194*INDEX(SPPR!$E:$Z,MATCH($A194,SPPR!$A:$A,0),7),""),"")</f>
        <v/>
      </c>
      <c r="K194">
        <f>IFERROR(IF(ISNUMBER(INDEX(SPPR!$E:$Z,MATCH($A194,SPPR!$A:$A,0),8)),$C194*INDEX(SPPR!$E:$Z,MATCH($A194,SPPR!$A:$A,0),8),""),"")</f>
        <v/>
      </c>
      <c r="L194">
        <f>IFERROR(IF(ISNUMBER(INDEX(SPPR!$E:$Z,MATCH($A194,SPPR!$A:$A,0),9)),$C194*INDEX(SPPR!$E:$Z,MATCH($A194,SPPR!$A:$A,0),9),""),"")</f>
        <v/>
      </c>
      <c r="M194">
        <f>IFERROR(IF(ISNUMBER(INDEX(SPPR!$E:$Z,MATCH($A194,SPPR!$A:$A,0),10)),$C194*INDEX(SPPR!$E:$Z,MATCH($A194,SPPR!$A:$A,0),10),""),"")</f>
        <v/>
      </c>
      <c r="N194">
        <f>IFERROR(IF(ISNUMBER(INDEX(SPPR!$E:$Z,MATCH($A194,SPPR!$A:$A,0),11)),$C194*INDEX(SPPR!$E:$Z,MATCH($A194,SPPR!$A:$A,0),11),""),"")</f>
        <v/>
      </c>
      <c r="O194">
        <f>IFERROR(IF(ISNUMBER(INDEX(SPPR!$E:$Z,MATCH($A194,SPPR!$A:$A,0),12)),$C194*INDEX(SPPR!$E:$Z,MATCH($A194,SPPR!$A:$A,0),12),""),"")</f>
        <v/>
      </c>
      <c r="P194">
        <f>IFERROR(IF(ISNUMBER(INDEX(SPPR!$E:$Z,MATCH($A194,SPPR!$A:$A,0),13)),$C194*INDEX(SPPR!$E:$Z,MATCH($A194,SPPR!$A:$A,0),13),""),"")</f>
        <v/>
      </c>
      <c r="Q194">
        <f>IFERROR(IF(ISNUMBER(INDEX(SPPR!$E:$Z,MATCH($A194,SPPR!$A:$A,0),14)),$C194*INDEX(SPPR!$E:$Z,MATCH($A194,SPPR!$A:$A,0),14),""),"")</f>
        <v/>
      </c>
      <c r="R194">
        <f>IFERROR(IF(ISNUMBER(INDEX(SPPR!$E:$Z,MATCH($A194,SPPR!$A:$A,0),15)),$C194*INDEX(SPPR!$E:$Z,MATCH($A194,SPPR!$A:$A,0),15),""),"")</f>
        <v/>
      </c>
      <c r="S194">
        <f>IFERROR(IF(ISNUMBER(INDEX(SPPR!$E:$Z,MATCH($A194,SPPR!$A:$A,0),16)),$C194*INDEX(SPPR!$E:$Z,MATCH($A194,SPPR!$A:$A,0),16),""),"")</f>
        <v/>
      </c>
      <c r="T194">
        <f>IFERROR(IF(ISNUMBER(INDEX(SPPR!$E:$Z,MATCH($A194,SPPR!$A:$A,0),17)),$C194*INDEX(SPPR!$E:$Z,MATCH($A194,SPPR!$A:$A,0),17),""),"")</f>
        <v/>
      </c>
      <c r="U194">
        <f>IFERROR(IF(ISNUMBER(INDEX(SPPR!$E:$Z,MATCH($A194,SPPR!$A:$A,0),18)),$C194*INDEX(SPPR!$E:$Z,MATCH($A194,SPPR!$A:$A,0),18),""),"")</f>
        <v/>
      </c>
      <c r="V194">
        <f>IFERROR(IF(ISNUMBER(INDEX(SPPR!$E:$Z,MATCH($A194,SPPR!$A:$A,0),19)),$C194*INDEX(SPPR!$E:$Z,MATCH($A194,SPPR!$A:$A,0),19),""),"")</f>
        <v/>
      </c>
      <c r="W194">
        <f>IFERROR(IF(ISNUMBER(INDEX(SPPR!$E:$Z,MATCH($A194,SPPR!$A:$A,0),20)),$C194*INDEX(SPPR!$E:$Z,MATCH($A194,SPPR!$A:$A,0),20),""),"")</f>
        <v/>
      </c>
      <c r="X194">
        <f>IFERROR(IF(ISNUMBER(INDEX(SPPR!$E:$Z,MATCH($A194,SPPR!$A:$A,0),21)),$C194*INDEX(SPPR!$E:$Z,MATCH($A194,SPPR!$A:$A,0),21),""),"")</f>
        <v/>
      </c>
      <c r="Y194">
        <f>IFERROR(IF(ISNUMBER(INDEX(SPPR!$E:$Z,MATCH($A194,SPPR!$A:$A,0),22)),$C194*INDEX(SPPR!$E:$Z,MATCH($A194,SPPR!$A:$A,0),22),""),"")</f>
        <v/>
      </c>
    </row>
    <row r="195">
      <c r="A195" t="inlineStr">
        <is>
          <t>Muraenidae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IFERROR(IF(ISNUMBER(INDEX(SPPR!$E:$Z,MATCH($A195,SPPR!$A:$A,0),1)),$C195*INDEX(SPPR!$E:$Z,MATCH($A195,SPPR!$A:$A,0),1),""),"")</f>
        <v/>
      </c>
      <c r="E195">
        <f>IFERROR(IF(ISNUMBER(INDEX(SPPR!$E:$Z,MATCH($A195,SPPR!$A:$A,0),2)),$C195*INDEX(SPPR!$E:$Z,MATCH($A195,SPPR!$A:$A,0),2),""),"")</f>
        <v/>
      </c>
      <c r="F195">
        <f>IFERROR(IF(ISNUMBER(INDEX(SPPR!$E:$Z,MATCH($A195,SPPR!$A:$A,0),3)),$C195*INDEX(SPPR!$E:$Z,MATCH($A195,SPPR!$A:$A,0),3),""),"")</f>
        <v/>
      </c>
      <c r="G195">
        <f>IFERROR(IF(ISNUMBER(INDEX(SPPR!$E:$Z,MATCH($A195,SPPR!$A:$A,0),4)),$C195*INDEX(SPPR!$E:$Z,MATCH($A195,SPPR!$A:$A,0),4),""),"")</f>
        <v/>
      </c>
      <c r="H195">
        <f>IFERROR(IF(ISNUMBER(INDEX(SPPR!$E:$Z,MATCH($A195,SPPR!$A:$A,0),5)),$C195*INDEX(SPPR!$E:$Z,MATCH($A195,SPPR!$A:$A,0),5),""),"")</f>
        <v/>
      </c>
      <c r="I195">
        <f>IFERROR(IF(ISNUMBER(INDEX(SPPR!$E:$Z,MATCH($A195,SPPR!$A:$A,0),6)),$C195*INDEX(SPPR!$E:$Z,MATCH($A195,SPPR!$A:$A,0),6),""),"")</f>
        <v/>
      </c>
      <c r="J195">
        <f>IFERROR(IF(ISNUMBER(INDEX(SPPR!$E:$Z,MATCH($A195,SPPR!$A:$A,0),7)),$C195*INDEX(SPPR!$E:$Z,MATCH($A195,SPPR!$A:$A,0),7),""),"")</f>
        <v/>
      </c>
      <c r="K195">
        <f>IFERROR(IF(ISNUMBER(INDEX(SPPR!$E:$Z,MATCH($A195,SPPR!$A:$A,0),8)),$C195*INDEX(SPPR!$E:$Z,MATCH($A195,SPPR!$A:$A,0),8),""),"")</f>
        <v/>
      </c>
      <c r="L195">
        <f>IFERROR(IF(ISNUMBER(INDEX(SPPR!$E:$Z,MATCH($A195,SPPR!$A:$A,0),9)),$C195*INDEX(SPPR!$E:$Z,MATCH($A195,SPPR!$A:$A,0),9),""),"")</f>
        <v/>
      </c>
      <c r="M195">
        <f>IFERROR(IF(ISNUMBER(INDEX(SPPR!$E:$Z,MATCH($A195,SPPR!$A:$A,0),10)),$C195*INDEX(SPPR!$E:$Z,MATCH($A195,SPPR!$A:$A,0),10),""),"")</f>
        <v/>
      </c>
      <c r="N195">
        <f>IFERROR(IF(ISNUMBER(INDEX(SPPR!$E:$Z,MATCH($A195,SPPR!$A:$A,0),11)),$C195*INDEX(SPPR!$E:$Z,MATCH($A195,SPPR!$A:$A,0),11),""),"")</f>
        <v/>
      </c>
      <c r="O195">
        <f>IFERROR(IF(ISNUMBER(INDEX(SPPR!$E:$Z,MATCH($A195,SPPR!$A:$A,0),12)),$C195*INDEX(SPPR!$E:$Z,MATCH($A195,SPPR!$A:$A,0),12),""),"")</f>
        <v/>
      </c>
      <c r="P195">
        <f>IFERROR(IF(ISNUMBER(INDEX(SPPR!$E:$Z,MATCH($A195,SPPR!$A:$A,0),13)),$C195*INDEX(SPPR!$E:$Z,MATCH($A195,SPPR!$A:$A,0),13),""),"")</f>
        <v/>
      </c>
      <c r="Q195">
        <f>IFERROR(IF(ISNUMBER(INDEX(SPPR!$E:$Z,MATCH($A195,SPPR!$A:$A,0),14)),$C195*INDEX(SPPR!$E:$Z,MATCH($A195,SPPR!$A:$A,0),14),""),"")</f>
        <v/>
      </c>
      <c r="R195">
        <f>IFERROR(IF(ISNUMBER(INDEX(SPPR!$E:$Z,MATCH($A195,SPPR!$A:$A,0),15)),$C195*INDEX(SPPR!$E:$Z,MATCH($A195,SPPR!$A:$A,0),15),""),"")</f>
        <v/>
      </c>
      <c r="S195">
        <f>IFERROR(IF(ISNUMBER(INDEX(SPPR!$E:$Z,MATCH($A195,SPPR!$A:$A,0),16)),$C195*INDEX(SPPR!$E:$Z,MATCH($A195,SPPR!$A:$A,0),16),""),"")</f>
        <v/>
      </c>
      <c r="T195">
        <f>IFERROR(IF(ISNUMBER(INDEX(SPPR!$E:$Z,MATCH($A195,SPPR!$A:$A,0),17)),$C195*INDEX(SPPR!$E:$Z,MATCH($A195,SPPR!$A:$A,0),17),""),"")</f>
        <v/>
      </c>
      <c r="U195">
        <f>IFERROR(IF(ISNUMBER(INDEX(SPPR!$E:$Z,MATCH($A195,SPPR!$A:$A,0),18)),$C195*INDEX(SPPR!$E:$Z,MATCH($A195,SPPR!$A:$A,0),18),""),"")</f>
        <v/>
      </c>
      <c r="V195">
        <f>IFERROR(IF(ISNUMBER(INDEX(SPPR!$E:$Z,MATCH($A195,SPPR!$A:$A,0),19)),$C195*INDEX(SPPR!$E:$Z,MATCH($A195,SPPR!$A:$A,0),19),""),"")</f>
        <v/>
      </c>
      <c r="W195">
        <f>IFERROR(IF(ISNUMBER(INDEX(SPPR!$E:$Z,MATCH($A195,SPPR!$A:$A,0),20)),$C195*INDEX(SPPR!$E:$Z,MATCH($A195,SPPR!$A:$A,0),20),""),"")</f>
        <v/>
      </c>
      <c r="X195">
        <f>IFERROR(IF(ISNUMBER(INDEX(SPPR!$E:$Z,MATCH($A195,SPPR!$A:$A,0),21)),$C195*INDEX(SPPR!$E:$Z,MATCH($A195,SPPR!$A:$A,0),21),""),"")</f>
        <v/>
      </c>
      <c r="Y195">
        <f>IFERROR(IF(ISNUMBER(INDEX(SPPR!$E:$Z,MATCH($A195,SPPR!$A:$A,0),22)),$C195*INDEX(SPPR!$E:$Z,MATCH($A195,SPPR!$A:$A,0),22),""),"")</f>
        <v/>
      </c>
    </row>
    <row r="196">
      <c r="A196" t="inlineStr">
        <is>
          <t>Penaeus kerathurus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IFERROR(IF(ISNUMBER(INDEX(SPPR!$E:$Z,MATCH($A196,SPPR!$A:$A,0),1)),$C196*INDEX(SPPR!$E:$Z,MATCH($A196,SPPR!$A:$A,0),1),""),"")</f>
        <v/>
      </c>
      <c r="E196">
        <f>IFERROR(IF(ISNUMBER(INDEX(SPPR!$E:$Z,MATCH($A196,SPPR!$A:$A,0),2)),$C196*INDEX(SPPR!$E:$Z,MATCH($A196,SPPR!$A:$A,0),2),""),"")</f>
        <v/>
      </c>
      <c r="F196">
        <f>IFERROR(IF(ISNUMBER(INDEX(SPPR!$E:$Z,MATCH($A196,SPPR!$A:$A,0),3)),$C196*INDEX(SPPR!$E:$Z,MATCH($A196,SPPR!$A:$A,0),3),""),"")</f>
        <v/>
      </c>
      <c r="G196">
        <f>IFERROR(IF(ISNUMBER(INDEX(SPPR!$E:$Z,MATCH($A196,SPPR!$A:$A,0),4)),$C196*INDEX(SPPR!$E:$Z,MATCH($A196,SPPR!$A:$A,0),4),""),"")</f>
        <v/>
      </c>
      <c r="H196">
        <f>IFERROR(IF(ISNUMBER(INDEX(SPPR!$E:$Z,MATCH($A196,SPPR!$A:$A,0),5)),$C196*INDEX(SPPR!$E:$Z,MATCH($A196,SPPR!$A:$A,0),5),""),"")</f>
        <v/>
      </c>
      <c r="I196">
        <f>IFERROR(IF(ISNUMBER(INDEX(SPPR!$E:$Z,MATCH($A196,SPPR!$A:$A,0),6)),$C196*INDEX(SPPR!$E:$Z,MATCH($A196,SPPR!$A:$A,0),6),""),"")</f>
        <v/>
      </c>
      <c r="J196">
        <f>IFERROR(IF(ISNUMBER(INDEX(SPPR!$E:$Z,MATCH($A196,SPPR!$A:$A,0),7)),$C196*INDEX(SPPR!$E:$Z,MATCH($A196,SPPR!$A:$A,0),7),""),"")</f>
        <v/>
      </c>
      <c r="K196">
        <f>IFERROR(IF(ISNUMBER(INDEX(SPPR!$E:$Z,MATCH($A196,SPPR!$A:$A,0),8)),$C196*INDEX(SPPR!$E:$Z,MATCH($A196,SPPR!$A:$A,0),8),""),"")</f>
        <v/>
      </c>
      <c r="L196">
        <f>IFERROR(IF(ISNUMBER(INDEX(SPPR!$E:$Z,MATCH($A196,SPPR!$A:$A,0),9)),$C196*INDEX(SPPR!$E:$Z,MATCH($A196,SPPR!$A:$A,0),9),""),"")</f>
        <v/>
      </c>
      <c r="M196">
        <f>IFERROR(IF(ISNUMBER(INDEX(SPPR!$E:$Z,MATCH($A196,SPPR!$A:$A,0),10)),$C196*INDEX(SPPR!$E:$Z,MATCH($A196,SPPR!$A:$A,0),10),""),"")</f>
        <v/>
      </c>
      <c r="N196">
        <f>IFERROR(IF(ISNUMBER(INDEX(SPPR!$E:$Z,MATCH($A196,SPPR!$A:$A,0),11)),$C196*INDEX(SPPR!$E:$Z,MATCH($A196,SPPR!$A:$A,0),11),""),"")</f>
        <v/>
      </c>
      <c r="O196">
        <f>IFERROR(IF(ISNUMBER(INDEX(SPPR!$E:$Z,MATCH($A196,SPPR!$A:$A,0),12)),$C196*INDEX(SPPR!$E:$Z,MATCH($A196,SPPR!$A:$A,0),12),""),"")</f>
        <v/>
      </c>
      <c r="P196">
        <f>IFERROR(IF(ISNUMBER(INDEX(SPPR!$E:$Z,MATCH($A196,SPPR!$A:$A,0),13)),$C196*INDEX(SPPR!$E:$Z,MATCH($A196,SPPR!$A:$A,0),13),""),"")</f>
        <v/>
      </c>
      <c r="Q196">
        <f>IFERROR(IF(ISNUMBER(INDEX(SPPR!$E:$Z,MATCH($A196,SPPR!$A:$A,0),14)),$C196*INDEX(SPPR!$E:$Z,MATCH($A196,SPPR!$A:$A,0),14),""),"")</f>
        <v/>
      </c>
      <c r="R196">
        <f>IFERROR(IF(ISNUMBER(INDEX(SPPR!$E:$Z,MATCH($A196,SPPR!$A:$A,0),15)),$C196*INDEX(SPPR!$E:$Z,MATCH($A196,SPPR!$A:$A,0),15),""),"")</f>
        <v/>
      </c>
      <c r="S196">
        <f>IFERROR(IF(ISNUMBER(INDEX(SPPR!$E:$Z,MATCH($A196,SPPR!$A:$A,0),16)),$C196*INDEX(SPPR!$E:$Z,MATCH($A196,SPPR!$A:$A,0),16),""),"")</f>
        <v/>
      </c>
      <c r="T196">
        <f>IFERROR(IF(ISNUMBER(INDEX(SPPR!$E:$Z,MATCH($A196,SPPR!$A:$A,0),17)),$C196*INDEX(SPPR!$E:$Z,MATCH($A196,SPPR!$A:$A,0),17),""),"")</f>
        <v/>
      </c>
      <c r="U196">
        <f>IFERROR(IF(ISNUMBER(INDEX(SPPR!$E:$Z,MATCH($A196,SPPR!$A:$A,0),18)),$C196*INDEX(SPPR!$E:$Z,MATCH($A196,SPPR!$A:$A,0),18),""),"")</f>
        <v/>
      </c>
      <c r="V196">
        <f>IFERROR(IF(ISNUMBER(INDEX(SPPR!$E:$Z,MATCH($A196,SPPR!$A:$A,0),19)),$C196*INDEX(SPPR!$E:$Z,MATCH($A196,SPPR!$A:$A,0),19),""),"")</f>
        <v/>
      </c>
      <c r="W196">
        <f>IFERROR(IF(ISNUMBER(INDEX(SPPR!$E:$Z,MATCH($A196,SPPR!$A:$A,0),20)),$C196*INDEX(SPPR!$E:$Z,MATCH($A196,SPPR!$A:$A,0),20),""),"")</f>
        <v/>
      </c>
      <c r="X196">
        <f>IFERROR(IF(ISNUMBER(INDEX(SPPR!$E:$Z,MATCH($A196,SPPR!$A:$A,0),21)),$C196*INDEX(SPPR!$E:$Z,MATCH($A196,SPPR!$A:$A,0),21),""),"")</f>
        <v/>
      </c>
      <c r="Y196">
        <f>IFERROR(IF(ISNUMBER(INDEX(SPPR!$E:$Z,MATCH($A196,SPPR!$A:$A,0),22)),$C196*INDEX(SPPR!$E:$Z,MATCH($A196,SPPR!$A:$A,0),22),""),"")</f>
        <v/>
      </c>
    </row>
    <row r="197">
      <c r="A197" t="inlineStr">
        <is>
          <t>Lichia amia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IFERROR(IF(ISNUMBER(INDEX(SPPR!$E:$Z,MATCH($A197,SPPR!$A:$A,0),1)),$C197*INDEX(SPPR!$E:$Z,MATCH($A197,SPPR!$A:$A,0),1),""),"")</f>
        <v/>
      </c>
      <c r="E197">
        <f>IFERROR(IF(ISNUMBER(INDEX(SPPR!$E:$Z,MATCH($A197,SPPR!$A:$A,0),2)),$C197*INDEX(SPPR!$E:$Z,MATCH($A197,SPPR!$A:$A,0),2),""),"")</f>
        <v/>
      </c>
      <c r="F197">
        <f>IFERROR(IF(ISNUMBER(INDEX(SPPR!$E:$Z,MATCH($A197,SPPR!$A:$A,0),3)),$C197*INDEX(SPPR!$E:$Z,MATCH($A197,SPPR!$A:$A,0),3),""),"")</f>
        <v/>
      </c>
      <c r="G197">
        <f>IFERROR(IF(ISNUMBER(INDEX(SPPR!$E:$Z,MATCH($A197,SPPR!$A:$A,0),4)),$C197*INDEX(SPPR!$E:$Z,MATCH($A197,SPPR!$A:$A,0),4),""),"")</f>
        <v/>
      </c>
      <c r="H197">
        <f>IFERROR(IF(ISNUMBER(INDEX(SPPR!$E:$Z,MATCH($A197,SPPR!$A:$A,0),5)),$C197*INDEX(SPPR!$E:$Z,MATCH($A197,SPPR!$A:$A,0),5),""),"")</f>
        <v/>
      </c>
      <c r="I197">
        <f>IFERROR(IF(ISNUMBER(INDEX(SPPR!$E:$Z,MATCH($A197,SPPR!$A:$A,0),6)),$C197*INDEX(SPPR!$E:$Z,MATCH($A197,SPPR!$A:$A,0),6),""),"")</f>
        <v/>
      </c>
      <c r="J197">
        <f>IFERROR(IF(ISNUMBER(INDEX(SPPR!$E:$Z,MATCH($A197,SPPR!$A:$A,0),7)),$C197*INDEX(SPPR!$E:$Z,MATCH($A197,SPPR!$A:$A,0),7),""),"")</f>
        <v/>
      </c>
      <c r="K197">
        <f>IFERROR(IF(ISNUMBER(INDEX(SPPR!$E:$Z,MATCH($A197,SPPR!$A:$A,0),8)),$C197*INDEX(SPPR!$E:$Z,MATCH($A197,SPPR!$A:$A,0),8),""),"")</f>
        <v/>
      </c>
      <c r="L197">
        <f>IFERROR(IF(ISNUMBER(INDEX(SPPR!$E:$Z,MATCH($A197,SPPR!$A:$A,0),9)),$C197*INDEX(SPPR!$E:$Z,MATCH($A197,SPPR!$A:$A,0),9),""),"")</f>
        <v/>
      </c>
      <c r="M197">
        <f>IFERROR(IF(ISNUMBER(INDEX(SPPR!$E:$Z,MATCH($A197,SPPR!$A:$A,0),10)),$C197*INDEX(SPPR!$E:$Z,MATCH($A197,SPPR!$A:$A,0),10),""),"")</f>
        <v/>
      </c>
      <c r="N197">
        <f>IFERROR(IF(ISNUMBER(INDEX(SPPR!$E:$Z,MATCH($A197,SPPR!$A:$A,0),11)),$C197*INDEX(SPPR!$E:$Z,MATCH($A197,SPPR!$A:$A,0),11),""),"")</f>
        <v/>
      </c>
      <c r="O197">
        <f>IFERROR(IF(ISNUMBER(INDEX(SPPR!$E:$Z,MATCH($A197,SPPR!$A:$A,0),12)),$C197*INDEX(SPPR!$E:$Z,MATCH($A197,SPPR!$A:$A,0),12),""),"")</f>
        <v/>
      </c>
      <c r="P197">
        <f>IFERROR(IF(ISNUMBER(INDEX(SPPR!$E:$Z,MATCH($A197,SPPR!$A:$A,0),13)),$C197*INDEX(SPPR!$E:$Z,MATCH($A197,SPPR!$A:$A,0),13),""),"")</f>
        <v/>
      </c>
      <c r="Q197">
        <f>IFERROR(IF(ISNUMBER(INDEX(SPPR!$E:$Z,MATCH($A197,SPPR!$A:$A,0),14)),$C197*INDEX(SPPR!$E:$Z,MATCH($A197,SPPR!$A:$A,0),14),""),"")</f>
        <v/>
      </c>
      <c r="R197">
        <f>IFERROR(IF(ISNUMBER(INDEX(SPPR!$E:$Z,MATCH($A197,SPPR!$A:$A,0),15)),$C197*INDEX(SPPR!$E:$Z,MATCH($A197,SPPR!$A:$A,0),15),""),"")</f>
        <v/>
      </c>
      <c r="S197">
        <f>IFERROR(IF(ISNUMBER(INDEX(SPPR!$E:$Z,MATCH($A197,SPPR!$A:$A,0),16)),$C197*INDEX(SPPR!$E:$Z,MATCH($A197,SPPR!$A:$A,0),16),""),"")</f>
        <v/>
      </c>
      <c r="T197">
        <f>IFERROR(IF(ISNUMBER(INDEX(SPPR!$E:$Z,MATCH($A197,SPPR!$A:$A,0),17)),$C197*INDEX(SPPR!$E:$Z,MATCH($A197,SPPR!$A:$A,0),17),""),"")</f>
        <v/>
      </c>
      <c r="U197">
        <f>IFERROR(IF(ISNUMBER(INDEX(SPPR!$E:$Z,MATCH($A197,SPPR!$A:$A,0),18)),$C197*INDEX(SPPR!$E:$Z,MATCH($A197,SPPR!$A:$A,0),18),""),"")</f>
        <v/>
      </c>
      <c r="V197">
        <f>IFERROR(IF(ISNUMBER(INDEX(SPPR!$E:$Z,MATCH($A197,SPPR!$A:$A,0),19)),$C197*INDEX(SPPR!$E:$Z,MATCH($A197,SPPR!$A:$A,0),19),""),"")</f>
        <v/>
      </c>
      <c r="W197">
        <f>IFERROR(IF(ISNUMBER(INDEX(SPPR!$E:$Z,MATCH($A197,SPPR!$A:$A,0),20)),$C197*INDEX(SPPR!$E:$Z,MATCH($A197,SPPR!$A:$A,0),20),""),"")</f>
        <v/>
      </c>
      <c r="X197">
        <f>IFERROR(IF(ISNUMBER(INDEX(SPPR!$E:$Z,MATCH($A197,SPPR!$A:$A,0),21)),$C197*INDEX(SPPR!$E:$Z,MATCH($A197,SPPR!$A:$A,0),21),""),"")</f>
        <v/>
      </c>
      <c r="Y197">
        <f>IFERROR(IF(ISNUMBER(INDEX(SPPR!$E:$Z,MATCH($A197,SPPR!$A:$A,0),22)),$C197*INDEX(SPPR!$E:$Z,MATCH($A197,SPPR!$A:$A,0),22),""),"")</f>
        <v/>
      </c>
    </row>
    <row r="198">
      <c r="A198" t="inlineStr">
        <is>
          <t>Pomadasys rogerii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IFERROR(IF(ISNUMBER(INDEX(SPPR!$E:$Z,MATCH($A198,SPPR!$A:$A,0),1)),$C198*INDEX(SPPR!$E:$Z,MATCH($A198,SPPR!$A:$A,0),1),""),"")</f>
        <v/>
      </c>
      <c r="E198">
        <f>IFERROR(IF(ISNUMBER(INDEX(SPPR!$E:$Z,MATCH($A198,SPPR!$A:$A,0),2)),$C198*INDEX(SPPR!$E:$Z,MATCH($A198,SPPR!$A:$A,0),2),""),"")</f>
        <v/>
      </c>
      <c r="F198">
        <f>IFERROR(IF(ISNUMBER(INDEX(SPPR!$E:$Z,MATCH($A198,SPPR!$A:$A,0),3)),$C198*INDEX(SPPR!$E:$Z,MATCH($A198,SPPR!$A:$A,0),3),""),"")</f>
        <v/>
      </c>
      <c r="G198">
        <f>IFERROR(IF(ISNUMBER(INDEX(SPPR!$E:$Z,MATCH($A198,SPPR!$A:$A,0),4)),$C198*INDEX(SPPR!$E:$Z,MATCH($A198,SPPR!$A:$A,0),4),""),"")</f>
        <v/>
      </c>
      <c r="H198">
        <f>IFERROR(IF(ISNUMBER(INDEX(SPPR!$E:$Z,MATCH($A198,SPPR!$A:$A,0),5)),$C198*INDEX(SPPR!$E:$Z,MATCH($A198,SPPR!$A:$A,0),5),""),"")</f>
        <v/>
      </c>
      <c r="I198">
        <f>IFERROR(IF(ISNUMBER(INDEX(SPPR!$E:$Z,MATCH($A198,SPPR!$A:$A,0),6)),$C198*INDEX(SPPR!$E:$Z,MATCH($A198,SPPR!$A:$A,0),6),""),"")</f>
        <v/>
      </c>
      <c r="J198">
        <f>IFERROR(IF(ISNUMBER(INDEX(SPPR!$E:$Z,MATCH($A198,SPPR!$A:$A,0),7)),$C198*INDEX(SPPR!$E:$Z,MATCH($A198,SPPR!$A:$A,0),7),""),"")</f>
        <v/>
      </c>
      <c r="K198">
        <f>IFERROR(IF(ISNUMBER(INDEX(SPPR!$E:$Z,MATCH($A198,SPPR!$A:$A,0),8)),$C198*INDEX(SPPR!$E:$Z,MATCH($A198,SPPR!$A:$A,0),8),""),"")</f>
        <v/>
      </c>
      <c r="L198">
        <f>IFERROR(IF(ISNUMBER(INDEX(SPPR!$E:$Z,MATCH($A198,SPPR!$A:$A,0),9)),$C198*INDEX(SPPR!$E:$Z,MATCH($A198,SPPR!$A:$A,0),9),""),"")</f>
        <v/>
      </c>
      <c r="M198">
        <f>IFERROR(IF(ISNUMBER(INDEX(SPPR!$E:$Z,MATCH($A198,SPPR!$A:$A,0),10)),$C198*INDEX(SPPR!$E:$Z,MATCH($A198,SPPR!$A:$A,0),10),""),"")</f>
        <v/>
      </c>
      <c r="N198">
        <f>IFERROR(IF(ISNUMBER(INDEX(SPPR!$E:$Z,MATCH($A198,SPPR!$A:$A,0),11)),$C198*INDEX(SPPR!$E:$Z,MATCH($A198,SPPR!$A:$A,0),11),""),"")</f>
        <v/>
      </c>
      <c r="O198">
        <f>IFERROR(IF(ISNUMBER(INDEX(SPPR!$E:$Z,MATCH($A198,SPPR!$A:$A,0),12)),$C198*INDEX(SPPR!$E:$Z,MATCH($A198,SPPR!$A:$A,0),12),""),"")</f>
        <v/>
      </c>
      <c r="P198">
        <f>IFERROR(IF(ISNUMBER(INDEX(SPPR!$E:$Z,MATCH($A198,SPPR!$A:$A,0),13)),$C198*INDEX(SPPR!$E:$Z,MATCH($A198,SPPR!$A:$A,0),13),""),"")</f>
        <v/>
      </c>
      <c r="Q198">
        <f>IFERROR(IF(ISNUMBER(INDEX(SPPR!$E:$Z,MATCH($A198,SPPR!$A:$A,0),14)),$C198*INDEX(SPPR!$E:$Z,MATCH($A198,SPPR!$A:$A,0),14),""),"")</f>
        <v/>
      </c>
      <c r="R198">
        <f>IFERROR(IF(ISNUMBER(INDEX(SPPR!$E:$Z,MATCH($A198,SPPR!$A:$A,0),15)),$C198*INDEX(SPPR!$E:$Z,MATCH($A198,SPPR!$A:$A,0),15),""),"")</f>
        <v/>
      </c>
      <c r="S198">
        <f>IFERROR(IF(ISNUMBER(INDEX(SPPR!$E:$Z,MATCH($A198,SPPR!$A:$A,0),16)),$C198*INDEX(SPPR!$E:$Z,MATCH($A198,SPPR!$A:$A,0),16),""),"")</f>
        <v/>
      </c>
      <c r="T198">
        <f>IFERROR(IF(ISNUMBER(INDEX(SPPR!$E:$Z,MATCH($A198,SPPR!$A:$A,0),17)),$C198*INDEX(SPPR!$E:$Z,MATCH($A198,SPPR!$A:$A,0),17),""),"")</f>
        <v/>
      </c>
      <c r="U198">
        <f>IFERROR(IF(ISNUMBER(INDEX(SPPR!$E:$Z,MATCH($A198,SPPR!$A:$A,0),18)),$C198*INDEX(SPPR!$E:$Z,MATCH($A198,SPPR!$A:$A,0),18),""),"")</f>
        <v/>
      </c>
      <c r="V198">
        <f>IFERROR(IF(ISNUMBER(INDEX(SPPR!$E:$Z,MATCH($A198,SPPR!$A:$A,0),19)),$C198*INDEX(SPPR!$E:$Z,MATCH($A198,SPPR!$A:$A,0),19),""),"")</f>
        <v/>
      </c>
      <c r="W198">
        <f>IFERROR(IF(ISNUMBER(INDEX(SPPR!$E:$Z,MATCH($A198,SPPR!$A:$A,0),20)),$C198*INDEX(SPPR!$E:$Z,MATCH($A198,SPPR!$A:$A,0),20),""),"")</f>
        <v/>
      </c>
      <c r="X198">
        <f>IFERROR(IF(ISNUMBER(INDEX(SPPR!$E:$Z,MATCH($A198,SPPR!$A:$A,0),21)),$C198*INDEX(SPPR!$E:$Z,MATCH($A198,SPPR!$A:$A,0),21),""),"")</f>
        <v/>
      </c>
      <c r="Y198">
        <f>IFERROR(IF(ISNUMBER(INDEX(SPPR!$E:$Z,MATCH($A198,SPPR!$A:$A,0),22)),$C198*INDEX(SPPR!$E:$Z,MATCH($A198,SPPR!$A:$A,0),22),""),"")</f>
        <v/>
      </c>
    </row>
    <row r="199">
      <c r="A199" t="inlineStr">
        <is>
          <t>Sphyrna mokarran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IFERROR(IF(ISNUMBER(INDEX(SPPR!$E:$Z,MATCH($A199,SPPR!$A:$A,0),1)),$C199*INDEX(SPPR!$E:$Z,MATCH($A199,SPPR!$A:$A,0),1),""),"")</f>
        <v/>
      </c>
      <c r="E199">
        <f>IFERROR(IF(ISNUMBER(INDEX(SPPR!$E:$Z,MATCH($A199,SPPR!$A:$A,0),2)),$C199*INDEX(SPPR!$E:$Z,MATCH($A199,SPPR!$A:$A,0),2),""),"")</f>
        <v/>
      </c>
      <c r="F199">
        <f>IFERROR(IF(ISNUMBER(INDEX(SPPR!$E:$Z,MATCH($A199,SPPR!$A:$A,0),3)),$C199*INDEX(SPPR!$E:$Z,MATCH($A199,SPPR!$A:$A,0),3),""),"")</f>
        <v/>
      </c>
      <c r="G199">
        <f>IFERROR(IF(ISNUMBER(INDEX(SPPR!$E:$Z,MATCH($A199,SPPR!$A:$A,0),4)),$C199*INDEX(SPPR!$E:$Z,MATCH($A199,SPPR!$A:$A,0),4),""),"")</f>
        <v/>
      </c>
      <c r="H199">
        <f>IFERROR(IF(ISNUMBER(INDEX(SPPR!$E:$Z,MATCH($A199,SPPR!$A:$A,0),5)),$C199*INDEX(SPPR!$E:$Z,MATCH($A199,SPPR!$A:$A,0),5),""),"")</f>
        <v/>
      </c>
      <c r="I199">
        <f>IFERROR(IF(ISNUMBER(INDEX(SPPR!$E:$Z,MATCH($A199,SPPR!$A:$A,0),6)),$C199*INDEX(SPPR!$E:$Z,MATCH($A199,SPPR!$A:$A,0),6),""),"")</f>
        <v/>
      </c>
      <c r="J199">
        <f>IFERROR(IF(ISNUMBER(INDEX(SPPR!$E:$Z,MATCH($A199,SPPR!$A:$A,0),7)),$C199*INDEX(SPPR!$E:$Z,MATCH($A199,SPPR!$A:$A,0),7),""),"")</f>
        <v/>
      </c>
      <c r="K199">
        <f>IFERROR(IF(ISNUMBER(INDEX(SPPR!$E:$Z,MATCH($A199,SPPR!$A:$A,0),8)),$C199*INDEX(SPPR!$E:$Z,MATCH($A199,SPPR!$A:$A,0),8),""),"")</f>
        <v/>
      </c>
      <c r="L199">
        <f>IFERROR(IF(ISNUMBER(INDEX(SPPR!$E:$Z,MATCH($A199,SPPR!$A:$A,0),9)),$C199*INDEX(SPPR!$E:$Z,MATCH($A199,SPPR!$A:$A,0),9),""),"")</f>
        <v/>
      </c>
      <c r="M199">
        <f>IFERROR(IF(ISNUMBER(INDEX(SPPR!$E:$Z,MATCH($A199,SPPR!$A:$A,0),10)),$C199*INDEX(SPPR!$E:$Z,MATCH($A199,SPPR!$A:$A,0),10),""),"")</f>
        <v/>
      </c>
      <c r="N199">
        <f>IFERROR(IF(ISNUMBER(INDEX(SPPR!$E:$Z,MATCH($A199,SPPR!$A:$A,0),11)),$C199*INDEX(SPPR!$E:$Z,MATCH($A199,SPPR!$A:$A,0),11),""),"")</f>
        <v/>
      </c>
      <c r="O199">
        <f>IFERROR(IF(ISNUMBER(INDEX(SPPR!$E:$Z,MATCH($A199,SPPR!$A:$A,0),12)),$C199*INDEX(SPPR!$E:$Z,MATCH($A199,SPPR!$A:$A,0),12),""),"")</f>
        <v/>
      </c>
      <c r="P199">
        <f>IFERROR(IF(ISNUMBER(INDEX(SPPR!$E:$Z,MATCH($A199,SPPR!$A:$A,0),13)),$C199*INDEX(SPPR!$E:$Z,MATCH($A199,SPPR!$A:$A,0),13),""),"")</f>
        <v/>
      </c>
      <c r="Q199">
        <f>IFERROR(IF(ISNUMBER(INDEX(SPPR!$E:$Z,MATCH($A199,SPPR!$A:$A,0),14)),$C199*INDEX(SPPR!$E:$Z,MATCH($A199,SPPR!$A:$A,0),14),""),"")</f>
        <v/>
      </c>
      <c r="R199">
        <f>IFERROR(IF(ISNUMBER(INDEX(SPPR!$E:$Z,MATCH($A199,SPPR!$A:$A,0),15)),$C199*INDEX(SPPR!$E:$Z,MATCH($A199,SPPR!$A:$A,0),15),""),"")</f>
        <v/>
      </c>
      <c r="S199">
        <f>IFERROR(IF(ISNUMBER(INDEX(SPPR!$E:$Z,MATCH($A199,SPPR!$A:$A,0),16)),$C199*INDEX(SPPR!$E:$Z,MATCH($A199,SPPR!$A:$A,0),16),""),"")</f>
        <v/>
      </c>
      <c r="T199">
        <f>IFERROR(IF(ISNUMBER(INDEX(SPPR!$E:$Z,MATCH($A199,SPPR!$A:$A,0),17)),$C199*INDEX(SPPR!$E:$Z,MATCH($A199,SPPR!$A:$A,0),17),""),"")</f>
        <v/>
      </c>
      <c r="U199">
        <f>IFERROR(IF(ISNUMBER(INDEX(SPPR!$E:$Z,MATCH($A199,SPPR!$A:$A,0),18)),$C199*INDEX(SPPR!$E:$Z,MATCH($A199,SPPR!$A:$A,0),18),""),"")</f>
        <v/>
      </c>
      <c r="V199">
        <f>IFERROR(IF(ISNUMBER(INDEX(SPPR!$E:$Z,MATCH($A199,SPPR!$A:$A,0),19)),$C199*INDEX(SPPR!$E:$Z,MATCH($A199,SPPR!$A:$A,0),19),""),"")</f>
        <v/>
      </c>
      <c r="W199">
        <f>IFERROR(IF(ISNUMBER(INDEX(SPPR!$E:$Z,MATCH($A199,SPPR!$A:$A,0),20)),$C199*INDEX(SPPR!$E:$Z,MATCH($A199,SPPR!$A:$A,0),20),""),"")</f>
        <v/>
      </c>
      <c r="X199">
        <f>IFERROR(IF(ISNUMBER(INDEX(SPPR!$E:$Z,MATCH($A199,SPPR!$A:$A,0),21)),$C199*INDEX(SPPR!$E:$Z,MATCH($A199,SPPR!$A:$A,0),21),""),"")</f>
        <v/>
      </c>
      <c r="Y199">
        <f>IFERROR(IF(ISNUMBER(INDEX(SPPR!$E:$Z,MATCH($A199,SPPR!$A:$A,0),22)),$C199*INDEX(SPPR!$E:$Z,MATCH($A199,SPPR!$A:$A,0),22),""),"")</f>
        <v/>
      </c>
    </row>
    <row r="200">
      <c r="A200" t="inlineStr">
        <is>
          <t>Holocentridae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IFERROR(IF(ISNUMBER(INDEX(SPPR!$E:$Z,MATCH($A200,SPPR!$A:$A,0),1)),$C200*INDEX(SPPR!$E:$Z,MATCH($A200,SPPR!$A:$A,0),1),""),"")</f>
        <v/>
      </c>
      <c r="E200">
        <f>IFERROR(IF(ISNUMBER(INDEX(SPPR!$E:$Z,MATCH($A200,SPPR!$A:$A,0),2)),$C200*INDEX(SPPR!$E:$Z,MATCH($A200,SPPR!$A:$A,0),2),""),"")</f>
        <v/>
      </c>
      <c r="F200">
        <f>IFERROR(IF(ISNUMBER(INDEX(SPPR!$E:$Z,MATCH($A200,SPPR!$A:$A,0),3)),$C200*INDEX(SPPR!$E:$Z,MATCH($A200,SPPR!$A:$A,0),3),""),"")</f>
        <v/>
      </c>
      <c r="G200">
        <f>IFERROR(IF(ISNUMBER(INDEX(SPPR!$E:$Z,MATCH($A200,SPPR!$A:$A,0),4)),$C200*INDEX(SPPR!$E:$Z,MATCH($A200,SPPR!$A:$A,0),4),""),"")</f>
        <v/>
      </c>
      <c r="H200">
        <f>IFERROR(IF(ISNUMBER(INDEX(SPPR!$E:$Z,MATCH($A200,SPPR!$A:$A,0),5)),$C200*INDEX(SPPR!$E:$Z,MATCH($A200,SPPR!$A:$A,0),5),""),"")</f>
        <v/>
      </c>
      <c r="I200">
        <f>IFERROR(IF(ISNUMBER(INDEX(SPPR!$E:$Z,MATCH($A200,SPPR!$A:$A,0),6)),$C200*INDEX(SPPR!$E:$Z,MATCH($A200,SPPR!$A:$A,0),6),""),"")</f>
        <v/>
      </c>
      <c r="J200">
        <f>IFERROR(IF(ISNUMBER(INDEX(SPPR!$E:$Z,MATCH($A200,SPPR!$A:$A,0),7)),$C200*INDEX(SPPR!$E:$Z,MATCH($A200,SPPR!$A:$A,0),7),""),"")</f>
        <v/>
      </c>
      <c r="K200">
        <f>IFERROR(IF(ISNUMBER(INDEX(SPPR!$E:$Z,MATCH($A200,SPPR!$A:$A,0),8)),$C200*INDEX(SPPR!$E:$Z,MATCH($A200,SPPR!$A:$A,0),8),""),"")</f>
        <v/>
      </c>
      <c r="L200">
        <f>IFERROR(IF(ISNUMBER(INDEX(SPPR!$E:$Z,MATCH($A200,SPPR!$A:$A,0),9)),$C200*INDEX(SPPR!$E:$Z,MATCH($A200,SPPR!$A:$A,0),9),""),"")</f>
        <v/>
      </c>
      <c r="M200">
        <f>IFERROR(IF(ISNUMBER(INDEX(SPPR!$E:$Z,MATCH($A200,SPPR!$A:$A,0),10)),$C200*INDEX(SPPR!$E:$Z,MATCH($A200,SPPR!$A:$A,0),10),""),"")</f>
        <v/>
      </c>
      <c r="N200">
        <f>IFERROR(IF(ISNUMBER(INDEX(SPPR!$E:$Z,MATCH($A200,SPPR!$A:$A,0),11)),$C200*INDEX(SPPR!$E:$Z,MATCH($A200,SPPR!$A:$A,0),11),""),"")</f>
        <v/>
      </c>
      <c r="O200">
        <f>IFERROR(IF(ISNUMBER(INDEX(SPPR!$E:$Z,MATCH($A200,SPPR!$A:$A,0),12)),$C200*INDEX(SPPR!$E:$Z,MATCH($A200,SPPR!$A:$A,0),12),""),"")</f>
        <v/>
      </c>
      <c r="P200">
        <f>IFERROR(IF(ISNUMBER(INDEX(SPPR!$E:$Z,MATCH($A200,SPPR!$A:$A,0),13)),$C200*INDEX(SPPR!$E:$Z,MATCH($A200,SPPR!$A:$A,0),13),""),"")</f>
        <v/>
      </c>
      <c r="Q200">
        <f>IFERROR(IF(ISNUMBER(INDEX(SPPR!$E:$Z,MATCH($A200,SPPR!$A:$A,0),14)),$C200*INDEX(SPPR!$E:$Z,MATCH($A200,SPPR!$A:$A,0),14),""),"")</f>
        <v/>
      </c>
      <c r="R200">
        <f>IFERROR(IF(ISNUMBER(INDEX(SPPR!$E:$Z,MATCH($A200,SPPR!$A:$A,0),15)),$C200*INDEX(SPPR!$E:$Z,MATCH($A200,SPPR!$A:$A,0),15),""),"")</f>
        <v/>
      </c>
      <c r="S200">
        <f>IFERROR(IF(ISNUMBER(INDEX(SPPR!$E:$Z,MATCH($A200,SPPR!$A:$A,0),16)),$C200*INDEX(SPPR!$E:$Z,MATCH($A200,SPPR!$A:$A,0),16),""),"")</f>
        <v/>
      </c>
      <c r="T200">
        <f>IFERROR(IF(ISNUMBER(INDEX(SPPR!$E:$Z,MATCH($A200,SPPR!$A:$A,0),17)),$C200*INDEX(SPPR!$E:$Z,MATCH($A200,SPPR!$A:$A,0),17),""),"")</f>
        <v/>
      </c>
      <c r="U200">
        <f>IFERROR(IF(ISNUMBER(INDEX(SPPR!$E:$Z,MATCH($A200,SPPR!$A:$A,0),18)),$C200*INDEX(SPPR!$E:$Z,MATCH($A200,SPPR!$A:$A,0),18),""),"")</f>
        <v/>
      </c>
      <c r="V200">
        <f>IFERROR(IF(ISNUMBER(INDEX(SPPR!$E:$Z,MATCH($A200,SPPR!$A:$A,0),19)),$C200*INDEX(SPPR!$E:$Z,MATCH($A200,SPPR!$A:$A,0),19),""),"")</f>
        <v/>
      </c>
      <c r="W200">
        <f>IFERROR(IF(ISNUMBER(INDEX(SPPR!$E:$Z,MATCH($A200,SPPR!$A:$A,0),20)),$C200*INDEX(SPPR!$E:$Z,MATCH($A200,SPPR!$A:$A,0),20),""),"")</f>
        <v/>
      </c>
      <c r="X200">
        <f>IFERROR(IF(ISNUMBER(INDEX(SPPR!$E:$Z,MATCH($A200,SPPR!$A:$A,0),21)),$C200*INDEX(SPPR!$E:$Z,MATCH($A200,SPPR!$A:$A,0),21),""),"")</f>
        <v/>
      </c>
      <c r="Y200">
        <f>IFERROR(IF(ISNUMBER(INDEX(SPPR!$E:$Z,MATCH($A200,SPPR!$A:$A,0),22)),$C200*INDEX(SPPR!$E:$Z,MATCH($A200,SPPR!$A:$A,0),22),""),"")</f>
        <v/>
      </c>
    </row>
    <row r="201">
      <c r="A201" t="inlineStr">
        <is>
          <t>Pellonula leonensis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IFERROR(IF(ISNUMBER(INDEX(SPPR!$E:$Z,MATCH($A201,SPPR!$A:$A,0),1)),$C201*INDEX(SPPR!$E:$Z,MATCH($A201,SPPR!$A:$A,0),1),""),"")</f>
        <v/>
      </c>
      <c r="E201">
        <f>IFERROR(IF(ISNUMBER(INDEX(SPPR!$E:$Z,MATCH($A201,SPPR!$A:$A,0),2)),$C201*INDEX(SPPR!$E:$Z,MATCH($A201,SPPR!$A:$A,0),2),""),"")</f>
        <v/>
      </c>
      <c r="F201">
        <f>IFERROR(IF(ISNUMBER(INDEX(SPPR!$E:$Z,MATCH($A201,SPPR!$A:$A,0),3)),$C201*INDEX(SPPR!$E:$Z,MATCH($A201,SPPR!$A:$A,0),3),""),"")</f>
        <v/>
      </c>
      <c r="G201">
        <f>IFERROR(IF(ISNUMBER(INDEX(SPPR!$E:$Z,MATCH($A201,SPPR!$A:$A,0),4)),$C201*INDEX(SPPR!$E:$Z,MATCH($A201,SPPR!$A:$A,0),4),""),"")</f>
        <v/>
      </c>
      <c r="H201">
        <f>IFERROR(IF(ISNUMBER(INDEX(SPPR!$E:$Z,MATCH($A201,SPPR!$A:$A,0),5)),$C201*INDEX(SPPR!$E:$Z,MATCH($A201,SPPR!$A:$A,0),5),""),"")</f>
        <v/>
      </c>
      <c r="I201">
        <f>IFERROR(IF(ISNUMBER(INDEX(SPPR!$E:$Z,MATCH($A201,SPPR!$A:$A,0),6)),$C201*INDEX(SPPR!$E:$Z,MATCH($A201,SPPR!$A:$A,0),6),""),"")</f>
        <v/>
      </c>
      <c r="J201">
        <f>IFERROR(IF(ISNUMBER(INDEX(SPPR!$E:$Z,MATCH($A201,SPPR!$A:$A,0),7)),$C201*INDEX(SPPR!$E:$Z,MATCH($A201,SPPR!$A:$A,0),7),""),"")</f>
        <v/>
      </c>
      <c r="K201">
        <f>IFERROR(IF(ISNUMBER(INDEX(SPPR!$E:$Z,MATCH($A201,SPPR!$A:$A,0),8)),$C201*INDEX(SPPR!$E:$Z,MATCH($A201,SPPR!$A:$A,0),8),""),"")</f>
        <v/>
      </c>
      <c r="L201">
        <f>IFERROR(IF(ISNUMBER(INDEX(SPPR!$E:$Z,MATCH($A201,SPPR!$A:$A,0),9)),$C201*INDEX(SPPR!$E:$Z,MATCH($A201,SPPR!$A:$A,0),9),""),"")</f>
        <v/>
      </c>
      <c r="M201">
        <f>IFERROR(IF(ISNUMBER(INDEX(SPPR!$E:$Z,MATCH($A201,SPPR!$A:$A,0),10)),$C201*INDEX(SPPR!$E:$Z,MATCH($A201,SPPR!$A:$A,0),10),""),"")</f>
        <v/>
      </c>
      <c r="N201">
        <f>IFERROR(IF(ISNUMBER(INDEX(SPPR!$E:$Z,MATCH($A201,SPPR!$A:$A,0),11)),$C201*INDEX(SPPR!$E:$Z,MATCH($A201,SPPR!$A:$A,0),11),""),"")</f>
        <v/>
      </c>
      <c r="O201">
        <f>IFERROR(IF(ISNUMBER(INDEX(SPPR!$E:$Z,MATCH($A201,SPPR!$A:$A,0),12)),$C201*INDEX(SPPR!$E:$Z,MATCH($A201,SPPR!$A:$A,0),12),""),"")</f>
        <v/>
      </c>
      <c r="P201">
        <f>IFERROR(IF(ISNUMBER(INDEX(SPPR!$E:$Z,MATCH($A201,SPPR!$A:$A,0),13)),$C201*INDEX(SPPR!$E:$Z,MATCH($A201,SPPR!$A:$A,0),13),""),"")</f>
        <v/>
      </c>
      <c r="Q201">
        <f>IFERROR(IF(ISNUMBER(INDEX(SPPR!$E:$Z,MATCH($A201,SPPR!$A:$A,0),14)),$C201*INDEX(SPPR!$E:$Z,MATCH($A201,SPPR!$A:$A,0),14),""),"")</f>
        <v/>
      </c>
      <c r="R201">
        <f>IFERROR(IF(ISNUMBER(INDEX(SPPR!$E:$Z,MATCH($A201,SPPR!$A:$A,0),15)),$C201*INDEX(SPPR!$E:$Z,MATCH($A201,SPPR!$A:$A,0),15),""),"")</f>
        <v/>
      </c>
      <c r="S201">
        <f>IFERROR(IF(ISNUMBER(INDEX(SPPR!$E:$Z,MATCH($A201,SPPR!$A:$A,0),16)),$C201*INDEX(SPPR!$E:$Z,MATCH($A201,SPPR!$A:$A,0),16),""),"")</f>
        <v/>
      </c>
      <c r="T201">
        <f>IFERROR(IF(ISNUMBER(INDEX(SPPR!$E:$Z,MATCH($A201,SPPR!$A:$A,0),17)),$C201*INDEX(SPPR!$E:$Z,MATCH($A201,SPPR!$A:$A,0),17),""),"")</f>
        <v/>
      </c>
      <c r="U201">
        <f>IFERROR(IF(ISNUMBER(INDEX(SPPR!$E:$Z,MATCH($A201,SPPR!$A:$A,0),18)),$C201*INDEX(SPPR!$E:$Z,MATCH($A201,SPPR!$A:$A,0),18),""),"")</f>
        <v/>
      </c>
      <c r="V201">
        <f>IFERROR(IF(ISNUMBER(INDEX(SPPR!$E:$Z,MATCH($A201,SPPR!$A:$A,0),19)),$C201*INDEX(SPPR!$E:$Z,MATCH($A201,SPPR!$A:$A,0),19),""),"")</f>
        <v/>
      </c>
      <c r="W201">
        <f>IFERROR(IF(ISNUMBER(INDEX(SPPR!$E:$Z,MATCH($A201,SPPR!$A:$A,0),20)),$C201*INDEX(SPPR!$E:$Z,MATCH($A201,SPPR!$A:$A,0),20),""),"")</f>
        <v/>
      </c>
      <c r="X201">
        <f>IFERROR(IF(ISNUMBER(INDEX(SPPR!$E:$Z,MATCH($A201,SPPR!$A:$A,0),21)),$C201*INDEX(SPPR!$E:$Z,MATCH($A201,SPPR!$A:$A,0),21),""),"")</f>
        <v/>
      </c>
      <c r="Y201">
        <f>IFERROR(IF(ISNUMBER(INDEX(SPPR!$E:$Z,MATCH($A201,SPPR!$A:$A,0),22)),$C201*INDEX(SPPR!$E:$Z,MATCH($A201,SPPR!$A:$A,0),22),""),"")</f>
        <v/>
      </c>
    </row>
    <row r="202">
      <c r="A202" t="inlineStr">
        <is>
          <t>Plectorhinchus macrolepis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IFERROR(IF(ISNUMBER(INDEX(SPPR!$E:$Z,MATCH($A202,SPPR!$A:$A,0),1)),$C202*INDEX(SPPR!$E:$Z,MATCH($A202,SPPR!$A:$A,0),1),""),"")</f>
        <v/>
      </c>
      <c r="E202">
        <f>IFERROR(IF(ISNUMBER(INDEX(SPPR!$E:$Z,MATCH($A202,SPPR!$A:$A,0),2)),$C202*INDEX(SPPR!$E:$Z,MATCH($A202,SPPR!$A:$A,0),2),""),"")</f>
        <v/>
      </c>
      <c r="F202">
        <f>IFERROR(IF(ISNUMBER(INDEX(SPPR!$E:$Z,MATCH($A202,SPPR!$A:$A,0),3)),$C202*INDEX(SPPR!$E:$Z,MATCH($A202,SPPR!$A:$A,0),3),""),"")</f>
        <v/>
      </c>
      <c r="G202">
        <f>IFERROR(IF(ISNUMBER(INDEX(SPPR!$E:$Z,MATCH($A202,SPPR!$A:$A,0),4)),$C202*INDEX(SPPR!$E:$Z,MATCH($A202,SPPR!$A:$A,0),4),""),"")</f>
        <v/>
      </c>
      <c r="H202">
        <f>IFERROR(IF(ISNUMBER(INDEX(SPPR!$E:$Z,MATCH($A202,SPPR!$A:$A,0),5)),$C202*INDEX(SPPR!$E:$Z,MATCH($A202,SPPR!$A:$A,0),5),""),"")</f>
        <v/>
      </c>
      <c r="I202">
        <f>IFERROR(IF(ISNUMBER(INDEX(SPPR!$E:$Z,MATCH($A202,SPPR!$A:$A,0),6)),$C202*INDEX(SPPR!$E:$Z,MATCH($A202,SPPR!$A:$A,0),6),""),"")</f>
        <v/>
      </c>
      <c r="J202">
        <f>IFERROR(IF(ISNUMBER(INDEX(SPPR!$E:$Z,MATCH($A202,SPPR!$A:$A,0),7)),$C202*INDEX(SPPR!$E:$Z,MATCH($A202,SPPR!$A:$A,0),7),""),"")</f>
        <v/>
      </c>
      <c r="K202">
        <f>IFERROR(IF(ISNUMBER(INDEX(SPPR!$E:$Z,MATCH($A202,SPPR!$A:$A,0),8)),$C202*INDEX(SPPR!$E:$Z,MATCH($A202,SPPR!$A:$A,0),8),""),"")</f>
        <v/>
      </c>
      <c r="L202">
        <f>IFERROR(IF(ISNUMBER(INDEX(SPPR!$E:$Z,MATCH($A202,SPPR!$A:$A,0),9)),$C202*INDEX(SPPR!$E:$Z,MATCH($A202,SPPR!$A:$A,0),9),""),"")</f>
        <v/>
      </c>
      <c r="M202">
        <f>IFERROR(IF(ISNUMBER(INDEX(SPPR!$E:$Z,MATCH($A202,SPPR!$A:$A,0),10)),$C202*INDEX(SPPR!$E:$Z,MATCH($A202,SPPR!$A:$A,0),10),""),"")</f>
        <v/>
      </c>
      <c r="N202">
        <f>IFERROR(IF(ISNUMBER(INDEX(SPPR!$E:$Z,MATCH($A202,SPPR!$A:$A,0),11)),$C202*INDEX(SPPR!$E:$Z,MATCH($A202,SPPR!$A:$A,0),11),""),"")</f>
        <v/>
      </c>
      <c r="O202">
        <f>IFERROR(IF(ISNUMBER(INDEX(SPPR!$E:$Z,MATCH($A202,SPPR!$A:$A,0),12)),$C202*INDEX(SPPR!$E:$Z,MATCH($A202,SPPR!$A:$A,0),12),""),"")</f>
        <v/>
      </c>
      <c r="P202">
        <f>IFERROR(IF(ISNUMBER(INDEX(SPPR!$E:$Z,MATCH($A202,SPPR!$A:$A,0),13)),$C202*INDEX(SPPR!$E:$Z,MATCH($A202,SPPR!$A:$A,0),13),""),"")</f>
        <v/>
      </c>
      <c r="Q202">
        <f>IFERROR(IF(ISNUMBER(INDEX(SPPR!$E:$Z,MATCH($A202,SPPR!$A:$A,0),14)),$C202*INDEX(SPPR!$E:$Z,MATCH($A202,SPPR!$A:$A,0),14),""),"")</f>
        <v/>
      </c>
      <c r="R202">
        <f>IFERROR(IF(ISNUMBER(INDEX(SPPR!$E:$Z,MATCH($A202,SPPR!$A:$A,0),15)),$C202*INDEX(SPPR!$E:$Z,MATCH($A202,SPPR!$A:$A,0),15),""),"")</f>
        <v/>
      </c>
      <c r="S202">
        <f>IFERROR(IF(ISNUMBER(INDEX(SPPR!$E:$Z,MATCH($A202,SPPR!$A:$A,0),16)),$C202*INDEX(SPPR!$E:$Z,MATCH($A202,SPPR!$A:$A,0),16),""),"")</f>
        <v/>
      </c>
      <c r="T202">
        <f>IFERROR(IF(ISNUMBER(INDEX(SPPR!$E:$Z,MATCH($A202,SPPR!$A:$A,0),17)),$C202*INDEX(SPPR!$E:$Z,MATCH($A202,SPPR!$A:$A,0),17),""),"")</f>
        <v/>
      </c>
      <c r="U202">
        <f>IFERROR(IF(ISNUMBER(INDEX(SPPR!$E:$Z,MATCH($A202,SPPR!$A:$A,0),18)),$C202*INDEX(SPPR!$E:$Z,MATCH($A202,SPPR!$A:$A,0),18),""),"")</f>
        <v/>
      </c>
      <c r="V202">
        <f>IFERROR(IF(ISNUMBER(INDEX(SPPR!$E:$Z,MATCH($A202,SPPR!$A:$A,0),19)),$C202*INDEX(SPPR!$E:$Z,MATCH($A202,SPPR!$A:$A,0),19),""),"")</f>
        <v/>
      </c>
      <c r="W202">
        <f>IFERROR(IF(ISNUMBER(INDEX(SPPR!$E:$Z,MATCH($A202,SPPR!$A:$A,0),20)),$C202*INDEX(SPPR!$E:$Z,MATCH($A202,SPPR!$A:$A,0),20),""),"")</f>
        <v/>
      </c>
      <c r="X202">
        <f>IFERROR(IF(ISNUMBER(INDEX(SPPR!$E:$Z,MATCH($A202,SPPR!$A:$A,0),21)),$C202*INDEX(SPPR!$E:$Z,MATCH($A202,SPPR!$A:$A,0),21),""),"")</f>
        <v/>
      </c>
      <c r="Y202">
        <f>IFERROR(IF(ISNUMBER(INDEX(SPPR!$E:$Z,MATCH($A202,SPPR!$A:$A,0),22)),$C202*INDEX(SPPR!$E:$Z,MATCH($A202,SPPR!$A:$A,0),22),""),"")</f>
        <v/>
      </c>
    </row>
    <row r="203">
      <c r="A203" t="inlineStr">
        <is>
          <t>Makaira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IFERROR(IF(ISNUMBER(INDEX(SPPR!$E:$Z,MATCH($A203,SPPR!$A:$A,0),1)),$C203*INDEX(SPPR!$E:$Z,MATCH($A203,SPPR!$A:$A,0),1),""),"")</f>
        <v/>
      </c>
      <c r="E203">
        <f>IFERROR(IF(ISNUMBER(INDEX(SPPR!$E:$Z,MATCH($A203,SPPR!$A:$A,0),2)),$C203*INDEX(SPPR!$E:$Z,MATCH($A203,SPPR!$A:$A,0),2),""),"")</f>
        <v/>
      </c>
      <c r="F203">
        <f>IFERROR(IF(ISNUMBER(INDEX(SPPR!$E:$Z,MATCH($A203,SPPR!$A:$A,0),3)),$C203*INDEX(SPPR!$E:$Z,MATCH($A203,SPPR!$A:$A,0),3),""),"")</f>
        <v/>
      </c>
      <c r="G203">
        <f>IFERROR(IF(ISNUMBER(INDEX(SPPR!$E:$Z,MATCH($A203,SPPR!$A:$A,0),4)),$C203*INDEX(SPPR!$E:$Z,MATCH($A203,SPPR!$A:$A,0),4),""),"")</f>
        <v/>
      </c>
      <c r="H203">
        <f>IFERROR(IF(ISNUMBER(INDEX(SPPR!$E:$Z,MATCH($A203,SPPR!$A:$A,0),5)),$C203*INDEX(SPPR!$E:$Z,MATCH($A203,SPPR!$A:$A,0),5),""),"")</f>
        <v/>
      </c>
      <c r="I203">
        <f>IFERROR(IF(ISNUMBER(INDEX(SPPR!$E:$Z,MATCH($A203,SPPR!$A:$A,0),6)),$C203*INDEX(SPPR!$E:$Z,MATCH($A203,SPPR!$A:$A,0),6),""),"")</f>
        <v/>
      </c>
      <c r="J203">
        <f>IFERROR(IF(ISNUMBER(INDEX(SPPR!$E:$Z,MATCH($A203,SPPR!$A:$A,0),7)),$C203*INDEX(SPPR!$E:$Z,MATCH($A203,SPPR!$A:$A,0),7),""),"")</f>
        <v/>
      </c>
      <c r="K203">
        <f>IFERROR(IF(ISNUMBER(INDEX(SPPR!$E:$Z,MATCH($A203,SPPR!$A:$A,0),8)),$C203*INDEX(SPPR!$E:$Z,MATCH($A203,SPPR!$A:$A,0),8),""),"")</f>
        <v/>
      </c>
      <c r="L203">
        <f>IFERROR(IF(ISNUMBER(INDEX(SPPR!$E:$Z,MATCH($A203,SPPR!$A:$A,0),9)),$C203*INDEX(SPPR!$E:$Z,MATCH($A203,SPPR!$A:$A,0),9),""),"")</f>
        <v/>
      </c>
      <c r="M203">
        <f>IFERROR(IF(ISNUMBER(INDEX(SPPR!$E:$Z,MATCH($A203,SPPR!$A:$A,0),10)),$C203*INDEX(SPPR!$E:$Z,MATCH($A203,SPPR!$A:$A,0),10),""),"")</f>
        <v/>
      </c>
      <c r="N203">
        <f>IFERROR(IF(ISNUMBER(INDEX(SPPR!$E:$Z,MATCH($A203,SPPR!$A:$A,0),11)),$C203*INDEX(SPPR!$E:$Z,MATCH($A203,SPPR!$A:$A,0),11),""),"")</f>
        <v/>
      </c>
      <c r="O203">
        <f>IFERROR(IF(ISNUMBER(INDEX(SPPR!$E:$Z,MATCH($A203,SPPR!$A:$A,0),12)),$C203*INDEX(SPPR!$E:$Z,MATCH($A203,SPPR!$A:$A,0),12),""),"")</f>
        <v/>
      </c>
      <c r="P203">
        <f>IFERROR(IF(ISNUMBER(INDEX(SPPR!$E:$Z,MATCH($A203,SPPR!$A:$A,0),13)),$C203*INDEX(SPPR!$E:$Z,MATCH($A203,SPPR!$A:$A,0),13),""),"")</f>
        <v/>
      </c>
      <c r="Q203">
        <f>IFERROR(IF(ISNUMBER(INDEX(SPPR!$E:$Z,MATCH($A203,SPPR!$A:$A,0),14)),$C203*INDEX(SPPR!$E:$Z,MATCH($A203,SPPR!$A:$A,0),14),""),"")</f>
        <v/>
      </c>
      <c r="R203">
        <f>IFERROR(IF(ISNUMBER(INDEX(SPPR!$E:$Z,MATCH($A203,SPPR!$A:$A,0),15)),$C203*INDEX(SPPR!$E:$Z,MATCH($A203,SPPR!$A:$A,0),15),""),"")</f>
        <v/>
      </c>
      <c r="S203">
        <f>IFERROR(IF(ISNUMBER(INDEX(SPPR!$E:$Z,MATCH($A203,SPPR!$A:$A,0),16)),$C203*INDEX(SPPR!$E:$Z,MATCH($A203,SPPR!$A:$A,0),16),""),"")</f>
        <v/>
      </c>
      <c r="T203">
        <f>IFERROR(IF(ISNUMBER(INDEX(SPPR!$E:$Z,MATCH($A203,SPPR!$A:$A,0),17)),$C203*INDEX(SPPR!$E:$Z,MATCH($A203,SPPR!$A:$A,0),17),""),"")</f>
        <v/>
      </c>
      <c r="U203">
        <f>IFERROR(IF(ISNUMBER(INDEX(SPPR!$E:$Z,MATCH($A203,SPPR!$A:$A,0),18)),$C203*INDEX(SPPR!$E:$Z,MATCH($A203,SPPR!$A:$A,0),18),""),"")</f>
        <v/>
      </c>
      <c r="V203">
        <f>IFERROR(IF(ISNUMBER(INDEX(SPPR!$E:$Z,MATCH($A203,SPPR!$A:$A,0),19)),$C203*INDEX(SPPR!$E:$Z,MATCH($A203,SPPR!$A:$A,0),19),""),"")</f>
        <v/>
      </c>
      <c r="W203">
        <f>IFERROR(IF(ISNUMBER(INDEX(SPPR!$E:$Z,MATCH($A203,SPPR!$A:$A,0),20)),$C203*INDEX(SPPR!$E:$Z,MATCH($A203,SPPR!$A:$A,0),20),""),"")</f>
        <v/>
      </c>
      <c r="X203">
        <f>IFERROR(IF(ISNUMBER(INDEX(SPPR!$E:$Z,MATCH($A203,SPPR!$A:$A,0),21)),$C203*INDEX(SPPR!$E:$Z,MATCH($A203,SPPR!$A:$A,0),21),""),"")</f>
        <v/>
      </c>
      <c r="Y203">
        <f>IFERROR(IF(ISNUMBER(INDEX(SPPR!$E:$Z,MATCH($A203,SPPR!$A:$A,0),22)),$C203*INDEX(SPPR!$E:$Z,MATCH($A203,SPPR!$A:$A,0),22),""),"")</f>
        <v/>
      </c>
    </row>
    <row r="204">
      <c r="A204" t="inlineStr">
        <is>
          <t>Albulidae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IFERROR(IF(ISNUMBER(INDEX(SPPR!$E:$Z,MATCH($A204,SPPR!$A:$A,0),1)),$C204*INDEX(SPPR!$E:$Z,MATCH($A204,SPPR!$A:$A,0),1),""),"")</f>
        <v/>
      </c>
      <c r="E204">
        <f>IFERROR(IF(ISNUMBER(INDEX(SPPR!$E:$Z,MATCH($A204,SPPR!$A:$A,0),2)),$C204*INDEX(SPPR!$E:$Z,MATCH($A204,SPPR!$A:$A,0),2),""),"")</f>
        <v/>
      </c>
      <c r="F204">
        <f>IFERROR(IF(ISNUMBER(INDEX(SPPR!$E:$Z,MATCH($A204,SPPR!$A:$A,0),3)),$C204*INDEX(SPPR!$E:$Z,MATCH($A204,SPPR!$A:$A,0),3),""),"")</f>
        <v/>
      </c>
      <c r="G204">
        <f>IFERROR(IF(ISNUMBER(INDEX(SPPR!$E:$Z,MATCH($A204,SPPR!$A:$A,0),4)),$C204*INDEX(SPPR!$E:$Z,MATCH($A204,SPPR!$A:$A,0),4),""),"")</f>
        <v/>
      </c>
      <c r="H204">
        <f>IFERROR(IF(ISNUMBER(INDEX(SPPR!$E:$Z,MATCH($A204,SPPR!$A:$A,0),5)),$C204*INDEX(SPPR!$E:$Z,MATCH($A204,SPPR!$A:$A,0),5),""),"")</f>
        <v/>
      </c>
      <c r="I204">
        <f>IFERROR(IF(ISNUMBER(INDEX(SPPR!$E:$Z,MATCH($A204,SPPR!$A:$A,0),6)),$C204*INDEX(SPPR!$E:$Z,MATCH($A204,SPPR!$A:$A,0),6),""),"")</f>
        <v/>
      </c>
      <c r="J204">
        <f>IFERROR(IF(ISNUMBER(INDEX(SPPR!$E:$Z,MATCH($A204,SPPR!$A:$A,0),7)),$C204*INDEX(SPPR!$E:$Z,MATCH($A204,SPPR!$A:$A,0),7),""),"")</f>
        <v/>
      </c>
      <c r="K204">
        <f>IFERROR(IF(ISNUMBER(INDEX(SPPR!$E:$Z,MATCH($A204,SPPR!$A:$A,0),8)),$C204*INDEX(SPPR!$E:$Z,MATCH($A204,SPPR!$A:$A,0),8),""),"")</f>
        <v/>
      </c>
      <c r="L204">
        <f>IFERROR(IF(ISNUMBER(INDEX(SPPR!$E:$Z,MATCH($A204,SPPR!$A:$A,0),9)),$C204*INDEX(SPPR!$E:$Z,MATCH($A204,SPPR!$A:$A,0),9),""),"")</f>
        <v/>
      </c>
      <c r="M204">
        <f>IFERROR(IF(ISNUMBER(INDEX(SPPR!$E:$Z,MATCH($A204,SPPR!$A:$A,0),10)),$C204*INDEX(SPPR!$E:$Z,MATCH($A204,SPPR!$A:$A,0),10),""),"")</f>
        <v/>
      </c>
      <c r="N204">
        <f>IFERROR(IF(ISNUMBER(INDEX(SPPR!$E:$Z,MATCH($A204,SPPR!$A:$A,0),11)),$C204*INDEX(SPPR!$E:$Z,MATCH($A204,SPPR!$A:$A,0),11),""),"")</f>
        <v/>
      </c>
      <c r="O204">
        <f>IFERROR(IF(ISNUMBER(INDEX(SPPR!$E:$Z,MATCH($A204,SPPR!$A:$A,0),12)),$C204*INDEX(SPPR!$E:$Z,MATCH($A204,SPPR!$A:$A,0),12),""),"")</f>
        <v/>
      </c>
      <c r="P204">
        <f>IFERROR(IF(ISNUMBER(INDEX(SPPR!$E:$Z,MATCH($A204,SPPR!$A:$A,0),13)),$C204*INDEX(SPPR!$E:$Z,MATCH($A204,SPPR!$A:$A,0),13),""),"")</f>
        <v/>
      </c>
      <c r="Q204">
        <f>IFERROR(IF(ISNUMBER(INDEX(SPPR!$E:$Z,MATCH($A204,SPPR!$A:$A,0),14)),$C204*INDEX(SPPR!$E:$Z,MATCH($A204,SPPR!$A:$A,0),14),""),"")</f>
        <v/>
      </c>
      <c r="R204">
        <f>IFERROR(IF(ISNUMBER(INDEX(SPPR!$E:$Z,MATCH($A204,SPPR!$A:$A,0),15)),$C204*INDEX(SPPR!$E:$Z,MATCH($A204,SPPR!$A:$A,0),15),""),"")</f>
        <v/>
      </c>
      <c r="S204">
        <f>IFERROR(IF(ISNUMBER(INDEX(SPPR!$E:$Z,MATCH($A204,SPPR!$A:$A,0),16)),$C204*INDEX(SPPR!$E:$Z,MATCH($A204,SPPR!$A:$A,0),16),""),"")</f>
        <v/>
      </c>
      <c r="T204">
        <f>IFERROR(IF(ISNUMBER(INDEX(SPPR!$E:$Z,MATCH($A204,SPPR!$A:$A,0),17)),$C204*INDEX(SPPR!$E:$Z,MATCH($A204,SPPR!$A:$A,0),17),""),"")</f>
        <v/>
      </c>
      <c r="U204">
        <f>IFERROR(IF(ISNUMBER(INDEX(SPPR!$E:$Z,MATCH($A204,SPPR!$A:$A,0),18)),$C204*INDEX(SPPR!$E:$Z,MATCH($A204,SPPR!$A:$A,0),18),""),"")</f>
        <v/>
      </c>
      <c r="V204">
        <f>IFERROR(IF(ISNUMBER(INDEX(SPPR!$E:$Z,MATCH($A204,SPPR!$A:$A,0),19)),$C204*INDEX(SPPR!$E:$Z,MATCH($A204,SPPR!$A:$A,0),19),""),"")</f>
        <v/>
      </c>
      <c r="W204">
        <f>IFERROR(IF(ISNUMBER(INDEX(SPPR!$E:$Z,MATCH($A204,SPPR!$A:$A,0),20)),$C204*INDEX(SPPR!$E:$Z,MATCH($A204,SPPR!$A:$A,0),20),""),"")</f>
        <v/>
      </c>
      <c r="X204">
        <f>IFERROR(IF(ISNUMBER(INDEX(SPPR!$E:$Z,MATCH($A204,SPPR!$A:$A,0),21)),$C204*INDEX(SPPR!$E:$Z,MATCH($A204,SPPR!$A:$A,0),21),""),"")</f>
        <v/>
      </c>
      <c r="Y204">
        <f>IFERROR(IF(ISNUMBER(INDEX(SPPR!$E:$Z,MATCH($A204,SPPR!$A:$A,0),22)),$C204*INDEX(SPPR!$E:$Z,MATCH($A204,SPPR!$A:$A,0),22),""),"")</f>
        <v/>
      </c>
    </row>
    <row r="205">
      <c r="A205" t="inlineStr">
        <is>
          <t>Epinephelus marginatus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IFERROR(IF(ISNUMBER(INDEX(SPPR!$E:$Z,MATCH($A205,SPPR!$A:$A,0),1)),$C205*INDEX(SPPR!$E:$Z,MATCH($A205,SPPR!$A:$A,0),1),""),"")</f>
        <v/>
      </c>
      <c r="E205">
        <f>IFERROR(IF(ISNUMBER(INDEX(SPPR!$E:$Z,MATCH($A205,SPPR!$A:$A,0),2)),$C205*INDEX(SPPR!$E:$Z,MATCH($A205,SPPR!$A:$A,0),2),""),"")</f>
        <v/>
      </c>
      <c r="F205">
        <f>IFERROR(IF(ISNUMBER(INDEX(SPPR!$E:$Z,MATCH($A205,SPPR!$A:$A,0),3)),$C205*INDEX(SPPR!$E:$Z,MATCH($A205,SPPR!$A:$A,0),3),""),"")</f>
        <v/>
      </c>
      <c r="G205">
        <f>IFERROR(IF(ISNUMBER(INDEX(SPPR!$E:$Z,MATCH($A205,SPPR!$A:$A,0),4)),$C205*INDEX(SPPR!$E:$Z,MATCH($A205,SPPR!$A:$A,0),4),""),"")</f>
        <v/>
      </c>
      <c r="H205">
        <f>IFERROR(IF(ISNUMBER(INDEX(SPPR!$E:$Z,MATCH($A205,SPPR!$A:$A,0),5)),$C205*INDEX(SPPR!$E:$Z,MATCH($A205,SPPR!$A:$A,0),5),""),"")</f>
        <v/>
      </c>
      <c r="I205">
        <f>IFERROR(IF(ISNUMBER(INDEX(SPPR!$E:$Z,MATCH($A205,SPPR!$A:$A,0),6)),$C205*INDEX(SPPR!$E:$Z,MATCH($A205,SPPR!$A:$A,0),6),""),"")</f>
        <v/>
      </c>
      <c r="J205">
        <f>IFERROR(IF(ISNUMBER(INDEX(SPPR!$E:$Z,MATCH($A205,SPPR!$A:$A,0),7)),$C205*INDEX(SPPR!$E:$Z,MATCH($A205,SPPR!$A:$A,0),7),""),"")</f>
        <v/>
      </c>
      <c r="K205">
        <f>IFERROR(IF(ISNUMBER(INDEX(SPPR!$E:$Z,MATCH($A205,SPPR!$A:$A,0),8)),$C205*INDEX(SPPR!$E:$Z,MATCH($A205,SPPR!$A:$A,0),8),""),"")</f>
        <v/>
      </c>
      <c r="L205">
        <f>IFERROR(IF(ISNUMBER(INDEX(SPPR!$E:$Z,MATCH($A205,SPPR!$A:$A,0),9)),$C205*INDEX(SPPR!$E:$Z,MATCH($A205,SPPR!$A:$A,0),9),""),"")</f>
        <v/>
      </c>
      <c r="M205">
        <f>IFERROR(IF(ISNUMBER(INDEX(SPPR!$E:$Z,MATCH($A205,SPPR!$A:$A,0),10)),$C205*INDEX(SPPR!$E:$Z,MATCH($A205,SPPR!$A:$A,0),10),""),"")</f>
        <v/>
      </c>
      <c r="N205">
        <f>IFERROR(IF(ISNUMBER(INDEX(SPPR!$E:$Z,MATCH($A205,SPPR!$A:$A,0),11)),$C205*INDEX(SPPR!$E:$Z,MATCH($A205,SPPR!$A:$A,0),11),""),"")</f>
        <v/>
      </c>
      <c r="O205">
        <f>IFERROR(IF(ISNUMBER(INDEX(SPPR!$E:$Z,MATCH($A205,SPPR!$A:$A,0),12)),$C205*INDEX(SPPR!$E:$Z,MATCH($A205,SPPR!$A:$A,0),12),""),"")</f>
        <v/>
      </c>
      <c r="P205">
        <f>IFERROR(IF(ISNUMBER(INDEX(SPPR!$E:$Z,MATCH($A205,SPPR!$A:$A,0),13)),$C205*INDEX(SPPR!$E:$Z,MATCH($A205,SPPR!$A:$A,0),13),""),"")</f>
        <v/>
      </c>
      <c r="Q205">
        <f>IFERROR(IF(ISNUMBER(INDEX(SPPR!$E:$Z,MATCH($A205,SPPR!$A:$A,0),14)),$C205*INDEX(SPPR!$E:$Z,MATCH($A205,SPPR!$A:$A,0),14),""),"")</f>
        <v/>
      </c>
      <c r="R205">
        <f>IFERROR(IF(ISNUMBER(INDEX(SPPR!$E:$Z,MATCH($A205,SPPR!$A:$A,0),15)),$C205*INDEX(SPPR!$E:$Z,MATCH($A205,SPPR!$A:$A,0),15),""),"")</f>
        <v/>
      </c>
      <c r="S205">
        <f>IFERROR(IF(ISNUMBER(INDEX(SPPR!$E:$Z,MATCH($A205,SPPR!$A:$A,0),16)),$C205*INDEX(SPPR!$E:$Z,MATCH($A205,SPPR!$A:$A,0),16),""),"")</f>
        <v/>
      </c>
      <c r="T205">
        <f>IFERROR(IF(ISNUMBER(INDEX(SPPR!$E:$Z,MATCH($A205,SPPR!$A:$A,0),17)),$C205*INDEX(SPPR!$E:$Z,MATCH($A205,SPPR!$A:$A,0),17),""),"")</f>
        <v/>
      </c>
      <c r="U205">
        <f>IFERROR(IF(ISNUMBER(INDEX(SPPR!$E:$Z,MATCH($A205,SPPR!$A:$A,0),18)),$C205*INDEX(SPPR!$E:$Z,MATCH($A205,SPPR!$A:$A,0),18),""),"")</f>
        <v/>
      </c>
      <c r="V205">
        <f>IFERROR(IF(ISNUMBER(INDEX(SPPR!$E:$Z,MATCH($A205,SPPR!$A:$A,0),19)),$C205*INDEX(SPPR!$E:$Z,MATCH($A205,SPPR!$A:$A,0),19),""),"")</f>
        <v/>
      </c>
      <c r="W205">
        <f>IFERROR(IF(ISNUMBER(INDEX(SPPR!$E:$Z,MATCH($A205,SPPR!$A:$A,0),20)),$C205*INDEX(SPPR!$E:$Z,MATCH($A205,SPPR!$A:$A,0),20),""),"")</f>
        <v/>
      </c>
      <c r="X205">
        <f>IFERROR(IF(ISNUMBER(INDEX(SPPR!$E:$Z,MATCH($A205,SPPR!$A:$A,0),21)),$C205*INDEX(SPPR!$E:$Z,MATCH($A205,SPPR!$A:$A,0),21),""),"")</f>
        <v/>
      </c>
      <c r="Y205">
        <f>IFERROR(IF(ISNUMBER(INDEX(SPPR!$E:$Z,MATCH($A205,SPPR!$A:$A,0),22)),$C205*INDEX(SPPR!$E:$Z,MATCH($A205,SPPR!$A:$A,0),22),""),"")</f>
        <v/>
      </c>
    </row>
    <row r="206">
      <c r="A206" t="inlineStr">
        <is>
          <t>Epinephelus goreensis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IFERROR(IF(ISNUMBER(INDEX(SPPR!$E:$Z,MATCH($A206,SPPR!$A:$A,0),1)),$C206*INDEX(SPPR!$E:$Z,MATCH($A206,SPPR!$A:$A,0),1),""),"")</f>
        <v/>
      </c>
      <c r="E206">
        <f>IFERROR(IF(ISNUMBER(INDEX(SPPR!$E:$Z,MATCH($A206,SPPR!$A:$A,0),2)),$C206*INDEX(SPPR!$E:$Z,MATCH($A206,SPPR!$A:$A,0),2),""),"")</f>
        <v/>
      </c>
      <c r="F206">
        <f>IFERROR(IF(ISNUMBER(INDEX(SPPR!$E:$Z,MATCH($A206,SPPR!$A:$A,0),3)),$C206*INDEX(SPPR!$E:$Z,MATCH($A206,SPPR!$A:$A,0),3),""),"")</f>
        <v/>
      </c>
      <c r="G206">
        <f>IFERROR(IF(ISNUMBER(INDEX(SPPR!$E:$Z,MATCH($A206,SPPR!$A:$A,0),4)),$C206*INDEX(SPPR!$E:$Z,MATCH($A206,SPPR!$A:$A,0),4),""),"")</f>
        <v/>
      </c>
      <c r="H206">
        <f>IFERROR(IF(ISNUMBER(INDEX(SPPR!$E:$Z,MATCH($A206,SPPR!$A:$A,0),5)),$C206*INDEX(SPPR!$E:$Z,MATCH($A206,SPPR!$A:$A,0),5),""),"")</f>
        <v/>
      </c>
      <c r="I206">
        <f>IFERROR(IF(ISNUMBER(INDEX(SPPR!$E:$Z,MATCH($A206,SPPR!$A:$A,0),6)),$C206*INDEX(SPPR!$E:$Z,MATCH($A206,SPPR!$A:$A,0),6),""),"")</f>
        <v/>
      </c>
      <c r="J206">
        <f>IFERROR(IF(ISNUMBER(INDEX(SPPR!$E:$Z,MATCH($A206,SPPR!$A:$A,0),7)),$C206*INDEX(SPPR!$E:$Z,MATCH($A206,SPPR!$A:$A,0),7),""),"")</f>
        <v/>
      </c>
      <c r="K206">
        <f>IFERROR(IF(ISNUMBER(INDEX(SPPR!$E:$Z,MATCH($A206,SPPR!$A:$A,0),8)),$C206*INDEX(SPPR!$E:$Z,MATCH($A206,SPPR!$A:$A,0),8),""),"")</f>
        <v/>
      </c>
      <c r="L206">
        <f>IFERROR(IF(ISNUMBER(INDEX(SPPR!$E:$Z,MATCH($A206,SPPR!$A:$A,0),9)),$C206*INDEX(SPPR!$E:$Z,MATCH($A206,SPPR!$A:$A,0),9),""),"")</f>
        <v/>
      </c>
      <c r="M206">
        <f>IFERROR(IF(ISNUMBER(INDEX(SPPR!$E:$Z,MATCH($A206,SPPR!$A:$A,0),10)),$C206*INDEX(SPPR!$E:$Z,MATCH($A206,SPPR!$A:$A,0),10),""),"")</f>
        <v/>
      </c>
      <c r="N206">
        <f>IFERROR(IF(ISNUMBER(INDEX(SPPR!$E:$Z,MATCH($A206,SPPR!$A:$A,0),11)),$C206*INDEX(SPPR!$E:$Z,MATCH($A206,SPPR!$A:$A,0),11),""),"")</f>
        <v/>
      </c>
      <c r="O206">
        <f>IFERROR(IF(ISNUMBER(INDEX(SPPR!$E:$Z,MATCH($A206,SPPR!$A:$A,0),12)),$C206*INDEX(SPPR!$E:$Z,MATCH($A206,SPPR!$A:$A,0),12),""),"")</f>
        <v/>
      </c>
      <c r="P206">
        <f>IFERROR(IF(ISNUMBER(INDEX(SPPR!$E:$Z,MATCH($A206,SPPR!$A:$A,0),13)),$C206*INDEX(SPPR!$E:$Z,MATCH($A206,SPPR!$A:$A,0),13),""),"")</f>
        <v/>
      </c>
      <c r="Q206">
        <f>IFERROR(IF(ISNUMBER(INDEX(SPPR!$E:$Z,MATCH($A206,SPPR!$A:$A,0),14)),$C206*INDEX(SPPR!$E:$Z,MATCH($A206,SPPR!$A:$A,0),14),""),"")</f>
        <v/>
      </c>
      <c r="R206">
        <f>IFERROR(IF(ISNUMBER(INDEX(SPPR!$E:$Z,MATCH($A206,SPPR!$A:$A,0),15)),$C206*INDEX(SPPR!$E:$Z,MATCH($A206,SPPR!$A:$A,0),15),""),"")</f>
        <v/>
      </c>
      <c r="S206">
        <f>IFERROR(IF(ISNUMBER(INDEX(SPPR!$E:$Z,MATCH($A206,SPPR!$A:$A,0),16)),$C206*INDEX(SPPR!$E:$Z,MATCH($A206,SPPR!$A:$A,0),16),""),"")</f>
        <v/>
      </c>
      <c r="T206">
        <f>IFERROR(IF(ISNUMBER(INDEX(SPPR!$E:$Z,MATCH($A206,SPPR!$A:$A,0),17)),$C206*INDEX(SPPR!$E:$Z,MATCH($A206,SPPR!$A:$A,0),17),""),"")</f>
        <v/>
      </c>
      <c r="U206">
        <f>IFERROR(IF(ISNUMBER(INDEX(SPPR!$E:$Z,MATCH($A206,SPPR!$A:$A,0),18)),$C206*INDEX(SPPR!$E:$Z,MATCH($A206,SPPR!$A:$A,0),18),""),"")</f>
        <v/>
      </c>
      <c r="V206">
        <f>IFERROR(IF(ISNUMBER(INDEX(SPPR!$E:$Z,MATCH($A206,SPPR!$A:$A,0),19)),$C206*INDEX(SPPR!$E:$Z,MATCH($A206,SPPR!$A:$A,0),19),""),"")</f>
        <v/>
      </c>
      <c r="W206">
        <f>IFERROR(IF(ISNUMBER(INDEX(SPPR!$E:$Z,MATCH($A206,SPPR!$A:$A,0),20)),$C206*INDEX(SPPR!$E:$Z,MATCH($A206,SPPR!$A:$A,0),20),""),"")</f>
        <v/>
      </c>
      <c r="X206">
        <f>IFERROR(IF(ISNUMBER(INDEX(SPPR!$E:$Z,MATCH($A206,SPPR!$A:$A,0),21)),$C206*INDEX(SPPR!$E:$Z,MATCH($A206,SPPR!$A:$A,0),21),""),"")</f>
        <v/>
      </c>
      <c r="Y206">
        <f>IFERROR(IF(ISNUMBER(INDEX(SPPR!$E:$Z,MATCH($A206,SPPR!$A:$A,0),22)),$C206*INDEX(SPPR!$E:$Z,MATCH($A206,SPPR!$A:$A,0),22),""),"")</f>
        <v/>
      </c>
    </row>
    <row r="207">
      <c r="A207" t="inlineStr">
        <is>
          <t>Abudefduf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IFERROR(IF(ISNUMBER(INDEX(SPPR!$E:$Z,MATCH($A207,SPPR!$A:$A,0),1)),$C207*INDEX(SPPR!$E:$Z,MATCH($A207,SPPR!$A:$A,0),1),""),"")</f>
        <v/>
      </c>
      <c r="E207">
        <f>IFERROR(IF(ISNUMBER(INDEX(SPPR!$E:$Z,MATCH($A207,SPPR!$A:$A,0),2)),$C207*INDEX(SPPR!$E:$Z,MATCH($A207,SPPR!$A:$A,0),2),""),"")</f>
        <v/>
      </c>
      <c r="F207">
        <f>IFERROR(IF(ISNUMBER(INDEX(SPPR!$E:$Z,MATCH($A207,SPPR!$A:$A,0),3)),$C207*INDEX(SPPR!$E:$Z,MATCH($A207,SPPR!$A:$A,0),3),""),"")</f>
        <v/>
      </c>
      <c r="G207">
        <f>IFERROR(IF(ISNUMBER(INDEX(SPPR!$E:$Z,MATCH($A207,SPPR!$A:$A,0),4)),$C207*INDEX(SPPR!$E:$Z,MATCH($A207,SPPR!$A:$A,0),4),""),"")</f>
        <v/>
      </c>
      <c r="H207">
        <f>IFERROR(IF(ISNUMBER(INDEX(SPPR!$E:$Z,MATCH($A207,SPPR!$A:$A,0),5)),$C207*INDEX(SPPR!$E:$Z,MATCH($A207,SPPR!$A:$A,0),5),""),"")</f>
        <v/>
      </c>
      <c r="I207">
        <f>IFERROR(IF(ISNUMBER(INDEX(SPPR!$E:$Z,MATCH($A207,SPPR!$A:$A,0),6)),$C207*INDEX(SPPR!$E:$Z,MATCH($A207,SPPR!$A:$A,0),6),""),"")</f>
        <v/>
      </c>
      <c r="J207">
        <f>IFERROR(IF(ISNUMBER(INDEX(SPPR!$E:$Z,MATCH($A207,SPPR!$A:$A,0),7)),$C207*INDEX(SPPR!$E:$Z,MATCH($A207,SPPR!$A:$A,0),7),""),"")</f>
        <v/>
      </c>
      <c r="K207">
        <f>IFERROR(IF(ISNUMBER(INDEX(SPPR!$E:$Z,MATCH($A207,SPPR!$A:$A,0),8)),$C207*INDEX(SPPR!$E:$Z,MATCH($A207,SPPR!$A:$A,0),8),""),"")</f>
        <v/>
      </c>
      <c r="L207">
        <f>IFERROR(IF(ISNUMBER(INDEX(SPPR!$E:$Z,MATCH($A207,SPPR!$A:$A,0),9)),$C207*INDEX(SPPR!$E:$Z,MATCH($A207,SPPR!$A:$A,0),9),""),"")</f>
        <v/>
      </c>
      <c r="M207">
        <f>IFERROR(IF(ISNUMBER(INDEX(SPPR!$E:$Z,MATCH($A207,SPPR!$A:$A,0),10)),$C207*INDEX(SPPR!$E:$Z,MATCH($A207,SPPR!$A:$A,0),10),""),"")</f>
        <v/>
      </c>
      <c r="N207">
        <f>IFERROR(IF(ISNUMBER(INDEX(SPPR!$E:$Z,MATCH($A207,SPPR!$A:$A,0),11)),$C207*INDEX(SPPR!$E:$Z,MATCH($A207,SPPR!$A:$A,0),11),""),"")</f>
        <v/>
      </c>
      <c r="O207">
        <f>IFERROR(IF(ISNUMBER(INDEX(SPPR!$E:$Z,MATCH($A207,SPPR!$A:$A,0),12)),$C207*INDEX(SPPR!$E:$Z,MATCH($A207,SPPR!$A:$A,0),12),""),"")</f>
        <v/>
      </c>
      <c r="P207">
        <f>IFERROR(IF(ISNUMBER(INDEX(SPPR!$E:$Z,MATCH($A207,SPPR!$A:$A,0),13)),$C207*INDEX(SPPR!$E:$Z,MATCH($A207,SPPR!$A:$A,0),13),""),"")</f>
        <v/>
      </c>
      <c r="Q207">
        <f>IFERROR(IF(ISNUMBER(INDEX(SPPR!$E:$Z,MATCH($A207,SPPR!$A:$A,0),14)),$C207*INDEX(SPPR!$E:$Z,MATCH($A207,SPPR!$A:$A,0),14),""),"")</f>
        <v/>
      </c>
      <c r="R207">
        <f>IFERROR(IF(ISNUMBER(INDEX(SPPR!$E:$Z,MATCH($A207,SPPR!$A:$A,0),15)),$C207*INDEX(SPPR!$E:$Z,MATCH($A207,SPPR!$A:$A,0),15),""),"")</f>
        <v/>
      </c>
      <c r="S207">
        <f>IFERROR(IF(ISNUMBER(INDEX(SPPR!$E:$Z,MATCH($A207,SPPR!$A:$A,0),16)),$C207*INDEX(SPPR!$E:$Z,MATCH($A207,SPPR!$A:$A,0),16),""),"")</f>
        <v/>
      </c>
      <c r="T207">
        <f>IFERROR(IF(ISNUMBER(INDEX(SPPR!$E:$Z,MATCH($A207,SPPR!$A:$A,0),17)),$C207*INDEX(SPPR!$E:$Z,MATCH($A207,SPPR!$A:$A,0),17),""),"")</f>
        <v/>
      </c>
      <c r="U207">
        <f>IFERROR(IF(ISNUMBER(INDEX(SPPR!$E:$Z,MATCH($A207,SPPR!$A:$A,0),18)),$C207*INDEX(SPPR!$E:$Z,MATCH($A207,SPPR!$A:$A,0),18),""),"")</f>
        <v/>
      </c>
      <c r="V207">
        <f>IFERROR(IF(ISNUMBER(INDEX(SPPR!$E:$Z,MATCH($A207,SPPR!$A:$A,0),19)),$C207*INDEX(SPPR!$E:$Z,MATCH($A207,SPPR!$A:$A,0),19),""),"")</f>
        <v/>
      </c>
      <c r="W207">
        <f>IFERROR(IF(ISNUMBER(INDEX(SPPR!$E:$Z,MATCH($A207,SPPR!$A:$A,0),20)),$C207*INDEX(SPPR!$E:$Z,MATCH($A207,SPPR!$A:$A,0),20),""),"")</f>
        <v/>
      </c>
      <c r="X207">
        <f>IFERROR(IF(ISNUMBER(INDEX(SPPR!$E:$Z,MATCH($A207,SPPR!$A:$A,0),21)),$C207*INDEX(SPPR!$E:$Z,MATCH($A207,SPPR!$A:$A,0),21),""),"")</f>
        <v/>
      </c>
      <c r="Y207">
        <f>IFERROR(IF(ISNUMBER(INDEX(SPPR!$E:$Z,MATCH($A207,SPPR!$A:$A,0),22)),$C207*INDEX(SPPR!$E:$Z,MATCH($A207,SPPR!$A:$A,0),22),""),"")</f>
        <v/>
      </c>
    </row>
    <row r="208">
      <c r="A208" t="inlineStr">
        <is>
          <t>Priacanthus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IFERROR(IF(ISNUMBER(INDEX(SPPR!$E:$Z,MATCH($A208,SPPR!$A:$A,0),1)),$C208*INDEX(SPPR!$E:$Z,MATCH($A208,SPPR!$A:$A,0),1),""),"")</f>
        <v/>
      </c>
      <c r="E208">
        <f>IFERROR(IF(ISNUMBER(INDEX(SPPR!$E:$Z,MATCH($A208,SPPR!$A:$A,0),2)),$C208*INDEX(SPPR!$E:$Z,MATCH($A208,SPPR!$A:$A,0),2),""),"")</f>
        <v/>
      </c>
      <c r="F208">
        <f>IFERROR(IF(ISNUMBER(INDEX(SPPR!$E:$Z,MATCH($A208,SPPR!$A:$A,0),3)),$C208*INDEX(SPPR!$E:$Z,MATCH($A208,SPPR!$A:$A,0),3),""),"")</f>
        <v/>
      </c>
      <c r="G208">
        <f>IFERROR(IF(ISNUMBER(INDEX(SPPR!$E:$Z,MATCH($A208,SPPR!$A:$A,0),4)),$C208*INDEX(SPPR!$E:$Z,MATCH($A208,SPPR!$A:$A,0),4),""),"")</f>
        <v/>
      </c>
      <c r="H208">
        <f>IFERROR(IF(ISNUMBER(INDEX(SPPR!$E:$Z,MATCH($A208,SPPR!$A:$A,0),5)),$C208*INDEX(SPPR!$E:$Z,MATCH($A208,SPPR!$A:$A,0),5),""),"")</f>
        <v/>
      </c>
      <c r="I208">
        <f>IFERROR(IF(ISNUMBER(INDEX(SPPR!$E:$Z,MATCH($A208,SPPR!$A:$A,0),6)),$C208*INDEX(SPPR!$E:$Z,MATCH($A208,SPPR!$A:$A,0),6),""),"")</f>
        <v/>
      </c>
      <c r="J208">
        <f>IFERROR(IF(ISNUMBER(INDEX(SPPR!$E:$Z,MATCH($A208,SPPR!$A:$A,0),7)),$C208*INDEX(SPPR!$E:$Z,MATCH($A208,SPPR!$A:$A,0),7),""),"")</f>
        <v/>
      </c>
      <c r="K208">
        <f>IFERROR(IF(ISNUMBER(INDEX(SPPR!$E:$Z,MATCH($A208,SPPR!$A:$A,0),8)),$C208*INDEX(SPPR!$E:$Z,MATCH($A208,SPPR!$A:$A,0),8),""),"")</f>
        <v/>
      </c>
      <c r="L208">
        <f>IFERROR(IF(ISNUMBER(INDEX(SPPR!$E:$Z,MATCH($A208,SPPR!$A:$A,0),9)),$C208*INDEX(SPPR!$E:$Z,MATCH($A208,SPPR!$A:$A,0),9),""),"")</f>
        <v/>
      </c>
      <c r="M208">
        <f>IFERROR(IF(ISNUMBER(INDEX(SPPR!$E:$Z,MATCH($A208,SPPR!$A:$A,0),10)),$C208*INDEX(SPPR!$E:$Z,MATCH($A208,SPPR!$A:$A,0),10),""),"")</f>
        <v/>
      </c>
      <c r="N208">
        <f>IFERROR(IF(ISNUMBER(INDEX(SPPR!$E:$Z,MATCH($A208,SPPR!$A:$A,0),11)),$C208*INDEX(SPPR!$E:$Z,MATCH($A208,SPPR!$A:$A,0),11),""),"")</f>
        <v/>
      </c>
      <c r="O208">
        <f>IFERROR(IF(ISNUMBER(INDEX(SPPR!$E:$Z,MATCH($A208,SPPR!$A:$A,0),12)),$C208*INDEX(SPPR!$E:$Z,MATCH($A208,SPPR!$A:$A,0),12),""),"")</f>
        <v/>
      </c>
      <c r="P208">
        <f>IFERROR(IF(ISNUMBER(INDEX(SPPR!$E:$Z,MATCH($A208,SPPR!$A:$A,0),13)),$C208*INDEX(SPPR!$E:$Z,MATCH($A208,SPPR!$A:$A,0),13),""),"")</f>
        <v/>
      </c>
      <c r="Q208">
        <f>IFERROR(IF(ISNUMBER(INDEX(SPPR!$E:$Z,MATCH($A208,SPPR!$A:$A,0),14)),$C208*INDEX(SPPR!$E:$Z,MATCH($A208,SPPR!$A:$A,0),14),""),"")</f>
        <v/>
      </c>
      <c r="R208">
        <f>IFERROR(IF(ISNUMBER(INDEX(SPPR!$E:$Z,MATCH($A208,SPPR!$A:$A,0),15)),$C208*INDEX(SPPR!$E:$Z,MATCH($A208,SPPR!$A:$A,0),15),""),"")</f>
        <v/>
      </c>
      <c r="S208">
        <f>IFERROR(IF(ISNUMBER(INDEX(SPPR!$E:$Z,MATCH($A208,SPPR!$A:$A,0),16)),$C208*INDEX(SPPR!$E:$Z,MATCH($A208,SPPR!$A:$A,0),16),""),"")</f>
        <v/>
      </c>
      <c r="T208">
        <f>IFERROR(IF(ISNUMBER(INDEX(SPPR!$E:$Z,MATCH($A208,SPPR!$A:$A,0),17)),$C208*INDEX(SPPR!$E:$Z,MATCH($A208,SPPR!$A:$A,0),17),""),"")</f>
        <v/>
      </c>
      <c r="U208">
        <f>IFERROR(IF(ISNUMBER(INDEX(SPPR!$E:$Z,MATCH($A208,SPPR!$A:$A,0),18)),$C208*INDEX(SPPR!$E:$Z,MATCH($A208,SPPR!$A:$A,0),18),""),"")</f>
        <v/>
      </c>
      <c r="V208">
        <f>IFERROR(IF(ISNUMBER(INDEX(SPPR!$E:$Z,MATCH($A208,SPPR!$A:$A,0),19)),$C208*INDEX(SPPR!$E:$Z,MATCH($A208,SPPR!$A:$A,0),19),""),"")</f>
        <v/>
      </c>
      <c r="W208">
        <f>IFERROR(IF(ISNUMBER(INDEX(SPPR!$E:$Z,MATCH($A208,SPPR!$A:$A,0),20)),$C208*INDEX(SPPR!$E:$Z,MATCH($A208,SPPR!$A:$A,0),20),""),"")</f>
        <v/>
      </c>
      <c r="X208">
        <f>IFERROR(IF(ISNUMBER(INDEX(SPPR!$E:$Z,MATCH($A208,SPPR!$A:$A,0),21)),$C208*INDEX(SPPR!$E:$Z,MATCH($A208,SPPR!$A:$A,0),21),""),"")</f>
        <v/>
      </c>
      <c r="Y208">
        <f>IFERROR(IF(ISNUMBER(INDEX(SPPR!$E:$Z,MATCH($A208,SPPR!$A:$A,0),22)),$C208*INDEX(SPPR!$E:$Z,MATCH($A208,SPPR!$A:$A,0),22),""),"")</f>
        <v/>
      </c>
    </row>
    <row r="209">
      <c r="A209" t="inlineStr">
        <is>
          <t>Octopodidae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IFERROR(IF(ISNUMBER(INDEX(SPPR!$E:$Z,MATCH($A209,SPPR!$A:$A,0),1)),$C209*INDEX(SPPR!$E:$Z,MATCH($A209,SPPR!$A:$A,0),1),""),"")</f>
        <v/>
      </c>
      <c r="E209">
        <f>IFERROR(IF(ISNUMBER(INDEX(SPPR!$E:$Z,MATCH($A209,SPPR!$A:$A,0),2)),$C209*INDEX(SPPR!$E:$Z,MATCH($A209,SPPR!$A:$A,0),2),""),"")</f>
        <v/>
      </c>
      <c r="F209">
        <f>IFERROR(IF(ISNUMBER(INDEX(SPPR!$E:$Z,MATCH($A209,SPPR!$A:$A,0),3)),$C209*INDEX(SPPR!$E:$Z,MATCH($A209,SPPR!$A:$A,0),3),""),"")</f>
        <v/>
      </c>
      <c r="G209">
        <f>IFERROR(IF(ISNUMBER(INDEX(SPPR!$E:$Z,MATCH($A209,SPPR!$A:$A,0),4)),$C209*INDEX(SPPR!$E:$Z,MATCH($A209,SPPR!$A:$A,0),4),""),"")</f>
        <v/>
      </c>
      <c r="H209">
        <f>IFERROR(IF(ISNUMBER(INDEX(SPPR!$E:$Z,MATCH($A209,SPPR!$A:$A,0),5)),$C209*INDEX(SPPR!$E:$Z,MATCH($A209,SPPR!$A:$A,0),5),""),"")</f>
        <v/>
      </c>
      <c r="I209">
        <f>IFERROR(IF(ISNUMBER(INDEX(SPPR!$E:$Z,MATCH($A209,SPPR!$A:$A,0),6)),$C209*INDEX(SPPR!$E:$Z,MATCH($A209,SPPR!$A:$A,0),6),""),"")</f>
        <v/>
      </c>
      <c r="J209">
        <f>IFERROR(IF(ISNUMBER(INDEX(SPPR!$E:$Z,MATCH($A209,SPPR!$A:$A,0),7)),$C209*INDEX(SPPR!$E:$Z,MATCH($A209,SPPR!$A:$A,0),7),""),"")</f>
        <v/>
      </c>
      <c r="K209">
        <f>IFERROR(IF(ISNUMBER(INDEX(SPPR!$E:$Z,MATCH($A209,SPPR!$A:$A,0),8)),$C209*INDEX(SPPR!$E:$Z,MATCH($A209,SPPR!$A:$A,0),8),""),"")</f>
        <v/>
      </c>
      <c r="L209">
        <f>IFERROR(IF(ISNUMBER(INDEX(SPPR!$E:$Z,MATCH($A209,SPPR!$A:$A,0),9)),$C209*INDEX(SPPR!$E:$Z,MATCH($A209,SPPR!$A:$A,0),9),""),"")</f>
        <v/>
      </c>
      <c r="M209">
        <f>IFERROR(IF(ISNUMBER(INDEX(SPPR!$E:$Z,MATCH($A209,SPPR!$A:$A,0),10)),$C209*INDEX(SPPR!$E:$Z,MATCH($A209,SPPR!$A:$A,0),10),""),"")</f>
        <v/>
      </c>
      <c r="N209">
        <f>IFERROR(IF(ISNUMBER(INDEX(SPPR!$E:$Z,MATCH($A209,SPPR!$A:$A,0),11)),$C209*INDEX(SPPR!$E:$Z,MATCH($A209,SPPR!$A:$A,0),11),""),"")</f>
        <v/>
      </c>
      <c r="O209">
        <f>IFERROR(IF(ISNUMBER(INDEX(SPPR!$E:$Z,MATCH($A209,SPPR!$A:$A,0),12)),$C209*INDEX(SPPR!$E:$Z,MATCH($A209,SPPR!$A:$A,0),12),""),"")</f>
        <v/>
      </c>
      <c r="P209">
        <f>IFERROR(IF(ISNUMBER(INDEX(SPPR!$E:$Z,MATCH($A209,SPPR!$A:$A,0),13)),$C209*INDEX(SPPR!$E:$Z,MATCH($A209,SPPR!$A:$A,0),13),""),"")</f>
        <v/>
      </c>
      <c r="Q209">
        <f>IFERROR(IF(ISNUMBER(INDEX(SPPR!$E:$Z,MATCH($A209,SPPR!$A:$A,0),14)),$C209*INDEX(SPPR!$E:$Z,MATCH($A209,SPPR!$A:$A,0),14),""),"")</f>
        <v/>
      </c>
      <c r="R209">
        <f>IFERROR(IF(ISNUMBER(INDEX(SPPR!$E:$Z,MATCH($A209,SPPR!$A:$A,0),15)),$C209*INDEX(SPPR!$E:$Z,MATCH($A209,SPPR!$A:$A,0),15),""),"")</f>
        <v/>
      </c>
      <c r="S209">
        <f>IFERROR(IF(ISNUMBER(INDEX(SPPR!$E:$Z,MATCH($A209,SPPR!$A:$A,0),16)),$C209*INDEX(SPPR!$E:$Z,MATCH($A209,SPPR!$A:$A,0),16),""),"")</f>
        <v/>
      </c>
      <c r="T209">
        <f>IFERROR(IF(ISNUMBER(INDEX(SPPR!$E:$Z,MATCH($A209,SPPR!$A:$A,0),17)),$C209*INDEX(SPPR!$E:$Z,MATCH($A209,SPPR!$A:$A,0),17),""),"")</f>
        <v/>
      </c>
      <c r="U209">
        <f>IFERROR(IF(ISNUMBER(INDEX(SPPR!$E:$Z,MATCH($A209,SPPR!$A:$A,0),18)),$C209*INDEX(SPPR!$E:$Z,MATCH($A209,SPPR!$A:$A,0),18),""),"")</f>
        <v/>
      </c>
      <c r="V209">
        <f>IFERROR(IF(ISNUMBER(INDEX(SPPR!$E:$Z,MATCH($A209,SPPR!$A:$A,0),19)),$C209*INDEX(SPPR!$E:$Z,MATCH($A209,SPPR!$A:$A,0),19),""),"")</f>
        <v/>
      </c>
      <c r="W209">
        <f>IFERROR(IF(ISNUMBER(INDEX(SPPR!$E:$Z,MATCH($A209,SPPR!$A:$A,0),20)),$C209*INDEX(SPPR!$E:$Z,MATCH($A209,SPPR!$A:$A,0),20),""),"")</f>
        <v/>
      </c>
      <c r="X209">
        <f>IFERROR(IF(ISNUMBER(INDEX(SPPR!$E:$Z,MATCH($A209,SPPR!$A:$A,0),21)),$C209*INDEX(SPPR!$E:$Z,MATCH($A209,SPPR!$A:$A,0),21),""),"")</f>
        <v/>
      </c>
      <c r="Y209">
        <f>IFERROR(IF(ISNUMBER(INDEX(SPPR!$E:$Z,MATCH($A209,SPPR!$A:$A,0),22)),$C209*INDEX(SPPR!$E:$Z,MATCH($A209,SPPR!$A:$A,0),22),""),"")</f>
        <v/>
      </c>
    </row>
    <row r="210">
      <c r="A210" t="inlineStr">
        <is>
          <t>Boops boops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IFERROR(IF(ISNUMBER(INDEX(SPPR!$E:$Z,MATCH($A210,SPPR!$A:$A,0),1)),$C210*INDEX(SPPR!$E:$Z,MATCH($A210,SPPR!$A:$A,0),1),""),"")</f>
        <v/>
      </c>
      <c r="E210">
        <f>IFERROR(IF(ISNUMBER(INDEX(SPPR!$E:$Z,MATCH($A210,SPPR!$A:$A,0),2)),$C210*INDEX(SPPR!$E:$Z,MATCH($A210,SPPR!$A:$A,0),2),""),"")</f>
        <v/>
      </c>
      <c r="F210">
        <f>IFERROR(IF(ISNUMBER(INDEX(SPPR!$E:$Z,MATCH($A210,SPPR!$A:$A,0),3)),$C210*INDEX(SPPR!$E:$Z,MATCH($A210,SPPR!$A:$A,0),3),""),"")</f>
        <v/>
      </c>
      <c r="G210">
        <f>IFERROR(IF(ISNUMBER(INDEX(SPPR!$E:$Z,MATCH($A210,SPPR!$A:$A,0),4)),$C210*INDEX(SPPR!$E:$Z,MATCH($A210,SPPR!$A:$A,0),4),""),"")</f>
        <v/>
      </c>
      <c r="H210">
        <f>IFERROR(IF(ISNUMBER(INDEX(SPPR!$E:$Z,MATCH($A210,SPPR!$A:$A,0),5)),$C210*INDEX(SPPR!$E:$Z,MATCH($A210,SPPR!$A:$A,0),5),""),"")</f>
        <v/>
      </c>
      <c r="I210">
        <f>IFERROR(IF(ISNUMBER(INDEX(SPPR!$E:$Z,MATCH($A210,SPPR!$A:$A,0),6)),$C210*INDEX(SPPR!$E:$Z,MATCH($A210,SPPR!$A:$A,0),6),""),"")</f>
        <v/>
      </c>
      <c r="J210">
        <f>IFERROR(IF(ISNUMBER(INDEX(SPPR!$E:$Z,MATCH($A210,SPPR!$A:$A,0),7)),$C210*INDEX(SPPR!$E:$Z,MATCH($A210,SPPR!$A:$A,0),7),""),"")</f>
        <v/>
      </c>
      <c r="K210">
        <f>IFERROR(IF(ISNUMBER(INDEX(SPPR!$E:$Z,MATCH($A210,SPPR!$A:$A,0),8)),$C210*INDEX(SPPR!$E:$Z,MATCH($A210,SPPR!$A:$A,0),8),""),"")</f>
        <v/>
      </c>
      <c r="L210">
        <f>IFERROR(IF(ISNUMBER(INDEX(SPPR!$E:$Z,MATCH($A210,SPPR!$A:$A,0),9)),$C210*INDEX(SPPR!$E:$Z,MATCH($A210,SPPR!$A:$A,0),9),""),"")</f>
        <v/>
      </c>
      <c r="M210">
        <f>IFERROR(IF(ISNUMBER(INDEX(SPPR!$E:$Z,MATCH($A210,SPPR!$A:$A,0),10)),$C210*INDEX(SPPR!$E:$Z,MATCH($A210,SPPR!$A:$A,0),10),""),"")</f>
        <v/>
      </c>
      <c r="N210">
        <f>IFERROR(IF(ISNUMBER(INDEX(SPPR!$E:$Z,MATCH($A210,SPPR!$A:$A,0),11)),$C210*INDEX(SPPR!$E:$Z,MATCH($A210,SPPR!$A:$A,0),11),""),"")</f>
        <v/>
      </c>
      <c r="O210">
        <f>IFERROR(IF(ISNUMBER(INDEX(SPPR!$E:$Z,MATCH($A210,SPPR!$A:$A,0),12)),$C210*INDEX(SPPR!$E:$Z,MATCH($A210,SPPR!$A:$A,0),12),""),"")</f>
        <v/>
      </c>
      <c r="P210">
        <f>IFERROR(IF(ISNUMBER(INDEX(SPPR!$E:$Z,MATCH($A210,SPPR!$A:$A,0),13)),$C210*INDEX(SPPR!$E:$Z,MATCH($A210,SPPR!$A:$A,0),13),""),"")</f>
        <v/>
      </c>
      <c r="Q210">
        <f>IFERROR(IF(ISNUMBER(INDEX(SPPR!$E:$Z,MATCH($A210,SPPR!$A:$A,0),14)),$C210*INDEX(SPPR!$E:$Z,MATCH($A210,SPPR!$A:$A,0),14),""),"")</f>
        <v/>
      </c>
      <c r="R210">
        <f>IFERROR(IF(ISNUMBER(INDEX(SPPR!$E:$Z,MATCH($A210,SPPR!$A:$A,0),15)),$C210*INDEX(SPPR!$E:$Z,MATCH($A210,SPPR!$A:$A,0),15),""),"")</f>
        <v/>
      </c>
      <c r="S210">
        <f>IFERROR(IF(ISNUMBER(INDEX(SPPR!$E:$Z,MATCH($A210,SPPR!$A:$A,0),16)),$C210*INDEX(SPPR!$E:$Z,MATCH($A210,SPPR!$A:$A,0),16),""),"")</f>
        <v/>
      </c>
      <c r="T210">
        <f>IFERROR(IF(ISNUMBER(INDEX(SPPR!$E:$Z,MATCH($A210,SPPR!$A:$A,0),17)),$C210*INDEX(SPPR!$E:$Z,MATCH($A210,SPPR!$A:$A,0),17),""),"")</f>
        <v/>
      </c>
      <c r="U210">
        <f>IFERROR(IF(ISNUMBER(INDEX(SPPR!$E:$Z,MATCH($A210,SPPR!$A:$A,0),18)),$C210*INDEX(SPPR!$E:$Z,MATCH($A210,SPPR!$A:$A,0),18),""),"")</f>
        <v/>
      </c>
      <c r="V210">
        <f>IFERROR(IF(ISNUMBER(INDEX(SPPR!$E:$Z,MATCH($A210,SPPR!$A:$A,0),19)),$C210*INDEX(SPPR!$E:$Z,MATCH($A210,SPPR!$A:$A,0),19),""),"")</f>
        <v/>
      </c>
      <c r="W210">
        <f>IFERROR(IF(ISNUMBER(INDEX(SPPR!$E:$Z,MATCH($A210,SPPR!$A:$A,0),20)),$C210*INDEX(SPPR!$E:$Z,MATCH($A210,SPPR!$A:$A,0),20),""),"")</f>
        <v/>
      </c>
      <c r="X210">
        <f>IFERROR(IF(ISNUMBER(INDEX(SPPR!$E:$Z,MATCH($A210,SPPR!$A:$A,0),21)),$C210*INDEX(SPPR!$E:$Z,MATCH($A210,SPPR!$A:$A,0),21),""),"")</f>
        <v/>
      </c>
      <c r="Y210">
        <f>IFERROR(IF(ISNUMBER(INDEX(SPPR!$E:$Z,MATCH($A210,SPPR!$A:$A,0),22)),$C210*INDEX(SPPR!$E:$Z,MATCH($A210,SPPR!$A:$A,0),22),""),"")</f>
        <v/>
      </c>
    </row>
    <row r="211">
      <c r="A211" t="inlineStr">
        <is>
          <t>Ginglymostoma cirratum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IFERROR(IF(ISNUMBER(INDEX(SPPR!$E:$Z,MATCH($A211,SPPR!$A:$A,0),1)),$C211*INDEX(SPPR!$E:$Z,MATCH($A211,SPPR!$A:$A,0),1),""),"")</f>
        <v/>
      </c>
      <c r="E211">
        <f>IFERROR(IF(ISNUMBER(INDEX(SPPR!$E:$Z,MATCH($A211,SPPR!$A:$A,0),2)),$C211*INDEX(SPPR!$E:$Z,MATCH($A211,SPPR!$A:$A,0),2),""),"")</f>
        <v/>
      </c>
      <c r="F211">
        <f>IFERROR(IF(ISNUMBER(INDEX(SPPR!$E:$Z,MATCH($A211,SPPR!$A:$A,0),3)),$C211*INDEX(SPPR!$E:$Z,MATCH($A211,SPPR!$A:$A,0),3),""),"")</f>
        <v/>
      </c>
      <c r="G211">
        <f>IFERROR(IF(ISNUMBER(INDEX(SPPR!$E:$Z,MATCH($A211,SPPR!$A:$A,0),4)),$C211*INDEX(SPPR!$E:$Z,MATCH($A211,SPPR!$A:$A,0),4),""),"")</f>
        <v/>
      </c>
      <c r="H211">
        <f>IFERROR(IF(ISNUMBER(INDEX(SPPR!$E:$Z,MATCH($A211,SPPR!$A:$A,0),5)),$C211*INDEX(SPPR!$E:$Z,MATCH($A211,SPPR!$A:$A,0),5),""),"")</f>
        <v/>
      </c>
      <c r="I211">
        <f>IFERROR(IF(ISNUMBER(INDEX(SPPR!$E:$Z,MATCH($A211,SPPR!$A:$A,0),6)),$C211*INDEX(SPPR!$E:$Z,MATCH($A211,SPPR!$A:$A,0),6),""),"")</f>
        <v/>
      </c>
      <c r="J211">
        <f>IFERROR(IF(ISNUMBER(INDEX(SPPR!$E:$Z,MATCH($A211,SPPR!$A:$A,0),7)),$C211*INDEX(SPPR!$E:$Z,MATCH($A211,SPPR!$A:$A,0),7),""),"")</f>
        <v/>
      </c>
      <c r="K211">
        <f>IFERROR(IF(ISNUMBER(INDEX(SPPR!$E:$Z,MATCH($A211,SPPR!$A:$A,0),8)),$C211*INDEX(SPPR!$E:$Z,MATCH($A211,SPPR!$A:$A,0),8),""),"")</f>
        <v/>
      </c>
      <c r="L211">
        <f>IFERROR(IF(ISNUMBER(INDEX(SPPR!$E:$Z,MATCH($A211,SPPR!$A:$A,0),9)),$C211*INDEX(SPPR!$E:$Z,MATCH($A211,SPPR!$A:$A,0),9),""),"")</f>
        <v/>
      </c>
      <c r="M211">
        <f>IFERROR(IF(ISNUMBER(INDEX(SPPR!$E:$Z,MATCH($A211,SPPR!$A:$A,0),10)),$C211*INDEX(SPPR!$E:$Z,MATCH($A211,SPPR!$A:$A,0),10),""),"")</f>
        <v/>
      </c>
      <c r="N211">
        <f>IFERROR(IF(ISNUMBER(INDEX(SPPR!$E:$Z,MATCH($A211,SPPR!$A:$A,0),11)),$C211*INDEX(SPPR!$E:$Z,MATCH($A211,SPPR!$A:$A,0),11),""),"")</f>
        <v/>
      </c>
      <c r="O211">
        <f>IFERROR(IF(ISNUMBER(INDEX(SPPR!$E:$Z,MATCH($A211,SPPR!$A:$A,0),12)),$C211*INDEX(SPPR!$E:$Z,MATCH($A211,SPPR!$A:$A,0),12),""),"")</f>
        <v/>
      </c>
      <c r="P211">
        <f>IFERROR(IF(ISNUMBER(INDEX(SPPR!$E:$Z,MATCH($A211,SPPR!$A:$A,0),13)),$C211*INDEX(SPPR!$E:$Z,MATCH($A211,SPPR!$A:$A,0),13),""),"")</f>
        <v/>
      </c>
      <c r="Q211">
        <f>IFERROR(IF(ISNUMBER(INDEX(SPPR!$E:$Z,MATCH($A211,SPPR!$A:$A,0),14)),$C211*INDEX(SPPR!$E:$Z,MATCH($A211,SPPR!$A:$A,0),14),""),"")</f>
        <v/>
      </c>
      <c r="R211">
        <f>IFERROR(IF(ISNUMBER(INDEX(SPPR!$E:$Z,MATCH($A211,SPPR!$A:$A,0),15)),$C211*INDEX(SPPR!$E:$Z,MATCH($A211,SPPR!$A:$A,0),15),""),"")</f>
        <v/>
      </c>
      <c r="S211">
        <f>IFERROR(IF(ISNUMBER(INDEX(SPPR!$E:$Z,MATCH($A211,SPPR!$A:$A,0),16)),$C211*INDEX(SPPR!$E:$Z,MATCH($A211,SPPR!$A:$A,0),16),""),"")</f>
        <v/>
      </c>
      <c r="T211">
        <f>IFERROR(IF(ISNUMBER(INDEX(SPPR!$E:$Z,MATCH($A211,SPPR!$A:$A,0),17)),$C211*INDEX(SPPR!$E:$Z,MATCH($A211,SPPR!$A:$A,0),17),""),"")</f>
        <v/>
      </c>
      <c r="U211">
        <f>IFERROR(IF(ISNUMBER(INDEX(SPPR!$E:$Z,MATCH($A211,SPPR!$A:$A,0),18)),$C211*INDEX(SPPR!$E:$Z,MATCH($A211,SPPR!$A:$A,0),18),""),"")</f>
        <v/>
      </c>
      <c r="V211">
        <f>IFERROR(IF(ISNUMBER(INDEX(SPPR!$E:$Z,MATCH($A211,SPPR!$A:$A,0),19)),$C211*INDEX(SPPR!$E:$Z,MATCH($A211,SPPR!$A:$A,0),19),""),"")</f>
        <v/>
      </c>
      <c r="W211">
        <f>IFERROR(IF(ISNUMBER(INDEX(SPPR!$E:$Z,MATCH($A211,SPPR!$A:$A,0),20)),$C211*INDEX(SPPR!$E:$Z,MATCH($A211,SPPR!$A:$A,0),20),""),"")</f>
        <v/>
      </c>
      <c r="X211">
        <f>IFERROR(IF(ISNUMBER(INDEX(SPPR!$E:$Z,MATCH($A211,SPPR!$A:$A,0),21)),$C211*INDEX(SPPR!$E:$Z,MATCH($A211,SPPR!$A:$A,0),21),""),"")</f>
        <v/>
      </c>
      <c r="Y211">
        <f>IFERROR(IF(ISNUMBER(INDEX(SPPR!$E:$Z,MATCH($A211,SPPR!$A:$A,0),22)),$C211*INDEX(SPPR!$E:$Z,MATCH($A211,SPPR!$A:$A,0),22),""),"")</f>
        <v/>
      </c>
    </row>
    <row r="212">
      <c r="A212" t="inlineStr">
        <is>
          <t>Galeocerdo cuvier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IFERROR(IF(ISNUMBER(INDEX(SPPR!$E:$Z,MATCH($A212,SPPR!$A:$A,0),1)),$C212*INDEX(SPPR!$E:$Z,MATCH($A212,SPPR!$A:$A,0),1),""),"")</f>
        <v/>
      </c>
      <c r="E212">
        <f>IFERROR(IF(ISNUMBER(INDEX(SPPR!$E:$Z,MATCH($A212,SPPR!$A:$A,0),2)),$C212*INDEX(SPPR!$E:$Z,MATCH($A212,SPPR!$A:$A,0),2),""),"")</f>
        <v/>
      </c>
      <c r="F212">
        <f>IFERROR(IF(ISNUMBER(INDEX(SPPR!$E:$Z,MATCH($A212,SPPR!$A:$A,0),3)),$C212*INDEX(SPPR!$E:$Z,MATCH($A212,SPPR!$A:$A,0),3),""),"")</f>
        <v/>
      </c>
      <c r="G212">
        <f>IFERROR(IF(ISNUMBER(INDEX(SPPR!$E:$Z,MATCH($A212,SPPR!$A:$A,0),4)),$C212*INDEX(SPPR!$E:$Z,MATCH($A212,SPPR!$A:$A,0),4),""),"")</f>
        <v/>
      </c>
      <c r="H212">
        <f>IFERROR(IF(ISNUMBER(INDEX(SPPR!$E:$Z,MATCH($A212,SPPR!$A:$A,0),5)),$C212*INDEX(SPPR!$E:$Z,MATCH($A212,SPPR!$A:$A,0),5),""),"")</f>
        <v/>
      </c>
      <c r="I212">
        <f>IFERROR(IF(ISNUMBER(INDEX(SPPR!$E:$Z,MATCH($A212,SPPR!$A:$A,0),6)),$C212*INDEX(SPPR!$E:$Z,MATCH($A212,SPPR!$A:$A,0),6),""),"")</f>
        <v/>
      </c>
      <c r="J212">
        <f>IFERROR(IF(ISNUMBER(INDEX(SPPR!$E:$Z,MATCH($A212,SPPR!$A:$A,0),7)),$C212*INDEX(SPPR!$E:$Z,MATCH($A212,SPPR!$A:$A,0),7),""),"")</f>
        <v/>
      </c>
      <c r="K212">
        <f>IFERROR(IF(ISNUMBER(INDEX(SPPR!$E:$Z,MATCH($A212,SPPR!$A:$A,0),8)),$C212*INDEX(SPPR!$E:$Z,MATCH($A212,SPPR!$A:$A,0),8),""),"")</f>
        <v/>
      </c>
      <c r="L212">
        <f>IFERROR(IF(ISNUMBER(INDEX(SPPR!$E:$Z,MATCH($A212,SPPR!$A:$A,0),9)),$C212*INDEX(SPPR!$E:$Z,MATCH($A212,SPPR!$A:$A,0),9),""),"")</f>
        <v/>
      </c>
      <c r="M212">
        <f>IFERROR(IF(ISNUMBER(INDEX(SPPR!$E:$Z,MATCH($A212,SPPR!$A:$A,0),10)),$C212*INDEX(SPPR!$E:$Z,MATCH($A212,SPPR!$A:$A,0),10),""),"")</f>
        <v/>
      </c>
      <c r="N212">
        <f>IFERROR(IF(ISNUMBER(INDEX(SPPR!$E:$Z,MATCH($A212,SPPR!$A:$A,0),11)),$C212*INDEX(SPPR!$E:$Z,MATCH($A212,SPPR!$A:$A,0),11),""),"")</f>
        <v/>
      </c>
      <c r="O212">
        <f>IFERROR(IF(ISNUMBER(INDEX(SPPR!$E:$Z,MATCH($A212,SPPR!$A:$A,0),12)),$C212*INDEX(SPPR!$E:$Z,MATCH($A212,SPPR!$A:$A,0),12),""),"")</f>
        <v/>
      </c>
      <c r="P212">
        <f>IFERROR(IF(ISNUMBER(INDEX(SPPR!$E:$Z,MATCH($A212,SPPR!$A:$A,0),13)),$C212*INDEX(SPPR!$E:$Z,MATCH($A212,SPPR!$A:$A,0),13),""),"")</f>
        <v/>
      </c>
      <c r="Q212">
        <f>IFERROR(IF(ISNUMBER(INDEX(SPPR!$E:$Z,MATCH($A212,SPPR!$A:$A,0),14)),$C212*INDEX(SPPR!$E:$Z,MATCH($A212,SPPR!$A:$A,0),14),""),"")</f>
        <v/>
      </c>
      <c r="R212">
        <f>IFERROR(IF(ISNUMBER(INDEX(SPPR!$E:$Z,MATCH($A212,SPPR!$A:$A,0),15)),$C212*INDEX(SPPR!$E:$Z,MATCH($A212,SPPR!$A:$A,0),15),""),"")</f>
        <v/>
      </c>
      <c r="S212">
        <f>IFERROR(IF(ISNUMBER(INDEX(SPPR!$E:$Z,MATCH($A212,SPPR!$A:$A,0),16)),$C212*INDEX(SPPR!$E:$Z,MATCH($A212,SPPR!$A:$A,0),16),""),"")</f>
        <v/>
      </c>
      <c r="T212">
        <f>IFERROR(IF(ISNUMBER(INDEX(SPPR!$E:$Z,MATCH($A212,SPPR!$A:$A,0),17)),$C212*INDEX(SPPR!$E:$Z,MATCH($A212,SPPR!$A:$A,0),17),""),"")</f>
        <v/>
      </c>
      <c r="U212">
        <f>IFERROR(IF(ISNUMBER(INDEX(SPPR!$E:$Z,MATCH($A212,SPPR!$A:$A,0),18)),$C212*INDEX(SPPR!$E:$Z,MATCH($A212,SPPR!$A:$A,0),18),""),"")</f>
        <v/>
      </c>
      <c r="V212">
        <f>IFERROR(IF(ISNUMBER(INDEX(SPPR!$E:$Z,MATCH($A212,SPPR!$A:$A,0),19)),$C212*INDEX(SPPR!$E:$Z,MATCH($A212,SPPR!$A:$A,0),19),""),"")</f>
        <v/>
      </c>
      <c r="W212">
        <f>IFERROR(IF(ISNUMBER(INDEX(SPPR!$E:$Z,MATCH($A212,SPPR!$A:$A,0),20)),$C212*INDEX(SPPR!$E:$Z,MATCH($A212,SPPR!$A:$A,0),20),""),"")</f>
        <v/>
      </c>
      <c r="X212">
        <f>IFERROR(IF(ISNUMBER(INDEX(SPPR!$E:$Z,MATCH($A212,SPPR!$A:$A,0),21)),$C212*INDEX(SPPR!$E:$Z,MATCH($A212,SPPR!$A:$A,0),21),""),"")</f>
        <v/>
      </c>
      <c r="Y212">
        <f>IFERROR(IF(ISNUMBER(INDEX(SPPR!$E:$Z,MATCH($A212,SPPR!$A:$A,0),22)),$C212*INDEX(SPPR!$E:$Z,MATCH($A212,SPPR!$A:$A,0),22),""),"")</f>
        <v/>
      </c>
    </row>
    <row r="213">
      <c r="A213" t="inlineStr">
        <is>
          <t>Gempylidae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IFERROR(IF(ISNUMBER(INDEX(SPPR!$E:$Z,MATCH($A213,SPPR!$A:$A,0),1)),$C213*INDEX(SPPR!$E:$Z,MATCH($A213,SPPR!$A:$A,0),1),""),"")</f>
        <v/>
      </c>
      <c r="E213">
        <f>IFERROR(IF(ISNUMBER(INDEX(SPPR!$E:$Z,MATCH($A213,SPPR!$A:$A,0),2)),$C213*INDEX(SPPR!$E:$Z,MATCH($A213,SPPR!$A:$A,0),2),""),"")</f>
        <v/>
      </c>
      <c r="F213">
        <f>IFERROR(IF(ISNUMBER(INDEX(SPPR!$E:$Z,MATCH($A213,SPPR!$A:$A,0),3)),$C213*INDEX(SPPR!$E:$Z,MATCH($A213,SPPR!$A:$A,0),3),""),"")</f>
        <v/>
      </c>
      <c r="G213">
        <f>IFERROR(IF(ISNUMBER(INDEX(SPPR!$E:$Z,MATCH($A213,SPPR!$A:$A,0),4)),$C213*INDEX(SPPR!$E:$Z,MATCH($A213,SPPR!$A:$A,0),4),""),"")</f>
        <v/>
      </c>
      <c r="H213">
        <f>IFERROR(IF(ISNUMBER(INDEX(SPPR!$E:$Z,MATCH($A213,SPPR!$A:$A,0),5)),$C213*INDEX(SPPR!$E:$Z,MATCH($A213,SPPR!$A:$A,0),5),""),"")</f>
        <v/>
      </c>
      <c r="I213">
        <f>IFERROR(IF(ISNUMBER(INDEX(SPPR!$E:$Z,MATCH($A213,SPPR!$A:$A,0),6)),$C213*INDEX(SPPR!$E:$Z,MATCH($A213,SPPR!$A:$A,0),6),""),"")</f>
        <v/>
      </c>
      <c r="J213">
        <f>IFERROR(IF(ISNUMBER(INDEX(SPPR!$E:$Z,MATCH($A213,SPPR!$A:$A,0),7)),$C213*INDEX(SPPR!$E:$Z,MATCH($A213,SPPR!$A:$A,0),7),""),"")</f>
        <v/>
      </c>
      <c r="K213">
        <f>IFERROR(IF(ISNUMBER(INDEX(SPPR!$E:$Z,MATCH($A213,SPPR!$A:$A,0),8)),$C213*INDEX(SPPR!$E:$Z,MATCH($A213,SPPR!$A:$A,0),8),""),"")</f>
        <v/>
      </c>
      <c r="L213">
        <f>IFERROR(IF(ISNUMBER(INDEX(SPPR!$E:$Z,MATCH($A213,SPPR!$A:$A,0),9)),$C213*INDEX(SPPR!$E:$Z,MATCH($A213,SPPR!$A:$A,0),9),""),"")</f>
        <v/>
      </c>
      <c r="M213">
        <f>IFERROR(IF(ISNUMBER(INDEX(SPPR!$E:$Z,MATCH($A213,SPPR!$A:$A,0),10)),$C213*INDEX(SPPR!$E:$Z,MATCH($A213,SPPR!$A:$A,0),10),""),"")</f>
        <v/>
      </c>
      <c r="N213">
        <f>IFERROR(IF(ISNUMBER(INDEX(SPPR!$E:$Z,MATCH($A213,SPPR!$A:$A,0),11)),$C213*INDEX(SPPR!$E:$Z,MATCH($A213,SPPR!$A:$A,0),11),""),"")</f>
        <v/>
      </c>
      <c r="O213">
        <f>IFERROR(IF(ISNUMBER(INDEX(SPPR!$E:$Z,MATCH($A213,SPPR!$A:$A,0),12)),$C213*INDEX(SPPR!$E:$Z,MATCH($A213,SPPR!$A:$A,0),12),""),"")</f>
        <v/>
      </c>
      <c r="P213">
        <f>IFERROR(IF(ISNUMBER(INDEX(SPPR!$E:$Z,MATCH($A213,SPPR!$A:$A,0),13)),$C213*INDEX(SPPR!$E:$Z,MATCH($A213,SPPR!$A:$A,0),13),""),"")</f>
        <v/>
      </c>
      <c r="Q213">
        <f>IFERROR(IF(ISNUMBER(INDEX(SPPR!$E:$Z,MATCH($A213,SPPR!$A:$A,0),14)),$C213*INDEX(SPPR!$E:$Z,MATCH($A213,SPPR!$A:$A,0),14),""),"")</f>
        <v/>
      </c>
      <c r="R213">
        <f>IFERROR(IF(ISNUMBER(INDEX(SPPR!$E:$Z,MATCH($A213,SPPR!$A:$A,0),15)),$C213*INDEX(SPPR!$E:$Z,MATCH($A213,SPPR!$A:$A,0),15),""),"")</f>
        <v/>
      </c>
      <c r="S213">
        <f>IFERROR(IF(ISNUMBER(INDEX(SPPR!$E:$Z,MATCH($A213,SPPR!$A:$A,0),16)),$C213*INDEX(SPPR!$E:$Z,MATCH($A213,SPPR!$A:$A,0),16),""),"")</f>
        <v/>
      </c>
      <c r="T213">
        <f>IFERROR(IF(ISNUMBER(INDEX(SPPR!$E:$Z,MATCH($A213,SPPR!$A:$A,0),17)),$C213*INDEX(SPPR!$E:$Z,MATCH($A213,SPPR!$A:$A,0),17),""),"")</f>
        <v/>
      </c>
      <c r="U213">
        <f>IFERROR(IF(ISNUMBER(INDEX(SPPR!$E:$Z,MATCH($A213,SPPR!$A:$A,0),18)),$C213*INDEX(SPPR!$E:$Z,MATCH($A213,SPPR!$A:$A,0),18),""),"")</f>
        <v/>
      </c>
      <c r="V213">
        <f>IFERROR(IF(ISNUMBER(INDEX(SPPR!$E:$Z,MATCH($A213,SPPR!$A:$A,0),19)),$C213*INDEX(SPPR!$E:$Z,MATCH($A213,SPPR!$A:$A,0),19),""),"")</f>
        <v/>
      </c>
      <c r="W213">
        <f>IFERROR(IF(ISNUMBER(INDEX(SPPR!$E:$Z,MATCH($A213,SPPR!$A:$A,0),20)),$C213*INDEX(SPPR!$E:$Z,MATCH($A213,SPPR!$A:$A,0),20),""),"")</f>
        <v/>
      </c>
      <c r="X213">
        <f>IFERROR(IF(ISNUMBER(INDEX(SPPR!$E:$Z,MATCH($A213,SPPR!$A:$A,0),21)),$C213*INDEX(SPPR!$E:$Z,MATCH($A213,SPPR!$A:$A,0),21),""),"")</f>
        <v/>
      </c>
      <c r="Y213">
        <f>IFERROR(IF(ISNUMBER(INDEX(SPPR!$E:$Z,MATCH($A213,SPPR!$A:$A,0),22)),$C213*INDEX(SPPR!$E:$Z,MATCH($A213,SPPR!$A:$A,0),22),""),"")</f>
        <v/>
      </c>
    </row>
    <row r="214">
      <c r="A214" t="inlineStr">
        <is>
          <t>Xiphiidae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IFERROR(IF(ISNUMBER(INDEX(SPPR!$E:$Z,MATCH($A214,SPPR!$A:$A,0),1)),$C214*INDEX(SPPR!$E:$Z,MATCH($A214,SPPR!$A:$A,0),1),""),"")</f>
        <v/>
      </c>
      <c r="E214">
        <f>IFERROR(IF(ISNUMBER(INDEX(SPPR!$E:$Z,MATCH($A214,SPPR!$A:$A,0),2)),$C214*INDEX(SPPR!$E:$Z,MATCH($A214,SPPR!$A:$A,0),2),""),"")</f>
        <v/>
      </c>
      <c r="F214">
        <f>IFERROR(IF(ISNUMBER(INDEX(SPPR!$E:$Z,MATCH($A214,SPPR!$A:$A,0),3)),$C214*INDEX(SPPR!$E:$Z,MATCH($A214,SPPR!$A:$A,0),3),""),"")</f>
        <v/>
      </c>
      <c r="G214">
        <f>IFERROR(IF(ISNUMBER(INDEX(SPPR!$E:$Z,MATCH($A214,SPPR!$A:$A,0),4)),$C214*INDEX(SPPR!$E:$Z,MATCH($A214,SPPR!$A:$A,0),4),""),"")</f>
        <v/>
      </c>
      <c r="H214">
        <f>IFERROR(IF(ISNUMBER(INDEX(SPPR!$E:$Z,MATCH($A214,SPPR!$A:$A,0),5)),$C214*INDEX(SPPR!$E:$Z,MATCH($A214,SPPR!$A:$A,0),5),""),"")</f>
        <v/>
      </c>
      <c r="I214">
        <f>IFERROR(IF(ISNUMBER(INDEX(SPPR!$E:$Z,MATCH($A214,SPPR!$A:$A,0),6)),$C214*INDEX(SPPR!$E:$Z,MATCH($A214,SPPR!$A:$A,0),6),""),"")</f>
        <v/>
      </c>
      <c r="J214">
        <f>IFERROR(IF(ISNUMBER(INDEX(SPPR!$E:$Z,MATCH($A214,SPPR!$A:$A,0),7)),$C214*INDEX(SPPR!$E:$Z,MATCH($A214,SPPR!$A:$A,0),7),""),"")</f>
        <v/>
      </c>
      <c r="K214">
        <f>IFERROR(IF(ISNUMBER(INDEX(SPPR!$E:$Z,MATCH($A214,SPPR!$A:$A,0),8)),$C214*INDEX(SPPR!$E:$Z,MATCH($A214,SPPR!$A:$A,0),8),""),"")</f>
        <v/>
      </c>
      <c r="L214">
        <f>IFERROR(IF(ISNUMBER(INDEX(SPPR!$E:$Z,MATCH($A214,SPPR!$A:$A,0),9)),$C214*INDEX(SPPR!$E:$Z,MATCH($A214,SPPR!$A:$A,0),9),""),"")</f>
        <v/>
      </c>
      <c r="M214">
        <f>IFERROR(IF(ISNUMBER(INDEX(SPPR!$E:$Z,MATCH($A214,SPPR!$A:$A,0),10)),$C214*INDEX(SPPR!$E:$Z,MATCH($A214,SPPR!$A:$A,0),10),""),"")</f>
        <v/>
      </c>
      <c r="N214">
        <f>IFERROR(IF(ISNUMBER(INDEX(SPPR!$E:$Z,MATCH($A214,SPPR!$A:$A,0),11)),$C214*INDEX(SPPR!$E:$Z,MATCH($A214,SPPR!$A:$A,0),11),""),"")</f>
        <v/>
      </c>
      <c r="O214">
        <f>IFERROR(IF(ISNUMBER(INDEX(SPPR!$E:$Z,MATCH($A214,SPPR!$A:$A,0),12)),$C214*INDEX(SPPR!$E:$Z,MATCH($A214,SPPR!$A:$A,0),12),""),"")</f>
        <v/>
      </c>
      <c r="P214">
        <f>IFERROR(IF(ISNUMBER(INDEX(SPPR!$E:$Z,MATCH($A214,SPPR!$A:$A,0),13)),$C214*INDEX(SPPR!$E:$Z,MATCH($A214,SPPR!$A:$A,0),13),""),"")</f>
        <v/>
      </c>
      <c r="Q214">
        <f>IFERROR(IF(ISNUMBER(INDEX(SPPR!$E:$Z,MATCH($A214,SPPR!$A:$A,0),14)),$C214*INDEX(SPPR!$E:$Z,MATCH($A214,SPPR!$A:$A,0),14),""),"")</f>
        <v/>
      </c>
      <c r="R214">
        <f>IFERROR(IF(ISNUMBER(INDEX(SPPR!$E:$Z,MATCH($A214,SPPR!$A:$A,0),15)),$C214*INDEX(SPPR!$E:$Z,MATCH($A214,SPPR!$A:$A,0),15),""),"")</f>
        <v/>
      </c>
      <c r="S214">
        <f>IFERROR(IF(ISNUMBER(INDEX(SPPR!$E:$Z,MATCH($A214,SPPR!$A:$A,0),16)),$C214*INDEX(SPPR!$E:$Z,MATCH($A214,SPPR!$A:$A,0),16),""),"")</f>
        <v/>
      </c>
      <c r="T214">
        <f>IFERROR(IF(ISNUMBER(INDEX(SPPR!$E:$Z,MATCH($A214,SPPR!$A:$A,0),17)),$C214*INDEX(SPPR!$E:$Z,MATCH($A214,SPPR!$A:$A,0),17),""),"")</f>
        <v/>
      </c>
      <c r="U214">
        <f>IFERROR(IF(ISNUMBER(INDEX(SPPR!$E:$Z,MATCH($A214,SPPR!$A:$A,0),18)),$C214*INDEX(SPPR!$E:$Z,MATCH($A214,SPPR!$A:$A,0),18),""),"")</f>
        <v/>
      </c>
      <c r="V214">
        <f>IFERROR(IF(ISNUMBER(INDEX(SPPR!$E:$Z,MATCH($A214,SPPR!$A:$A,0),19)),$C214*INDEX(SPPR!$E:$Z,MATCH($A214,SPPR!$A:$A,0),19),""),"")</f>
        <v/>
      </c>
      <c r="W214">
        <f>IFERROR(IF(ISNUMBER(INDEX(SPPR!$E:$Z,MATCH($A214,SPPR!$A:$A,0),20)),$C214*INDEX(SPPR!$E:$Z,MATCH($A214,SPPR!$A:$A,0),20),""),"")</f>
        <v/>
      </c>
      <c r="X214">
        <f>IFERROR(IF(ISNUMBER(INDEX(SPPR!$E:$Z,MATCH($A214,SPPR!$A:$A,0),21)),$C214*INDEX(SPPR!$E:$Z,MATCH($A214,SPPR!$A:$A,0),21),""),"")</f>
        <v/>
      </c>
      <c r="Y214">
        <f>IFERROR(IF(ISNUMBER(INDEX(SPPR!$E:$Z,MATCH($A214,SPPR!$A:$A,0),22)),$C214*INDEX(SPPR!$E:$Z,MATCH($A214,SPPR!$A:$A,0),22),""),"")</f>
        <v/>
      </c>
    </row>
    <row r="215">
      <c r="A215" t="inlineStr">
        <is>
          <t>Spondyliosoma cantharus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IFERROR(IF(ISNUMBER(INDEX(SPPR!$E:$Z,MATCH($A215,SPPR!$A:$A,0),1)),$C215*INDEX(SPPR!$E:$Z,MATCH($A215,SPPR!$A:$A,0),1),""),"")</f>
        <v/>
      </c>
      <c r="E215">
        <f>IFERROR(IF(ISNUMBER(INDEX(SPPR!$E:$Z,MATCH($A215,SPPR!$A:$A,0),2)),$C215*INDEX(SPPR!$E:$Z,MATCH($A215,SPPR!$A:$A,0),2),""),"")</f>
        <v/>
      </c>
      <c r="F215">
        <f>IFERROR(IF(ISNUMBER(INDEX(SPPR!$E:$Z,MATCH($A215,SPPR!$A:$A,0),3)),$C215*INDEX(SPPR!$E:$Z,MATCH($A215,SPPR!$A:$A,0),3),""),"")</f>
        <v/>
      </c>
      <c r="G215">
        <f>IFERROR(IF(ISNUMBER(INDEX(SPPR!$E:$Z,MATCH($A215,SPPR!$A:$A,0),4)),$C215*INDEX(SPPR!$E:$Z,MATCH($A215,SPPR!$A:$A,0),4),""),"")</f>
        <v/>
      </c>
      <c r="H215">
        <f>IFERROR(IF(ISNUMBER(INDEX(SPPR!$E:$Z,MATCH($A215,SPPR!$A:$A,0),5)),$C215*INDEX(SPPR!$E:$Z,MATCH($A215,SPPR!$A:$A,0),5),""),"")</f>
        <v/>
      </c>
      <c r="I215">
        <f>IFERROR(IF(ISNUMBER(INDEX(SPPR!$E:$Z,MATCH($A215,SPPR!$A:$A,0),6)),$C215*INDEX(SPPR!$E:$Z,MATCH($A215,SPPR!$A:$A,0),6),""),"")</f>
        <v/>
      </c>
      <c r="J215">
        <f>IFERROR(IF(ISNUMBER(INDEX(SPPR!$E:$Z,MATCH($A215,SPPR!$A:$A,0),7)),$C215*INDEX(SPPR!$E:$Z,MATCH($A215,SPPR!$A:$A,0),7),""),"")</f>
        <v/>
      </c>
      <c r="K215">
        <f>IFERROR(IF(ISNUMBER(INDEX(SPPR!$E:$Z,MATCH($A215,SPPR!$A:$A,0),8)),$C215*INDEX(SPPR!$E:$Z,MATCH($A215,SPPR!$A:$A,0),8),""),"")</f>
        <v/>
      </c>
      <c r="L215">
        <f>IFERROR(IF(ISNUMBER(INDEX(SPPR!$E:$Z,MATCH($A215,SPPR!$A:$A,0),9)),$C215*INDEX(SPPR!$E:$Z,MATCH($A215,SPPR!$A:$A,0),9),""),"")</f>
        <v/>
      </c>
      <c r="M215">
        <f>IFERROR(IF(ISNUMBER(INDEX(SPPR!$E:$Z,MATCH($A215,SPPR!$A:$A,0),10)),$C215*INDEX(SPPR!$E:$Z,MATCH($A215,SPPR!$A:$A,0),10),""),"")</f>
        <v/>
      </c>
      <c r="N215">
        <f>IFERROR(IF(ISNUMBER(INDEX(SPPR!$E:$Z,MATCH($A215,SPPR!$A:$A,0),11)),$C215*INDEX(SPPR!$E:$Z,MATCH($A215,SPPR!$A:$A,0),11),""),"")</f>
        <v/>
      </c>
      <c r="O215">
        <f>IFERROR(IF(ISNUMBER(INDEX(SPPR!$E:$Z,MATCH($A215,SPPR!$A:$A,0),12)),$C215*INDEX(SPPR!$E:$Z,MATCH($A215,SPPR!$A:$A,0),12),""),"")</f>
        <v/>
      </c>
      <c r="P215">
        <f>IFERROR(IF(ISNUMBER(INDEX(SPPR!$E:$Z,MATCH($A215,SPPR!$A:$A,0),13)),$C215*INDEX(SPPR!$E:$Z,MATCH($A215,SPPR!$A:$A,0),13),""),"")</f>
        <v/>
      </c>
      <c r="Q215">
        <f>IFERROR(IF(ISNUMBER(INDEX(SPPR!$E:$Z,MATCH($A215,SPPR!$A:$A,0),14)),$C215*INDEX(SPPR!$E:$Z,MATCH($A215,SPPR!$A:$A,0),14),""),"")</f>
        <v/>
      </c>
      <c r="R215">
        <f>IFERROR(IF(ISNUMBER(INDEX(SPPR!$E:$Z,MATCH($A215,SPPR!$A:$A,0),15)),$C215*INDEX(SPPR!$E:$Z,MATCH($A215,SPPR!$A:$A,0),15),""),"")</f>
        <v/>
      </c>
      <c r="S215">
        <f>IFERROR(IF(ISNUMBER(INDEX(SPPR!$E:$Z,MATCH($A215,SPPR!$A:$A,0),16)),$C215*INDEX(SPPR!$E:$Z,MATCH($A215,SPPR!$A:$A,0),16),""),"")</f>
        <v/>
      </c>
      <c r="T215">
        <f>IFERROR(IF(ISNUMBER(INDEX(SPPR!$E:$Z,MATCH($A215,SPPR!$A:$A,0),17)),$C215*INDEX(SPPR!$E:$Z,MATCH($A215,SPPR!$A:$A,0),17),""),"")</f>
        <v/>
      </c>
      <c r="U215">
        <f>IFERROR(IF(ISNUMBER(INDEX(SPPR!$E:$Z,MATCH($A215,SPPR!$A:$A,0),18)),$C215*INDEX(SPPR!$E:$Z,MATCH($A215,SPPR!$A:$A,0),18),""),"")</f>
        <v/>
      </c>
      <c r="V215">
        <f>IFERROR(IF(ISNUMBER(INDEX(SPPR!$E:$Z,MATCH($A215,SPPR!$A:$A,0),19)),$C215*INDEX(SPPR!$E:$Z,MATCH($A215,SPPR!$A:$A,0),19),""),"")</f>
        <v/>
      </c>
      <c r="W215">
        <f>IFERROR(IF(ISNUMBER(INDEX(SPPR!$E:$Z,MATCH($A215,SPPR!$A:$A,0),20)),$C215*INDEX(SPPR!$E:$Z,MATCH($A215,SPPR!$A:$A,0),20),""),"")</f>
        <v/>
      </c>
      <c r="X215">
        <f>IFERROR(IF(ISNUMBER(INDEX(SPPR!$E:$Z,MATCH($A215,SPPR!$A:$A,0),21)),$C215*INDEX(SPPR!$E:$Z,MATCH($A215,SPPR!$A:$A,0),21),""),"")</f>
        <v/>
      </c>
      <c r="Y215">
        <f>IFERROR(IF(ISNUMBER(INDEX(SPPR!$E:$Z,MATCH($A215,SPPR!$A:$A,0),22)),$C215*INDEX(SPPR!$E:$Z,MATCH($A215,SPPR!$A:$A,0),22),""),"")</f>
        <v/>
      </c>
    </row>
    <row r="216">
      <c r="A216" t="inlineStr">
        <is>
          <t>Batoidea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IFERROR(IF(ISNUMBER(INDEX(SPPR!$E:$Z,MATCH($A216,SPPR!$A:$A,0),1)),$C216*INDEX(SPPR!$E:$Z,MATCH($A216,SPPR!$A:$A,0),1),""),"")</f>
        <v/>
      </c>
      <c r="E216">
        <f>IFERROR(IF(ISNUMBER(INDEX(SPPR!$E:$Z,MATCH($A216,SPPR!$A:$A,0),2)),$C216*INDEX(SPPR!$E:$Z,MATCH($A216,SPPR!$A:$A,0),2),""),"")</f>
        <v/>
      </c>
      <c r="F216">
        <f>IFERROR(IF(ISNUMBER(INDEX(SPPR!$E:$Z,MATCH($A216,SPPR!$A:$A,0),3)),$C216*INDEX(SPPR!$E:$Z,MATCH($A216,SPPR!$A:$A,0),3),""),"")</f>
        <v/>
      </c>
      <c r="G216">
        <f>IFERROR(IF(ISNUMBER(INDEX(SPPR!$E:$Z,MATCH($A216,SPPR!$A:$A,0),4)),$C216*INDEX(SPPR!$E:$Z,MATCH($A216,SPPR!$A:$A,0),4),""),"")</f>
        <v/>
      </c>
      <c r="H216">
        <f>IFERROR(IF(ISNUMBER(INDEX(SPPR!$E:$Z,MATCH($A216,SPPR!$A:$A,0),5)),$C216*INDEX(SPPR!$E:$Z,MATCH($A216,SPPR!$A:$A,0),5),""),"")</f>
        <v/>
      </c>
      <c r="I216">
        <f>IFERROR(IF(ISNUMBER(INDEX(SPPR!$E:$Z,MATCH($A216,SPPR!$A:$A,0),6)),$C216*INDEX(SPPR!$E:$Z,MATCH($A216,SPPR!$A:$A,0),6),""),"")</f>
        <v/>
      </c>
      <c r="J216">
        <f>IFERROR(IF(ISNUMBER(INDEX(SPPR!$E:$Z,MATCH($A216,SPPR!$A:$A,0),7)),$C216*INDEX(SPPR!$E:$Z,MATCH($A216,SPPR!$A:$A,0),7),""),"")</f>
        <v/>
      </c>
      <c r="K216">
        <f>IFERROR(IF(ISNUMBER(INDEX(SPPR!$E:$Z,MATCH($A216,SPPR!$A:$A,0),8)),$C216*INDEX(SPPR!$E:$Z,MATCH($A216,SPPR!$A:$A,0),8),""),"")</f>
        <v/>
      </c>
      <c r="L216">
        <f>IFERROR(IF(ISNUMBER(INDEX(SPPR!$E:$Z,MATCH($A216,SPPR!$A:$A,0),9)),$C216*INDEX(SPPR!$E:$Z,MATCH($A216,SPPR!$A:$A,0),9),""),"")</f>
        <v/>
      </c>
      <c r="M216">
        <f>IFERROR(IF(ISNUMBER(INDEX(SPPR!$E:$Z,MATCH($A216,SPPR!$A:$A,0),10)),$C216*INDEX(SPPR!$E:$Z,MATCH($A216,SPPR!$A:$A,0),10),""),"")</f>
        <v/>
      </c>
      <c r="N216">
        <f>IFERROR(IF(ISNUMBER(INDEX(SPPR!$E:$Z,MATCH($A216,SPPR!$A:$A,0),11)),$C216*INDEX(SPPR!$E:$Z,MATCH($A216,SPPR!$A:$A,0),11),""),"")</f>
        <v/>
      </c>
      <c r="O216">
        <f>IFERROR(IF(ISNUMBER(INDEX(SPPR!$E:$Z,MATCH($A216,SPPR!$A:$A,0),12)),$C216*INDEX(SPPR!$E:$Z,MATCH($A216,SPPR!$A:$A,0),12),""),"")</f>
        <v/>
      </c>
      <c r="P216">
        <f>IFERROR(IF(ISNUMBER(INDEX(SPPR!$E:$Z,MATCH($A216,SPPR!$A:$A,0),13)),$C216*INDEX(SPPR!$E:$Z,MATCH($A216,SPPR!$A:$A,0),13),""),"")</f>
        <v/>
      </c>
      <c r="Q216">
        <f>IFERROR(IF(ISNUMBER(INDEX(SPPR!$E:$Z,MATCH($A216,SPPR!$A:$A,0),14)),$C216*INDEX(SPPR!$E:$Z,MATCH($A216,SPPR!$A:$A,0),14),""),"")</f>
        <v/>
      </c>
      <c r="R216">
        <f>IFERROR(IF(ISNUMBER(INDEX(SPPR!$E:$Z,MATCH($A216,SPPR!$A:$A,0),15)),$C216*INDEX(SPPR!$E:$Z,MATCH($A216,SPPR!$A:$A,0),15),""),"")</f>
        <v/>
      </c>
      <c r="S216">
        <f>IFERROR(IF(ISNUMBER(INDEX(SPPR!$E:$Z,MATCH($A216,SPPR!$A:$A,0),16)),$C216*INDEX(SPPR!$E:$Z,MATCH($A216,SPPR!$A:$A,0),16),""),"")</f>
        <v/>
      </c>
      <c r="T216">
        <f>IFERROR(IF(ISNUMBER(INDEX(SPPR!$E:$Z,MATCH($A216,SPPR!$A:$A,0),17)),$C216*INDEX(SPPR!$E:$Z,MATCH($A216,SPPR!$A:$A,0),17),""),"")</f>
        <v/>
      </c>
      <c r="U216">
        <f>IFERROR(IF(ISNUMBER(INDEX(SPPR!$E:$Z,MATCH($A216,SPPR!$A:$A,0),18)),$C216*INDEX(SPPR!$E:$Z,MATCH($A216,SPPR!$A:$A,0),18),""),"")</f>
        <v/>
      </c>
      <c r="V216">
        <f>IFERROR(IF(ISNUMBER(INDEX(SPPR!$E:$Z,MATCH($A216,SPPR!$A:$A,0),19)),$C216*INDEX(SPPR!$E:$Z,MATCH($A216,SPPR!$A:$A,0),19),""),"")</f>
        <v/>
      </c>
      <c r="W216">
        <f>IFERROR(IF(ISNUMBER(INDEX(SPPR!$E:$Z,MATCH($A216,SPPR!$A:$A,0),20)),$C216*INDEX(SPPR!$E:$Z,MATCH($A216,SPPR!$A:$A,0),20),""),"")</f>
        <v/>
      </c>
      <c r="X216">
        <f>IFERROR(IF(ISNUMBER(INDEX(SPPR!$E:$Z,MATCH($A216,SPPR!$A:$A,0),21)),$C216*INDEX(SPPR!$E:$Z,MATCH($A216,SPPR!$A:$A,0),21),""),"")</f>
        <v/>
      </c>
      <c r="Y216">
        <f>IFERROR(IF(ISNUMBER(INDEX(SPPR!$E:$Z,MATCH($A216,SPPR!$A:$A,0),22)),$C216*INDEX(SPPR!$E:$Z,MATCH($A216,SPPR!$A:$A,0),22),""),"")</f>
        <v/>
      </c>
    </row>
    <row r="217">
      <c r="A217" t="inlineStr">
        <is>
          <t>Caranx senegallus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IFERROR(IF(ISNUMBER(INDEX(SPPR!$E:$Z,MATCH($A217,SPPR!$A:$A,0),1)),$C217*INDEX(SPPR!$E:$Z,MATCH($A217,SPPR!$A:$A,0),1),""),"")</f>
        <v/>
      </c>
      <c r="E217">
        <f>IFERROR(IF(ISNUMBER(INDEX(SPPR!$E:$Z,MATCH($A217,SPPR!$A:$A,0),2)),$C217*INDEX(SPPR!$E:$Z,MATCH($A217,SPPR!$A:$A,0),2),""),"")</f>
        <v/>
      </c>
      <c r="F217">
        <f>IFERROR(IF(ISNUMBER(INDEX(SPPR!$E:$Z,MATCH($A217,SPPR!$A:$A,0),3)),$C217*INDEX(SPPR!$E:$Z,MATCH($A217,SPPR!$A:$A,0),3),""),"")</f>
        <v/>
      </c>
      <c r="G217">
        <f>IFERROR(IF(ISNUMBER(INDEX(SPPR!$E:$Z,MATCH($A217,SPPR!$A:$A,0),4)),$C217*INDEX(SPPR!$E:$Z,MATCH($A217,SPPR!$A:$A,0),4),""),"")</f>
        <v/>
      </c>
      <c r="H217">
        <f>IFERROR(IF(ISNUMBER(INDEX(SPPR!$E:$Z,MATCH($A217,SPPR!$A:$A,0),5)),$C217*INDEX(SPPR!$E:$Z,MATCH($A217,SPPR!$A:$A,0),5),""),"")</f>
        <v/>
      </c>
      <c r="I217">
        <f>IFERROR(IF(ISNUMBER(INDEX(SPPR!$E:$Z,MATCH($A217,SPPR!$A:$A,0),6)),$C217*INDEX(SPPR!$E:$Z,MATCH($A217,SPPR!$A:$A,0),6),""),"")</f>
        <v/>
      </c>
      <c r="J217">
        <f>IFERROR(IF(ISNUMBER(INDEX(SPPR!$E:$Z,MATCH($A217,SPPR!$A:$A,0),7)),$C217*INDEX(SPPR!$E:$Z,MATCH($A217,SPPR!$A:$A,0),7),""),"")</f>
        <v/>
      </c>
      <c r="K217">
        <f>IFERROR(IF(ISNUMBER(INDEX(SPPR!$E:$Z,MATCH($A217,SPPR!$A:$A,0),8)),$C217*INDEX(SPPR!$E:$Z,MATCH($A217,SPPR!$A:$A,0),8),""),"")</f>
        <v/>
      </c>
      <c r="L217">
        <f>IFERROR(IF(ISNUMBER(INDEX(SPPR!$E:$Z,MATCH($A217,SPPR!$A:$A,0),9)),$C217*INDEX(SPPR!$E:$Z,MATCH($A217,SPPR!$A:$A,0),9),""),"")</f>
        <v/>
      </c>
      <c r="M217">
        <f>IFERROR(IF(ISNUMBER(INDEX(SPPR!$E:$Z,MATCH($A217,SPPR!$A:$A,0),10)),$C217*INDEX(SPPR!$E:$Z,MATCH($A217,SPPR!$A:$A,0),10),""),"")</f>
        <v/>
      </c>
      <c r="N217">
        <f>IFERROR(IF(ISNUMBER(INDEX(SPPR!$E:$Z,MATCH($A217,SPPR!$A:$A,0),11)),$C217*INDEX(SPPR!$E:$Z,MATCH($A217,SPPR!$A:$A,0),11),""),"")</f>
        <v/>
      </c>
      <c r="O217">
        <f>IFERROR(IF(ISNUMBER(INDEX(SPPR!$E:$Z,MATCH($A217,SPPR!$A:$A,0),12)),$C217*INDEX(SPPR!$E:$Z,MATCH($A217,SPPR!$A:$A,0),12),""),"")</f>
        <v/>
      </c>
      <c r="P217">
        <f>IFERROR(IF(ISNUMBER(INDEX(SPPR!$E:$Z,MATCH($A217,SPPR!$A:$A,0),13)),$C217*INDEX(SPPR!$E:$Z,MATCH($A217,SPPR!$A:$A,0),13),""),"")</f>
        <v/>
      </c>
      <c r="Q217">
        <f>IFERROR(IF(ISNUMBER(INDEX(SPPR!$E:$Z,MATCH($A217,SPPR!$A:$A,0),14)),$C217*INDEX(SPPR!$E:$Z,MATCH($A217,SPPR!$A:$A,0),14),""),"")</f>
        <v/>
      </c>
      <c r="R217">
        <f>IFERROR(IF(ISNUMBER(INDEX(SPPR!$E:$Z,MATCH($A217,SPPR!$A:$A,0),15)),$C217*INDEX(SPPR!$E:$Z,MATCH($A217,SPPR!$A:$A,0),15),""),"")</f>
        <v/>
      </c>
      <c r="S217">
        <f>IFERROR(IF(ISNUMBER(INDEX(SPPR!$E:$Z,MATCH($A217,SPPR!$A:$A,0),16)),$C217*INDEX(SPPR!$E:$Z,MATCH($A217,SPPR!$A:$A,0),16),""),"")</f>
        <v/>
      </c>
      <c r="T217">
        <f>IFERROR(IF(ISNUMBER(INDEX(SPPR!$E:$Z,MATCH($A217,SPPR!$A:$A,0),17)),$C217*INDEX(SPPR!$E:$Z,MATCH($A217,SPPR!$A:$A,0),17),""),"")</f>
        <v/>
      </c>
      <c r="U217">
        <f>IFERROR(IF(ISNUMBER(INDEX(SPPR!$E:$Z,MATCH($A217,SPPR!$A:$A,0),18)),$C217*INDEX(SPPR!$E:$Z,MATCH($A217,SPPR!$A:$A,0),18),""),"")</f>
        <v/>
      </c>
      <c r="V217">
        <f>IFERROR(IF(ISNUMBER(INDEX(SPPR!$E:$Z,MATCH($A217,SPPR!$A:$A,0),19)),$C217*INDEX(SPPR!$E:$Z,MATCH($A217,SPPR!$A:$A,0),19),""),"")</f>
        <v/>
      </c>
      <c r="W217">
        <f>IFERROR(IF(ISNUMBER(INDEX(SPPR!$E:$Z,MATCH($A217,SPPR!$A:$A,0),20)),$C217*INDEX(SPPR!$E:$Z,MATCH($A217,SPPR!$A:$A,0),20),""),"")</f>
        <v/>
      </c>
      <c r="X217">
        <f>IFERROR(IF(ISNUMBER(INDEX(SPPR!$E:$Z,MATCH($A217,SPPR!$A:$A,0),21)),$C217*INDEX(SPPR!$E:$Z,MATCH($A217,SPPR!$A:$A,0),21),""),"")</f>
        <v/>
      </c>
      <c r="Y217">
        <f>IFERROR(IF(ISNUMBER(INDEX(SPPR!$E:$Z,MATCH($A217,SPPR!$A:$A,0),22)),$C217*INDEX(SPPR!$E:$Z,MATCH($A217,SPPR!$A:$A,0),22),""),"")</f>
        <v/>
      </c>
    </row>
    <row r="218">
      <c r="A218" t="inlineStr">
        <is>
          <t>Rhinobatidae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IFERROR(IF(ISNUMBER(INDEX(SPPR!$E:$Z,MATCH($A218,SPPR!$A:$A,0),1)),$C218*INDEX(SPPR!$E:$Z,MATCH($A218,SPPR!$A:$A,0),1),""),"")</f>
        <v/>
      </c>
      <c r="E218">
        <f>IFERROR(IF(ISNUMBER(INDEX(SPPR!$E:$Z,MATCH($A218,SPPR!$A:$A,0),2)),$C218*INDEX(SPPR!$E:$Z,MATCH($A218,SPPR!$A:$A,0),2),""),"")</f>
        <v/>
      </c>
      <c r="F218">
        <f>IFERROR(IF(ISNUMBER(INDEX(SPPR!$E:$Z,MATCH($A218,SPPR!$A:$A,0),3)),$C218*INDEX(SPPR!$E:$Z,MATCH($A218,SPPR!$A:$A,0),3),""),"")</f>
        <v/>
      </c>
      <c r="G218">
        <f>IFERROR(IF(ISNUMBER(INDEX(SPPR!$E:$Z,MATCH($A218,SPPR!$A:$A,0),4)),$C218*INDEX(SPPR!$E:$Z,MATCH($A218,SPPR!$A:$A,0),4),""),"")</f>
        <v/>
      </c>
      <c r="H218">
        <f>IFERROR(IF(ISNUMBER(INDEX(SPPR!$E:$Z,MATCH($A218,SPPR!$A:$A,0),5)),$C218*INDEX(SPPR!$E:$Z,MATCH($A218,SPPR!$A:$A,0),5),""),"")</f>
        <v/>
      </c>
      <c r="I218">
        <f>IFERROR(IF(ISNUMBER(INDEX(SPPR!$E:$Z,MATCH($A218,SPPR!$A:$A,0),6)),$C218*INDEX(SPPR!$E:$Z,MATCH($A218,SPPR!$A:$A,0),6),""),"")</f>
        <v/>
      </c>
      <c r="J218">
        <f>IFERROR(IF(ISNUMBER(INDEX(SPPR!$E:$Z,MATCH($A218,SPPR!$A:$A,0),7)),$C218*INDEX(SPPR!$E:$Z,MATCH($A218,SPPR!$A:$A,0),7),""),"")</f>
        <v/>
      </c>
      <c r="K218">
        <f>IFERROR(IF(ISNUMBER(INDEX(SPPR!$E:$Z,MATCH($A218,SPPR!$A:$A,0),8)),$C218*INDEX(SPPR!$E:$Z,MATCH($A218,SPPR!$A:$A,0),8),""),"")</f>
        <v/>
      </c>
      <c r="L218">
        <f>IFERROR(IF(ISNUMBER(INDEX(SPPR!$E:$Z,MATCH($A218,SPPR!$A:$A,0),9)),$C218*INDEX(SPPR!$E:$Z,MATCH($A218,SPPR!$A:$A,0),9),""),"")</f>
        <v/>
      </c>
      <c r="M218">
        <f>IFERROR(IF(ISNUMBER(INDEX(SPPR!$E:$Z,MATCH($A218,SPPR!$A:$A,0),10)),$C218*INDEX(SPPR!$E:$Z,MATCH($A218,SPPR!$A:$A,0),10),""),"")</f>
        <v/>
      </c>
      <c r="N218">
        <f>IFERROR(IF(ISNUMBER(INDEX(SPPR!$E:$Z,MATCH($A218,SPPR!$A:$A,0),11)),$C218*INDEX(SPPR!$E:$Z,MATCH($A218,SPPR!$A:$A,0),11),""),"")</f>
        <v/>
      </c>
      <c r="O218">
        <f>IFERROR(IF(ISNUMBER(INDEX(SPPR!$E:$Z,MATCH($A218,SPPR!$A:$A,0),12)),$C218*INDEX(SPPR!$E:$Z,MATCH($A218,SPPR!$A:$A,0),12),""),"")</f>
        <v/>
      </c>
      <c r="P218">
        <f>IFERROR(IF(ISNUMBER(INDEX(SPPR!$E:$Z,MATCH($A218,SPPR!$A:$A,0),13)),$C218*INDEX(SPPR!$E:$Z,MATCH($A218,SPPR!$A:$A,0),13),""),"")</f>
        <v/>
      </c>
      <c r="Q218">
        <f>IFERROR(IF(ISNUMBER(INDEX(SPPR!$E:$Z,MATCH($A218,SPPR!$A:$A,0),14)),$C218*INDEX(SPPR!$E:$Z,MATCH($A218,SPPR!$A:$A,0),14),""),"")</f>
        <v/>
      </c>
      <c r="R218">
        <f>IFERROR(IF(ISNUMBER(INDEX(SPPR!$E:$Z,MATCH($A218,SPPR!$A:$A,0),15)),$C218*INDEX(SPPR!$E:$Z,MATCH($A218,SPPR!$A:$A,0),15),""),"")</f>
        <v/>
      </c>
      <c r="S218">
        <f>IFERROR(IF(ISNUMBER(INDEX(SPPR!$E:$Z,MATCH($A218,SPPR!$A:$A,0),16)),$C218*INDEX(SPPR!$E:$Z,MATCH($A218,SPPR!$A:$A,0),16),""),"")</f>
        <v/>
      </c>
      <c r="T218">
        <f>IFERROR(IF(ISNUMBER(INDEX(SPPR!$E:$Z,MATCH($A218,SPPR!$A:$A,0),17)),$C218*INDEX(SPPR!$E:$Z,MATCH($A218,SPPR!$A:$A,0),17),""),"")</f>
        <v/>
      </c>
      <c r="U218">
        <f>IFERROR(IF(ISNUMBER(INDEX(SPPR!$E:$Z,MATCH($A218,SPPR!$A:$A,0),18)),$C218*INDEX(SPPR!$E:$Z,MATCH($A218,SPPR!$A:$A,0),18),""),"")</f>
        <v/>
      </c>
      <c r="V218">
        <f>IFERROR(IF(ISNUMBER(INDEX(SPPR!$E:$Z,MATCH($A218,SPPR!$A:$A,0),19)),$C218*INDEX(SPPR!$E:$Z,MATCH($A218,SPPR!$A:$A,0),19),""),"")</f>
        <v/>
      </c>
      <c r="W218">
        <f>IFERROR(IF(ISNUMBER(INDEX(SPPR!$E:$Z,MATCH($A218,SPPR!$A:$A,0),20)),$C218*INDEX(SPPR!$E:$Z,MATCH($A218,SPPR!$A:$A,0),20),""),"")</f>
        <v/>
      </c>
      <c r="X218">
        <f>IFERROR(IF(ISNUMBER(INDEX(SPPR!$E:$Z,MATCH($A218,SPPR!$A:$A,0),21)),$C218*INDEX(SPPR!$E:$Z,MATCH($A218,SPPR!$A:$A,0),21),""),"")</f>
        <v/>
      </c>
      <c r="Y218">
        <f>IFERROR(IF(ISNUMBER(INDEX(SPPR!$E:$Z,MATCH($A218,SPPR!$A:$A,0),22)),$C218*INDEX(SPPR!$E:$Z,MATCH($A218,SPPR!$A:$A,0),22),""),"")</f>
        <v/>
      </c>
    </row>
    <row r="219">
      <c r="A219" t="inlineStr">
        <is>
          <t>Lophiidae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IFERROR(IF(ISNUMBER(INDEX(SPPR!$E:$Z,MATCH($A219,SPPR!$A:$A,0),1)),$C219*INDEX(SPPR!$E:$Z,MATCH($A219,SPPR!$A:$A,0),1),""),"")</f>
        <v/>
      </c>
      <c r="E219">
        <f>IFERROR(IF(ISNUMBER(INDEX(SPPR!$E:$Z,MATCH($A219,SPPR!$A:$A,0),2)),$C219*INDEX(SPPR!$E:$Z,MATCH($A219,SPPR!$A:$A,0),2),""),"")</f>
        <v/>
      </c>
      <c r="F219">
        <f>IFERROR(IF(ISNUMBER(INDEX(SPPR!$E:$Z,MATCH($A219,SPPR!$A:$A,0),3)),$C219*INDEX(SPPR!$E:$Z,MATCH($A219,SPPR!$A:$A,0),3),""),"")</f>
        <v/>
      </c>
      <c r="G219">
        <f>IFERROR(IF(ISNUMBER(INDEX(SPPR!$E:$Z,MATCH($A219,SPPR!$A:$A,0),4)),$C219*INDEX(SPPR!$E:$Z,MATCH($A219,SPPR!$A:$A,0),4),""),"")</f>
        <v/>
      </c>
      <c r="H219">
        <f>IFERROR(IF(ISNUMBER(INDEX(SPPR!$E:$Z,MATCH($A219,SPPR!$A:$A,0),5)),$C219*INDEX(SPPR!$E:$Z,MATCH($A219,SPPR!$A:$A,0),5),""),"")</f>
        <v/>
      </c>
      <c r="I219">
        <f>IFERROR(IF(ISNUMBER(INDEX(SPPR!$E:$Z,MATCH($A219,SPPR!$A:$A,0),6)),$C219*INDEX(SPPR!$E:$Z,MATCH($A219,SPPR!$A:$A,0),6),""),"")</f>
        <v/>
      </c>
      <c r="J219">
        <f>IFERROR(IF(ISNUMBER(INDEX(SPPR!$E:$Z,MATCH($A219,SPPR!$A:$A,0),7)),$C219*INDEX(SPPR!$E:$Z,MATCH($A219,SPPR!$A:$A,0),7),""),"")</f>
        <v/>
      </c>
      <c r="K219">
        <f>IFERROR(IF(ISNUMBER(INDEX(SPPR!$E:$Z,MATCH($A219,SPPR!$A:$A,0),8)),$C219*INDEX(SPPR!$E:$Z,MATCH($A219,SPPR!$A:$A,0),8),""),"")</f>
        <v/>
      </c>
      <c r="L219">
        <f>IFERROR(IF(ISNUMBER(INDEX(SPPR!$E:$Z,MATCH($A219,SPPR!$A:$A,0),9)),$C219*INDEX(SPPR!$E:$Z,MATCH($A219,SPPR!$A:$A,0),9),""),"")</f>
        <v/>
      </c>
      <c r="M219">
        <f>IFERROR(IF(ISNUMBER(INDEX(SPPR!$E:$Z,MATCH($A219,SPPR!$A:$A,0),10)),$C219*INDEX(SPPR!$E:$Z,MATCH($A219,SPPR!$A:$A,0),10),""),"")</f>
        <v/>
      </c>
      <c r="N219">
        <f>IFERROR(IF(ISNUMBER(INDEX(SPPR!$E:$Z,MATCH($A219,SPPR!$A:$A,0),11)),$C219*INDEX(SPPR!$E:$Z,MATCH($A219,SPPR!$A:$A,0),11),""),"")</f>
        <v/>
      </c>
      <c r="O219">
        <f>IFERROR(IF(ISNUMBER(INDEX(SPPR!$E:$Z,MATCH($A219,SPPR!$A:$A,0),12)),$C219*INDEX(SPPR!$E:$Z,MATCH($A219,SPPR!$A:$A,0),12),""),"")</f>
        <v/>
      </c>
      <c r="P219">
        <f>IFERROR(IF(ISNUMBER(INDEX(SPPR!$E:$Z,MATCH($A219,SPPR!$A:$A,0),13)),$C219*INDEX(SPPR!$E:$Z,MATCH($A219,SPPR!$A:$A,0),13),""),"")</f>
        <v/>
      </c>
      <c r="Q219">
        <f>IFERROR(IF(ISNUMBER(INDEX(SPPR!$E:$Z,MATCH($A219,SPPR!$A:$A,0),14)),$C219*INDEX(SPPR!$E:$Z,MATCH($A219,SPPR!$A:$A,0),14),""),"")</f>
        <v/>
      </c>
      <c r="R219">
        <f>IFERROR(IF(ISNUMBER(INDEX(SPPR!$E:$Z,MATCH($A219,SPPR!$A:$A,0),15)),$C219*INDEX(SPPR!$E:$Z,MATCH($A219,SPPR!$A:$A,0),15),""),"")</f>
        <v/>
      </c>
      <c r="S219">
        <f>IFERROR(IF(ISNUMBER(INDEX(SPPR!$E:$Z,MATCH($A219,SPPR!$A:$A,0),16)),$C219*INDEX(SPPR!$E:$Z,MATCH($A219,SPPR!$A:$A,0),16),""),"")</f>
        <v/>
      </c>
      <c r="T219">
        <f>IFERROR(IF(ISNUMBER(INDEX(SPPR!$E:$Z,MATCH($A219,SPPR!$A:$A,0),17)),$C219*INDEX(SPPR!$E:$Z,MATCH($A219,SPPR!$A:$A,0),17),""),"")</f>
        <v/>
      </c>
      <c r="U219">
        <f>IFERROR(IF(ISNUMBER(INDEX(SPPR!$E:$Z,MATCH($A219,SPPR!$A:$A,0),18)),$C219*INDEX(SPPR!$E:$Z,MATCH($A219,SPPR!$A:$A,0),18),""),"")</f>
        <v/>
      </c>
      <c r="V219">
        <f>IFERROR(IF(ISNUMBER(INDEX(SPPR!$E:$Z,MATCH($A219,SPPR!$A:$A,0),19)),$C219*INDEX(SPPR!$E:$Z,MATCH($A219,SPPR!$A:$A,0),19),""),"")</f>
        <v/>
      </c>
      <c r="W219">
        <f>IFERROR(IF(ISNUMBER(INDEX(SPPR!$E:$Z,MATCH($A219,SPPR!$A:$A,0),20)),$C219*INDEX(SPPR!$E:$Z,MATCH($A219,SPPR!$A:$A,0),20),""),"")</f>
        <v/>
      </c>
      <c r="X219">
        <f>IFERROR(IF(ISNUMBER(INDEX(SPPR!$E:$Z,MATCH($A219,SPPR!$A:$A,0),21)),$C219*INDEX(SPPR!$E:$Z,MATCH($A219,SPPR!$A:$A,0),21),""),"")</f>
        <v/>
      </c>
      <c r="Y219">
        <f>IFERROR(IF(ISNUMBER(INDEX(SPPR!$E:$Z,MATCH($A219,SPPR!$A:$A,0),22)),$C219*INDEX(SPPR!$E:$Z,MATCH($A219,SPPR!$A:$A,0),22),""),"")</f>
        <v/>
      </c>
    </row>
    <row r="220">
      <c r="A220" t="inlineStr">
        <is>
          <t>Tetrapturus pfluegeri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IFERROR(IF(ISNUMBER(INDEX(SPPR!$E:$Z,MATCH($A220,SPPR!$A:$A,0),1)),$C220*INDEX(SPPR!$E:$Z,MATCH($A220,SPPR!$A:$A,0),1),""),"")</f>
        <v/>
      </c>
      <c r="E220">
        <f>IFERROR(IF(ISNUMBER(INDEX(SPPR!$E:$Z,MATCH($A220,SPPR!$A:$A,0),2)),$C220*INDEX(SPPR!$E:$Z,MATCH($A220,SPPR!$A:$A,0),2),""),"")</f>
        <v/>
      </c>
      <c r="F220">
        <f>IFERROR(IF(ISNUMBER(INDEX(SPPR!$E:$Z,MATCH($A220,SPPR!$A:$A,0),3)),$C220*INDEX(SPPR!$E:$Z,MATCH($A220,SPPR!$A:$A,0),3),""),"")</f>
        <v/>
      </c>
      <c r="G220">
        <f>IFERROR(IF(ISNUMBER(INDEX(SPPR!$E:$Z,MATCH($A220,SPPR!$A:$A,0),4)),$C220*INDEX(SPPR!$E:$Z,MATCH($A220,SPPR!$A:$A,0),4),""),"")</f>
        <v/>
      </c>
      <c r="H220">
        <f>IFERROR(IF(ISNUMBER(INDEX(SPPR!$E:$Z,MATCH($A220,SPPR!$A:$A,0),5)),$C220*INDEX(SPPR!$E:$Z,MATCH($A220,SPPR!$A:$A,0),5),""),"")</f>
        <v/>
      </c>
      <c r="I220">
        <f>IFERROR(IF(ISNUMBER(INDEX(SPPR!$E:$Z,MATCH($A220,SPPR!$A:$A,0),6)),$C220*INDEX(SPPR!$E:$Z,MATCH($A220,SPPR!$A:$A,0),6),""),"")</f>
        <v/>
      </c>
      <c r="J220">
        <f>IFERROR(IF(ISNUMBER(INDEX(SPPR!$E:$Z,MATCH($A220,SPPR!$A:$A,0),7)),$C220*INDEX(SPPR!$E:$Z,MATCH($A220,SPPR!$A:$A,0),7),""),"")</f>
        <v/>
      </c>
      <c r="K220">
        <f>IFERROR(IF(ISNUMBER(INDEX(SPPR!$E:$Z,MATCH($A220,SPPR!$A:$A,0),8)),$C220*INDEX(SPPR!$E:$Z,MATCH($A220,SPPR!$A:$A,0),8),""),"")</f>
        <v/>
      </c>
      <c r="L220">
        <f>IFERROR(IF(ISNUMBER(INDEX(SPPR!$E:$Z,MATCH($A220,SPPR!$A:$A,0),9)),$C220*INDEX(SPPR!$E:$Z,MATCH($A220,SPPR!$A:$A,0),9),""),"")</f>
        <v/>
      </c>
      <c r="M220">
        <f>IFERROR(IF(ISNUMBER(INDEX(SPPR!$E:$Z,MATCH($A220,SPPR!$A:$A,0),10)),$C220*INDEX(SPPR!$E:$Z,MATCH($A220,SPPR!$A:$A,0),10),""),"")</f>
        <v/>
      </c>
      <c r="N220">
        <f>IFERROR(IF(ISNUMBER(INDEX(SPPR!$E:$Z,MATCH($A220,SPPR!$A:$A,0),11)),$C220*INDEX(SPPR!$E:$Z,MATCH($A220,SPPR!$A:$A,0),11),""),"")</f>
        <v/>
      </c>
      <c r="O220">
        <f>IFERROR(IF(ISNUMBER(INDEX(SPPR!$E:$Z,MATCH($A220,SPPR!$A:$A,0),12)),$C220*INDEX(SPPR!$E:$Z,MATCH($A220,SPPR!$A:$A,0),12),""),"")</f>
        <v/>
      </c>
      <c r="P220">
        <f>IFERROR(IF(ISNUMBER(INDEX(SPPR!$E:$Z,MATCH($A220,SPPR!$A:$A,0),13)),$C220*INDEX(SPPR!$E:$Z,MATCH($A220,SPPR!$A:$A,0),13),""),"")</f>
        <v/>
      </c>
      <c r="Q220">
        <f>IFERROR(IF(ISNUMBER(INDEX(SPPR!$E:$Z,MATCH($A220,SPPR!$A:$A,0),14)),$C220*INDEX(SPPR!$E:$Z,MATCH($A220,SPPR!$A:$A,0),14),""),"")</f>
        <v/>
      </c>
      <c r="R220">
        <f>IFERROR(IF(ISNUMBER(INDEX(SPPR!$E:$Z,MATCH($A220,SPPR!$A:$A,0),15)),$C220*INDEX(SPPR!$E:$Z,MATCH($A220,SPPR!$A:$A,0),15),""),"")</f>
        <v/>
      </c>
      <c r="S220">
        <f>IFERROR(IF(ISNUMBER(INDEX(SPPR!$E:$Z,MATCH($A220,SPPR!$A:$A,0),16)),$C220*INDEX(SPPR!$E:$Z,MATCH($A220,SPPR!$A:$A,0),16),""),"")</f>
        <v/>
      </c>
      <c r="T220">
        <f>IFERROR(IF(ISNUMBER(INDEX(SPPR!$E:$Z,MATCH($A220,SPPR!$A:$A,0),17)),$C220*INDEX(SPPR!$E:$Z,MATCH($A220,SPPR!$A:$A,0),17),""),"")</f>
        <v/>
      </c>
      <c r="U220">
        <f>IFERROR(IF(ISNUMBER(INDEX(SPPR!$E:$Z,MATCH($A220,SPPR!$A:$A,0),18)),$C220*INDEX(SPPR!$E:$Z,MATCH($A220,SPPR!$A:$A,0),18),""),"")</f>
        <v/>
      </c>
      <c r="V220">
        <f>IFERROR(IF(ISNUMBER(INDEX(SPPR!$E:$Z,MATCH($A220,SPPR!$A:$A,0),19)),$C220*INDEX(SPPR!$E:$Z,MATCH($A220,SPPR!$A:$A,0),19),""),"")</f>
        <v/>
      </c>
      <c r="W220">
        <f>IFERROR(IF(ISNUMBER(INDEX(SPPR!$E:$Z,MATCH($A220,SPPR!$A:$A,0),20)),$C220*INDEX(SPPR!$E:$Z,MATCH($A220,SPPR!$A:$A,0),20),""),"")</f>
        <v/>
      </c>
      <c r="X220">
        <f>IFERROR(IF(ISNUMBER(INDEX(SPPR!$E:$Z,MATCH($A220,SPPR!$A:$A,0),21)),$C220*INDEX(SPPR!$E:$Z,MATCH($A220,SPPR!$A:$A,0),21),""),"")</f>
        <v/>
      </c>
      <c r="Y220">
        <f>IFERROR(IF(ISNUMBER(INDEX(SPPR!$E:$Z,MATCH($A220,SPPR!$A:$A,0),22)),$C220*INDEX(SPPR!$E:$Z,MATCH($A220,SPPR!$A:$A,0),22),""),"")</f>
        <v/>
      </c>
    </row>
    <row r="221">
      <c r="A221" t="inlineStr">
        <is>
          <t>Gadiformes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IFERROR(IF(ISNUMBER(INDEX(SPPR!$E:$Z,MATCH($A221,SPPR!$A:$A,0),1)),$C221*INDEX(SPPR!$E:$Z,MATCH($A221,SPPR!$A:$A,0),1),""),"")</f>
        <v/>
      </c>
      <c r="E221">
        <f>IFERROR(IF(ISNUMBER(INDEX(SPPR!$E:$Z,MATCH($A221,SPPR!$A:$A,0),2)),$C221*INDEX(SPPR!$E:$Z,MATCH($A221,SPPR!$A:$A,0),2),""),"")</f>
        <v/>
      </c>
      <c r="F221">
        <f>IFERROR(IF(ISNUMBER(INDEX(SPPR!$E:$Z,MATCH($A221,SPPR!$A:$A,0),3)),$C221*INDEX(SPPR!$E:$Z,MATCH($A221,SPPR!$A:$A,0),3),""),"")</f>
        <v/>
      </c>
      <c r="G221">
        <f>IFERROR(IF(ISNUMBER(INDEX(SPPR!$E:$Z,MATCH($A221,SPPR!$A:$A,0),4)),$C221*INDEX(SPPR!$E:$Z,MATCH($A221,SPPR!$A:$A,0),4),""),"")</f>
        <v/>
      </c>
      <c r="H221">
        <f>IFERROR(IF(ISNUMBER(INDEX(SPPR!$E:$Z,MATCH($A221,SPPR!$A:$A,0),5)),$C221*INDEX(SPPR!$E:$Z,MATCH($A221,SPPR!$A:$A,0),5),""),"")</f>
        <v/>
      </c>
      <c r="I221">
        <f>IFERROR(IF(ISNUMBER(INDEX(SPPR!$E:$Z,MATCH($A221,SPPR!$A:$A,0),6)),$C221*INDEX(SPPR!$E:$Z,MATCH($A221,SPPR!$A:$A,0),6),""),"")</f>
        <v/>
      </c>
      <c r="J221">
        <f>IFERROR(IF(ISNUMBER(INDEX(SPPR!$E:$Z,MATCH($A221,SPPR!$A:$A,0),7)),$C221*INDEX(SPPR!$E:$Z,MATCH($A221,SPPR!$A:$A,0),7),""),"")</f>
        <v/>
      </c>
      <c r="K221">
        <f>IFERROR(IF(ISNUMBER(INDEX(SPPR!$E:$Z,MATCH($A221,SPPR!$A:$A,0),8)),$C221*INDEX(SPPR!$E:$Z,MATCH($A221,SPPR!$A:$A,0),8),""),"")</f>
        <v/>
      </c>
      <c r="L221">
        <f>IFERROR(IF(ISNUMBER(INDEX(SPPR!$E:$Z,MATCH($A221,SPPR!$A:$A,0),9)),$C221*INDEX(SPPR!$E:$Z,MATCH($A221,SPPR!$A:$A,0),9),""),"")</f>
        <v/>
      </c>
      <c r="M221">
        <f>IFERROR(IF(ISNUMBER(INDEX(SPPR!$E:$Z,MATCH($A221,SPPR!$A:$A,0),10)),$C221*INDEX(SPPR!$E:$Z,MATCH($A221,SPPR!$A:$A,0),10),""),"")</f>
        <v/>
      </c>
      <c r="N221">
        <f>IFERROR(IF(ISNUMBER(INDEX(SPPR!$E:$Z,MATCH($A221,SPPR!$A:$A,0),11)),$C221*INDEX(SPPR!$E:$Z,MATCH($A221,SPPR!$A:$A,0),11),""),"")</f>
        <v/>
      </c>
      <c r="O221">
        <f>IFERROR(IF(ISNUMBER(INDEX(SPPR!$E:$Z,MATCH($A221,SPPR!$A:$A,0),12)),$C221*INDEX(SPPR!$E:$Z,MATCH($A221,SPPR!$A:$A,0),12),""),"")</f>
        <v/>
      </c>
      <c r="P221">
        <f>IFERROR(IF(ISNUMBER(INDEX(SPPR!$E:$Z,MATCH($A221,SPPR!$A:$A,0),13)),$C221*INDEX(SPPR!$E:$Z,MATCH($A221,SPPR!$A:$A,0),13),""),"")</f>
        <v/>
      </c>
      <c r="Q221">
        <f>IFERROR(IF(ISNUMBER(INDEX(SPPR!$E:$Z,MATCH($A221,SPPR!$A:$A,0),14)),$C221*INDEX(SPPR!$E:$Z,MATCH($A221,SPPR!$A:$A,0),14),""),"")</f>
        <v/>
      </c>
      <c r="R221">
        <f>IFERROR(IF(ISNUMBER(INDEX(SPPR!$E:$Z,MATCH($A221,SPPR!$A:$A,0),15)),$C221*INDEX(SPPR!$E:$Z,MATCH($A221,SPPR!$A:$A,0),15),""),"")</f>
        <v/>
      </c>
      <c r="S221">
        <f>IFERROR(IF(ISNUMBER(INDEX(SPPR!$E:$Z,MATCH($A221,SPPR!$A:$A,0),16)),$C221*INDEX(SPPR!$E:$Z,MATCH($A221,SPPR!$A:$A,0),16),""),"")</f>
        <v/>
      </c>
      <c r="T221">
        <f>IFERROR(IF(ISNUMBER(INDEX(SPPR!$E:$Z,MATCH($A221,SPPR!$A:$A,0),17)),$C221*INDEX(SPPR!$E:$Z,MATCH($A221,SPPR!$A:$A,0),17),""),"")</f>
        <v/>
      </c>
      <c r="U221">
        <f>IFERROR(IF(ISNUMBER(INDEX(SPPR!$E:$Z,MATCH($A221,SPPR!$A:$A,0),18)),$C221*INDEX(SPPR!$E:$Z,MATCH($A221,SPPR!$A:$A,0),18),""),"")</f>
        <v/>
      </c>
      <c r="V221">
        <f>IFERROR(IF(ISNUMBER(INDEX(SPPR!$E:$Z,MATCH($A221,SPPR!$A:$A,0),19)),$C221*INDEX(SPPR!$E:$Z,MATCH($A221,SPPR!$A:$A,0),19),""),"")</f>
        <v/>
      </c>
      <c r="W221">
        <f>IFERROR(IF(ISNUMBER(INDEX(SPPR!$E:$Z,MATCH($A221,SPPR!$A:$A,0),20)),$C221*INDEX(SPPR!$E:$Z,MATCH($A221,SPPR!$A:$A,0),20),""),"")</f>
        <v/>
      </c>
      <c r="X221">
        <f>IFERROR(IF(ISNUMBER(INDEX(SPPR!$E:$Z,MATCH($A221,SPPR!$A:$A,0),21)),$C221*INDEX(SPPR!$E:$Z,MATCH($A221,SPPR!$A:$A,0),21),""),"")</f>
        <v/>
      </c>
      <c r="Y221">
        <f>IFERROR(IF(ISNUMBER(INDEX(SPPR!$E:$Z,MATCH($A221,SPPR!$A:$A,0),22)),$C221*INDEX(SPPR!$E:$Z,MATCH($A221,SPPR!$A:$A,0),22),""),"")</f>
        <v/>
      </c>
    </row>
    <row r="222">
      <c r="A222" t="inlineStr">
        <is>
          <t>Pagrus africanus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IFERROR(IF(ISNUMBER(INDEX(SPPR!$E:$Z,MATCH($A222,SPPR!$A:$A,0),1)),$C222*INDEX(SPPR!$E:$Z,MATCH($A222,SPPR!$A:$A,0),1),""),"")</f>
        <v/>
      </c>
      <c r="E222">
        <f>IFERROR(IF(ISNUMBER(INDEX(SPPR!$E:$Z,MATCH($A222,SPPR!$A:$A,0),2)),$C222*INDEX(SPPR!$E:$Z,MATCH($A222,SPPR!$A:$A,0),2),""),"")</f>
        <v/>
      </c>
      <c r="F222">
        <f>IFERROR(IF(ISNUMBER(INDEX(SPPR!$E:$Z,MATCH($A222,SPPR!$A:$A,0),3)),$C222*INDEX(SPPR!$E:$Z,MATCH($A222,SPPR!$A:$A,0),3),""),"")</f>
        <v/>
      </c>
      <c r="G222">
        <f>IFERROR(IF(ISNUMBER(INDEX(SPPR!$E:$Z,MATCH($A222,SPPR!$A:$A,0),4)),$C222*INDEX(SPPR!$E:$Z,MATCH($A222,SPPR!$A:$A,0),4),""),"")</f>
        <v/>
      </c>
      <c r="H222">
        <f>IFERROR(IF(ISNUMBER(INDEX(SPPR!$E:$Z,MATCH($A222,SPPR!$A:$A,0),5)),$C222*INDEX(SPPR!$E:$Z,MATCH($A222,SPPR!$A:$A,0),5),""),"")</f>
        <v/>
      </c>
      <c r="I222">
        <f>IFERROR(IF(ISNUMBER(INDEX(SPPR!$E:$Z,MATCH($A222,SPPR!$A:$A,0),6)),$C222*INDEX(SPPR!$E:$Z,MATCH($A222,SPPR!$A:$A,0),6),""),"")</f>
        <v/>
      </c>
      <c r="J222">
        <f>IFERROR(IF(ISNUMBER(INDEX(SPPR!$E:$Z,MATCH($A222,SPPR!$A:$A,0),7)),$C222*INDEX(SPPR!$E:$Z,MATCH($A222,SPPR!$A:$A,0),7),""),"")</f>
        <v/>
      </c>
      <c r="K222">
        <f>IFERROR(IF(ISNUMBER(INDEX(SPPR!$E:$Z,MATCH($A222,SPPR!$A:$A,0),8)),$C222*INDEX(SPPR!$E:$Z,MATCH($A222,SPPR!$A:$A,0),8),""),"")</f>
        <v/>
      </c>
      <c r="L222">
        <f>IFERROR(IF(ISNUMBER(INDEX(SPPR!$E:$Z,MATCH($A222,SPPR!$A:$A,0),9)),$C222*INDEX(SPPR!$E:$Z,MATCH($A222,SPPR!$A:$A,0),9),""),"")</f>
        <v/>
      </c>
      <c r="M222">
        <f>IFERROR(IF(ISNUMBER(INDEX(SPPR!$E:$Z,MATCH($A222,SPPR!$A:$A,0),10)),$C222*INDEX(SPPR!$E:$Z,MATCH($A222,SPPR!$A:$A,0),10),""),"")</f>
        <v/>
      </c>
      <c r="N222">
        <f>IFERROR(IF(ISNUMBER(INDEX(SPPR!$E:$Z,MATCH($A222,SPPR!$A:$A,0),11)),$C222*INDEX(SPPR!$E:$Z,MATCH($A222,SPPR!$A:$A,0),11),""),"")</f>
        <v/>
      </c>
      <c r="O222">
        <f>IFERROR(IF(ISNUMBER(INDEX(SPPR!$E:$Z,MATCH($A222,SPPR!$A:$A,0),12)),$C222*INDEX(SPPR!$E:$Z,MATCH($A222,SPPR!$A:$A,0),12),""),"")</f>
        <v/>
      </c>
      <c r="P222">
        <f>IFERROR(IF(ISNUMBER(INDEX(SPPR!$E:$Z,MATCH($A222,SPPR!$A:$A,0),13)),$C222*INDEX(SPPR!$E:$Z,MATCH($A222,SPPR!$A:$A,0),13),""),"")</f>
        <v/>
      </c>
      <c r="Q222">
        <f>IFERROR(IF(ISNUMBER(INDEX(SPPR!$E:$Z,MATCH($A222,SPPR!$A:$A,0),14)),$C222*INDEX(SPPR!$E:$Z,MATCH($A222,SPPR!$A:$A,0),14),""),"")</f>
        <v/>
      </c>
      <c r="R222">
        <f>IFERROR(IF(ISNUMBER(INDEX(SPPR!$E:$Z,MATCH($A222,SPPR!$A:$A,0),15)),$C222*INDEX(SPPR!$E:$Z,MATCH($A222,SPPR!$A:$A,0),15),""),"")</f>
        <v/>
      </c>
      <c r="S222">
        <f>IFERROR(IF(ISNUMBER(INDEX(SPPR!$E:$Z,MATCH($A222,SPPR!$A:$A,0),16)),$C222*INDEX(SPPR!$E:$Z,MATCH($A222,SPPR!$A:$A,0),16),""),"")</f>
        <v/>
      </c>
      <c r="T222">
        <f>IFERROR(IF(ISNUMBER(INDEX(SPPR!$E:$Z,MATCH($A222,SPPR!$A:$A,0),17)),$C222*INDEX(SPPR!$E:$Z,MATCH($A222,SPPR!$A:$A,0),17),""),"")</f>
        <v/>
      </c>
      <c r="U222">
        <f>IFERROR(IF(ISNUMBER(INDEX(SPPR!$E:$Z,MATCH($A222,SPPR!$A:$A,0),18)),$C222*INDEX(SPPR!$E:$Z,MATCH($A222,SPPR!$A:$A,0),18),""),"")</f>
        <v/>
      </c>
      <c r="V222">
        <f>IFERROR(IF(ISNUMBER(INDEX(SPPR!$E:$Z,MATCH($A222,SPPR!$A:$A,0),19)),$C222*INDEX(SPPR!$E:$Z,MATCH($A222,SPPR!$A:$A,0),19),""),"")</f>
        <v/>
      </c>
      <c r="W222">
        <f>IFERROR(IF(ISNUMBER(INDEX(SPPR!$E:$Z,MATCH($A222,SPPR!$A:$A,0),20)),$C222*INDEX(SPPR!$E:$Z,MATCH($A222,SPPR!$A:$A,0),20),""),"")</f>
        <v/>
      </c>
      <c r="X222">
        <f>IFERROR(IF(ISNUMBER(INDEX(SPPR!$E:$Z,MATCH($A222,SPPR!$A:$A,0),21)),$C222*INDEX(SPPR!$E:$Z,MATCH($A222,SPPR!$A:$A,0),21),""),"")</f>
        <v/>
      </c>
      <c r="Y222">
        <f>IFERROR(IF(ISNUMBER(INDEX(SPPR!$E:$Z,MATCH($A222,SPPR!$A:$A,0),22)),$C222*INDEX(SPPR!$E:$Z,MATCH($A222,SPPR!$A:$A,0),22),""),"")</f>
        <v/>
      </c>
    </row>
    <row r="223">
      <c r="A223" t="inlineStr">
        <is>
          <t>Loliginidae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IFERROR(IF(ISNUMBER(INDEX(SPPR!$E:$Z,MATCH($A223,SPPR!$A:$A,0),1)),$C223*INDEX(SPPR!$E:$Z,MATCH($A223,SPPR!$A:$A,0),1),""),"")</f>
        <v/>
      </c>
      <c r="E223">
        <f>IFERROR(IF(ISNUMBER(INDEX(SPPR!$E:$Z,MATCH($A223,SPPR!$A:$A,0),2)),$C223*INDEX(SPPR!$E:$Z,MATCH($A223,SPPR!$A:$A,0),2),""),"")</f>
        <v/>
      </c>
      <c r="F223">
        <f>IFERROR(IF(ISNUMBER(INDEX(SPPR!$E:$Z,MATCH($A223,SPPR!$A:$A,0),3)),$C223*INDEX(SPPR!$E:$Z,MATCH($A223,SPPR!$A:$A,0),3),""),"")</f>
        <v/>
      </c>
      <c r="G223">
        <f>IFERROR(IF(ISNUMBER(INDEX(SPPR!$E:$Z,MATCH($A223,SPPR!$A:$A,0),4)),$C223*INDEX(SPPR!$E:$Z,MATCH($A223,SPPR!$A:$A,0),4),""),"")</f>
        <v/>
      </c>
      <c r="H223">
        <f>IFERROR(IF(ISNUMBER(INDEX(SPPR!$E:$Z,MATCH($A223,SPPR!$A:$A,0),5)),$C223*INDEX(SPPR!$E:$Z,MATCH($A223,SPPR!$A:$A,0),5),""),"")</f>
        <v/>
      </c>
      <c r="I223">
        <f>IFERROR(IF(ISNUMBER(INDEX(SPPR!$E:$Z,MATCH($A223,SPPR!$A:$A,0),6)),$C223*INDEX(SPPR!$E:$Z,MATCH($A223,SPPR!$A:$A,0),6),""),"")</f>
        <v/>
      </c>
      <c r="J223">
        <f>IFERROR(IF(ISNUMBER(INDEX(SPPR!$E:$Z,MATCH($A223,SPPR!$A:$A,0),7)),$C223*INDEX(SPPR!$E:$Z,MATCH($A223,SPPR!$A:$A,0),7),""),"")</f>
        <v/>
      </c>
      <c r="K223">
        <f>IFERROR(IF(ISNUMBER(INDEX(SPPR!$E:$Z,MATCH($A223,SPPR!$A:$A,0),8)),$C223*INDEX(SPPR!$E:$Z,MATCH($A223,SPPR!$A:$A,0),8),""),"")</f>
        <v/>
      </c>
      <c r="L223">
        <f>IFERROR(IF(ISNUMBER(INDEX(SPPR!$E:$Z,MATCH($A223,SPPR!$A:$A,0),9)),$C223*INDEX(SPPR!$E:$Z,MATCH($A223,SPPR!$A:$A,0),9),""),"")</f>
        <v/>
      </c>
      <c r="M223">
        <f>IFERROR(IF(ISNUMBER(INDEX(SPPR!$E:$Z,MATCH($A223,SPPR!$A:$A,0),10)),$C223*INDEX(SPPR!$E:$Z,MATCH($A223,SPPR!$A:$A,0),10),""),"")</f>
        <v/>
      </c>
      <c r="N223">
        <f>IFERROR(IF(ISNUMBER(INDEX(SPPR!$E:$Z,MATCH($A223,SPPR!$A:$A,0),11)),$C223*INDEX(SPPR!$E:$Z,MATCH($A223,SPPR!$A:$A,0),11),""),"")</f>
        <v/>
      </c>
      <c r="O223">
        <f>IFERROR(IF(ISNUMBER(INDEX(SPPR!$E:$Z,MATCH($A223,SPPR!$A:$A,0),12)),$C223*INDEX(SPPR!$E:$Z,MATCH($A223,SPPR!$A:$A,0),12),""),"")</f>
        <v/>
      </c>
      <c r="P223">
        <f>IFERROR(IF(ISNUMBER(INDEX(SPPR!$E:$Z,MATCH($A223,SPPR!$A:$A,0),13)),$C223*INDEX(SPPR!$E:$Z,MATCH($A223,SPPR!$A:$A,0),13),""),"")</f>
        <v/>
      </c>
      <c r="Q223">
        <f>IFERROR(IF(ISNUMBER(INDEX(SPPR!$E:$Z,MATCH($A223,SPPR!$A:$A,0),14)),$C223*INDEX(SPPR!$E:$Z,MATCH($A223,SPPR!$A:$A,0),14),""),"")</f>
        <v/>
      </c>
      <c r="R223">
        <f>IFERROR(IF(ISNUMBER(INDEX(SPPR!$E:$Z,MATCH($A223,SPPR!$A:$A,0),15)),$C223*INDEX(SPPR!$E:$Z,MATCH($A223,SPPR!$A:$A,0),15),""),"")</f>
        <v/>
      </c>
      <c r="S223">
        <f>IFERROR(IF(ISNUMBER(INDEX(SPPR!$E:$Z,MATCH($A223,SPPR!$A:$A,0),16)),$C223*INDEX(SPPR!$E:$Z,MATCH($A223,SPPR!$A:$A,0),16),""),"")</f>
        <v/>
      </c>
      <c r="T223">
        <f>IFERROR(IF(ISNUMBER(INDEX(SPPR!$E:$Z,MATCH($A223,SPPR!$A:$A,0),17)),$C223*INDEX(SPPR!$E:$Z,MATCH($A223,SPPR!$A:$A,0),17),""),"")</f>
        <v/>
      </c>
      <c r="U223">
        <f>IFERROR(IF(ISNUMBER(INDEX(SPPR!$E:$Z,MATCH($A223,SPPR!$A:$A,0),18)),$C223*INDEX(SPPR!$E:$Z,MATCH($A223,SPPR!$A:$A,0),18),""),"")</f>
        <v/>
      </c>
      <c r="V223">
        <f>IFERROR(IF(ISNUMBER(INDEX(SPPR!$E:$Z,MATCH($A223,SPPR!$A:$A,0),19)),$C223*INDEX(SPPR!$E:$Z,MATCH($A223,SPPR!$A:$A,0),19),""),"")</f>
        <v/>
      </c>
      <c r="W223">
        <f>IFERROR(IF(ISNUMBER(INDEX(SPPR!$E:$Z,MATCH($A223,SPPR!$A:$A,0),20)),$C223*INDEX(SPPR!$E:$Z,MATCH($A223,SPPR!$A:$A,0),20),""),"")</f>
        <v/>
      </c>
      <c r="X223">
        <f>IFERROR(IF(ISNUMBER(INDEX(SPPR!$E:$Z,MATCH($A223,SPPR!$A:$A,0),21)),$C223*INDEX(SPPR!$E:$Z,MATCH($A223,SPPR!$A:$A,0),21),""),"")</f>
        <v/>
      </c>
      <c r="Y223">
        <f>IFERROR(IF(ISNUMBER(INDEX(SPPR!$E:$Z,MATCH($A223,SPPR!$A:$A,0),22)),$C223*INDEX(SPPR!$E:$Z,MATCH($A223,SPPR!$A:$A,0),22),""),"")</f>
        <v/>
      </c>
    </row>
    <row r="224">
      <c r="A224" t="inlineStr">
        <is>
          <t>Actinopterygii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IFERROR(IF(ISNUMBER(INDEX(SPPR!$E:$Z,MATCH($A224,SPPR!$A:$A,0),1)),$C224*INDEX(SPPR!$E:$Z,MATCH($A224,SPPR!$A:$A,0),1),""),"")</f>
        <v/>
      </c>
      <c r="E224">
        <f>IFERROR(IF(ISNUMBER(INDEX(SPPR!$E:$Z,MATCH($A224,SPPR!$A:$A,0),2)),$C224*INDEX(SPPR!$E:$Z,MATCH($A224,SPPR!$A:$A,0),2),""),"")</f>
        <v/>
      </c>
      <c r="F224">
        <f>IFERROR(IF(ISNUMBER(INDEX(SPPR!$E:$Z,MATCH($A224,SPPR!$A:$A,0),3)),$C224*INDEX(SPPR!$E:$Z,MATCH($A224,SPPR!$A:$A,0),3),""),"")</f>
        <v/>
      </c>
      <c r="G224">
        <f>IFERROR(IF(ISNUMBER(INDEX(SPPR!$E:$Z,MATCH($A224,SPPR!$A:$A,0),4)),$C224*INDEX(SPPR!$E:$Z,MATCH($A224,SPPR!$A:$A,0),4),""),"")</f>
        <v/>
      </c>
      <c r="H224">
        <f>IFERROR(IF(ISNUMBER(INDEX(SPPR!$E:$Z,MATCH($A224,SPPR!$A:$A,0),5)),$C224*INDEX(SPPR!$E:$Z,MATCH($A224,SPPR!$A:$A,0),5),""),"")</f>
        <v/>
      </c>
      <c r="I224">
        <f>IFERROR(IF(ISNUMBER(INDEX(SPPR!$E:$Z,MATCH($A224,SPPR!$A:$A,0),6)),$C224*INDEX(SPPR!$E:$Z,MATCH($A224,SPPR!$A:$A,0),6),""),"")</f>
        <v/>
      </c>
      <c r="J224">
        <f>IFERROR(IF(ISNUMBER(INDEX(SPPR!$E:$Z,MATCH($A224,SPPR!$A:$A,0),7)),$C224*INDEX(SPPR!$E:$Z,MATCH($A224,SPPR!$A:$A,0),7),""),"")</f>
        <v/>
      </c>
      <c r="K224">
        <f>IFERROR(IF(ISNUMBER(INDEX(SPPR!$E:$Z,MATCH($A224,SPPR!$A:$A,0),8)),$C224*INDEX(SPPR!$E:$Z,MATCH($A224,SPPR!$A:$A,0),8),""),"")</f>
        <v/>
      </c>
      <c r="L224">
        <f>IFERROR(IF(ISNUMBER(INDEX(SPPR!$E:$Z,MATCH($A224,SPPR!$A:$A,0),9)),$C224*INDEX(SPPR!$E:$Z,MATCH($A224,SPPR!$A:$A,0),9),""),"")</f>
        <v/>
      </c>
      <c r="M224">
        <f>IFERROR(IF(ISNUMBER(INDEX(SPPR!$E:$Z,MATCH($A224,SPPR!$A:$A,0),10)),$C224*INDEX(SPPR!$E:$Z,MATCH($A224,SPPR!$A:$A,0),10),""),"")</f>
        <v/>
      </c>
      <c r="N224">
        <f>IFERROR(IF(ISNUMBER(INDEX(SPPR!$E:$Z,MATCH($A224,SPPR!$A:$A,0),11)),$C224*INDEX(SPPR!$E:$Z,MATCH($A224,SPPR!$A:$A,0),11),""),"")</f>
        <v/>
      </c>
      <c r="O224">
        <f>IFERROR(IF(ISNUMBER(INDEX(SPPR!$E:$Z,MATCH($A224,SPPR!$A:$A,0),12)),$C224*INDEX(SPPR!$E:$Z,MATCH($A224,SPPR!$A:$A,0),12),""),"")</f>
        <v/>
      </c>
      <c r="P224">
        <f>IFERROR(IF(ISNUMBER(INDEX(SPPR!$E:$Z,MATCH($A224,SPPR!$A:$A,0),13)),$C224*INDEX(SPPR!$E:$Z,MATCH($A224,SPPR!$A:$A,0),13),""),"")</f>
        <v/>
      </c>
      <c r="Q224">
        <f>IFERROR(IF(ISNUMBER(INDEX(SPPR!$E:$Z,MATCH($A224,SPPR!$A:$A,0),14)),$C224*INDEX(SPPR!$E:$Z,MATCH($A224,SPPR!$A:$A,0),14),""),"")</f>
        <v/>
      </c>
      <c r="R224">
        <f>IFERROR(IF(ISNUMBER(INDEX(SPPR!$E:$Z,MATCH($A224,SPPR!$A:$A,0),15)),$C224*INDEX(SPPR!$E:$Z,MATCH($A224,SPPR!$A:$A,0),15),""),"")</f>
        <v/>
      </c>
      <c r="S224">
        <f>IFERROR(IF(ISNUMBER(INDEX(SPPR!$E:$Z,MATCH($A224,SPPR!$A:$A,0),16)),$C224*INDEX(SPPR!$E:$Z,MATCH($A224,SPPR!$A:$A,0),16),""),"")</f>
        <v/>
      </c>
      <c r="T224">
        <f>IFERROR(IF(ISNUMBER(INDEX(SPPR!$E:$Z,MATCH($A224,SPPR!$A:$A,0),17)),$C224*INDEX(SPPR!$E:$Z,MATCH($A224,SPPR!$A:$A,0),17),""),"")</f>
        <v/>
      </c>
      <c r="U224">
        <f>IFERROR(IF(ISNUMBER(INDEX(SPPR!$E:$Z,MATCH($A224,SPPR!$A:$A,0),18)),$C224*INDEX(SPPR!$E:$Z,MATCH($A224,SPPR!$A:$A,0),18),""),"")</f>
        <v/>
      </c>
      <c r="V224">
        <f>IFERROR(IF(ISNUMBER(INDEX(SPPR!$E:$Z,MATCH($A224,SPPR!$A:$A,0),19)),$C224*INDEX(SPPR!$E:$Z,MATCH($A224,SPPR!$A:$A,0),19),""),"")</f>
        <v/>
      </c>
      <c r="W224">
        <f>IFERROR(IF(ISNUMBER(INDEX(SPPR!$E:$Z,MATCH($A224,SPPR!$A:$A,0),20)),$C224*INDEX(SPPR!$E:$Z,MATCH($A224,SPPR!$A:$A,0),20),""),"")</f>
        <v/>
      </c>
      <c r="X224">
        <f>IFERROR(IF(ISNUMBER(INDEX(SPPR!$E:$Z,MATCH($A224,SPPR!$A:$A,0),21)),$C224*INDEX(SPPR!$E:$Z,MATCH($A224,SPPR!$A:$A,0),21),""),"")</f>
        <v/>
      </c>
      <c r="Y224">
        <f>IFERROR(IF(ISNUMBER(INDEX(SPPR!$E:$Z,MATCH($A224,SPPR!$A:$A,0),22)),$C224*INDEX(SPPR!$E:$Z,MATCH($A224,SPPR!$A:$A,0),22),""),"")</f>
        <v/>
      </c>
    </row>
    <row r="225">
      <c r="A225" t="inlineStr">
        <is>
          <t>Trachurus capensis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IFERROR(IF(ISNUMBER(INDEX(SPPR!$E:$Z,MATCH($A225,SPPR!$A:$A,0),1)),$C225*INDEX(SPPR!$E:$Z,MATCH($A225,SPPR!$A:$A,0),1),""),"")</f>
        <v/>
      </c>
      <c r="E225">
        <f>IFERROR(IF(ISNUMBER(INDEX(SPPR!$E:$Z,MATCH($A225,SPPR!$A:$A,0),2)),$C225*INDEX(SPPR!$E:$Z,MATCH($A225,SPPR!$A:$A,0),2),""),"")</f>
        <v/>
      </c>
      <c r="F225">
        <f>IFERROR(IF(ISNUMBER(INDEX(SPPR!$E:$Z,MATCH($A225,SPPR!$A:$A,0),3)),$C225*INDEX(SPPR!$E:$Z,MATCH($A225,SPPR!$A:$A,0),3),""),"")</f>
        <v/>
      </c>
      <c r="G225">
        <f>IFERROR(IF(ISNUMBER(INDEX(SPPR!$E:$Z,MATCH($A225,SPPR!$A:$A,0),4)),$C225*INDEX(SPPR!$E:$Z,MATCH($A225,SPPR!$A:$A,0),4),""),"")</f>
        <v/>
      </c>
      <c r="H225">
        <f>IFERROR(IF(ISNUMBER(INDEX(SPPR!$E:$Z,MATCH($A225,SPPR!$A:$A,0),5)),$C225*INDEX(SPPR!$E:$Z,MATCH($A225,SPPR!$A:$A,0),5),""),"")</f>
        <v/>
      </c>
      <c r="I225">
        <f>IFERROR(IF(ISNUMBER(INDEX(SPPR!$E:$Z,MATCH($A225,SPPR!$A:$A,0),6)),$C225*INDEX(SPPR!$E:$Z,MATCH($A225,SPPR!$A:$A,0),6),""),"")</f>
        <v/>
      </c>
      <c r="J225">
        <f>IFERROR(IF(ISNUMBER(INDEX(SPPR!$E:$Z,MATCH($A225,SPPR!$A:$A,0),7)),$C225*INDEX(SPPR!$E:$Z,MATCH($A225,SPPR!$A:$A,0),7),""),"")</f>
        <v/>
      </c>
      <c r="K225">
        <f>IFERROR(IF(ISNUMBER(INDEX(SPPR!$E:$Z,MATCH($A225,SPPR!$A:$A,0),8)),$C225*INDEX(SPPR!$E:$Z,MATCH($A225,SPPR!$A:$A,0),8),""),"")</f>
        <v/>
      </c>
      <c r="L225">
        <f>IFERROR(IF(ISNUMBER(INDEX(SPPR!$E:$Z,MATCH($A225,SPPR!$A:$A,0),9)),$C225*INDEX(SPPR!$E:$Z,MATCH($A225,SPPR!$A:$A,0),9),""),"")</f>
        <v/>
      </c>
      <c r="M225">
        <f>IFERROR(IF(ISNUMBER(INDEX(SPPR!$E:$Z,MATCH($A225,SPPR!$A:$A,0),10)),$C225*INDEX(SPPR!$E:$Z,MATCH($A225,SPPR!$A:$A,0),10),""),"")</f>
        <v/>
      </c>
      <c r="N225">
        <f>IFERROR(IF(ISNUMBER(INDEX(SPPR!$E:$Z,MATCH($A225,SPPR!$A:$A,0),11)),$C225*INDEX(SPPR!$E:$Z,MATCH($A225,SPPR!$A:$A,0),11),""),"")</f>
        <v/>
      </c>
      <c r="O225">
        <f>IFERROR(IF(ISNUMBER(INDEX(SPPR!$E:$Z,MATCH($A225,SPPR!$A:$A,0),12)),$C225*INDEX(SPPR!$E:$Z,MATCH($A225,SPPR!$A:$A,0),12),""),"")</f>
        <v/>
      </c>
      <c r="P225">
        <f>IFERROR(IF(ISNUMBER(INDEX(SPPR!$E:$Z,MATCH($A225,SPPR!$A:$A,0),13)),$C225*INDEX(SPPR!$E:$Z,MATCH($A225,SPPR!$A:$A,0),13),""),"")</f>
        <v/>
      </c>
      <c r="Q225">
        <f>IFERROR(IF(ISNUMBER(INDEX(SPPR!$E:$Z,MATCH($A225,SPPR!$A:$A,0),14)),$C225*INDEX(SPPR!$E:$Z,MATCH($A225,SPPR!$A:$A,0),14),""),"")</f>
        <v/>
      </c>
      <c r="R225">
        <f>IFERROR(IF(ISNUMBER(INDEX(SPPR!$E:$Z,MATCH($A225,SPPR!$A:$A,0),15)),$C225*INDEX(SPPR!$E:$Z,MATCH($A225,SPPR!$A:$A,0),15),""),"")</f>
        <v/>
      </c>
      <c r="S225">
        <f>IFERROR(IF(ISNUMBER(INDEX(SPPR!$E:$Z,MATCH($A225,SPPR!$A:$A,0),16)),$C225*INDEX(SPPR!$E:$Z,MATCH($A225,SPPR!$A:$A,0),16),""),"")</f>
        <v/>
      </c>
      <c r="T225">
        <f>IFERROR(IF(ISNUMBER(INDEX(SPPR!$E:$Z,MATCH($A225,SPPR!$A:$A,0),17)),$C225*INDEX(SPPR!$E:$Z,MATCH($A225,SPPR!$A:$A,0),17),""),"")</f>
        <v/>
      </c>
      <c r="U225">
        <f>IFERROR(IF(ISNUMBER(INDEX(SPPR!$E:$Z,MATCH($A225,SPPR!$A:$A,0),18)),$C225*INDEX(SPPR!$E:$Z,MATCH($A225,SPPR!$A:$A,0),18),""),"")</f>
        <v/>
      </c>
      <c r="V225">
        <f>IFERROR(IF(ISNUMBER(INDEX(SPPR!$E:$Z,MATCH($A225,SPPR!$A:$A,0),19)),$C225*INDEX(SPPR!$E:$Z,MATCH($A225,SPPR!$A:$A,0),19),""),"")</f>
        <v/>
      </c>
      <c r="W225">
        <f>IFERROR(IF(ISNUMBER(INDEX(SPPR!$E:$Z,MATCH($A225,SPPR!$A:$A,0),20)),$C225*INDEX(SPPR!$E:$Z,MATCH($A225,SPPR!$A:$A,0),20),""),"")</f>
        <v/>
      </c>
      <c r="X225">
        <f>IFERROR(IF(ISNUMBER(INDEX(SPPR!$E:$Z,MATCH($A225,SPPR!$A:$A,0),21)),$C225*INDEX(SPPR!$E:$Z,MATCH($A225,SPPR!$A:$A,0),21),""),"")</f>
        <v/>
      </c>
      <c r="Y225">
        <f>IFERROR(IF(ISNUMBER(INDEX(SPPR!$E:$Z,MATCH($A225,SPPR!$A:$A,0),22)),$C225*INDEX(SPPR!$E:$Z,MATCH($A225,SPPR!$A:$A,0),22),""),"")</f>
        <v/>
      </c>
    </row>
    <row r="226">
      <c r="A226" t="inlineStr">
        <is>
          <t>Gerreidae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IFERROR(IF(ISNUMBER(INDEX(SPPR!$E:$Z,MATCH($A226,SPPR!$A:$A,0),1)),$C226*INDEX(SPPR!$E:$Z,MATCH($A226,SPPR!$A:$A,0),1),""),"")</f>
        <v/>
      </c>
      <c r="E226">
        <f>IFERROR(IF(ISNUMBER(INDEX(SPPR!$E:$Z,MATCH($A226,SPPR!$A:$A,0),2)),$C226*INDEX(SPPR!$E:$Z,MATCH($A226,SPPR!$A:$A,0),2),""),"")</f>
        <v/>
      </c>
      <c r="F226">
        <f>IFERROR(IF(ISNUMBER(INDEX(SPPR!$E:$Z,MATCH($A226,SPPR!$A:$A,0),3)),$C226*INDEX(SPPR!$E:$Z,MATCH($A226,SPPR!$A:$A,0),3),""),"")</f>
        <v/>
      </c>
      <c r="G226">
        <f>IFERROR(IF(ISNUMBER(INDEX(SPPR!$E:$Z,MATCH($A226,SPPR!$A:$A,0),4)),$C226*INDEX(SPPR!$E:$Z,MATCH($A226,SPPR!$A:$A,0),4),""),"")</f>
        <v/>
      </c>
      <c r="H226">
        <f>IFERROR(IF(ISNUMBER(INDEX(SPPR!$E:$Z,MATCH($A226,SPPR!$A:$A,0),5)),$C226*INDEX(SPPR!$E:$Z,MATCH($A226,SPPR!$A:$A,0),5),""),"")</f>
        <v/>
      </c>
      <c r="I226">
        <f>IFERROR(IF(ISNUMBER(INDEX(SPPR!$E:$Z,MATCH($A226,SPPR!$A:$A,0),6)),$C226*INDEX(SPPR!$E:$Z,MATCH($A226,SPPR!$A:$A,0),6),""),"")</f>
        <v/>
      </c>
      <c r="J226">
        <f>IFERROR(IF(ISNUMBER(INDEX(SPPR!$E:$Z,MATCH($A226,SPPR!$A:$A,0),7)),$C226*INDEX(SPPR!$E:$Z,MATCH($A226,SPPR!$A:$A,0),7),""),"")</f>
        <v/>
      </c>
      <c r="K226">
        <f>IFERROR(IF(ISNUMBER(INDEX(SPPR!$E:$Z,MATCH($A226,SPPR!$A:$A,0),8)),$C226*INDEX(SPPR!$E:$Z,MATCH($A226,SPPR!$A:$A,0),8),""),"")</f>
        <v/>
      </c>
      <c r="L226">
        <f>IFERROR(IF(ISNUMBER(INDEX(SPPR!$E:$Z,MATCH($A226,SPPR!$A:$A,0),9)),$C226*INDEX(SPPR!$E:$Z,MATCH($A226,SPPR!$A:$A,0),9),""),"")</f>
        <v/>
      </c>
      <c r="M226">
        <f>IFERROR(IF(ISNUMBER(INDEX(SPPR!$E:$Z,MATCH($A226,SPPR!$A:$A,0),10)),$C226*INDEX(SPPR!$E:$Z,MATCH($A226,SPPR!$A:$A,0),10),""),"")</f>
        <v/>
      </c>
      <c r="N226">
        <f>IFERROR(IF(ISNUMBER(INDEX(SPPR!$E:$Z,MATCH($A226,SPPR!$A:$A,0),11)),$C226*INDEX(SPPR!$E:$Z,MATCH($A226,SPPR!$A:$A,0),11),""),"")</f>
        <v/>
      </c>
      <c r="O226">
        <f>IFERROR(IF(ISNUMBER(INDEX(SPPR!$E:$Z,MATCH($A226,SPPR!$A:$A,0),12)),$C226*INDEX(SPPR!$E:$Z,MATCH($A226,SPPR!$A:$A,0),12),""),"")</f>
        <v/>
      </c>
      <c r="P226">
        <f>IFERROR(IF(ISNUMBER(INDEX(SPPR!$E:$Z,MATCH($A226,SPPR!$A:$A,0),13)),$C226*INDEX(SPPR!$E:$Z,MATCH($A226,SPPR!$A:$A,0),13),""),"")</f>
        <v/>
      </c>
      <c r="Q226">
        <f>IFERROR(IF(ISNUMBER(INDEX(SPPR!$E:$Z,MATCH($A226,SPPR!$A:$A,0),14)),$C226*INDEX(SPPR!$E:$Z,MATCH($A226,SPPR!$A:$A,0),14),""),"")</f>
        <v/>
      </c>
      <c r="R226">
        <f>IFERROR(IF(ISNUMBER(INDEX(SPPR!$E:$Z,MATCH($A226,SPPR!$A:$A,0),15)),$C226*INDEX(SPPR!$E:$Z,MATCH($A226,SPPR!$A:$A,0),15),""),"")</f>
        <v/>
      </c>
      <c r="S226">
        <f>IFERROR(IF(ISNUMBER(INDEX(SPPR!$E:$Z,MATCH($A226,SPPR!$A:$A,0),16)),$C226*INDEX(SPPR!$E:$Z,MATCH($A226,SPPR!$A:$A,0),16),""),"")</f>
        <v/>
      </c>
      <c r="T226">
        <f>IFERROR(IF(ISNUMBER(INDEX(SPPR!$E:$Z,MATCH($A226,SPPR!$A:$A,0),17)),$C226*INDEX(SPPR!$E:$Z,MATCH($A226,SPPR!$A:$A,0),17),""),"")</f>
        <v/>
      </c>
      <c r="U226">
        <f>IFERROR(IF(ISNUMBER(INDEX(SPPR!$E:$Z,MATCH($A226,SPPR!$A:$A,0),18)),$C226*INDEX(SPPR!$E:$Z,MATCH($A226,SPPR!$A:$A,0),18),""),"")</f>
        <v/>
      </c>
      <c r="V226">
        <f>IFERROR(IF(ISNUMBER(INDEX(SPPR!$E:$Z,MATCH($A226,SPPR!$A:$A,0),19)),$C226*INDEX(SPPR!$E:$Z,MATCH($A226,SPPR!$A:$A,0),19),""),"")</f>
        <v/>
      </c>
      <c r="W226">
        <f>IFERROR(IF(ISNUMBER(INDEX(SPPR!$E:$Z,MATCH($A226,SPPR!$A:$A,0),20)),$C226*INDEX(SPPR!$E:$Z,MATCH($A226,SPPR!$A:$A,0),20),""),"")</f>
        <v/>
      </c>
      <c r="X226">
        <f>IFERROR(IF(ISNUMBER(INDEX(SPPR!$E:$Z,MATCH($A226,SPPR!$A:$A,0),21)),$C226*INDEX(SPPR!$E:$Z,MATCH($A226,SPPR!$A:$A,0),21),""),"")</f>
        <v/>
      </c>
      <c r="Y226">
        <f>IFERROR(IF(ISNUMBER(INDEX(SPPR!$E:$Z,MATCH($A226,SPPR!$A:$A,0),22)),$C226*INDEX(SPPR!$E:$Z,MATCH($A226,SPPR!$A:$A,0),22),""),"")</f>
        <v/>
      </c>
    </row>
    <row r="227">
      <c r="A227" t="inlineStr">
        <is>
          <t>Sphyraena guachancho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IFERROR(IF(ISNUMBER(INDEX(SPPR!$E:$Z,MATCH($A227,SPPR!$A:$A,0),1)),$C227*INDEX(SPPR!$E:$Z,MATCH($A227,SPPR!$A:$A,0),1),""),"")</f>
        <v/>
      </c>
      <c r="E227">
        <f>IFERROR(IF(ISNUMBER(INDEX(SPPR!$E:$Z,MATCH($A227,SPPR!$A:$A,0),2)),$C227*INDEX(SPPR!$E:$Z,MATCH($A227,SPPR!$A:$A,0),2),""),"")</f>
        <v/>
      </c>
      <c r="F227">
        <f>IFERROR(IF(ISNUMBER(INDEX(SPPR!$E:$Z,MATCH($A227,SPPR!$A:$A,0),3)),$C227*INDEX(SPPR!$E:$Z,MATCH($A227,SPPR!$A:$A,0),3),""),"")</f>
        <v/>
      </c>
      <c r="G227">
        <f>IFERROR(IF(ISNUMBER(INDEX(SPPR!$E:$Z,MATCH($A227,SPPR!$A:$A,0),4)),$C227*INDEX(SPPR!$E:$Z,MATCH($A227,SPPR!$A:$A,0),4),""),"")</f>
        <v/>
      </c>
      <c r="H227">
        <f>IFERROR(IF(ISNUMBER(INDEX(SPPR!$E:$Z,MATCH($A227,SPPR!$A:$A,0),5)),$C227*INDEX(SPPR!$E:$Z,MATCH($A227,SPPR!$A:$A,0),5),""),"")</f>
        <v/>
      </c>
      <c r="I227">
        <f>IFERROR(IF(ISNUMBER(INDEX(SPPR!$E:$Z,MATCH($A227,SPPR!$A:$A,0),6)),$C227*INDEX(SPPR!$E:$Z,MATCH($A227,SPPR!$A:$A,0),6),""),"")</f>
        <v/>
      </c>
      <c r="J227">
        <f>IFERROR(IF(ISNUMBER(INDEX(SPPR!$E:$Z,MATCH($A227,SPPR!$A:$A,0),7)),$C227*INDEX(SPPR!$E:$Z,MATCH($A227,SPPR!$A:$A,0),7),""),"")</f>
        <v/>
      </c>
      <c r="K227">
        <f>IFERROR(IF(ISNUMBER(INDEX(SPPR!$E:$Z,MATCH($A227,SPPR!$A:$A,0),8)),$C227*INDEX(SPPR!$E:$Z,MATCH($A227,SPPR!$A:$A,0),8),""),"")</f>
        <v/>
      </c>
      <c r="L227">
        <f>IFERROR(IF(ISNUMBER(INDEX(SPPR!$E:$Z,MATCH($A227,SPPR!$A:$A,0),9)),$C227*INDEX(SPPR!$E:$Z,MATCH($A227,SPPR!$A:$A,0),9),""),"")</f>
        <v/>
      </c>
      <c r="M227">
        <f>IFERROR(IF(ISNUMBER(INDEX(SPPR!$E:$Z,MATCH($A227,SPPR!$A:$A,0),10)),$C227*INDEX(SPPR!$E:$Z,MATCH($A227,SPPR!$A:$A,0),10),""),"")</f>
        <v/>
      </c>
      <c r="N227">
        <f>IFERROR(IF(ISNUMBER(INDEX(SPPR!$E:$Z,MATCH($A227,SPPR!$A:$A,0),11)),$C227*INDEX(SPPR!$E:$Z,MATCH($A227,SPPR!$A:$A,0),11),""),"")</f>
        <v/>
      </c>
      <c r="O227">
        <f>IFERROR(IF(ISNUMBER(INDEX(SPPR!$E:$Z,MATCH($A227,SPPR!$A:$A,0),12)),$C227*INDEX(SPPR!$E:$Z,MATCH($A227,SPPR!$A:$A,0),12),""),"")</f>
        <v/>
      </c>
      <c r="P227">
        <f>IFERROR(IF(ISNUMBER(INDEX(SPPR!$E:$Z,MATCH($A227,SPPR!$A:$A,0),13)),$C227*INDEX(SPPR!$E:$Z,MATCH($A227,SPPR!$A:$A,0),13),""),"")</f>
        <v/>
      </c>
      <c r="Q227">
        <f>IFERROR(IF(ISNUMBER(INDEX(SPPR!$E:$Z,MATCH($A227,SPPR!$A:$A,0),14)),$C227*INDEX(SPPR!$E:$Z,MATCH($A227,SPPR!$A:$A,0),14),""),"")</f>
        <v/>
      </c>
      <c r="R227">
        <f>IFERROR(IF(ISNUMBER(INDEX(SPPR!$E:$Z,MATCH($A227,SPPR!$A:$A,0),15)),$C227*INDEX(SPPR!$E:$Z,MATCH($A227,SPPR!$A:$A,0),15),""),"")</f>
        <v/>
      </c>
      <c r="S227">
        <f>IFERROR(IF(ISNUMBER(INDEX(SPPR!$E:$Z,MATCH($A227,SPPR!$A:$A,0),16)),$C227*INDEX(SPPR!$E:$Z,MATCH($A227,SPPR!$A:$A,0),16),""),"")</f>
        <v/>
      </c>
      <c r="T227">
        <f>IFERROR(IF(ISNUMBER(INDEX(SPPR!$E:$Z,MATCH($A227,SPPR!$A:$A,0),17)),$C227*INDEX(SPPR!$E:$Z,MATCH($A227,SPPR!$A:$A,0),17),""),"")</f>
        <v/>
      </c>
      <c r="U227">
        <f>IFERROR(IF(ISNUMBER(INDEX(SPPR!$E:$Z,MATCH($A227,SPPR!$A:$A,0),18)),$C227*INDEX(SPPR!$E:$Z,MATCH($A227,SPPR!$A:$A,0),18),""),"")</f>
        <v/>
      </c>
      <c r="V227">
        <f>IFERROR(IF(ISNUMBER(INDEX(SPPR!$E:$Z,MATCH($A227,SPPR!$A:$A,0),19)),$C227*INDEX(SPPR!$E:$Z,MATCH($A227,SPPR!$A:$A,0),19),""),"")</f>
        <v/>
      </c>
      <c r="W227">
        <f>IFERROR(IF(ISNUMBER(INDEX(SPPR!$E:$Z,MATCH($A227,SPPR!$A:$A,0),20)),$C227*INDEX(SPPR!$E:$Z,MATCH($A227,SPPR!$A:$A,0),20),""),"")</f>
        <v/>
      </c>
      <c r="X227">
        <f>IFERROR(IF(ISNUMBER(INDEX(SPPR!$E:$Z,MATCH($A227,SPPR!$A:$A,0),21)),$C227*INDEX(SPPR!$E:$Z,MATCH($A227,SPPR!$A:$A,0),21),""),"")</f>
        <v/>
      </c>
      <c r="Y227">
        <f>IFERROR(IF(ISNUMBER(INDEX(SPPR!$E:$Z,MATCH($A227,SPPR!$A:$A,0),22)),$C227*INDEX(SPPR!$E:$Z,MATCH($A227,SPPR!$A:$A,0),22),""),"")</f>
        <v/>
      </c>
    </row>
    <row r="228">
      <c r="A228" t="inlineStr">
        <is>
          <t>Calappa rubroguttata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IFERROR(IF(ISNUMBER(INDEX(SPPR!$E:$Z,MATCH($A228,SPPR!$A:$A,0),1)),$C228*INDEX(SPPR!$E:$Z,MATCH($A228,SPPR!$A:$A,0),1),""),"")</f>
        <v/>
      </c>
      <c r="E228">
        <f>IFERROR(IF(ISNUMBER(INDEX(SPPR!$E:$Z,MATCH($A228,SPPR!$A:$A,0),2)),$C228*INDEX(SPPR!$E:$Z,MATCH($A228,SPPR!$A:$A,0),2),""),"")</f>
        <v/>
      </c>
      <c r="F228">
        <f>IFERROR(IF(ISNUMBER(INDEX(SPPR!$E:$Z,MATCH($A228,SPPR!$A:$A,0),3)),$C228*INDEX(SPPR!$E:$Z,MATCH($A228,SPPR!$A:$A,0),3),""),"")</f>
        <v/>
      </c>
      <c r="G228">
        <f>IFERROR(IF(ISNUMBER(INDEX(SPPR!$E:$Z,MATCH($A228,SPPR!$A:$A,0),4)),$C228*INDEX(SPPR!$E:$Z,MATCH($A228,SPPR!$A:$A,0),4),""),"")</f>
        <v/>
      </c>
      <c r="H228">
        <f>IFERROR(IF(ISNUMBER(INDEX(SPPR!$E:$Z,MATCH($A228,SPPR!$A:$A,0),5)),$C228*INDEX(SPPR!$E:$Z,MATCH($A228,SPPR!$A:$A,0),5),""),"")</f>
        <v/>
      </c>
      <c r="I228">
        <f>IFERROR(IF(ISNUMBER(INDEX(SPPR!$E:$Z,MATCH($A228,SPPR!$A:$A,0),6)),$C228*INDEX(SPPR!$E:$Z,MATCH($A228,SPPR!$A:$A,0),6),""),"")</f>
        <v/>
      </c>
      <c r="J228">
        <f>IFERROR(IF(ISNUMBER(INDEX(SPPR!$E:$Z,MATCH($A228,SPPR!$A:$A,0),7)),$C228*INDEX(SPPR!$E:$Z,MATCH($A228,SPPR!$A:$A,0),7),""),"")</f>
        <v/>
      </c>
      <c r="K228">
        <f>IFERROR(IF(ISNUMBER(INDEX(SPPR!$E:$Z,MATCH($A228,SPPR!$A:$A,0),8)),$C228*INDEX(SPPR!$E:$Z,MATCH($A228,SPPR!$A:$A,0),8),""),"")</f>
        <v/>
      </c>
      <c r="L228">
        <f>IFERROR(IF(ISNUMBER(INDEX(SPPR!$E:$Z,MATCH($A228,SPPR!$A:$A,0),9)),$C228*INDEX(SPPR!$E:$Z,MATCH($A228,SPPR!$A:$A,0),9),""),"")</f>
        <v/>
      </c>
      <c r="M228">
        <f>IFERROR(IF(ISNUMBER(INDEX(SPPR!$E:$Z,MATCH($A228,SPPR!$A:$A,0),10)),$C228*INDEX(SPPR!$E:$Z,MATCH($A228,SPPR!$A:$A,0),10),""),"")</f>
        <v/>
      </c>
      <c r="N228">
        <f>IFERROR(IF(ISNUMBER(INDEX(SPPR!$E:$Z,MATCH($A228,SPPR!$A:$A,0),11)),$C228*INDEX(SPPR!$E:$Z,MATCH($A228,SPPR!$A:$A,0),11),""),"")</f>
        <v/>
      </c>
      <c r="O228">
        <f>IFERROR(IF(ISNUMBER(INDEX(SPPR!$E:$Z,MATCH($A228,SPPR!$A:$A,0),12)),$C228*INDEX(SPPR!$E:$Z,MATCH($A228,SPPR!$A:$A,0),12),""),"")</f>
        <v/>
      </c>
      <c r="P228">
        <f>IFERROR(IF(ISNUMBER(INDEX(SPPR!$E:$Z,MATCH($A228,SPPR!$A:$A,0),13)),$C228*INDEX(SPPR!$E:$Z,MATCH($A228,SPPR!$A:$A,0),13),""),"")</f>
        <v/>
      </c>
      <c r="Q228">
        <f>IFERROR(IF(ISNUMBER(INDEX(SPPR!$E:$Z,MATCH($A228,SPPR!$A:$A,0),14)),$C228*INDEX(SPPR!$E:$Z,MATCH($A228,SPPR!$A:$A,0),14),""),"")</f>
        <v/>
      </c>
      <c r="R228">
        <f>IFERROR(IF(ISNUMBER(INDEX(SPPR!$E:$Z,MATCH($A228,SPPR!$A:$A,0),15)),$C228*INDEX(SPPR!$E:$Z,MATCH($A228,SPPR!$A:$A,0),15),""),"")</f>
        <v/>
      </c>
      <c r="S228">
        <f>IFERROR(IF(ISNUMBER(INDEX(SPPR!$E:$Z,MATCH($A228,SPPR!$A:$A,0),16)),$C228*INDEX(SPPR!$E:$Z,MATCH($A228,SPPR!$A:$A,0),16),""),"")</f>
        <v/>
      </c>
      <c r="T228">
        <f>IFERROR(IF(ISNUMBER(INDEX(SPPR!$E:$Z,MATCH($A228,SPPR!$A:$A,0),17)),$C228*INDEX(SPPR!$E:$Z,MATCH($A228,SPPR!$A:$A,0),17),""),"")</f>
        <v/>
      </c>
      <c r="U228">
        <f>IFERROR(IF(ISNUMBER(INDEX(SPPR!$E:$Z,MATCH($A228,SPPR!$A:$A,0),18)),$C228*INDEX(SPPR!$E:$Z,MATCH($A228,SPPR!$A:$A,0),18),""),"")</f>
        <v/>
      </c>
      <c r="V228">
        <f>IFERROR(IF(ISNUMBER(INDEX(SPPR!$E:$Z,MATCH($A228,SPPR!$A:$A,0),19)),$C228*INDEX(SPPR!$E:$Z,MATCH($A228,SPPR!$A:$A,0),19),""),"")</f>
        <v/>
      </c>
      <c r="W228">
        <f>IFERROR(IF(ISNUMBER(INDEX(SPPR!$E:$Z,MATCH($A228,SPPR!$A:$A,0),20)),$C228*INDEX(SPPR!$E:$Z,MATCH($A228,SPPR!$A:$A,0),20),""),"")</f>
        <v/>
      </c>
      <c r="X228">
        <f>IFERROR(IF(ISNUMBER(INDEX(SPPR!$E:$Z,MATCH($A228,SPPR!$A:$A,0),21)),$C228*INDEX(SPPR!$E:$Z,MATCH($A228,SPPR!$A:$A,0),21),""),"")</f>
        <v/>
      </c>
      <c r="Y228">
        <f>IFERROR(IF(ISNUMBER(INDEX(SPPR!$E:$Z,MATCH($A228,SPPR!$A:$A,0),22)),$C228*INDEX(SPPR!$E:$Z,MATCH($A228,SPPR!$A:$A,0),22),""),"")</f>
        <v/>
      </c>
    </row>
    <row r="229">
      <c r="A229" t="inlineStr">
        <is>
          <t>Abudefduf saxatilis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IFERROR(IF(ISNUMBER(INDEX(SPPR!$E:$Z,MATCH($A229,SPPR!$A:$A,0),1)),$C229*INDEX(SPPR!$E:$Z,MATCH($A229,SPPR!$A:$A,0),1),""),"")</f>
        <v/>
      </c>
      <c r="E229">
        <f>IFERROR(IF(ISNUMBER(INDEX(SPPR!$E:$Z,MATCH($A229,SPPR!$A:$A,0),2)),$C229*INDEX(SPPR!$E:$Z,MATCH($A229,SPPR!$A:$A,0),2),""),"")</f>
        <v/>
      </c>
      <c r="F229">
        <f>IFERROR(IF(ISNUMBER(INDEX(SPPR!$E:$Z,MATCH($A229,SPPR!$A:$A,0),3)),$C229*INDEX(SPPR!$E:$Z,MATCH($A229,SPPR!$A:$A,0),3),""),"")</f>
        <v/>
      </c>
      <c r="G229">
        <f>IFERROR(IF(ISNUMBER(INDEX(SPPR!$E:$Z,MATCH($A229,SPPR!$A:$A,0),4)),$C229*INDEX(SPPR!$E:$Z,MATCH($A229,SPPR!$A:$A,0),4),""),"")</f>
        <v/>
      </c>
      <c r="H229">
        <f>IFERROR(IF(ISNUMBER(INDEX(SPPR!$E:$Z,MATCH($A229,SPPR!$A:$A,0),5)),$C229*INDEX(SPPR!$E:$Z,MATCH($A229,SPPR!$A:$A,0),5),""),"")</f>
        <v/>
      </c>
      <c r="I229">
        <f>IFERROR(IF(ISNUMBER(INDEX(SPPR!$E:$Z,MATCH($A229,SPPR!$A:$A,0),6)),$C229*INDEX(SPPR!$E:$Z,MATCH($A229,SPPR!$A:$A,0),6),""),"")</f>
        <v/>
      </c>
      <c r="J229">
        <f>IFERROR(IF(ISNUMBER(INDEX(SPPR!$E:$Z,MATCH($A229,SPPR!$A:$A,0),7)),$C229*INDEX(SPPR!$E:$Z,MATCH($A229,SPPR!$A:$A,0),7),""),"")</f>
        <v/>
      </c>
      <c r="K229">
        <f>IFERROR(IF(ISNUMBER(INDEX(SPPR!$E:$Z,MATCH($A229,SPPR!$A:$A,0),8)),$C229*INDEX(SPPR!$E:$Z,MATCH($A229,SPPR!$A:$A,0),8),""),"")</f>
        <v/>
      </c>
      <c r="L229">
        <f>IFERROR(IF(ISNUMBER(INDEX(SPPR!$E:$Z,MATCH($A229,SPPR!$A:$A,0),9)),$C229*INDEX(SPPR!$E:$Z,MATCH($A229,SPPR!$A:$A,0),9),""),"")</f>
        <v/>
      </c>
      <c r="M229">
        <f>IFERROR(IF(ISNUMBER(INDEX(SPPR!$E:$Z,MATCH($A229,SPPR!$A:$A,0),10)),$C229*INDEX(SPPR!$E:$Z,MATCH($A229,SPPR!$A:$A,0),10),""),"")</f>
        <v/>
      </c>
      <c r="N229">
        <f>IFERROR(IF(ISNUMBER(INDEX(SPPR!$E:$Z,MATCH($A229,SPPR!$A:$A,0),11)),$C229*INDEX(SPPR!$E:$Z,MATCH($A229,SPPR!$A:$A,0),11),""),"")</f>
        <v/>
      </c>
      <c r="O229">
        <f>IFERROR(IF(ISNUMBER(INDEX(SPPR!$E:$Z,MATCH($A229,SPPR!$A:$A,0),12)),$C229*INDEX(SPPR!$E:$Z,MATCH($A229,SPPR!$A:$A,0),12),""),"")</f>
        <v/>
      </c>
      <c r="P229">
        <f>IFERROR(IF(ISNUMBER(INDEX(SPPR!$E:$Z,MATCH($A229,SPPR!$A:$A,0),13)),$C229*INDEX(SPPR!$E:$Z,MATCH($A229,SPPR!$A:$A,0),13),""),"")</f>
        <v/>
      </c>
      <c r="Q229">
        <f>IFERROR(IF(ISNUMBER(INDEX(SPPR!$E:$Z,MATCH($A229,SPPR!$A:$A,0),14)),$C229*INDEX(SPPR!$E:$Z,MATCH($A229,SPPR!$A:$A,0),14),""),"")</f>
        <v/>
      </c>
      <c r="R229">
        <f>IFERROR(IF(ISNUMBER(INDEX(SPPR!$E:$Z,MATCH($A229,SPPR!$A:$A,0),15)),$C229*INDEX(SPPR!$E:$Z,MATCH($A229,SPPR!$A:$A,0),15),""),"")</f>
        <v/>
      </c>
      <c r="S229">
        <f>IFERROR(IF(ISNUMBER(INDEX(SPPR!$E:$Z,MATCH($A229,SPPR!$A:$A,0),16)),$C229*INDEX(SPPR!$E:$Z,MATCH($A229,SPPR!$A:$A,0),16),""),"")</f>
        <v/>
      </c>
      <c r="T229">
        <f>IFERROR(IF(ISNUMBER(INDEX(SPPR!$E:$Z,MATCH($A229,SPPR!$A:$A,0),17)),$C229*INDEX(SPPR!$E:$Z,MATCH($A229,SPPR!$A:$A,0),17),""),"")</f>
        <v/>
      </c>
      <c r="U229">
        <f>IFERROR(IF(ISNUMBER(INDEX(SPPR!$E:$Z,MATCH($A229,SPPR!$A:$A,0),18)),$C229*INDEX(SPPR!$E:$Z,MATCH($A229,SPPR!$A:$A,0),18),""),"")</f>
        <v/>
      </c>
      <c r="V229">
        <f>IFERROR(IF(ISNUMBER(INDEX(SPPR!$E:$Z,MATCH($A229,SPPR!$A:$A,0),19)),$C229*INDEX(SPPR!$E:$Z,MATCH($A229,SPPR!$A:$A,0),19),""),"")</f>
        <v/>
      </c>
      <c r="W229">
        <f>IFERROR(IF(ISNUMBER(INDEX(SPPR!$E:$Z,MATCH($A229,SPPR!$A:$A,0),20)),$C229*INDEX(SPPR!$E:$Z,MATCH($A229,SPPR!$A:$A,0),20),""),"")</f>
        <v/>
      </c>
      <c r="X229">
        <f>IFERROR(IF(ISNUMBER(INDEX(SPPR!$E:$Z,MATCH($A229,SPPR!$A:$A,0),21)),$C229*INDEX(SPPR!$E:$Z,MATCH($A229,SPPR!$A:$A,0),21),""),"")</f>
        <v/>
      </c>
      <c r="Y229">
        <f>IFERROR(IF(ISNUMBER(INDEX(SPPR!$E:$Z,MATCH($A229,SPPR!$A:$A,0),22)),$C229*INDEX(SPPR!$E:$Z,MATCH($A229,SPPR!$A:$A,0),22),""),"")</f>
        <v/>
      </c>
    </row>
    <row r="230">
      <c r="A230" t="inlineStr">
        <is>
          <t>Callinectes pallidus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IFERROR(IF(ISNUMBER(INDEX(SPPR!$E:$Z,MATCH($A230,SPPR!$A:$A,0),1)),$C230*INDEX(SPPR!$E:$Z,MATCH($A230,SPPR!$A:$A,0),1),""),"")</f>
        <v/>
      </c>
      <c r="E230">
        <f>IFERROR(IF(ISNUMBER(INDEX(SPPR!$E:$Z,MATCH($A230,SPPR!$A:$A,0),2)),$C230*INDEX(SPPR!$E:$Z,MATCH($A230,SPPR!$A:$A,0),2),""),"")</f>
        <v/>
      </c>
      <c r="F230">
        <f>IFERROR(IF(ISNUMBER(INDEX(SPPR!$E:$Z,MATCH($A230,SPPR!$A:$A,0),3)),$C230*INDEX(SPPR!$E:$Z,MATCH($A230,SPPR!$A:$A,0),3),""),"")</f>
        <v/>
      </c>
      <c r="G230">
        <f>IFERROR(IF(ISNUMBER(INDEX(SPPR!$E:$Z,MATCH($A230,SPPR!$A:$A,0),4)),$C230*INDEX(SPPR!$E:$Z,MATCH($A230,SPPR!$A:$A,0),4),""),"")</f>
        <v/>
      </c>
      <c r="H230">
        <f>IFERROR(IF(ISNUMBER(INDEX(SPPR!$E:$Z,MATCH($A230,SPPR!$A:$A,0),5)),$C230*INDEX(SPPR!$E:$Z,MATCH($A230,SPPR!$A:$A,0),5),""),"")</f>
        <v/>
      </c>
      <c r="I230">
        <f>IFERROR(IF(ISNUMBER(INDEX(SPPR!$E:$Z,MATCH($A230,SPPR!$A:$A,0),6)),$C230*INDEX(SPPR!$E:$Z,MATCH($A230,SPPR!$A:$A,0),6),""),"")</f>
        <v/>
      </c>
      <c r="J230">
        <f>IFERROR(IF(ISNUMBER(INDEX(SPPR!$E:$Z,MATCH($A230,SPPR!$A:$A,0),7)),$C230*INDEX(SPPR!$E:$Z,MATCH($A230,SPPR!$A:$A,0),7),""),"")</f>
        <v/>
      </c>
      <c r="K230">
        <f>IFERROR(IF(ISNUMBER(INDEX(SPPR!$E:$Z,MATCH($A230,SPPR!$A:$A,0),8)),$C230*INDEX(SPPR!$E:$Z,MATCH($A230,SPPR!$A:$A,0),8),""),"")</f>
        <v/>
      </c>
      <c r="L230">
        <f>IFERROR(IF(ISNUMBER(INDEX(SPPR!$E:$Z,MATCH($A230,SPPR!$A:$A,0),9)),$C230*INDEX(SPPR!$E:$Z,MATCH($A230,SPPR!$A:$A,0),9),""),"")</f>
        <v/>
      </c>
      <c r="M230">
        <f>IFERROR(IF(ISNUMBER(INDEX(SPPR!$E:$Z,MATCH($A230,SPPR!$A:$A,0),10)),$C230*INDEX(SPPR!$E:$Z,MATCH($A230,SPPR!$A:$A,0),10),""),"")</f>
        <v/>
      </c>
      <c r="N230">
        <f>IFERROR(IF(ISNUMBER(INDEX(SPPR!$E:$Z,MATCH($A230,SPPR!$A:$A,0),11)),$C230*INDEX(SPPR!$E:$Z,MATCH($A230,SPPR!$A:$A,0),11),""),"")</f>
        <v/>
      </c>
      <c r="O230">
        <f>IFERROR(IF(ISNUMBER(INDEX(SPPR!$E:$Z,MATCH($A230,SPPR!$A:$A,0),12)),$C230*INDEX(SPPR!$E:$Z,MATCH($A230,SPPR!$A:$A,0),12),""),"")</f>
        <v/>
      </c>
      <c r="P230">
        <f>IFERROR(IF(ISNUMBER(INDEX(SPPR!$E:$Z,MATCH($A230,SPPR!$A:$A,0),13)),$C230*INDEX(SPPR!$E:$Z,MATCH($A230,SPPR!$A:$A,0),13),""),"")</f>
        <v/>
      </c>
      <c r="Q230">
        <f>IFERROR(IF(ISNUMBER(INDEX(SPPR!$E:$Z,MATCH($A230,SPPR!$A:$A,0),14)),$C230*INDEX(SPPR!$E:$Z,MATCH($A230,SPPR!$A:$A,0),14),""),"")</f>
        <v/>
      </c>
      <c r="R230">
        <f>IFERROR(IF(ISNUMBER(INDEX(SPPR!$E:$Z,MATCH($A230,SPPR!$A:$A,0),15)),$C230*INDEX(SPPR!$E:$Z,MATCH($A230,SPPR!$A:$A,0),15),""),"")</f>
        <v/>
      </c>
      <c r="S230">
        <f>IFERROR(IF(ISNUMBER(INDEX(SPPR!$E:$Z,MATCH($A230,SPPR!$A:$A,0),16)),$C230*INDEX(SPPR!$E:$Z,MATCH($A230,SPPR!$A:$A,0),16),""),"")</f>
        <v/>
      </c>
      <c r="T230">
        <f>IFERROR(IF(ISNUMBER(INDEX(SPPR!$E:$Z,MATCH($A230,SPPR!$A:$A,0),17)),$C230*INDEX(SPPR!$E:$Z,MATCH($A230,SPPR!$A:$A,0),17),""),"")</f>
        <v/>
      </c>
      <c r="U230">
        <f>IFERROR(IF(ISNUMBER(INDEX(SPPR!$E:$Z,MATCH($A230,SPPR!$A:$A,0),18)),$C230*INDEX(SPPR!$E:$Z,MATCH($A230,SPPR!$A:$A,0),18),""),"")</f>
        <v/>
      </c>
      <c r="V230">
        <f>IFERROR(IF(ISNUMBER(INDEX(SPPR!$E:$Z,MATCH($A230,SPPR!$A:$A,0),19)),$C230*INDEX(SPPR!$E:$Z,MATCH($A230,SPPR!$A:$A,0),19),""),"")</f>
        <v/>
      </c>
      <c r="W230">
        <f>IFERROR(IF(ISNUMBER(INDEX(SPPR!$E:$Z,MATCH($A230,SPPR!$A:$A,0),20)),$C230*INDEX(SPPR!$E:$Z,MATCH($A230,SPPR!$A:$A,0),20),""),"")</f>
        <v/>
      </c>
      <c r="X230">
        <f>IFERROR(IF(ISNUMBER(INDEX(SPPR!$E:$Z,MATCH($A230,SPPR!$A:$A,0),21)),$C230*INDEX(SPPR!$E:$Z,MATCH($A230,SPPR!$A:$A,0),21),""),"")</f>
        <v/>
      </c>
      <c r="Y230">
        <f>IFERROR(IF(ISNUMBER(INDEX(SPPR!$E:$Z,MATCH($A230,SPPR!$A:$A,0),22)),$C230*INDEX(SPPR!$E:$Z,MATCH($A230,SPPR!$A:$A,0),22),""),"")</f>
        <v/>
      </c>
    </row>
    <row r="231">
      <c r="A231" t="inlineStr">
        <is>
          <t>Stromateidae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IFERROR(IF(ISNUMBER(INDEX(SPPR!$E:$Z,MATCH($A231,SPPR!$A:$A,0),1)),$C231*INDEX(SPPR!$E:$Z,MATCH($A231,SPPR!$A:$A,0),1),""),"")</f>
        <v/>
      </c>
      <c r="E231">
        <f>IFERROR(IF(ISNUMBER(INDEX(SPPR!$E:$Z,MATCH($A231,SPPR!$A:$A,0),2)),$C231*INDEX(SPPR!$E:$Z,MATCH($A231,SPPR!$A:$A,0),2),""),"")</f>
        <v/>
      </c>
      <c r="F231">
        <f>IFERROR(IF(ISNUMBER(INDEX(SPPR!$E:$Z,MATCH($A231,SPPR!$A:$A,0),3)),$C231*INDEX(SPPR!$E:$Z,MATCH($A231,SPPR!$A:$A,0),3),""),"")</f>
        <v/>
      </c>
      <c r="G231">
        <f>IFERROR(IF(ISNUMBER(INDEX(SPPR!$E:$Z,MATCH($A231,SPPR!$A:$A,0),4)),$C231*INDEX(SPPR!$E:$Z,MATCH($A231,SPPR!$A:$A,0),4),""),"")</f>
        <v/>
      </c>
      <c r="H231">
        <f>IFERROR(IF(ISNUMBER(INDEX(SPPR!$E:$Z,MATCH($A231,SPPR!$A:$A,0),5)),$C231*INDEX(SPPR!$E:$Z,MATCH($A231,SPPR!$A:$A,0),5),""),"")</f>
        <v/>
      </c>
      <c r="I231">
        <f>IFERROR(IF(ISNUMBER(INDEX(SPPR!$E:$Z,MATCH($A231,SPPR!$A:$A,0),6)),$C231*INDEX(SPPR!$E:$Z,MATCH($A231,SPPR!$A:$A,0),6),""),"")</f>
        <v/>
      </c>
      <c r="J231">
        <f>IFERROR(IF(ISNUMBER(INDEX(SPPR!$E:$Z,MATCH($A231,SPPR!$A:$A,0),7)),$C231*INDEX(SPPR!$E:$Z,MATCH($A231,SPPR!$A:$A,0),7),""),"")</f>
        <v/>
      </c>
      <c r="K231">
        <f>IFERROR(IF(ISNUMBER(INDEX(SPPR!$E:$Z,MATCH($A231,SPPR!$A:$A,0),8)),$C231*INDEX(SPPR!$E:$Z,MATCH($A231,SPPR!$A:$A,0),8),""),"")</f>
        <v/>
      </c>
      <c r="L231">
        <f>IFERROR(IF(ISNUMBER(INDEX(SPPR!$E:$Z,MATCH($A231,SPPR!$A:$A,0),9)),$C231*INDEX(SPPR!$E:$Z,MATCH($A231,SPPR!$A:$A,0),9),""),"")</f>
        <v/>
      </c>
      <c r="M231">
        <f>IFERROR(IF(ISNUMBER(INDEX(SPPR!$E:$Z,MATCH($A231,SPPR!$A:$A,0),10)),$C231*INDEX(SPPR!$E:$Z,MATCH($A231,SPPR!$A:$A,0),10),""),"")</f>
        <v/>
      </c>
      <c r="N231">
        <f>IFERROR(IF(ISNUMBER(INDEX(SPPR!$E:$Z,MATCH($A231,SPPR!$A:$A,0),11)),$C231*INDEX(SPPR!$E:$Z,MATCH($A231,SPPR!$A:$A,0),11),""),"")</f>
        <v/>
      </c>
      <c r="O231">
        <f>IFERROR(IF(ISNUMBER(INDEX(SPPR!$E:$Z,MATCH($A231,SPPR!$A:$A,0),12)),$C231*INDEX(SPPR!$E:$Z,MATCH($A231,SPPR!$A:$A,0),12),""),"")</f>
        <v/>
      </c>
      <c r="P231">
        <f>IFERROR(IF(ISNUMBER(INDEX(SPPR!$E:$Z,MATCH($A231,SPPR!$A:$A,0),13)),$C231*INDEX(SPPR!$E:$Z,MATCH($A231,SPPR!$A:$A,0),13),""),"")</f>
        <v/>
      </c>
      <c r="Q231">
        <f>IFERROR(IF(ISNUMBER(INDEX(SPPR!$E:$Z,MATCH($A231,SPPR!$A:$A,0),14)),$C231*INDEX(SPPR!$E:$Z,MATCH($A231,SPPR!$A:$A,0),14),""),"")</f>
        <v/>
      </c>
      <c r="R231">
        <f>IFERROR(IF(ISNUMBER(INDEX(SPPR!$E:$Z,MATCH($A231,SPPR!$A:$A,0),15)),$C231*INDEX(SPPR!$E:$Z,MATCH($A231,SPPR!$A:$A,0),15),""),"")</f>
        <v/>
      </c>
      <c r="S231">
        <f>IFERROR(IF(ISNUMBER(INDEX(SPPR!$E:$Z,MATCH($A231,SPPR!$A:$A,0),16)),$C231*INDEX(SPPR!$E:$Z,MATCH($A231,SPPR!$A:$A,0),16),""),"")</f>
        <v/>
      </c>
      <c r="T231">
        <f>IFERROR(IF(ISNUMBER(INDEX(SPPR!$E:$Z,MATCH($A231,SPPR!$A:$A,0),17)),$C231*INDEX(SPPR!$E:$Z,MATCH($A231,SPPR!$A:$A,0),17),""),"")</f>
        <v/>
      </c>
      <c r="U231">
        <f>IFERROR(IF(ISNUMBER(INDEX(SPPR!$E:$Z,MATCH($A231,SPPR!$A:$A,0),18)),$C231*INDEX(SPPR!$E:$Z,MATCH($A231,SPPR!$A:$A,0),18),""),"")</f>
        <v/>
      </c>
      <c r="V231">
        <f>IFERROR(IF(ISNUMBER(INDEX(SPPR!$E:$Z,MATCH($A231,SPPR!$A:$A,0),19)),$C231*INDEX(SPPR!$E:$Z,MATCH($A231,SPPR!$A:$A,0),19),""),"")</f>
        <v/>
      </c>
      <c r="W231">
        <f>IFERROR(IF(ISNUMBER(INDEX(SPPR!$E:$Z,MATCH($A231,SPPR!$A:$A,0),20)),$C231*INDEX(SPPR!$E:$Z,MATCH($A231,SPPR!$A:$A,0),20),""),"")</f>
        <v/>
      </c>
      <c r="X231">
        <f>IFERROR(IF(ISNUMBER(INDEX(SPPR!$E:$Z,MATCH($A231,SPPR!$A:$A,0),21)),$C231*INDEX(SPPR!$E:$Z,MATCH($A231,SPPR!$A:$A,0),21),""),"")</f>
        <v/>
      </c>
      <c r="Y231">
        <f>IFERROR(IF(ISNUMBER(INDEX(SPPR!$E:$Z,MATCH($A231,SPPR!$A:$A,0),22)),$C231*INDEX(SPPR!$E:$Z,MATCH($A231,SPPR!$A:$A,0),22),""),"")</f>
        <v/>
      </c>
    </row>
    <row r="232">
      <c r="A232" t="inlineStr">
        <is>
          <t>Myliobatidae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IFERROR(IF(ISNUMBER(INDEX(SPPR!$E:$Z,MATCH($A232,SPPR!$A:$A,0),1)),$C232*INDEX(SPPR!$E:$Z,MATCH($A232,SPPR!$A:$A,0),1),""),"")</f>
        <v/>
      </c>
      <c r="E232">
        <f>IFERROR(IF(ISNUMBER(INDEX(SPPR!$E:$Z,MATCH($A232,SPPR!$A:$A,0),2)),$C232*INDEX(SPPR!$E:$Z,MATCH($A232,SPPR!$A:$A,0),2),""),"")</f>
        <v/>
      </c>
      <c r="F232">
        <f>IFERROR(IF(ISNUMBER(INDEX(SPPR!$E:$Z,MATCH($A232,SPPR!$A:$A,0),3)),$C232*INDEX(SPPR!$E:$Z,MATCH($A232,SPPR!$A:$A,0),3),""),"")</f>
        <v/>
      </c>
      <c r="G232">
        <f>IFERROR(IF(ISNUMBER(INDEX(SPPR!$E:$Z,MATCH($A232,SPPR!$A:$A,0),4)),$C232*INDEX(SPPR!$E:$Z,MATCH($A232,SPPR!$A:$A,0),4),""),"")</f>
        <v/>
      </c>
      <c r="H232">
        <f>IFERROR(IF(ISNUMBER(INDEX(SPPR!$E:$Z,MATCH($A232,SPPR!$A:$A,0),5)),$C232*INDEX(SPPR!$E:$Z,MATCH($A232,SPPR!$A:$A,0),5),""),"")</f>
        <v/>
      </c>
      <c r="I232">
        <f>IFERROR(IF(ISNUMBER(INDEX(SPPR!$E:$Z,MATCH($A232,SPPR!$A:$A,0),6)),$C232*INDEX(SPPR!$E:$Z,MATCH($A232,SPPR!$A:$A,0),6),""),"")</f>
        <v/>
      </c>
      <c r="J232">
        <f>IFERROR(IF(ISNUMBER(INDEX(SPPR!$E:$Z,MATCH($A232,SPPR!$A:$A,0),7)),$C232*INDEX(SPPR!$E:$Z,MATCH($A232,SPPR!$A:$A,0),7),""),"")</f>
        <v/>
      </c>
      <c r="K232">
        <f>IFERROR(IF(ISNUMBER(INDEX(SPPR!$E:$Z,MATCH($A232,SPPR!$A:$A,0),8)),$C232*INDEX(SPPR!$E:$Z,MATCH($A232,SPPR!$A:$A,0),8),""),"")</f>
        <v/>
      </c>
      <c r="L232">
        <f>IFERROR(IF(ISNUMBER(INDEX(SPPR!$E:$Z,MATCH($A232,SPPR!$A:$A,0),9)),$C232*INDEX(SPPR!$E:$Z,MATCH($A232,SPPR!$A:$A,0),9),""),"")</f>
        <v/>
      </c>
      <c r="M232">
        <f>IFERROR(IF(ISNUMBER(INDEX(SPPR!$E:$Z,MATCH($A232,SPPR!$A:$A,0),10)),$C232*INDEX(SPPR!$E:$Z,MATCH($A232,SPPR!$A:$A,0),10),""),"")</f>
        <v/>
      </c>
      <c r="N232">
        <f>IFERROR(IF(ISNUMBER(INDEX(SPPR!$E:$Z,MATCH($A232,SPPR!$A:$A,0),11)),$C232*INDEX(SPPR!$E:$Z,MATCH($A232,SPPR!$A:$A,0),11),""),"")</f>
        <v/>
      </c>
      <c r="O232">
        <f>IFERROR(IF(ISNUMBER(INDEX(SPPR!$E:$Z,MATCH($A232,SPPR!$A:$A,0),12)),$C232*INDEX(SPPR!$E:$Z,MATCH($A232,SPPR!$A:$A,0),12),""),"")</f>
        <v/>
      </c>
      <c r="P232">
        <f>IFERROR(IF(ISNUMBER(INDEX(SPPR!$E:$Z,MATCH($A232,SPPR!$A:$A,0),13)),$C232*INDEX(SPPR!$E:$Z,MATCH($A232,SPPR!$A:$A,0),13),""),"")</f>
        <v/>
      </c>
      <c r="Q232">
        <f>IFERROR(IF(ISNUMBER(INDEX(SPPR!$E:$Z,MATCH($A232,SPPR!$A:$A,0),14)),$C232*INDEX(SPPR!$E:$Z,MATCH($A232,SPPR!$A:$A,0),14),""),"")</f>
        <v/>
      </c>
      <c r="R232">
        <f>IFERROR(IF(ISNUMBER(INDEX(SPPR!$E:$Z,MATCH($A232,SPPR!$A:$A,0),15)),$C232*INDEX(SPPR!$E:$Z,MATCH($A232,SPPR!$A:$A,0),15),""),"")</f>
        <v/>
      </c>
      <c r="S232">
        <f>IFERROR(IF(ISNUMBER(INDEX(SPPR!$E:$Z,MATCH($A232,SPPR!$A:$A,0),16)),$C232*INDEX(SPPR!$E:$Z,MATCH($A232,SPPR!$A:$A,0),16),""),"")</f>
        <v/>
      </c>
      <c r="T232">
        <f>IFERROR(IF(ISNUMBER(INDEX(SPPR!$E:$Z,MATCH($A232,SPPR!$A:$A,0),17)),$C232*INDEX(SPPR!$E:$Z,MATCH($A232,SPPR!$A:$A,0),17),""),"")</f>
        <v/>
      </c>
      <c r="U232">
        <f>IFERROR(IF(ISNUMBER(INDEX(SPPR!$E:$Z,MATCH($A232,SPPR!$A:$A,0),18)),$C232*INDEX(SPPR!$E:$Z,MATCH($A232,SPPR!$A:$A,0),18),""),"")</f>
        <v/>
      </c>
      <c r="V232">
        <f>IFERROR(IF(ISNUMBER(INDEX(SPPR!$E:$Z,MATCH($A232,SPPR!$A:$A,0),19)),$C232*INDEX(SPPR!$E:$Z,MATCH($A232,SPPR!$A:$A,0),19),""),"")</f>
        <v/>
      </c>
      <c r="W232">
        <f>IFERROR(IF(ISNUMBER(INDEX(SPPR!$E:$Z,MATCH($A232,SPPR!$A:$A,0),20)),$C232*INDEX(SPPR!$E:$Z,MATCH($A232,SPPR!$A:$A,0),20),""),"")</f>
        <v/>
      </c>
      <c r="X232">
        <f>IFERROR(IF(ISNUMBER(INDEX(SPPR!$E:$Z,MATCH($A232,SPPR!$A:$A,0),21)),$C232*INDEX(SPPR!$E:$Z,MATCH($A232,SPPR!$A:$A,0),21),""),"")</f>
        <v/>
      </c>
      <c r="Y232">
        <f>IFERROR(IF(ISNUMBER(INDEX(SPPR!$E:$Z,MATCH($A232,SPPR!$A:$A,0),22)),$C232*INDEX(SPPR!$E:$Z,MATCH($A232,SPPR!$A:$A,0),22),""),"")</f>
        <v/>
      </c>
    </row>
    <row r="233">
      <c r="A233" t="inlineStr">
        <is>
          <t>Lagocephalus laevigatus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IFERROR(IF(ISNUMBER(INDEX(SPPR!$E:$Z,MATCH($A233,SPPR!$A:$A,0),1)),$C233*INDEX(SPPR!$E:$Z,MATCH($A233,SPPR!$A:$A,0),1),""),"")</f>
        <v/>
      </c>
      <c r="E233">
        <f>IFERROR(IF(ISNUMBER(INDEX(SPPR!$E:$Z,MATCH($A233,SPPR!$A:$A,0),2)),$C233*INDEX(SPPR!$E:$Z,MATCH($A233,SPPR!$A:$A,0),2),""),"")</f>
        <v/>
      </c>
      <c r="F233">
        <f>IFERROR(IF(ISNUMBER(INDEX(SPPR!$E:$Z,MATCH($A233,SPPR!$A:$A,0),3)),$C233*INDEX(SPPR!$E:$Z,MATCH($A233,SPPR!$A:$A,0),3),""),"")</f>
        <v/>
      </c>
      <c r="G233">
        <f>IFERROR(IF(ISNUMBER(INDEX(SPPR!$E:$Z,MATCH($A233,SPPR!$A:$A,0),4)),$C233*INDEX(SPPR!$E:$Z,MATCH($A233,SPPR!$A:$A,0),4),""),"")</f>
        <v/>
      </c>
      <c r="H233">
        <f>IFERROR(IF(ISNUMBER(INDEX(SPPR!$E:$Z,MATCH($A233,SPPR!$A:$A,0),5)),$C233*INDEX(SPPR!$E:$Z,MATCH($A233,SPPR!$A:$A,0),5),""),"")</f>
        <v/>
      </c>
      <c r="I233">
        <f>IFERROR(IF(ISNUMBER(INDEX(SPPR!$E:$Z,MATCH($A233,SPPR!$A:$A,0),6)),$C233*INDEX(SPPR!$E:$Z,MATCH($A233,SPPR!$A:$A,0),6),""),"")</f>
        <v/>
      </c>
      <c r="J233">
        <f>IFERROR(IF(ISNUMBER(INDEX(SPPR!$E:$Z,MATCH($A233,SPPR!$A:$A,0),7)),$C233*INDEX(SPPR!$E:$Z,MATCH($A233,SPPR!$A:$A,0),7),""),"")</f>
        <v/>
      </c>
      <c r="K233">
        <f>IFERROR(IF(ISNUMBER(INDEX(SPPR!$E:$Z,MATCH($A233,SPPR!$A:$A,0),8)),$C233*INDEX(SPPR!$E:$Z,MATCH($A233,SPPR!$A:$A,0),8),""),"")</f>
        <v/>
      </c>
      <c r="L233">
        <f>IFERROR(IF(ISNUMBER(INDEX(SPPR!$E:$Z,MATCH($A233,SPPR!$A:$A,0),9)),$C233*INDEX(SPPR!$E:$Z,MATCH($A233,SPPR!$A:$A,0),9),""),"")</f>
        <v/>
      </c>
      <c r="M233">
        <f>IFERROR(IF(ISNUMBER(INDEX(SPPR!$E:$Z,MATCH($A233,SPPR!$A:$A,0),10)),$C233*INDEX(SPPR!$E:$Z,MATCH($A233,SPPR!$A:$A,0),10),""),"")</f>
        <v/>
      </c>
      <c r="N233">
        <f>IFERROR(IF(ISNUMBER(INDEX(SPPR!$E:$Z,MATCH($A233,SPPR!$A:$A,0),11)),$C233*INDEX(SPPR!$E:$Z,MATCH($A233,SPPR!$A:$A,0),11),""),"")</f>
        <v/>
      </c>
      <c r="O233">
        <f>IFERROR(IF(ISNUMBER(INDEX(SPPR!$E:$Z,MATCH($A233,SPPR!$A:$A,0),12)),$C233*INDEX(SPPR!$E:$Z,MATCH($A233,SPPR!$A:$A,0),12),""),"")</f>
        <v/>
      </c>
      <c r="P233">
        <f>IFERROR(IF(ISNUMBER(INDEX(SPPR!$E:$Z,MATCH($A233,SPPR!$A:$A,0),13)),$C233*INDEX(SPPR!$E:$Z,MATCH($A233,SPPR!$A:$A,0),13),""),"")</f>
        <v/>
      </c>
      <c r="Q233">
        <f>IFERROR(IF(ISNUMBER(INDEX(SPPR!$E:$Z,MATCH($A233,SPPR!$A:$A,0),14)),$C233*INDEX(SPPR!$E:$Z,MATCH($A233,SPPR!$A:$A,0),14),""),"")</f>
        <v/>
      </c>
      <c r="R233">
        <f>IFERROR(IF(ISNUMBER(INDEX(SPPR!$E:$Z,MATCH($A233,SPPR!$A:$A,0),15)),$C233*INDEX(SPPR!$E:$Z,MATCH($A233,SPPR!$A:$A,0),15),""),"")</f>
        <v/>
      </c>
      <c r="S233">
        <f>IFERROR(IF(ISNUMBER(INDEX(SPPR!$E:$Z,MATCH($A233,SPPR!$A:$A,0),16)),$C233*INDEX(SPPR!$E:$Z,MATCH($A233,SPPR!$A:$A,0),16),""),"")</f>
        <v/>
      </c>
      <c r="T233">
        <f>IFERROR(IF(ISNUMBER(INDEX(SPPR!$E:$Z,MATCH($A233,SPPR!$A:$A,0),17)),$C233*INDEX(SPPR!$E:$Z,MATCH($A233,SPPR!$A:$A,0),17),""),"")</f>
        <v/>
      </c>
      <c r="U233">
        <f>IFERROR(IF(ISNUMBER(INDEX(SPPR!$E:$Z,MATCH($A233,SPPR!$A:$A,0),18)),$C233*INDEX(SPPR!$E:$Z,MATCH($A233,SPPR!$A:$A,0),18),""),"")</f>
        <v/>
      </c>
      <c r="V233">
        <f>IFERROR(IF(ISNUMBER(INDEX(SPPR!$E:$Z,MATCH($A233,SPPR!$A:$A,0),19)),$C233*INDEX(SPPR!$E:$Z,MATCH($A233,SPPR!$A:$A,0),19),""),"")</f>
        <v/>
      </c>
      <c r="W233">
        <f>IFERROR(IF(ISNUMBER(INDEX(SPPR!$E:$Z,MATCH($A233,SPPR!$A:$A,0),20)),$C233*INDEX(SPPR!$E:$Z,MATCH($A233,SPPR!$A:$A,0),20),""),"")</f>
        <v/>
      </c>
      <c r="X233">
        <f>IFERROR(IF(ISNUMBER(INDEX(SPPR!$E:$Z,MATCH($A233,SPPR!$A:$A,0),21)),$C233*INDEX(SPPR!$E:$Z,MATCH($A233,SPPR!$A:$A,0),21),""),"")</f>
        <v/>
      </c>
      <c r="Y233">
        <f>IFERROR(IF(ISNUMBER(INDEX(SPPR!$E:$Z,MATCH($A233,SPPR!$A:$A,0),22)),$C233*INDEX(SPPR!$E:$Z,MATCH($A233,SPPR!$A:$A,0),22),""),"")</f>
        <v/>
      </c>
    </row>
    <row r="234">
      <c r="A234" t="inlineStr">
        <is>
          <t>Bathygobius soporator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IFERROR(IF(ISNUMBER(INDEX(SPPR!$E:$Z,MATCH($A234,SPPR!$A:$A,0),1)),$C234*INDEX(SPPR!$E:$Z,MATCH($A234,SPPR!$A:$A,0),1),""),"")</f>
        <v/>
      </c>
      <c r="E234">
        <f>IFERROR(IF(ISNUMBER(INDEX(SPPR!$E:$Z,MATCH($A234,SPPR!$A:$A,0),2)),$C234*INDEX(SPPR!$E:$Z,MATCH($A234,SPPR!$A:$A,0),2),""),"")</f>
        <v/>
      </c>
      <c r="F234">
        <f>IFERROR(IF(ISNUMBER(INDEX(SPPR!$E:$Z,MATCH($A234,SPPR!$A:$A,0),3)),$C234*INDEX(SPPR!$E:$Z,MATCH($A234,SPPR!$A:$A,0),3),""),"")</f>
        <v/>
      </c>
      <c r="G234">
        <f>IFERROR(IF(ISNUMBER(INDEX(SPPR!$E:$Z,MATCH($A234,SPPR!$A:$A,0),4)),$C234*INDEX(SPPR!$E:$Z,MATCH($A234,SPPR!$A:$A,0),4),""),"")</f>
        <v/>
      </c>
      <c r="H234">
        <f>IFERROR(IF(ISNUMBER(INDEX(SPPR!$E:$Z,MATCH($A234,SPPR!$A:$A,0),5)),$C234*INDEX(SPPR!$E:$Z,MATCH($A234,SPPR!$A:$A,0),5),""),"")</f>
        <v/>
      </c>
      <c r="I234">
        <f>IFERROR(IF(ISNUMBER(INDEX(SPPR!$E:$Z,MATCH($A234,SPPR!$A:$A,0),6)),$C234*INDEX(SPPR!$E:$Z,MATCH($A234,SPPR!$A:$A,0),6),""),"")</f>
        <v/>
      </c>
      <c r="J234">
        <f>IFERROR(IF(ISNUMBER(INDEX(SPPR!$E:$Z,MATCH($A234,SPPR!$A:$A,0),7)),$C234*INDEX(SPPR!$E:$Z,MATCH($A234,SPPR!$A:$A,0),7),""),"")</f>
        <v/>
      </c>
      <c r="K234">
        <f>IFERROR(IF(ISNUMBER(INDEX(SPPR!$E:$Z,MATCH($A234,SPPR!$A:$A,0),8)),$C234*INDEX(SPPR!$E:$Z,MATCH($A234,SPPR!$A:$A,0),8),""),"")</f>
        <v/>
      </c>
      <c r="L234">
        <f>IFERROR(IF(ISNUMBER(INDEX(SPPR!$E:$Z,MATCH($A234,SPPR!$A:$A,0),9)),$C234*INDEX(SPPR!$E:$Z,MATCH($A234,SPPR!$A:$A,0),9),""),"")</f>
        <v/>
      </c>
      <c r="M234">
        <f>IFERROR(IF(ISNUMBER(INDEX(SPPR!$E:$Z,MATCH($A234,SPPR!$A:$A,0),10)),$C234*INDEX(SPPR!$E:$Z,MATCH($A234,SPPR!$A:$A,0),10),""),"")</f>
        <v/>
      </c>
      <c r="N234">
        <f>IFERROR(IF(ISNUMBER(INDEX(SPPR!$E:$Z,MATCH($A234,SPPR!$A:$A,0),11)),$C234*INDEX(SPPR!$E:$Z,MATCH($A234,SPPR!$A:$A,0),11),""),"")</f>
        <v/>
      </c>
      <c r="O234">
        <f>IFERROR(IF(ISNUMBER(INDEX(SPPR!$E:$Z,MATCH($A234,SPPR!$A:$A,0),12)),$C234*INDEX(SPPR!$E:$Z,MATCH($A234,SPPR!$A:$A,0),12),""),"")</f>
        <v/>
      </c>
      <c r="P234">
        <f>IFERROR(IF(ISNUMBER(INDEX(SPPR!$E:$Z,MATCH($A234,SPPR!$A:$A,0),13)),$C234*INDEX(SPPR!$E:$Z,MATCH($A234,SPPR!$A:$A,0),13),""),"")</f>
        <v/>
      </c>
      <c r="Q234">
        <f>IFERROR(IF(ISNUMBER(INDEX(SPPR!$E:$Z,MATCH($A234,SPPR!$A:$A,0),14)),$C234*INDEX(SPPR!$E:$Z,MATCH($A234,SPPR!$A:$A,0),14),""),"")</f>
        <v/>
      </c>
      <c r="R234">
        <f>IFERROR(IF(ISNUMBER(INDEX(SPPR!$E:$Z,MATCH($A234,SPPR!$A:$A,0),15)),$C234*INDEX(SPPR!$E:$Z,MATCH($A234,SPPR!$A:$A,0),15),""),"")</f>
        <v/>
      </c>
      <c r="S234">
        <f>IFERROR(IF(ISNUMBER(INDEX(SPPR!$E:$Z,MATCH($A234,SPPR!$A:$A,0),16)),$C234*INDEX(SPPR!$E:$Z,MATCH($A234,SPPR!$A:$A,0),16),""),"")</f>
        <v/>
      </c>
      <c r="T234">
        <f>IFERROR(IF(ISNUMBER(INDEX(SPPR!$E:$Z,MATCH($A234,SPPR!$A:$A,0),17)),$C234*INDEX(SPPR!$E:$Z,MATCH($A234,SPPR!$A:$A,0),17),""),"")</f>
        <v/>
      </c>
      <c r="U234">
        <f>IFERROR(IF(ISNUMBER(INDEX(SPPR!$E:$Z,MATCH($A234,SPPR!$A:$A,0),18)),$C234*INDEX(SPPR!$E:$Z,MATCH($A234,SPPR!$A:$A,0),18),""),"")</f>
        <v/>
      </c>
      <c r="V234">
        <f>IFERROR(IF(ISNUMBER(INDEX(SPPR!$E:$Z,MATCH($A234,SPPR!$A:$A,0),19)),$C234*INDEX(SPPR!$E:$Z,MATCH($A234,SPPR!$A:$A,0),19),""),"")</f>
        <v/>
      </c>
      <c r="W234">
        <f>IFERROR(IF(ISNUMBER(INDEX(SPPR!$E:$Z,MATCH($A234,SPPR!$A:$A,0),20)),$C234*INDEX(SPPR!$E:$Z,MATCH($A234,SPPR!$A:$A,0),20),""),"")</f>
        <v/>
      </c>
      <c r="X234">
        <f>IFERROR(IF(ISNUMBER(INDEX(SPPR!$E:$Z,MATCH($A234,SPPR!$A:$A,0),21)),$C234*INDEX(SPPR!$E:$Z,MATCH($A234,SPPR!$A:$A,0),21),""),"")</f>
        <v/>
      </c>
      <c r="Y234">
        <f>IFERROR(IF(ISNUMBER(INDEX(SPPR!$E:$Z,MATCH($A234,SPPR!$A:$A,0),22)),$C234*INDEX(SPPR!$E:$Z,MATCH($A234,SPPR!$A:$A,0),22),""),"")</f>
        <v/>
      </c>
    </row>
    <row r="235">
      <c r="A235" t="inlineStr">
        <is>
          <t>Dicologlossa cuneata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IFERROR(IF(ISNUMBER(INDEX(SPPR!$E:$Z,MATCH($A235,SPPR!$A:$A,0),1)),$C235*INDEX(SPPR!$E:$Z,MATCH($A235,SPPR!$A:$A,0),1),""),"")</f>
        <v/>
      </c>
      <c r="E235">
        <f>IFERROR(IF(ISNUMBER(INDEX(SPPR!$E:$Z,MATCH($A235,SPPR!$A:$A,0),2)),$C235*INDEX(SPPR!$E:$Z,MATCH($A235,SPPR!$A:$A,0),2),""),"")</f>
        <v/>
      </c>
      <c r="F235">
        <f>IFERROR(IF(ISNUMBER(INDEX(SPPR!$E:$Z,MATCH($A235,SPPR!$A:$A,0),3)),$C235*INDEX(SPPR!$E:$Z,MATCH($A235,SPPR!$A:$A,0),3),""),"")</f>
        <v/>
      </c>
      <c r="G235">
        <f>IFERROR(IF(ISNUMBER(INDEX(SPPR!$E:$Z,MATCH($A235,SPPR!$A:$A,0),4)),$C235*INDEX(SPPR!$E:$Z,MATCH($A235,SPPR!$A:$A,0),4),""),"")</f>
        <v/>
      </c>
      <c r="H235">
        <f>IFERROR(IF(ISNUMBER(INDEX(SPPR!$E:$Z,MATCH($A235,SPPR!$A:$A,0),5)),$C235*INDEX(SPPR!$E:$Z,MATCH($A235,SPPR!$A:$A,0),5),""),"")</f>
        <v/>
      </c>
      <c r="I235">
        <f>IFERROR(IF(ISNUMBER(INDEX(SPPR!$E:$Z,MATCH($A235,SPPR!$A:$A,0),6)),$C235*INDEX(SPPR!$E:$Z,MATCH($A235,SPPR!$A:$A,0),6),""),"")</f>
        <v/>
      </c>
      <c r="J235">
        <f>IFERROR(IF(ISNUMBER(INDEX(SPPR!$E:$Z,MATCH($A235,SPPR!$A:$A,0),7)),$C235*INDEX(SPPR!$E:$Z,MATCH($A235,SPPR!$A:$A,0),7),""),"")</f>
        <v/>
      </c>
      <c r="K235">
        <f>IFERROR(IF(ISNUMBER(INDEX(SPPR!$E:$Z,MATCH($A235,SPPR!$A:$A,0),8)),$C235*INDEX(SPPR!$E:$Z,MATCH($A235,SPPR!$A:$A,0),8),""),"")</f>
        <v/>
      </c>
      <c r="L235">
        <f>IFERROR(IF(ISNUMBER(INDEX(SPPR!$E:$Z,MATCH($A235,SPPR!$A:$A,0),9)),$C235*INDEX(SPPR!$E:$Z,MATCH($A235,SPPR!$A:$A,0),9),""),"")</f>
        <v/>
      </c>
      <c r="M235">
        <f>IFERROR(IF(ISNUMBER(INDEX(SPPR!$E:$Z,MATCH($A235,SPPR!$A:$A,0),10)),$C235*INDEX(SPPR!$E:$Z,MATCH($A235,SPPR!$A:$A,0),10),""),"")</f>
        <v/>
      </c>
      <c r="N235">
        <f>IFERROR(IF(ISNUMBER(INDEX(SPPR!$E:$Z,MATCH($A235,SPPR!$A:$A,0),11)),$C235*INDEX(SPPR!$E:$Z,MATCH($A235,SPPR!$A:$A,0),11),""),"")</f>
        <v/>
      </c>
      <c r="O235">
        <f>IFERROR(IF(ISNUMBER(INDEX(SPPR!$E:$Z,MATCH($A235,SPPR!$A:$A,0),12)),$C235*INDEX(SPPR!$E:$Z,MATCH($A235,SPPR!$A:$A,0),12),""),"")</f>
        <v/>
      </c>
      <c r="P235">
        <f>IFERROR(IF(ISNUMBER(INDEX(SPPR!$E:$Z,MATCH($A235,SPPR!$A:$A,0),13)),$C235*INDEX(SPPR!$E:$Z,MATCH($A235,SPPR!$A:$A,0),13),""),"")</f>
        <v/>
      </c>
      <c r="Q235">
        <f>IFERROR(IF(ISNUMBER(INDEX(SPPR!$E:$Z,MATCH($A235,SPPR!$A:$A,0),14)),$C235*INDEX(SPPR!$E:$Z,MATCH($A235,SPPR!$A:$A,0),14),""),"")</f>
        <v/>
      </c>
      <c r="R235">
        <f>IFERROR(IF(ISNUMBER(INDEX(SPPR!$E:$Z,MATCH($A235,SPPR!$A:$A,0),15)),$C235*INDEX(SPPR!$E:$Z,MATCH($A235,SPPR!$A:$A,0),15),""),"")</f>
        <v/>
      </c>
      <c r="S235">
        <f>IFERROR(IF(ISNUMBER(INDEX(SPPR!$E:$Z,MATCH($A235,SPPR!$A:$A,0),16)),$C235*INDEX(SPPR!$E:$Z,MATCH($A235,SPPR!$A:$A,0),16),""),"")</f>
        <v/>
      </c>
      <c r="T235">
        <f>IFERROR(IF(ISNUMBER(INDEX(SPPR!$E:$Z,MATCH($A235,SPPR!$A:$A,0),17)),$C235*INDEX(SPPR!$E:$Z,MATCH($A235,SPPR!$A:$A,0),17),""),"")</f>
        <v/>
      </c>
      <c r="U235">
        <f>IFERROR(IF(ISNUMBER(INDEX(SPPR!$E:$Z,MATCH($A235,SPPR!$A:$A,0),18)),$C235*INDEX(SPPR!$E:$Z,MATCH($A235,SPPR!$A:$A,0),18),""),"")</f>
        <v/>
      </c>
      <c r="V235">
        <f>IFERROR(IF(ISNUMBER(INDEX(SPPR!$E:$Z,MATCH($A235,SPPR!$A:$A,0),19)),$C235*INDEX(SPPR!$E:$Z,MATCH($A235,SPPR!$A:$A,0),19),""),"")</f>
        <v/>
      </c>
      <c r="W235">
        <f>IFERROR(IF(ISNUMBER(INDEX(SPPR!$E:$Z,MATCH($A235,SPPR!$A:$A,0),20)),$C235*INDEX(SPPR!$E:$Z,MATCH($A235,SPPR!$A:$A,0),20),""),"")</f>
        <v/>
      </c>
      <c r="X235">
        <f>IFERROR(IF(ISNUMBER(INDEX(SPPR!$E:$Z,MATCH($A235,SPPR!$A:$A,0),21)),$C235*INDEX(SPPR!$E:$Z,MATCH($A235,SPPR!$A:$A,0),21),""),"")</f>
        <v/>
      </c>
      <c r="Y235">
        <f>IFERROR(IF(ISNUMBER(INDEX(SPPR!$E:$Z,MATCH($A235,SPPR!$A:$A,0),22)),$C235*INDEX(SPPR!$E:$Z,MATCH($A235,SPPR!$A:$A,0),22),""),"")</f>
        <v/>
      </c>
    </row>
    <row r="236">
      <c r="A236" t="inlineStr">
        <is>
          <t>Lutjanus agennes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IFERROR(IF(ISNUMBER(INDEX(SPPR!$E:$Z,MATCH($A236,SPPR!$A:$A,0),1)),$C236*INDEX(SPPR!$E:$Z,MATCH($A236,SPPR!$A:$A,0),1),""),"")</f>
        <v/>
      </c>
      <c r="E236">
        <f>IFERROR(IF(ISNUMBER(INDEX(SPPR!$E:$Z,MATCH($A236,SPPR!$A:$A,0),2)),$C236*INDEX(SPPR!$E:$Z,MATCH($A236,SPPR!$A:$A,0),2),""),"")</f>
        <v/>
      </c>
      <c r="F236">
        <f>IFERROR(IF(ISNUMBER(INDEX(SPPR!$E:$Z,MATCH($A236,SPPR!$A:$A,0),3)),$C236*INDEX(SPPR!$E:$Z,MATCH($A236,SPPR!$A:$A,0),3),""),"")</f>
        <v/>
      </c>
      <c r="G236">
        <f>IFERROR(IF(ISNUMBER(INDEX(SPPR!$E:$Z,MATCH($A236,SPPR!$A:$A,0),4)),$C236*INDEX(SPPR!$E:$Z,MATCH($A236,SPPR!$A:$A,0),4),""),"")</f>
        <v/>
      </c>
      <c r="H236">
        <f>IFERROR(IF(ISNUMBER(INDEX(SPPR!$E:$Z,MATCH($A236,SPPR!$A:$A,0),5)),$C236*INDEX(SPPR!$E:$Z,MATCH($A236,SPPR!$A:$A,0),5),""),"")</f>
        <v/>
      </c>
      <c r="I236">
        <f>IFERROR(IF(ISNUMBER(INDEX(SPPR!$E:$Z,MATCH($A236,SPPR!$A:$A,0),6)),$C236*INDEX(SPPR!$E:$Z,MATCH($A236,SPPR!$A:$A,0),6),""),"")</f>
        <v/>
      </c>
      <c r="J236">
        <f>IFERROR(IF(ISNUMBER(INDEX(SPPR!$E:$Z,MATCH($A236,SPPR!$A:$A,0),7)),$C236*INDEX(SPPR!$E:$Z,MATCH($A236,SPPR!$A:$A,0),7),""),"")</f>
        <v/>
      </c>
      <c r="K236">
        <f>IFERROR(IF(ISNUMBER(INDEX(SPPR!$E:$Z,MATCH($A236,SPPR!$A:$A,0),8)),$C236*INDEX(SPPR!$E:$Z,MATCH($A236,SPPR!$A:$A,0),8),""),"")</f>
        <v/>
      </c>
      <c r="L236">
        <f>IFERROR(IF(ISNUMBER(INDEX(SPPR!$E:$Z,MATCH($A236,SPPR!$A:$A,0),9)),$C236*INDEX(SPPR!$E:$Z,MATCH($A236,SPPR!$A:$A,0),9),""),"")</f>
        <v/>
      </c>
      <c r="M236">
        <f>IFERROR(IF(ISNUMBER(INDEX(SPPR!$E:$Z,MATCH($A236,SPPR!$A:$A,0),10)),$C236*INDEX(SPPR!$E:$Z,MATCH($A236,SPPR!$A:$A,0),10),""),"")</f>
        <v/>
      </c>
      <c r="N236">
        <f>IFERROR(IF(ISNUMBER(INDEX(SPPR!$E:$Z,MATCH($A236,SPPR!$A:$A,0),11)),$C236*INDEX(SPPR!$E:$Z,MATCH($A236,SPPR!$A:$A,0),11),""),"")</f>
        <v/>
      </c>
      <c r="O236">
        <f>IFERROR(IF(ISNUMBER(INDEX(SPPR!$E:$Z,MATCH($A236,SPPR!$A:$A,0),12)),$C236*INDEX(SPPR!$E:$Z,MATCH($A236,SPPR!$A:$A,0),12),""),"")</f>
        <v/>
      </c>
      <c r="P236">
        <f>IFERROR(IF(ISNUMBER(INDEX(SPPR!$E:$Z,MATCH($A236,SPPR!$A:$A,0),13)),$C236*INDEX(SPPR!$E:$Z,MATCH($A236,SPPR!$A:$A,0),13),""),"")</f>
        <v/>
      </c>
      <c r="Q236">
        <f>IFERROR(IF(ISNUMBER(INDEX(SPPR!$E:$Z,MATCH($A236,SPPR!$A:$A,0),14)),$C236*INDEX(SPPR!$E:$Z,MATCH($A236,SPPR!$A:$A,0),14),""),"")</f>
        <v/>
      </c>
      <c r="R236">
        <f>IFERROR(IF(ISNUMBER(INDEX(SPPR!$E:$Z,MATCH($A236,SPPR!$A:$A,0),15)),$C236*INDEX(SPPR!$E:$Z,MATCH($A236,SPPR!$A:$A,0),15),""),"")</f>
        <v/>
      </c>
      <c r="S236">
        <f>IFERROR(IF(ISNUMBER(INDEX(SPPR!$E:$Z,MATCH($A236,SPPR!$A:$A,0),16)),$C236*INDEX(SPPR!$E:$Z,MATCH($A236,SPPR!$A:$A,0),16),""),"")</f>
        <v/>
      </c>
      <c r="T236">
        <f>IFERROR(IF(ISNUMBER(INDEX(SPPR!$E:$Z,MATCH($A236,SPPR!$A:$A,0),17)),$C236*INDEX(SPPR!$E:$Z,MATCH($A236,SPPR!$A:$A,0),17),""),"")</f>
        <v/>
      </c>
      <c r="U236">
        <f>IFERROR(IF(ISNUMBER(INDEX(SPPR!$E:$Z,MATCH($A236,SPPR!$A:$A,0),18)),$C236*INDEX(SPPR!$E:$Z,MATCH($A236,SPPR!$A:$A,0),18),""),"")</f>
        <v/>
      </c>
      <c r="V236">
        <f>IFERROR(IF(ISNUMBER(INDEX(SPPR!$E:$Z,MATCH($A236,SPPR!$A:$A,0),19)),$C236*INDEX(SPPR!$E:$Z,MATCH($A236,SPPR!$A:$A,0),19),""),"")</f>
        <v/>
      </c>
      <c r="W236">
        <f>IFERROR(IF(ISNUMBER(INDEX(SPPR!$E:$Z,MATCH($A236,SPPR!$A:$A,0),20)),$C236*INDEX(SPPR!$E:$Z,MATCH($A236,SPPR!$A:$A,0),20),""),"")</f>
        <v/>
      </c>
      <c r="X236">
        <f>IFERROR(IF(ISNUMBER(INDEX(SPPR!$E:$Z,MATCH($A236,SPPR!$A:$A,0),21)),$C236*INDEX(SPPR!$E:$Z,MATCH($A236,SPPR!$A:$A,0),21),""),"")</f>
        <v/>
      </c>
      <c r="Y236">
        <f>IFERROR(IF(ISNUMBER(INDEX(SPPR!$E:$Z,MATCH($A236,SPPR!$A:$A,0),22)),$C236*INDEX(SPPR!$E:$Z,MATCH($A236,SPPR!$A:$A,0),22),""),"")</f>
        <v/>
      </c>
    </row>
    <row r="237">
      <c r="A237" t="inlineStr">
        <is>
          <t>Loligo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IFERROR(IF(ISNUMBER(INDEX(SPPR!$E:$Z,MATCH($A237,SPPR!$A:$A,0),1)),$C237*INDEX(SPPR!$E:$Z,MATCH($A237,SPPR!$A:$A,0),1),""),"")</f>
        <v/>
      </c>
      <c r="E237">
        <f>IFERROR(IF(ISNUMBER(INDEX(SPPR!$E:$Z,MATCH($A237,SPPR!$A:$A,0),2)),$C237*INDEX(SPPR!$E:$Z,MATCH($A237,SPPR!$A:$A,0),2),""),"")</f>
        <v/>
      </c>
      <c r="F237">
        <f>IFERROR(IF(ISNUMBER(INDEX(SPPR!$E:$Z,MATCH($A237,SPPR!$A:$A,0),3)),$C237*INDEX(SPPR!$E:$Z,MATCH($A237,SPPR!$A:$A,0),3),""),"")</f>
        <v/>
      </c>
      <c r="G237">
        <f>IFERROR(IF(ISNUMBER(INDEX(SPPR!$E:$Z,MATCH($A237,SPPR!$A:$A,0),4)),$C237*INDEX(SPPR!$E:$Z,MATCH($A237,SPPR!$A:$A,0),4),""),"")</f>
        <v/>
      </c>
      <c r="H237">
        <f>IFERROR(IF(ISNUMBER(INDEX(SPPR!$E:$Z,MATCH($A237,SPPR!$A:$A,0),5)),$C237*INDEX(SPPR!$E:$Z,MATCH($A237,SPPR!$A:$A,0),5),""),"")</f>
        <v/>
      </c>
      <c r="I237">
        <f>IFERROR(IF(ISNUMBER(INDEX(SPPR!$E:$Z,MATCH($A237,SPPR!$A:$A,0),6)),$C237*INDEX(SPPR!$E:$Z,MATCH($A237,SPPR!$A:$A,0),6),""),"")</f>
        <v/>
      </c>
      <c r="J237">
        <f>IFERROR(IF(ISNUMBER(INDEX(SPPR!$E:$Z,MATCH($A237,SPPR!$A:$A,0),7)),$C237*INDEX(SPPR!$E:$Z,MATCH($A237,SPPR!$A:$A,0),7),""),"")</f>
        <v/>
      </c>
      <c r="K237">
        <f>IFERROR(IF(ISNUMBER(INDEX(SPPR!$E:$Z,MATCH($A237,SPPR!$A:$A,0),8)),$C237*INDEX(SPPR!$E:$Z,MATCH($A237,SPPR!$A:$A,0),8),""),"")</f>
        <v/>
      </c>
      <c r="L237">
        <f>IFERROR(IF(ISNUMBER(INDEX(SPPR!$E:$Z,MATCH($A237,SPPR!$A:$A,0),9)),$C237*INDEX(SPPR!$E:$Z,MATCH($A237,SPPR!$A:$A,0),9),""),"")</f>
        <v/>
      </c>
      <c r="M237">
        <f>IFERROR(IF(ISNUMBER(INDEX(SPPR!$E:$Z,MATCH($A237,SPPR!$A:$A,0),10)),$C237*INDEX(SPPR!$E:$Z,MATCH($A237,SPPR!$A:$A,0),10),""),"")</f>
        <v/>
      </c>
      <c r="N237">
        <f>IFERROR(IF(ISNUMBER(INDEX(SPPR!$E:$Z,MATCH($A237,SPPR!$A:$A,0),11)),$C237*INDEX(SPPR!$E:$Z,MATCH($A237,SPPR!$A:$A,0),11),""),"")</f>
        <v/>
      </c>
      <c r="O237">
        <f>IFERROR(IF(ISNUMBER(INDEX(SPPR!$E:$Z,MATCH($A237,SPPR!$A:$A,0),12)),$C237*INDEX(SPPR!$E:$Z,MATCH($A237,SPPR!$A:$A,0),12),""),"")</f>
        <v/>
      </c>
      <c r="P237">
        <f>IFERROR(IF(ISNUMBER(INDEX(SPPR!$E:$Z,MATCH($A237,SPPR!$A:$A,0),13)),$C237*INDEX(SPPR!$E:$Z,MATCH($A237,SPPR!$A:$A,0),13),""),"")</f>
        <v/>
      </c>
      <c r="Q237">
        <f>IFERROR(IF(ISNUMBER(INDEX(SPPR!$E:$Z,MATCH($A237,SPPR!$A:$A,0),14)),$C237*INDEX(SPPR!$E:$Z,MATCH($A237,SPPR!$A:$A,0),14),""),"")</f>
        <v/>
      </c>
      <c r="R237">
        <f>IFERROR(IF(ISNUMBER(INDEX(SPPR!$E:$Z,MATCH($A237,SPPR!$A:$A,0),15)),$C237*INDEX(SPPR!$E:$Z,MATCH($A237,SPPR!$A:$A,0),15),""),"")</f>
        <v/>
      </c>
      <c r="S237">
        <f>IFERROR(IF(ISNUMBER(INDEX(SPPR!$E:$Z,MATCH($A237,SPPR!$A:$A,0),16)),$C237*INDEX(SPPR!$E:$Z,MATCH($A237,SPPR!$A:$A,0),16),""),"")</f>
        <v/>
      </c>
      <c r="T237">
        <f>IFERROR(IF(ISNUMBER(INDEX(SPPR!$E:$Z,MATCH($A237,SPPR!$A:$A,0),17)),$C237*INDEX(SPPR!$E:$Z,MATCH($A237,SPPR!$A:$A,0),17),""),"")</f>
        <v/>
      </c>
      <c r="U237">
        <f>IFERROR(IF(ISNUMBER(INDEX(SPPR!$E:$Z,MATCH($A237,SPPR!$A:$A,0),18)),$C237*INDEX(SPPR!$E:$Z,MATCH($A237,SPPR!$A:$A,0),18),""),"")</f>
        <v/>
      </c>
      <c r="V237">
        <f>IFERROR(IF(ISNUMBER(INDEX(SPPR!$E:$Z,MATCH($A237,SPPR!$A:$A,0),19)),$C237*INDEX(SPPR!$E:$Z,MATCH($A237,SPPR!$A:$A,0),19),""),"")</f>
        <v/>
      </c>
      <c r="W237">
        <f>IFERROR(IF(ISNUMBER(INDEX(SPPR!$E:$Z,MATCH($A237,SPPR!$A:$A,0),20)),$C237*INDEX(SPPR!$E:$Z,MATCH($A237,SPPR!$A:$A,0),20),""),"")</f>
        <v/>
      </c>
      <c r="X237">
        <f>IFERROR(IF(ISNUMBER(INDEX(SPPR!$E:$Z,MATCH($A237,SPPR!$A:$A,0),21)),$C237*INDEX(SPPR!$E:$Z,MATCH($A237,SPPR!$A:$A,0),21),""),"")</f>
        <v/>
      </c>
      <c r="Y237">
        <f>IFERROR(IF(ISNUMBER(INDEX(SPPR!$E:$Z,MATCH($A237,SPPR!$A:$A,0),22)),$C237*INDEX(SPPR!$E:$Z,MATCH($A237,SPPR!$A:$A,0),22),""),"")</f>
        <v/>
      </c>
    </row>
    <row r="238">
      <c r="A238" t="inlineStr">
        <is>
          <t>Istiophorus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IFERROR(IF(ISNUMBER(INDEX(SPPR!$E:$Z,MATCH($A238,SPPR!$A:$A,0),1)),$C238*INDEX(SPPR!$E:$Z,MATCH($A238,SPPR!$A:$A,0),1),""),"")</f>
        <v/>
      </c>
      <c r="E238">
        <f>IFERROR(IF(ISNUMBER(INDEX(SPPR!$E:$Z,MATCH($A238,SPPR!$A:$A,0),2)),$C238*INDEX(SPPR!$E:$Z,MATCH($A238,SPPR!$A:$A,0),2),""),"")</f>
        <v/>
      </c>
      <c r="F238">
        <f>IFERROR(IF(ISNUMBER(INDEX(SPPR!$E:$Z,MATCH($A238,SPPR!$A:$A,0),3)),$C238*INDEX(SPPR!$E:$Z,MATCH($A238,SPPR!$A:$A,0),3),""),"")</f>
        <v/>
      </c>
      <c r="G238">
        <f>IFERROR(IF(ISNUMBER(INDEX(SPPR!$E:$Z,MATCH($A238,SPPR!$A:$A,0),4)),$C238*INDEX(SPPR!$E:$Z,MATCH($A238,SPPR!$A:$A,0),4),""),"")</f>
        <v/>
      </c>
      <c r="H238">
        <f>IFERROR(IF(ISNUMBER(INDEX(SPPR!$E:$Z,MATCH($A238,SPPR!$A:$A,0),5)),$C238*INDEX(SPPR!$E:$Z,MATCH($A238,SPPR!$A:$A,0),5),""),"")</f>
        <v/>
      </c>
      <c r="I238">
        <f>IFERROR(IF(ISNUMBER(INDEX(SPPR!$E:$Z,MATCH($A238,SPPR!$A:$A,0),6)),$C238*INDEX(SPPR!$E:$Z,MATCH($A238,SPPR!$A:$A,0),6),""),"")</f>
        <v/>
      </c>
      <c r="J238">
        <f>IFERROR(IF(ISNUMBER(INDEX(SPPR!$E:$Z,MATCH($A238,SPPR!$A:$A,0),7)),$C238*INDEX(SPPR!$E:$Z,MATCH($A238,SPPR!$A:$A,0),7),""),"")</f>
        <v/>
      </c>
      <c r="K238">
        <f>IFERROR(IF(ISNUMBER(INDEX(SPPR!$E:$Z,MATCH($A238,SPPR!$A:$A,0),8)),$C238*INDEX(SPPR!$E:$Z,MATCH($A238,SPPR!$A:$A,0),8),""),"")</f>
        <v/>
      </c>
      <c r="L238">
        <f>IFERROR(IF(ISNUMBER(INDEX(SPPR!$E:$Z,MATCH($A238,SPPR!$A:$A,0),9)),$C238*INDEX(SPPR!$E:$Z,MATCH($A238,SPPR!$A:$A,0),9),""),"")</f>
        <v/>
      </c>
      <c r="M238">
        <f>IFERROR(IF(ISNUMBER(INDEX(SPPR!$E:$Z,MATCH($A238,SPPR!$A:$A,0),10)),$C238*INDEX(SPPR!$E:$Z,MATCH($A238,SPPR!$A:$A,0),10),""),"")</f>
        <v/>
      </c>
      <c r="N238">
        <f>IFERROR(IF(ISNUMBER(INDEX(SPPR!$E:$Z,MATCH($A238,SPPR!$A:$A,0),11)),$C238*INDEX(SPPR!$E:$Z,MATCH($A238,SPPR!$A:$A,0),11),""),"")</f>
        <v/>
      </c>
      <c r="O238">
        <f>IFERROR(IF(ISNUMBER(INDEX(SPPR!$E:$Z,MATCH($A238,SPPR!$A:$A,0),12)),$C238*INDEX(SPPR!$E:$Z,MATCH($A238,SPPR!$A:$A,0),12),""),"")</f>
        <v/>
      </c>
      <c r="P238">
        <f>IFERROR(IF(ISNUMBER(INDEX(SPPR!$E:$Z,MATCH($A238,SPPR!$A:$A,0),13)),$C238*INDEX(SPPR!$E:$Z,MATCH($A238,SPPR!$A:$A,0),13),""),"")</f>
        <v/>
      </c>
      <c r="Q238">
        <f>IFERROR(IF(ISNUMBER(INDEX(SPPR!$E:$Z,MATCH($A238,SPPR!$A:$A,0),14)),$C238*INDEX(SPPR!$E:$Z,MATCH($A238,SPPR!$A:$A,0),14),""),"")</f>
        <v/>
      </c>
      <c r="R238">
        <f>IFERROR(IF(ISNUMBER(INDEX(SPPR!$E:$Z,MATCH($A238,SPPR!$A:$A,0),15)),$C238*INDEX(SPPR!$E:$Z,MATCH($A238,SPPR!$A:$A,0),15),""),"")</f>
        <v/>
      </c>
      <c r="S238">
        <f>IFERROR(IF(ISNUMBER(INDEX(SPPR!$E:$Z,MATCH($A238,SPPR!$A:$A,0),16)),$C238*INDEX(SPPR!$E:$Z,MATCH($A238,SPPR!$A:$A,0),16),""),"")</f>
        <v/>
      </c>
      <c r="T238">
        <f>IFERROR(IF(ISNUMBER(INDEX(SPPR!$E:$Z,MATCH($A238,SPPR!$A:$A,0),17)),$C238*INDEX(SPPR!$E:$Z,MATCH($A238,SPPR!$A:$A,0),17),""),"")</f>
        <v/>
      </c>
      <c r="U238">
        <f>IFERROR(IF(ISNUMBER(INDEX(SPPR!$E:$Z,MATCH($A238,SPPR!$A:$A,0),18)),$C238*INDEX(SPPR!$E:$Z,MATCH($A238,SPPR!$A:$A,0),18),""),"")</f>
        <v/>
      </c>
      <c r="V238">
        <f>IFERROR(IF(ISNUMBER(INDEX(SPPR!$E:$Z,MATCH($A238,SPPR!$A:$A,0),19)),$C238*INDEX(SPPR!$E:$Z,MATCH($A238,SPPR!$A:$A,0),19),""),"")</f>
        <v/>
      </c>
      <c r="W238">
        <f>IFERROR(IF(ISNUMBER(INDEX(SPPR!$E:$Z,MATCH($A238,SPPR!$A:$A,0),20)),$C238*INDEX(SPPR!$E:$Z,MATCH($A238,SPPR!$A:$A,0),20),""),"")</f>
        <v/>
      </c>
      <c r="X238">
        <f>IFERROR(IF(ISNUMBER(INDEX(SPPR!$E:$Z,MATCH($A238,SPPR!$A:$A,0),21)),$C238*INDEX(SPPR!$E:$Z,MATCH($A238,SPPR!$A:$A,0),21),""),"")</f>
        <v/>
      </c>
      <c r="Y238">
        <f>IFERROR(IF(ISNUMBER(INDEX(SPPR!$E:$Z,MATCH($A238,SPPR!$A:$A,0),22)),$C238*INDEX(SPPR!$E:$Z,MATCH($A238,SPPR!$A:$A,0),22),""),"")</f>
        <v/>
      </c>
    </row>
    <row r="239">
      <c r="A239" t="inlineStr">
        <is>
          <t>Carcharhinus brevipinna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IFERROR(IF(ISNUMBER(INDEX(SPPR!$E:$Z,MATCH($A239,SPPR!$A:$A,0),1)),$C239*INDEX(SPPR!$E:$Z,MATCH($A239,SPPR!$A:$A,0),1),""),"")</f>
        <v/>
      </c>
      <c r="E239">
        <f>IFERROR(IF(ISNUMBER(INDEX(SPPR!$E:$Z,MATCH($A239,SPPR!$A:$A,0),2)),$C239*INDEX(SPPR!$E:$Z,MATCH($A239,SPPR!$A:$A,0),2),""),"")</f>
        <v/>
      </c>
      <c r="F239">
        <f>IFERROR(IF(ISNUMBER(INDEX(SPPR!$E:$Z,MATCH($A239,SPPR!$A:$A,0),3)),$C239*INDEX(SPPR!$E:$Z,MATCH($A239,SPPR!$A:$A,0),3),""),"")</f>
        <v/>
      </c>
      <c r="G239">
        <f>IFERROR(IF(ISNUMBER(INDEX(SPPR!$E:$Z,MATCH($A239,SPPR!$A:$A,0),4)),$C239*INDEX(SPPR!$E:$Z,MATCH($A239,SPPR!$A:$A,0),4),""),"")</f>
        <v/>
      </c>
      <c r="H239">
        <f>IFERROR(IF(ISNUMBER(INDEX(SPPR!$E:$Z,MATCH($A239,SPPR!$A:$A,0),5)),$C239*INDEX(SPPR!$E:$Z,MATCH($A239,SPPR!$A:$A,0),5),""),"")</f>
        <v/>
      </c>
      <c r="I239">
        <f>IFERROR(IF(ISNUMBER(INDEX(SPPR!$E:$Z,MATCH($A239,SPPR!$A:$A,0),6)),$C239*INDEX(SPPR!$E:$Z,MATCH($A239,SPPR!$A:$A,0),6),""),"")</f>
        <v/>
      </c>
      <c r="J239">
        <f>IFERROR(IF(ISNUMBER(INDEX(SPPR!$E:$Z,MATCH($A239,SPPR!$A:$A,0),7)),$C239*INDEX(SPPR!$E:$Z,MATCH($A239,SPPR!$A:$A,0),7),""),"")</f>
        <v/>
      </c>
      <c r="K239">
        <f>IFERROR(IF(ISNUMBER(INDEX(SPPR!$E:$Z,MATCH($A239,SPPR!$A:$A,0),8)),$C239*INDEX(SPPR!$E:$Z,MATCH($A239,SPPR!$A:$A,0),8),""),"")</f>
        <v/>
      </c>
      <c r="L239">
        <f>IFERROR(IF(ISNUMBER(INDEX(SPPR!$E:$Z,MATCH($A239,SPPR!$A:$A,0),9)),$C239*INDEX(SPPR!$E:$Z,MATCH($A239,SPPR!$A:$A,0),9),""),"")</f>
        <v/>
      </c>
      <c r="M239">
        <f>IFERROR(IF(ISNUMBER(INDEX(SPPR!$E:$Z,MATCH($A239,SPPR!$A:$A,0),10)),$C239*INDEX(SPPR!$E:$Z,MATCH($A239,SPPR!$A:$A,0),10),""),"")</f>
        <v/>
      </c>
      <c r="N239">
        <f>IFERROR(IF(ISNUMBER(INDEX(SPPR!$E:$Z,MATCH($A239,SPPR!$A:$A,0),11)),$C239*INDEX(SPPR!$E:$Z,MATCH($A239,SPPR!$A:$A,0),11),""),"")</f>
        <v/>
      </c>
      <c r="O239">
        <f>IFERROR(IF(ISNUMBER(INDEX(SPPR!$E:$Z,MATCH($A239,SPPR!$A:$A,0),12)),$C239*INDEX(SPPR!$E:$Z,MATCH($A239,SPPR!$A:$A,0),12),""),"")</f>
        <v/>
      </c>
      <c r="P239">
        <f>IFERROR(IF(ISNUMBER(INDEX(SPPR!$E:$Z,MATCH($A239,SPPR!$A:$A,0),13)),$C239*INDEX(SPPR!$E:$Z,MATCH($A239,SPPR!$A:$A,0),13),""),"")</f>
        <v/>
      </c>
      <c r="Q239">
        <f>IFERROR(IF(ISNUMBER(INDEX(SPPR!$E:$Z,MATCH($A239,SPPR!$A:$A,0),14)),$C239*INDEX(SPPR!$E:$Z,MATCH($A239,SPPR!$A:$A,0),14),""),"")</f>
        <v/>
      </c>
      <c r="R239">
        <f>IFERROR(IF(ISNUMBER(INDEX(SPPR!$E:$Z,MATCH($A239,SPPR!$A:$A,0),15)),$C239*INDEX(SPPR!$E:$Z,MATCH($A239,SPPR!$A:$A,0),15),""),"")</f>
        <v/>
      </c>
      <c r="S239">
        <f>IFERROR(IF(ISNUMBER(INDEX(SPPR!$E:$Z,MATCH($A239,SPPR!$A:$A,0),16)),$C239*INDEX(SPPR!$E:$Z,MATCH($A239,SPPR!$A:$A,0),16),""),"")</f>
        <v/>
      </c>
      <c r="T239">
        <f>IFERROR(IF(ISNUMBER(INDEX(SPPR!$E:$Z,MATCH($A239,SPPR!$A:$A,0),17)),$C239*INDEX(SPPR!$E:$Z,MATCH($A239,SPPR!$A:$A,0),17),""),"")</f>
        <v/>
      </c>
      <c r="U239">
        <f>IFERROR(IF(ISNUMBER(INDEX(SPPR!$E:$Z,MATCH($A239,SPPR!$A:$A,0),18)),$C239*INDEX(SPPR!$E:$Z,MATCH($A239,SPPR!$A:$A,0),18),""),"")</f>
        <v/>
      </c>
      <c r="V239">
        <f>IFERROR(IF(ISNUMBER(INDEX(SPPR!$E:$Z,MATCH($A239,SPPR!$A:$A,0),19)),$C239*INDEX(SPPR!$E:$Z,MATCH($A239,SPPR!$A:$A,0),19),""),"")</f>
        <v/>
      </c>
      <c r="W239">
        <f>IFERROR(IF(ISNUMBER(INDEX(SPPR!$E:$Z,MATCH($A239,SPPR!$A:$A,0),20)),$C239*INDEX(SPPR!$E:$Z,MATCH($A239,SPPR!$A:$A,0),20),""),"")</f>
        <v/>
      </c>
      <c r="X239">
        <f>IFERROR(IF(ISNUMBER(INDEX(SPPR!$E:$Z,MATCH($A239,SPPR!$A:$A,0),21)),$C239*INDEX(SPPR!$E:$Z,MATCH($A239,SPPR!$A:$A,0),21),""),"")</f>
        <v/>
      </c>
      <c r="Y239">
        <f>IFERROR(IF(ISNUMBER(INDEX(SPPR!$E:$Z,MATCH($A239,SPPR!$A:$A,0),22)),$C239*INDEX(SPPR!$E:$Z,MATCH($A239,SPPR!$A:$A,0),22),""),"")</f>
        <v/>
      </c>
    </row>
    <row r="240">
      <c r="A240" t="inlineStr">
        <is>
          <t>Congridae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IFERROR(IF(ISNUMBER(INDEX(SPPR!$E:$Z,MATCH($A240,SPPR!$A:$A,0),1)),$C240*INDEX(SPPR!$E:$Z,MATCH($A240,SPPR!$A:$A,0),1),""),"")</f>
        <v/>
      </c>
      <c r="E240">
        <f>IFERROR(IF(ISNUMBER(INDEX(SPPR!$E:$Z,MATCH($A240,SPPR!$A:$A,0),2)),$C240*INDEX(SPPR!$E:$Z,MATCH($A240,SPPR!$A:$A,0),2),""),"")</f>
        <v/>
      </c>
      <c r="F240">
        <f>IFERROR(IF(ISNUMBER(INDEX(SPPR!$E:$Z,MATCH($A240,SPPR!$A:$A,0),3)),$C240*INDEX(SPPR!$E:$Z,MATCH($A240,SPPR!$A:$A,0),3),""),"")</f>
        <v/>
      </c>
      <c r="G240">
        <f>IFERROR(IF(ISNUMBER(INDEX(SPPR!$E:$Z,MATCH($A240,SPPR!$A:$A,0),4)),$C240*INDEX(SPPR!$E:$Z,MATCH($A240,SPPR!$A:$A,0),4),""),"")</f>
        <v/>
      </c>
      <c r="H240">
        <f>IFERROR(IF(ISNUMBER(INDEX(SPPR!$E:$Z,MATCH($A240,SPPR!$A:$A,0),5)),$C240*INDEX(SPPR!$E:$Z,MATCH($A240,SPPR!$A:$A,0),5),""),"")</f>
        <v/>
      </c>
      <c r="I240">
        <f>IFERROR(IF(ISNUMBER(INDEX(SPPR!$E:$Z,MATCH($A240,SPPR!$A:$A,0),6)),$C240*INDEX(SPPR!$E:$Z,MATCH($A240,SPPR!$A:$A,0),6),""),"")</f>
        <v/>
      </c>
      <c r="J240">
        <f>IFERROR(IF(ISNUMBER(INDEX(SPPR!$E:$Z,MATCH($A240,SPPR!$A:$A,0),7)),$C240*INDEX(SPPR!$E:$Z,MATCH($A240,SPPR!$A:$A,0),7),""),"")</f>
        <v/>
      </c>
      <c r="K240">
        <f>IFERROR(IF(ISNUMBER(INDEX(SPPR!$E:$Z,MATCH($A240,SPPR!$A:$A,0),8)),$C240*INDEX(SPPR!$E:$Z,MATCH($A240,SPPR!$A:$A,0),8),""),"")</f>
        <v/>
      </c>
      <c r="L240">
        <f>IFERROR(IF(ISNUMBER(INDEX(SPPR!$E:$Z,MATCH($A240,SPPR!$A:$A,0),9)),$C240*INDEX(SPPR!$E:$Z,MATCH($A240,SPPR!$A:$A,0),9),""),"")</f>
        <v/>
      </c>
      <c r="M240">
        <f>IFERROR(IF(ISNUMBER(INDEX(SPPR!$E:$Z,MATCH($A240,SPPR!$A:$A,0),10)),$C240*INDEX(SPPR!$E:$Z,MATCH($A240,SPPR!$A:$A,0),10),""),"")</f>
        <v/>
      </c>
      <c r="N240">
        <f>IFERROR(IF(ISNUMBER(INDEX(SPPR!$E:$Z,MATCH($A240,SPPR!$A:$A,0),11)),$C240*INDEX(SPPR!$E:$Z,MATCH($A240,SPPR!$A:$A,0),11),""),"")</f>
        <v/>
      </c>
      <c r="O240">
        <f>IFERROR(IF(ISNUMBER(INDEX(SPPR!$E:$Z,MATCH($A240,SPPR!$A:$A,0),12)),$C240*INDEX(SPPR!$E:$Z,MATCH($A240,SPPR!$A:$A,0),12),""),"")</f>
        <v/>
      </c>
      <c r="P240">
        <f>IFERROR(IF(ISNUMBER(INDEX(SPPR!$E:$Z,MATCH($A240,SPPR!$A:$A,0),13)),$C240*INDEX(SPPR!$E:$Z,MATCH($A240,SPPR!$A:$A,0),13),""),"")</f>
        <v/>
      </c>
      <c r="Q240">
        <f>IFERROR(IF(ISNUMBER(INDEX(SPPR!$E:$Z,MATCH($A240,SPPR!$A:$A,0),14)),$C240*INDEX(SPPR!$E:$Z,MATCH($A240,SPPR!$A:$A,0),14),""),"")</f>
        <v/>
      </c>
      <c r="R240">
        <f>IFERROR(IF(ISNUMBER(INDEX(SPPR!$E:$Z,MATCH($A240,SPPR!$A:$A,0),15)),$C240*INDEX(SPPR!$E:$Z,MATCH($A240,SPPR!$A:$A,0),15),""),"")</f>
        <v/>
      </c>
      <c r="S240">
        <f>IFERROR(IF(ISNUMBER(INDEX(SPPR!$E:$Z,MATCH($A240,SPPR!$A:$A,0),16)),$C240*INDEX(SPPR!$E:$Z,MATCH($A240,SPPR!$A:$A,0),16),""),"")</f>
        <v/>
      </c>
      <c r="T240">
        <f>IFERROR(IF(ISNUMBER(INDEX(SPPR!$E:$Z,MATCH($A240,SPPR!$A:$A,0),17)),$C240*INDEX(SPPR!$E:$Z,MATCH($A240,SPPR!$A:$A,0),17),""),"")</f>
        <v/>
      </c>
      <c r="U240">
        <f>IFERROR(IF(ISNUMBER(INDEX(SPPR!$E:$Z,MATCH($A240,SPPR!$A:$A,0),18)),$C240*INDEX(SPPR!$E:$Z,MATCH($A240,SPPR!$A:$A,0),18),""),"")</f>
        <v/>
      </c>
      <c r="V240">
        <f>IFERROR(IF(ISNUMBER(INDEX(SPPR!$E:$Z,MATCH($A240,SPPR!$A:$A,0),19)),$C240*INDEX(SPPR!$E:$Z,MATCH($A240,SPPR!$A:$A,0),19),""),"")</f>
        <v/>
      </c>
      <c r="W240">
        <f>IFERROR(IF(ISNUMBER(INDEX(SPPR!$E:$Z,MATCH($A240,SPPR!$A:$A,0),20)),$C240*INDEX(SPPR!$E:$Z,MATCH($A240,SPPR!$A:$A,0),20),""),"")</f>
        <v/>
      </c>
      <c r="X240">
        <f>IFERROR(IF(ISNUMBER(INDEX(SPPR!$E:$Z,MATCH($A240,SPPR!$A:$A,0),21)),$C240*INDEX(SPPR!$E:$Z,MATCH($A240,SPPR!$A:$A,0),21),""),"")</f>
        <v/>
      </c>
      <c r="Y240">
        <f>IFERROR(IF(ISNUMBER(INDEX(SPPR!$E:$Z,MATCH($A240,SPPR!$A:$A,0),22)),$C240*INDEX(SPPR!$E:$Z,MATCH($A240,SPPR!$A:$A,0),22),""),"")</f>
        <v/>
      </c>
    </row>
    <row r="241">
      <c r="A241" t="inlineStr">
        <is>
          <t>Scorpaena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IFERROR(IF(ISNUMBER(INDEX(SPPR!$E:$Z,MATCH($A241,SPPR!$A:$A,0),1)),$C241*INDEX(SPPR!$E:$Z,MATCH($A241,SPPR!$A:$A,0),1),""),"")</f>
        <v/>
      </c>
      <c r="E241">
        <f>IFERROR(IF(ISNUMBER(INDEX(SPPR!$E:$Z,MATCH($A241,SPPR!$A:$A,0),2)),$C241*INDEX(SPPR!$E:$Z,MATCH($A241,SPPR!$A:$A,0),2),""),"")</f>
        <v/>
      </c>
      <c r="F241">
        <f>IFERROR(IF(ISNUMBER(INDEX(SPPR!$E:$Z,MATCH($A241,SPPR!$A:$A,0),3)),$C241*INDEX(SPPR!$E:$Z,MATCH($A241,SPPR!$A:$A,0),3),""),"")</f>
        <v/>
      </c>
      <c r="G241">
        <f>IFERROR(IF(ISNUMBER(INDEX(SPPR!$E:$Z,MATCH($A241,SPPR!$A:$A,0),4)),$C241*INDEX(SPPR!$E:$Z,MATCH($A241,SPPR!$A:$A,0),4),""),"")</f>
        <v/>
      </c>
      <c r="H241">
        <f>IFERROR(IF(ISNUMBER(INDEX(SPPR!$E:$Z,MATCH($A241,SPPR!$A:$A,0),5)),$C241*INDEX(SPPR!$E:$Z,MATCH($A241,SPPR!$A:$A,0),5),""),"")</f>
        <v/>
      </c>
      <c r="I241">
        <f>IFERROR(IF(ISNUMBER(INDEX(SPPR!$E:$Z,MATCH($A241,SPPR!$A:$A,0),6)),$C241*INDEX(SPPR!$E:$Z,MATCH($A241,SPPR!$A:$A,0),6),""),"")</f>
        <v/>
      </c>
      <c r="J241">
        <f>IFERROR(IF(ISNUMBER(INDEX(SPPR!$E:$Z,MATCH($A241,SPPR!$A:$A,0),7)),$C241*INDEX(SPPR!$E:$Z,MATCH($A241,SPPR!$A:$A,0),7),""),"")</f>
        <v/>
      </c>
      <c r="K241">
        <f>IFERROR(IF(ISNUMBER(INDEX(SPPR!$E:$Z,MATCH($A241,SPPR!$A:$A,0),8)),$C241*INDEX(SPPR!$E:$Z,MATCH($A241,SPPR!$A:$A,0),8),""),"")</f>
        <v/>
      </c>
      <c r="L241">
        <f>IFERROR(IF(ISNUMBER(INDEX(SPPR!$E:$Z,MATCH($A241,SPPR!$A:$A,0),9)),$C241*INDEX(SPPR!$E:$Z,MATCH($A241,SPPR!$A:$A,0),9),""),"")</f>
        <v/>
      </c>
      <c r="M241">
        <f>IFERROR(IF(ISNUMBER(INDEX(SPPR!$E:$Z,MATCH($A241,SPPR!$A:$A,0),10)),$C241*INDEX(SPPR!$E:$Z,MATCH($A241,SPPR!$A:$A,0),10),""),"")</f>
        <v/>
      </c>
      <c r="N241">
        <f>IFERROR(IF(ISNUMBER(INDEX(SPPR!$E:$Z,MATCH($A241,SPPR!$A:$A,0),11)),$C241*INDEX(SPPR!$E:$Z,MATCH($A241,SPPR!$A:$A,0),11),""),"")</f>
        <v/>
      </c>
      <c r="O241">
        <f>IFERROR(IF(ISNUMBER(INDEX(SPPR!$E:$Z,MATCH($A241,SPPR!$A:$A,0),12)),$C241*INDEX(SPPR!$E:$Z,MATCH($A241,SPPR!$A:$A,0),12),""),"")</f>
        <v/>
      </c>
      <c r="P241">
        <f>IFERROR(IF(ISNUMBER(INDEX(SPPR!$E:$Z,MATCH($A241,SPPR!$A:$A,0),13)),$C241*INDEX(SPPR!$E:$Z,MATCH($A241,SPPR!$A:$A,0),13),""),"")</f>
        <v/>
      </c>
      <c r="Q241">
        <f>IFERROR(IF(ISNUMBER(INDEX(SPPR!$E:$Z,MATCH($A241,SPPR!$A:$A,0),14)),$C241*INDEX(SPPR!$E:$Z,MATCH($A241,SPPR!$A:$A,0),14),""),"")</f>
        <v/>
      </c>
      <c r="R241">
        <f>IFERROR(IF(ISNUMBER(INDEX(SPPR!$E:$Z,MATCH($A241,SPPR!$A:$A,0),15)),$C241*INDEX(SPPR!$E:$Z,MATCH($A241,SPPR!$A:$A,0),15),""),"")</f>
        <v/>
      </c>
      <c r="S241">
        <f>IFERROR(IF(ISNUMBER(INDEX(SPPR!$E:$Z,MATCH($A241,SPPR!$A:$A,0),16)),$C241*INDEX(SPPR!$E:$Z,MATCH($A241,SPPR!$A:$A,0),16),""),"")</f>
        <v/>
      </c>
      <c r="T241">
        <f>IFERROR(IF(ISNUMBER(INDEX(SPPR!$E:$Z,MATCH($A241,SPPR!$A:$A,0),17)),$C241*INDEX(SPPR!$E:$Z,MATCH($A241,SPPR!$A:$A,0),17),""),"")</f>
        <v/>
      </c>
      <c r="U241">
        <f>IFERROR(IF(ISNUMBER(INDEX(SPPR!$E:$Z,MATCH($A241,SPPR!$A:$A,0),18)),$C241*INDEX(SPPR!$E:$Z,MATCH($A241,SPPR!$A:$A,0),18),""),"")</f>
        <v/>
      </c>
      <c r="V241">
        <f>IFERROR(IF(ISNUMBER(INDEX(SPPR!$E:$Z,MATCH($A241,SPPR!$A:$A,0),19)),$C241*INDEX(SPPR!$E:$Z,MATCH($A241,SPPR!$A:$A,0),19),""),"")</f>
        <v/>
      </c>
      <c r="W241">
        <f>IFERROR(IF(ISNUMBER(INDEX(SPPR!$E:$Z,MATCH($A241,SPPR!$A:$A,0),20)),$C241*INDEX(SPPR!$E:$Z,MATCH($A241,SPPR!$A:$A,0),20),""),"")</f>
        <v/>
      </c>
      <c r="X241">
        <f>IFERROR(IF(ISNUMBER(INDEX(SPPR!$E:$Z,MATCH($A241,SPPR!$A:$A,0),21)),$C241*INDEX(SPPR!$E:$Z,MATCH($A241,SPPR!$A:$A,0),21),""),"")</f>
        <v/>
      </c>
      <c r="Y241">
        <f>IFERROR(IF(ISNUMBER(INDEX(SPPR!$E:$Z,MATCH($A241,SPPR!$A:$A,0),22)),$C241*INDEX(SPPR!$E:$Z,MATCH($A241,SPPR!$A:$A,0),22),""),"")</f>
        <v/>
      </c>
    </row>
    <row r="242">
      <c r="A242" t="inlineStr">
        <is>
          <t>Dasyatis pastinaca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IFERROR(IF(ISNUMBER(INDEX(SPPR!$E:$Z,MATCH($A242,SPPR!$A:$A,0),1)),$C242*INDEX(SPPR!$E:$Z,MATCH($A242,SPPR!$A:$A,0),1),""),"")</f>
        <v/>
      </c>
      <c r="E242">
        <f>IFERROR(IF(ISNUMBER(INDEX(SPPR!$E:$Z,MATCH($A242,SPPR!$A:$A,0),2)),$C242*INDEX(SPPR!$E:$Z,MATCH($A242,SPPR!$A:$A,0),2),""),"")</f>
        <v/>
      </c>
      <c r="F242">
        <f>IFERROR(IF(ISNUMBER(INDEX(SPPR!$E:$Z,MATCH($A242,SPPR!$A:$A,0),3)),$C242*INDEX(SPPR!$E:$Z,MATCH($A242,SPPR!$A:$A,0),3),""),"")</f>
        <v/>
      </c>
      <c r="G242">
        <f>IFERROR(IF(ISNUMBER(INDEX(SPPR!$E:$Z,MATCH($A242,SPPR!$A:$A,0),4)),$C242*INDEX(SPPR!$E:$Z,MATCH($A242,SPPR!$A:$A,0),4),""),"")</f>
        <v/>
      </c>
      <c r="H242">
        <f>IFERROR(IF(ISNUMBER(INDEX(SPPR!$E:$Z,MATCH($A242,SPPR!$A:$A,0),5)),$C242*INDEX(SPPR!$E:$Z,MATCH($A242,SPPR!$A:$A,0),5),""),"")</f>
        <v/>
      </c>
      <c r="I242">
        <f>IFERROR(IF(ISNUMBER(INDEX(SPPR!$E:$Z,MATCH($A242,SPPR!$A:$A,0),6)),$C242*INDEX(SPPR!$E:$Z,MATCH($A242,SPPR!$A:$A,0),6),""),"")</f>
        <v/>
      </c>
      <c r="J242">
        <f>IFERROR(IF(ISNUMBER(INDEX(SPPR!$E:$Z,MATCH($A242,SPPR!$A:$A,0),7)),$C242*INDEX(SPPR!$E:$Z,MATCH($A242,SPPR!$A:$A,0),7),""),"")</f>
        <v/>
      </c>
      <c r="K242">
        <f>IFERROR(IF(ISNUMBER(INDEX(SPPR!$E:$Z,MATCH($A242,SPPR!$A:$A,0),8)),$C242*INDEX(SPPR!$E:$Z,MATCH($A242,SPPR!$A:$A,0),8),""),"")</f>
        <v/>
      </c>
      <c r="L242">
        <f>IFERROR(IF(ISNUMBER(INDEX(SPPR!$E:$Z,MATCH($A242,SPPR!$A:$A,0),9)),$C242*INDEX(SPPR!$E:$Z,MATCH($A242,SPPR!$A:$A,0),9),""),"")</f>
        <v/>
      </c>
      <c r="M242">
        <f>IFERROR(IF(ISNUMBER(INDEX(SPPR!$E:$Z,MATCH($A242,SPPR!$A:$A,0),10)),$C242*INDEX(SPPR!$E:$Z,MATCH($A242,SPPR!$A:$A,0),10),""),"")</f>
        <v/>
      </c>
      <c r="N242">
        <f>IFERROR(IF(ISNUMBER(INDEX(SPPR!$E:$Z,MATCH($A242,SPPR!$A:$A,0),11)),$C242*INDEX(SPPR!$E:$Z,MATCH($A242,SPPR!$A:$A,0),11),""),"")</f>
        <v/>
      </c>
      <c r="O242">
        <f>IFERROR(IF(ISNUMBER(INDEX(SPPR!$E:$Z,MATCH($A242,SPPR!$A:$A,0),12)),$C242*INDEX(SPPR!$E:$Z,MATCH($A242,SPPR!$A:$A,0),12),""),"")</f>
        <v/>
      </c>
      <c r="P242">
        <f>IFERROR(IF(ISNUMBER(INDEX(SPPR!$E:$Z,MATCH($A242,SPPR!$A:$A,0),13)),$C242*INDEX(SPPR!$E:$Z,MATCH($A242,SPPR!$A:$A,0),13),""),"")</f>
        <v/>
      </c>
      <c r="Q242">
        <f>IFERROR(IF(ISNUMBER(INDEX(SPPR!$E:$Z,MATCH($A242,SPPR!$A:$A,0),14)),$C242*INDEX(SPPR!$E:$Z,MATCH($A242,SPPR!$A:$A,0),14),""),"")</f>
        <v/>
      </c>
      <c r="R242">
        <f>IFERROR(IF(ISNUMBER(INDEX(SPPR!$E:$Z,MATCH($A242,SPPR!$A:$A,0),15)),$C242*INDEX(SPPR!$E:$Z,MATCH($A242,SPPR!$A:$A,0),15),""),"")</f>
        <v/>
      </c>
      <c r="S242">
        <f>IFERROR(IF(ISNUMBER(INDEX(SPPR!$E:$Z,MATCH($A242,SPPR!$A:$A,0),16)),$C242*INDEX(SPPR!$E:$Z,MATCH($A242,SPPR!$A:$A,0),16),""),"")</f>
        <v/>
      </c>
      <c r="T242">
        <f>IFERROR(IF(ISNUMBER(INDEX(SPPR!$E:$Z,MATCH($A242,SPPR!$A:$A,0),17)),$C242*INDEX(SPPR!$E:$Z,MATCH($A242,SPPR!$A:$A,0),17),""),"")</f>
        <v/>
      </c>
      <c r="U242">
        <f>IFERROR(IF(ISNUMBER(INDEX(SPPR!$E:$Z,MATCH($A242,SPPR!$A:$A,0),18)),$C242*INDEX(SPPR!$E:$Z,MATCH($A242,SPPR!$A:$A,0),18),""),"")</f>
        <v/>
      </c>
      <c r="V242">
        <f>IFERROR(IF(ISNUMBER(INDEX(SPPR!$E:$Z,MATCH($A242,SPPR!$A:$A,0),19)),$C242*INDEX(SPPR!$E:$Z,MATCH($A242,SPPR!$A:$A,0),19),""),"")</f>
        <v/>
      </c>
      <c r="W242">
        <f>IFERROR(IF(ISNUMBER(INDEX(SPPR!$E:$Z,MATCH($A242,SPPR!$A:$A,0),20)),$C242*INDEX(SPPR!$E:$Z,MATCH($A242,SPPR!$A:$A,0),20),""),"")</f>
        <v/>
      </c>
      <c r="X242">
        <f>IFERROR(IF(ISNUMBER(INDEX(SPPR!$E:$Z,MATCH($A242,SPPR!$A:$A,0),21)),$C242*INDEX(SPPR!$E:$Z,MATCH($A242,SPPR!$A:$A,0),21),""),"")</f>
        <v/>
      </c>
      <c r="Y242">
        <f>IFERROR(IF(ISNUMBER(INDEX(SPPR!$E:$Z,MATCH($A242,SPPR!$A:$A,0),22)),$C242*INDEX(SPPR!$E:$Z,MATCH($A242,SPPR!$A:$A,0),22),""),"")</f>
        <v/>
      </c>
    </row>
    <row r="243">
      <c r="A243" t="inlineStr">
        <is>
          <t>Berycidae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IFERROR(IF(ISNUMBER(INDEX(SPPR!$E:$Z,MATCH($A243,SPPR!$A:$A,0),1)),$C243*INDEX(SPPR!$E:$Z,MATCH($A243,SPPR!$A:$A,0),1),""),"")</f>
        <v/>
      </c>
      <c r="E243">
        <f>IFERROR(IF(ISNUMBER(INDEX(SPPR!$E:$Z,MATCH($A243,SPPR!$A:$A,0),2)),$C243*INDEX(SPPR!$E:$Z,MATCH($A243,SPPR!$A:$A,0),2),""),"")</f>
        <v/>
      </c>
      <c r="F243">
        <f>IFERROR(IF(ISNUMBER(INDEX(SPPR!$E:$Z,MATCH($A243,SPPR!$A:$A,0),3)),$C243*INDEX(SPPR!$E:$Z,MATCH($A243,SPPR!$A:$A,0),3),""),"")</f>
        <v/>
      </c>
      <c r="G243">
        <f>IFERROR(IF(ISNUMBER(INDEX(SPPR!$E:$Z,MATCH($A243,SPPR!$A:$A,0),4)),$C243*INDEX(SPPR!$E:$Z,MATCH($A243,SPPR!$A:$A,0),4),""),"")</f>
        <v/>
      </c>
      <c r="H243">
        <f>IFERROR(IF(ISNUMBER(INDEX(SPPR!$E:$Z,MATCH($A243,SPPR!$A:$A,0),5)),$C243*INDEX(SPPR!$E:$Z,MATCH($A243,SPPR!$A:$A,0),5),""),"")</f>
        <v/>
      </c>
      <c r="I243">
        <f>IFERROR(IF(ISNUMBER(INDEX(SPPR!$E:$Z,MATCH($A243,SPPR!$A:$A,0),6)),$C243*INDEX(SPPR!$E:$Z,MATCH($A243,SPPR!$A:$A,0),6),""),"")</f>
        <v/>
      </c>
      <c r="J243">
        <f>IFERROR(IF(ISNUMBER(INDEX(SPPR!$E:$Z,MATCH($A243,SPPR!$A:$A,0),7)),$C243*INDEX(SPPR!$E:$Z,MATCH($A243,SPPR!$A:$A,0),7),""),"")</f>
        <v/>
      </c>
      <c r="K243">
        <f>IFERROR(IF(ISNUMBER(INDEX(SPPR!$E:$Z,MATCH($A243,SPPR!$A:$A,0),8)),$C243*INDEX(SPPR!$E:$Z,MATCH($A243,SPPR!$A:$A,0),8),""),"")</f>
        <v/>
      </c>
      <c r="L243">
        <f>IFERROR(IF(ISNUMBER(INDEX(SPPR!$E:$Z,MATCH($A243,SPPR!$A:$A,0),9)),$C243*INDEX(SPPR!$E:$Z,MATCH($A243,SPPR!$A:$A,0),9),""),"")</f>
        <v/>
      </c>
      <c r="M243">
        <f>IFERROR(IF(ISNUMBER(INDEX(SPPR!$E:$Z,MATCH($A243,SPPR!$A:$A,0),10)),$C243*INDEX(SPPR!$E:$Z,MATCH($A243,SPPR!$A:$A,0),10),""),"")</f>
        <v/>
      </c>
      <c r="N243">
        <f>IFERROR(IF(ISNUMBER(INDEX(SPPR!$E:$Z,MATCH($A243,SPPR!$A:$A,0),11)),$C243*INDEX(SPPR!$E:$Z,MATCH($A243,SPPR!$A:$A,0),11),""),"")</f>
        <v/>
      </c>
      <c r="O243">
        <f>IFERROR(IF(ISNUMBER(INDEX(SPPR!$E:$Z,MATCH($A243,SPPR!$A:$A,0),12)),$C243*INDEX(SPPR!$E:$Z,MATCH($A243,SPPR!$A:$A,0),12),""),"")</f>
        <v/>
      </c>
      <c r="P243">
        <f>IFERROR(IF(ISNUMBER(INDEX(SPPR!$E:$Z,MATCH($A243,SPPR!$A:$A,0),13)),$C243*INDEX(SPPR!$E:$Z,MATCH($A243,SPPR!$A:$A,0),13),""),"")</f>
        <v/>
      </c>
      <c r="Q243">
        <f>IFERROR(IF(ISNUMBER(INDEX(SPPR!$E:$Z,MATCH($A243,SPPR!$A:$A,0),14)),$C243*INDEX(SPPR!$E:$Z,MATCH($A243,SPPR!$A:$A,0),14),""),"")</f>
        <v/>
      </c>
      <c r="R243">
        <f>IFERROR(IF(ISNUMBER(INDEX(SPPR!$E:$Z,MATCH($A243,SPPR!$A:$A,0),15)),$C243*INDEX(SPPR!$E:$Z,MATCH($A243,SPPR!$A:$A,0),15),""),"")</f>
        <v/>
      </c>
      <c r="S243">
        <f>IFERROR(IF(ISNUMBER(INDEX(SPPR!$E:$Z,MATCH($A243,SPPR!$A:$A,0),16)),$C243*INDEX(SPPR!$E:$Z,MATCH($A243,SPPR!$A:$A,0),16),""),"")</f>
        <v/>
      </c>
      <c r="T243">
        <f>IFERROR(IF(ISNUMBER(INDEX(SPPR!$E:$Z,MATCH($A243,SPPR!$A:$A,0),17)),$C243*INDEX(SPPR!$E:$Z,MATCH($A243,SPPR!$A:$A,0),17),""),"")</f>
        <v/>
      </c>
      <c r="U243">
        <f>IFERROR(IF(ISNUMBER(INDEX(SPPR!$E:$Z,MATCH($A243,SPPR!$A:$A,0),18)),$C243*INDEX(SPPR!$E:$Z,MATCH($A243,SPPR!$A:$A,0),18),""),"")</f>
        <v/>
      </c>
      <c r="V243">
        <f>IFERROR(IF(ISNUMBER(INDEX(SPPR!$E:$Z,MATCH($A243,SPPR!$A:$A,0),19)),$C243*INDEX(SPPR!$E:$Z,MATCH($A243,SPPR!$A:$A,0),19),""),"")</f>
        <v/>
      </c>
      <c r="W243">
        <f>IFERROR(IF(ISNUMBER(INDEX(SPPR!$E:$Z,MATCH($A243,SPPR!$A:$A,0),20)),$C243*INDEX(SPPR!$E:$Z,MATCH($A243,SPPR!$A:$A,0),20),""),"")</f>
        <v/>
      </c>
      <c r="X243">
        <f>IFERROR(IF(ISNUMBER(INDEX(SPPR!$E:$Z,MATCH($A243,SPPR!$A:$A,0),21)),$C243*INDEX(SPPR!$E:$Z,MATCH($A243,SPPR!$A:$A,0),21),""),"")</f>
        <v/>
      </c>
      <c r="Y243">
        <f>IFERROR(IF(ISNUMBER(INDEX(SPPR!$E:$Z,MATCH($A243,SPPR!$A:$A,0),22)),$C243*INDEX(SPPR!$E:$Z,MATCH($A243,SPPR!$A:$A,0),22),""),"")</f>
        <v/>
      </c>
    </row>
    <row r="244">
      <c r="A244" t="inlineStr">
        <is>
          <t>Elagatis bipinnulata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IFERROR(IF(ISNUMBER(INDEX(SPPR!$E:$Z,MATCH($A244,SPPR!$A:$A,0),1)),$C244*INDEX(SPPR!$E:$Z,MATCH($A244,SPPR!$A:$A,0),1),""),"")</f>
        <v/>
      </c>
      <c r="E244">
        <f>IFERROR(IF(ISNUMBER(INDEX(SPPR!$E:$Z,MATCH($A244,SPPR!$A:$A,0),2)),$C244*INDEX(SPPR!$E:$Z,MATCH($A244,SPPR!$A:$A,0),2),""),"")</f>
        <v/>
      </c>
      <c r="F244">
        <f>IFERROR(IF(ISNUMBER(INDEX(SPPR!$E:$Z,MATCH($A244,SPPR!$A:$A,0),3)),$C244*INDEX(SPPR!$E:$Z,MATCH($A244,SPPR!$A:$A,0),3),""),"")</f>
        <v/>
      </c>
      <c r="G244">
        <f>IFERROR(IF(ISNUMBER(INDEX(SPPR!$E:$Z,MATCH($A244,SPPR!$A:$A,0),4)),$C244*INDEX(SPPR!$E:$Z,MATCH($A244,SPPR!$A:$A,0),4),""),"")</f>
        <v/>
      </c>
      <c r="H244">
        <f>IFERROR(IF(ISNUMBER(INDEX(SPPR!$E:$Z,MATCH($A244,SPPR!$A:$A,0),5)),$C244*INDEX(SPPR!$E:$Z,MATCH($A244,SPPR!$A:$A,0),5),""),"")</f>
        <v/>
      </c>
      <c r="I244">
        <f>IFERROR(IF(ISNUMBER(INDEX(SPPR!$E:$Z,MATCH($A244,SPPR!$A:$A,0),6)),$C244*INDEX(SPPR!$E:$Z,MATCH($A244,SPPR!$A:$A,0),6),""),"")</f>
        <v/>
      </c>
      <c r="J244">
        <f>IFERROR(IF(ISNUMBER(INDEX(SPPR!$E:$Z,MATCH($A244,SPPR!$A:$A,0),7)),$C244*INDEX(SPPR!$E:$Z,MATCH($A244,SPPR!$A:$A,0),7),""),"")</f>
        <v/>
      </c>
      <c r="K244">
        <f>IFERROR(IF(ISNUMBER(INDEX(SPPR!$E:$Z,MATCH($A244,SPPR!$A:$A,0),8)),$C244*INDEX(SPPR!$E:$Z,MATCH($A244,SPPR!$A:$A,0),8),""),"")</f>
        <v/>
      </c>
      <c r="L244">
        <f>IFERROR(IF(ISNUMBER(INDEX(SPPR!$E:$Z,MATCH($A244,SPPR!$A:$A,0),9)),$C244*INDEX(SPPR!$E:$Z,MATCH($A244,SPPR!$A:$A,0),9),""),"")</f>
        <v/>
      </c>
      <c r="M244">
        <f>IFERROR(IF(ISNUMBER(INDEX(SPPR!$E:$Z,MATCH($A244,SPPR!$A:$A,0),10)),$C244*INDEX(SPPR!$E:$Z,MATCH($A244,SPPR!$A:$A,0),10),""),"")</f>
        <v/>
      </c>
      <c r="N244">
        <f>IFERROR(IF(ISNUMBER(INDEX(SPPR!$E:$Z,MATCH($A244,SPPR!$A:$A,0),11)),$C244*INDEX(SPPR!$E:$Z,MATCH($A244,SPPR!$A:$A,0),11),""),"")</f>
        <v/>
      </c>
      <c r="O244">
        <f>IFERROR(IF(ISNUMBER(INDEX(SPPR!$E:$Z,MATCH($A244,SPPR!$A:$A,0),12)),$C244*INDEX(SPPR!$E:$Z,MATCH($A244,SPPR!$A:$A,0),12),""),"")</f>
        <v/>
      </c>
      <c r="P244">
        <f>IFERROR(IF(ISNUMBER(INDEX(SPPR!$E:$Z,MATCH($A244,SPPR!$A:$A,0),13)),$C244*INDEX(SPPR!$E:$Z,MATCH($A244,SPPR!$A:$A,0),13),""),"")</f>
        <v/>
      </c>
      <c r="Q244">
        <f>IFERROR(IF(ISNUMBER(INDEX(SPPR!$E:$Z,MATCH($A244,SPPR!$A:$A,0),14)),$C244*INDEX(SPPR!$E:$Z,MATCH($A244,SPPR!$A:$A,0),14),""),"")</f>
        <v/>
      </c>
      <c r="R244">
        <f>IFERROR(IF(ISNUMBER(INDEX(SPPR!$E:$Z,MATCH($A244,SPPR!$A:$A,0),15)),$C244*INDEX(SPPR!$E:$Z,MATCH($A244,SPPR!$A:$A,0),15),""),"")</f>
        <v/>
      </c>
      <c r="S244">
        <f>IFERROR(IF(ISNUMBER(INDEX(SPPR!$E:$Z,MATCH($A244,SPPR!$A:$A,0),16)),$C244*INDEX(SPPR!$E:$Z,MATCH($A244,SPPR!$A:$A,0),16),""),"")</f>
        <v/>
      </c>
      <c r="T244">
        <f>IFERROR(IF(ISNUMBER(INDEX(SPPR!$E:$Z,MATCH($A244,SPPR!$A:$A,0),17)),$C244*INDEX(SPPR!$E:$Z,MATCH($A244,SPPR!$A:$A,0),17),""),"")</f>
        <v/>
      </c>
      <c r="U244">
        <f>IFERROR(IF(ISNUMBER(INDEX(SPPR!$E:$Z,MATCH($A244,SPPR!$A:$A,0),18)),$C244*INDEX(SPPR!$E:$Z,MATCH($A244,SPPR!$A:$A,0),18),""),"")</f>
        <v/>
      </c>
      <c r="V244">
        <f>IFERROR(IF(ISNUMBER(INDEX(SPPR!$E:$Z,MATCH($A244,SPPR!$A:$A,0),19)),$C244*INDEX(SPPR!$E:$Z,MATCH($A244,SPPR!$A:$A,0),19),""),"")</f>
        <v/>
      </c>
      <c r="W244">
        <f>IFERROR(IF(ISNUMBER(INDEX(SPPR!$E:$Z,MATCH($A244,SPPR!$A:$A,0),20)),$C244*INDEX(SPPR!$E:$Z,MATCH($A244,SPPR!$A:$A,0),20),""),"")</f>
        <v/>
      </c>
      <c r="X244">
        <f>IFERROR(IF(ISNUMBER(INDEX(SPPR!$E:$Z,MATCH($A244,SPPR!$A:$A,0),21)),$C244*INDEX(SPPR!$E:$Z,MATCH($A244,SPPR!$A:$A,0),21),""),"")</f>
        <v/>
      </c>
      <c r="Y244">
        <f>IFERROR(IF(ISNUMBER(INDEX(SPPR!$E:$Z,MATCH($A244,SPPR!$A:$A,0),22)),$C244*INDEX(SPPR!$E:$Z,MATCH($A244,SPPR!$A:$A,0),22),""),"")</f>
        <v/>
      </c>
    </row>
    <row r="245">
      <c r="A245" t="inlineStr">
        <is>
          <t>Gerres nigri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IFERROR(IF(ISNUMBER(INDEX(SPPR!$E:$Z,MATCH($A245,SPPR!$A:$A,0),1)),$C245*INDEX(SPPR!$E:$Z,MATCH($A245,SPPR!$A:$A,0),1),""),"")</f>
        <v/>
      </c>
      <c r="E245">
        <f>IFERROR(IF(ISNUMBER(INDEX(SPPR!$E:$Z,MATCH($A245,SPPR!$A:$A,0),2)),$C245*INDEX(SPPR!$E:$Z,MATCH($A245,SPPR!$A:$A,0),2),""),"")</f>
        <v/>
      </c>
      <c r="F245">
        <f>IFERROR(IF(ISNUMBER(INDEX(SPPR!$E:$Z,MATCH($A245,SPPR!$A:$A,0),3)),$C245*INDEX(SPPR!$E:$Z,MATCH($A245,SPPR!$A:$A,0),3),""),"")</f>
        <v/>
      </c>
      <c r="G245">
        <f>IFERROR(IF(ISNUMBER(INDEX(SPPR!$E:$Z,MATCH($A245,SPPR!$A:$A,0),4)),$C245*INDEX(SPPR!$E:$Z,MATCH($A245,SPPR!$A:$A,0),4),""),"")</f>
        <v/>
      </c>
      <c r="H245">
        <f>IFERROR(IF(ISNUMBER(INDEX(SPPR!$E:$Z,MATCH($A245,SPPR!$A:$A,0),5)),$C245*INDEX(SPPR!$E:$Z,MATCH($A245,SPPR!$A:$A,0),5),""),"")</f>
        <v/>
      </c>
      <c r="I245">
        <f>IFERROR(IF(ISNUMBER(INDEX(SPPR!$E:$Z,MATCH($A245,SPPR!$A:$A,0),6)),$C245*INDEX(SPPR!$E:$Z,MATCH($A245,SPPR!$A:$A,0),6),""),"")</f>
        <v/>
      </c>
      <c r="J245">
        <f>IFERROR(IF(ISNUMBER(INDEX(SPPR!$E:$Z,MATCH($A245,SPPR!$A:$A,0),7)),$C245*INDEX(SPPR!$E:$Z,MATCH($A245,SPPR!$A:$A,0),7),""),"")</f>
        <v/>
      </c>
      <c r="K245">
        <f>IFERROR(IF(ISNUMBER(INDEX(SPPR!$E:$Z,MATCH($A245,SPPR!$A:$A,0),8)),$C245*INDEX(SPPR!$E:$Z,MATCH($A245,SPPR!$A:$A,0),8),""),"")</f>
        <v/>
      </c>
      <c r="L245">
        <f>IFERROR(IF(ISNUMBER(INDEX(SPPR!$E:$Z,MATCH($A245,SPPR!$A:$A,0),9)),$C245*INDEX(SPPR!$E:$Z,MATCH($A245,SPPR!$A:$A,0),9),""),"")</f>
        <v/>
      </c>
      <c r="M245">
        <f>IFERROR(IF(ISNUMBER(INDEX(SPPR!$E:$Z,MATCH($A245,SPPR!$A:$A,0),10)),$C245*INDEX(SPPR!$E:$Z,MATCH($A245,SPPR!$A:$A,0),10),""),"")</f>
        <v/>
      </c>
      <c r="N245">
        <f>IFERROR(IF(ISNUMBER(INDEX(SPPR!$E:$Z,MATCH($A245,SPPR!$A:$A,0),11)),$C245*INDEX(SPPR!$E:$Z,MATCH($A245,SPPR!$A:$A,0),11),""),"")</f>
        <v/>
      </c>
      <c r="O245">
        <f>IFERROR(IF(ISNUMBER(INDEX(SPPR!$E:$Z,MATCH($A245,SPPR!$A:$A,0),12)),$C245*INDEX(SPPR!$E:$Z,MATCH($A245,SPPR!$A:$A,0),12),""),"")</f>
        <v/>
      </c>
      <c r="P245">
        <f>IFERROR(IF(ISNUMBER(INDEX(SPPR!$E:$Z,MATCH($A245,SPPR!$A:$A,0),13)),$C245*INDEX(SPPR!$E:$Z,MATCH($A245,SPPR!$A:$A,0),13),""),"")</f>
        <v/>
      </c>
      <c r="Q245">
        <f>IFERROR(IF(ISNUMBER(INDEX(SPPR!$E:$Z,MATCH($A245,SPPR!$A:$A,0),14)),$C245*INDEX(SPPR!$E:$Z,MATCH($A245,SPPR!$A:$A,0),14),""),"")</f>
        <v/>
      </c>
      <c r="R245">
        <f>IFERROR(IF(ISNUMBER(INDEX(SPPR!$E:$Z,MATCH($A245,SPPR!$A:$A,0),15)),$C245*INDEX(SPPR!$E:$Z,MATCH($A245,SPPR!$A:$A,0),15),""),"")</f>
        <v/>
      </c>
      <c r="S245">
        <f>IFERROR(IF(ISNUMBER(INDEX(SPPR!$E:$Z,MATCH($A245,SPPR!$A:$A,0),16)),$C245*INDEX(SPPR!$E:$Z,MATCH($A245,SPPR!$A:$A,0),16),""),"")</f>
        <v/>
      </c>
      <c r="T245">
        <f>IFERROR(IF(ISNUMBER(INDEX(SPPR!$E:$Z,MATCH($A245,SPPR!$A:$A,0),17)),$C245*INDEX(SPPR!$E:$Z,MATCH($A245,SPPR!$A:$A,0),17),""),"")</f>
        <v/>
      </c>
      <c r="U245">
        <f>IFERROR(IF(ISNUMBER(INDEX(SPPR!$E:$Z,MATCH($A245,SPPR!$A:$A,0),18)),$C245*INDEX(SPPR!$E:$Z,MATCH($A245,SPPR!$A:$A,0),18),""),"")</f>
        <v/>
      </c>
      <c r="V245">
        <f>IFERROR(IF(ISNUMBER(INDEX(SPPR!$E:$Z,MATCH($A245,SPPR!$A:$A,0),19)),$C245*INDEX(SPPR!$E:$Z,MATCH($A245,SPPR!$A:$A,0),19),""),"")</f>
        <v/>
      </c>
      <c r="W245">
        <f>IFERROR(IF(ISNUMBER(INDEX(SPPR!$E:$Z,MATCH($A245,SPPR!$A:$A,0),20)),$C245*INDEX(SPPR!$E:$Z,MATCH($A245,SPPR!$A:$A,0),20),""),"")</f>
        <v/>
      </c>
      <c r="X245">
        <f>IFERROR(IF(ISNUMBER(INDEX(SPPR!$E:$Z,MATCH($A245,SPPR!$A:$A,0),21)),$C245*INDEX(SPPR!$E:$Z,MATCH($A245,SPPR!$A:$A,0),21),""),"")</f>
        <v/>
      </c>
      <c r="Y245">
        <f>IFERROR(IF(ISNUMBER(INDEX(SPPR!$E:$Z,MATCH($A245,SPPR!$A:$A,0),22)),$C245*INDEX(SPPR!$E:$Z,MATCH($A245,SPPR!$A:$A,0),22),""),"")</f>
        <v/>
      </c>
    </row>
    <row r="246">
      <c r="A246" t="inlineStr">
        <is>
          <t>Rhinobatos rhinobatos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IFERROR(IF(ISNUMBER(INDEX(SPPR!$E:$Z,MATCH($A246,SPPR!$A:$A,0),1)),$C246*INDEX(SPPR!$E:$Z,MATCH($A246,SPPR!$A:$A,0),1),""),"")</f>
        <v/>
      </c>
      <c r="E246">
        <f>IFERROR(IF(ISNUMBER(INDEX(SPPR!$E:$Z,MATCH($A246,SPPR!$A:$A,0),2)),$C246*INDEX(SPPR!$E:$Z,MATCH($A246,SPPR!$A:$A,0),2),""),"")</f>
        <v/>
      </c>
      <c r="F246">
        <f>IFERROR(IF(ISNUMBER(INDEX(SPPR!$E:$Z,MATCH($A246,SPPR!$A:$A,0),3)),$C246*INDEX(SPPR!$E:$Z,MATCH($A246,SPPR!$A:$A,0),3),""),"")</f>
        <v/>
      </c>
      <c r="G246">
        <f>IFERROR(IF(ISNUMBER(INDEX(SPPR!$E:$Z,MATCH($A246,SPPR!$A:$A,0),4)),$C246*INDEX(SPPR!$E:$Z,MATCH($A246,SPPR!$A:$A,0),4),""),"")</f>
        <v/>
      </c>
      <c r="H246">
        <f>IFERROR(IF(ISNUMBER(INDEX(SPPR!$E:$Z,MATCH($A246,SPPR!$A:$A,0),5)),$C246*INDEX(SPPR!$E:$Z,MATCH($A246,SPPR!$A:$A,0),5),""),"")</f>
        <v/>
      </c>
      <c r="I246">
        <f>IFERROR(IF(ISNUMBER(INDEX(SPPR!$E:$Z,MATCH($A246,SPPR!$A:$A,0),6)),$C246*INDEX(SPPR!$E:$Z,MATCH($A246,SPPR!$A:$A,0),6),""),"")</f>
        <v/>
      </c>
      <c r="J246">
        <f>IFERROR(IF(ISNUMBER(INDEX(SPPR!$E:$Z,MATCH($A246,SPPR!$A:$A,0),7)),$C246*INDEX(SPPR!$E:$Z,MATCH($A246,SPPR!$A:$A,0),7),""),"")</f>
        <v/>
      </c>
      <c r="K246">
        <f>IFERROR(IF(ISNUMBER(INDEX(SPPR!$E:$Z,MATCH($A246,SPPR!$A:$A,0),8)),$C246*INDEX(SPPR!$E:$Z,MATCH($A246,SPPR!$A:$A,0),8),""),"")</f>
        <v/>
      </c>
      <c r="L246">
        <f>IFERROR(IF(ISNUMBER(INDEX(SPPR!$E:$Z,MATCH($A246,SPPR!$A:$A,0),9)),$C246*INDEX(SPPR!$E:$Z,MATCH($A246,SPPR!$A:$A,0),9),""),"")</f>
        <v/>
      </c>
      <c r="M246">
        <f>IFERROR(IF(ISNUMBER(INDEX(SPPR!$E:$Z,MATCH($A246,SPPR!$A:$A,0),10)),$C246*INDEX(SPPR!$E:$Z,MATCH($A246,SPPR!$A:$A,0),10),""),"")</f>
        <v/>
      </c>
      <c r="N246">
        <f>IFERROR(IF(ISNUMBER(INDEX(SPPR!$E:$Z,MATCH($A246,SPPR!$A:$A,0),11)),$C246*INDEX(SPPR!$E:$Z,MATCH($A246,SPPR!$A:$A,0),11),""),"")</f>
        <v/>
      </c>
      <c r="O246">
        <f>IFERROR(IF(ISNUMBER(INDEX(SPPR!$E:$Z,MATCH($A246,SPPR!$A:$A,0),12)),$C246*INDEX(SPPR!$E:$Z,MATCH($A246,SPPR!$A:$A,0),12),""),"")</f>
        <v/>
      </c>
      <c r="P246">
        <f>IFERROR(IF(ISNUMBER(INDEX(SPPR!$E:$Z,MATCH($A246,SPPR!$A:$A,0),13)),$C246*INDEX(SPPR!$E:$Z,MATCH($A246,SPPR!$A:$A,0),13),""),"")</f>
        <v/>
      </c>
      <c r="Q246">
        <f>IFERROR(IF(ISNUMBER(INDEX(SPPR!$E:$Z,MATCH($A246,SPPR!$A:$A,0),14)),$C246*INDEX(SPPR!$E:$Z,MATCH($A246,SPPR!$A:$A,0),14),""),"")</f>
        <v/>
      </c>
      <c r="R246">
        <f>IFERROR(IF(ISNUMBER(INDEX(SPPR!$E:$Z,MATCH($A246,SPPR!$A:$A,0),15)),$C246*INDEX(SPPR!$E:$Z,MATCH($A246,SPPR!$A:$A,0),15),""),"")</f>
        <v/>
      </c>
      <c r="S246">
        <f>IFERROR(IF(ISNUMBER(INDEX(SPPR!$E:$Z,MATCH($A246,SPPR!$A:$A,0),16)),$C246*INDEX(SPPR!$E:$Z,MATCH($A246,SPPR!$A:$A,0),16),""),"")</f>
        <v/>
      </c>
      <c r="T246">
        <f>IFERROR(IF(ISNUMBER(INDEX(SPPR!$E:$Z,MATCH($A246,SPPR!$A:$A,0),17)),$C246*INDEX(SPPR!$E:$Z,MATCH($A246,SPPR!$A:$A,0),17),""),"")</f>
        <v/>
      </c>
      <c r="U246">
        <f>IFERROR(IF(ISNUMBER(INDEX(SPPR!$E:$Z,MATCH($A246,SPPR!$A:$A,0),18)),$C246*INDEX(SPPR!$E:$Z,MATCH($A246,SPPR!$A:$A,0),18),""),"")</f>
        <v/>
      </c>
      <c r="V246">
        <f>IFERROR(IF(ISNUMBER(INDEX(SPPR!$E:$Z,MATCH($A246,SPPR!$A:$A,0),19)),$C246*INDEX(SPPR!$E:$Z,MATCH($A246,SPPR!$A:$A,0),19),""),"")</f>
        <v/>
      </c>
      <c r="W246">
        <f>IFERROR(IF(ISNUMBER(INDEX(SPPR!$E:$Z,MATCH($A246,SPPR!$A:$A,0),20)),$C246*INDEX(SPPR!$E:$Z,MATCH($A246,SPPR!$A:$A,0),20),""),"")</f>
        <v/>
      </c>
      <c r="X246">
        <f>IFERROR(IF(ISNUMBER(INDEX(SPPR!$E:$Z,MATCH($A246,SPPR!$A:$A,0),21)),$C246*INDEX(SPPR!$E:$Z,MATCH($A246,SPPR!$A:$A,0),21),""),"")</f>
        <v/>
      </c>
      <c r="Y246">
        <f>IFERROR(IF(ISNUMBER(INDEX(SPPR!$E:$Z,MATCH($A246,SPPR!$A:$A,0),22)),$C246*INDEX(SPPR!$E:$Z,MATCH($A246,SPPR!$A:$A,0),22),""),"")</f>
        <v/>
      </c>
    </row>
    <row r="247">
      <c r="A247" t="inlineStr">
        <is>
          <t>Carcharhinus signatus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IFERROR(IF(ISNUMBER(INDEX(SPPR!$E:$Z,MATCH($A247,SPPR!$A:$A,0),1)),$C247*INDEX(SPPR!$E:$Z,MATCH($A247,SPPR!$A:$A,0),1),""),"")</f>
        <v/>
      </c>
      <c r="E247">
        <f>IFERROR(IF(ISNUMBER(INDEX(SPPR!$E:$Z,MATCH($A247,SPPR!$A:$A,0),2)),$C247*INDEX(SPPR!$E:$Z,MATCH($A247,SPPR!$A:$A,0),2),""),"")</f>
        <v/>
      </c>
      <c r="F247">
        <f>IFERROR(IF(ISNUMBER(INDEX(SPPR!$E:$Z,MATCH($A247,SPPR!$A:$A,0),3)),$C247*INDEX(SPPR!$E:$Z,MATCH($A247,SPPR!$A:$A,0),3),""),"")</f>
        <v/>
      </c>
      <c r="G247">
        <f>IFERROR(IF(ISNUMBER(INDEX(SPPR!$E:$Z,MATCH($A247,SPPR!$A:$A,0),4)),$C247*INDEX(SPPR!$E:$Z,MATCH($A247,SPPR!$A:$A,0),4),""),"")</f>
        <v/>
      </c>
      <c r="H247">
        <f>IFERROR(IF(ISNUMBER(INDEX(SPPR!$E:$Z,MATCH($A247,SPPR!$A:$A,0),5)),$C247*INDEX(SPPR!$E:$Z,MATCH($A247,SPPR!$A:$A,0),5),""),"")</f>
        <v/>
      </c>
      <c r="I247">
        <f>IFERROR(IF(ISNUMBER(INDEX(SPPR!$E:$Z,MATCH($A247,SPPR!$A:$A,0),6)),$C247*INDEX(SPPR!$E:$Z,MATCH($A247,SPPR!$A:$A,0),6),""),"")</f>
        <v/>
      </c>
      <c r="J247">
        <f>IFERROR(IF(ISNUMBER(INDEX(SPPR!$E:$Z,MATCH($A247,SPPR!$A:$A,0),7)),$C247*INDEX(SPPR!$E:$Z,MATCH($A247,SPPR!$A:$A,0),7),""),"")</f>
        <v/>
      </c>
      <c r="K247">
        <f>IFERROR(IF(ISNUMBER(INDEX(SPPR!$E:$Z,MATCH($A247,SPPR!$A:$A,0),8)),$C247*INDEX(SPPR!$E:$Z,MATCH($A247,SPPR!$A:$A,0),8),""),"")</f>
        <v/>
      </c>
      <c r="L247">
        <f>IFERROR(IF(ISNUMBER(INDEX(SPPR!$E:$Z,MATCH($A247,SPPR!$A:$A,0),9)),$C247*INDEX(SPPR!$E:$Z,MATCH($A247,SPPR!$A:$A,0),9),""),"")</f>
        <v/>
      </c>
      <c r="M247">
        <f>IFERROR(IF(ISNUMBER(INDEX(SPPR!$E:$Z,MATCH($A247,SPPR!$A:$A,0),10)),$C247*INDEX(SPPR!$E:$Z,MATCH($A247,SPPR!$A:$A,0),10),""),"")</f>
        <v/>
      </c>
      <c r="N247">
        <f>IFERROR(IF(ISNUMBER(INDEX(SPPR!$E:$Z,MATCH($A247,SPPR!$A:$A,0),11)),$C247*INDEX(SPPR!$E:$Z,MATCH($A247,SPPR!$A:$A,0),11),""),"")</f>
        <v/>
      </c>
      <c r="O247">
        <f>IFERROR(IF(ISNUMBER(INDEX(SPPR!$E:$Z,MATCH($A247,SPPR!$A:$A,0),12)),$C247*INDEX(SPPR!$E:$Z,MATCH($A247,SPPR!$A:$A,0),12),""),"")</f>
        <v/>
      </c>
      <c r="P247">
        <f>IFERROR(IF(ISNUMBER(INDEX(SPPR!$E:$Z,MATCH($A247,SPPR!$A:$A,0),13)),$C247*INDEX(SPPR!$E:$Z,MATCH($A247,SPPR!$A:$A,0),13),""),"")</f>
        <v/>
      </c>
      <c r="Q247">
        <f>IFERROR(IF(ISNUMBER(INDEX(SPPR!$E:$Z,MATCH($A247,SPPR!$A:$A,0),14)),$C247*INDEX(SPPR!$E:$Z,MATCH($A247,SPPR!$A:$A,0),14),""),"")</f>
        <v/>
      </c>
      <c r="R247">
        <f>IFERROR(IF(ISNUMBER(INDEX(SPPR!$E:$Z,MATCH($A247,SPPR!$A:$A,0),15)),$C247*INDEX(SPPR!$E:$Z,MATCH($A247,SPPR!$A:$A,0),15),""),"")</f>
        <v/>
      </c>
      <c r="S247">
        <f>IFERROR(IF(ISNUMBER(INDEX(SPPR!$E:$Z,MATCH($A247,SPPR!$A:$A,0),16)),$C247*INDEX(SPPR!$E:$Z,MATCH($A247,SPPR!$A:$A,0),16),""),"")</f>
        <v/>
      </c>
      <c r="T247">
        <f>IFERROR(IF(ISNUMBER(INDEX(SPPR!$E:$Z,MATCH($A247,SPPR!$A:$A,0),17)),$C247*INDEX(SPPR!$E:$Z,MATCH($A247,SPPR!$A:$A,0),17),""),"")</f>
        <v/>
      </c>
      <c r="U247">
        <f>IFERROR(IF(ISNUMBER(INDEX(SPPR!$E:$Z,MATCH($A247,SPPR!$A:$A,0),18)),$C247*INDEX(SPPR!$E:$Z,MATCH($A247,SPPR!$A:$A,0),18),""),"")</f>
        <v/>
      </c>
      <c r="V247">
        <f>IFERROR(IF(ISNUMBER(INDEX(SPPR!$E:$Z,MATCH($A247,SPPR!$A:$A,0),19)),$C247*INDEX(SPPR!$E:$Z,MATCH($A247,SPPR!$A:$A,0),19),""),"")</f>
        <v/>
      </c>
      <c r="W247">
        <f>IFERROR(IF(ISNUMBER(INDEX(SPPR!$E:$Z,MATCH($A247,SPPR!$A:$A,0),20)),$C247*INDEX(SPPR!$E:$Z,MATCH($A247,SPPR!$A:$A,0),20),""),"")</f>
        <v/>
      </c>
      <c r="X247">
        <f>IFERROR(IF(ISNUMBER(INDEX(SPPR!$E:$Z,MATCH($A247,SPPR!$A:$A,0),21)),$C247*INDEX(SPPR!$E:$Z,MATCH($A247,SPPR!$A:$A,0),21),""),"")</f>
        <v/>
      </c>
      <c r="Y247">
        <f>IFERROR(IF(ISNUMBER(INDEX(SPPR!$E:$Z,MATCH($A247,SPPR!$A:$A,0),22)),$C247*INDEX(SPPR!$E:$Z,MATCH($A247,SPPR!$A:$A,0),22),""),"")</f>
        <v/>
      </c>
    </row>
    <row r="248">
      <c r="A248" t="inlineStr">
        <is>
          <t>Alectis ciliaris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IFERROR(IF(ISNUMBER(INDEX(SPPR!$E:$Z,MATCH($A248,SPPR!$A:$A,0),1)),$C248*INDEX(SPPR!$E:$Z,MATCH($A248,SPPR!$A:$A,0),1),""),"")</f>
        <v/>
      </c>
      <c r="E248">
        <f>IFERROR(IF(ISNUMBER(INDEX(SPPR!$E:$Z,MATCH($A248,SPPR!$A:$A,0),2)),$C248*INDEX(SPPR!$E:$Z,MATCH($A248,SPPR!$A:$A,0),2),""),"")</f>
        <v/>
      </c>
      <c r="F248">
        <f>IFERROR(IF(ISNUMBER(INDEX(SPPR!$E:$Z,MATCH($A248,SPPR!$A:$A,0),3)),$C248*INDEX(SPPR!$E:$Z,MATCH($A248,SPPR!$A:$A,0),3),""),"")</f>
        <v/>
      </c>
      <c r="G248">
        <f>IFERROR(IF(ISNUMBER(INDEX(SPPR!$E:$Z,MATCH($A248,SPPR!$A:$A,0),4)),$C248*INDEX(SPPR!$E:$Z,MATCH($A248,SPPR!$A:$A,0),4),""),"")</f>
        <v/>
      </c>
      <c r="H248">
        <f>IFERROR(IF(ISNUMBER(INDEX(SPPR!$E:$Z,MATCH($A248,SPPR!$A:$A,0),5)),$C248*INDEX(SPPR!$E:$Z,MATCH($A248,SPPR!$A:$A,0),5),""),"")</f>
        <v/>
      </c>
      <c r="I248">
        <f>IFERROR(IF(ISNUMBER(INDEX(SPPR!$E:$Z,MATCH($A248,SPPR!$A:$A,0),6)),$C248*INDEX(SPPR!$E:$Z,MATCH($A248,SPPR!$A:$A,0),6),""),"")</f>
        <v/>
      </c>
      <c r="J248">
        <f>IFERROR(IF(ISNUMBER(INDEX(SPPR!$E:$Z,MATCH($A248,SPPR!$A:$A,0),7)),$C248*INDEX(SPPR!$E:$Z,MATCH($A248,SPPR!$A:$A,0),7),""),"")</f>
        <v/>
      </c>
      <c r="K248">
        <f>IFERROR(IF(ISNUMBER(INDEX(SPPR!$E:$Z,MATCH($A248,SPPR!$A:$A,0),8)),$C248*INDEX(SPPR!$E:$Z,MATCH($A248,SPPR!$A:$A,0),8),""),"")</f>
        <v/>
      </c>
      <c r="L248">
        <f>IFERROR(IF(ISNUMBER(INDEX(SPPR!$E:$Z,MATCH($A248,SPPR!$A:$A,0),9)),$C248*INDEX(SPPR!$E:$Z,MATCH($A248,SPPR!$A:$A,0),9),""),"")</f>
        <v/>
      </c>
      <c r="M248">
        <f>IFERROR(IF(ISNUMBER(INDEX(SPPR!$E:$Z,MATCH($A248,SPPR!$A:$A,0),10)),$C248*INDEX(SPPR!$E:$Z,MATCH($A248,SPPR!$A:$A,0),10),""),"")</f>
        <v/>
      </c>
      <c r="N248">
        <f>IFERROR(IF(ISNUMBER(INDEX(SPPR!$E:$Z,MATCH($A248,SPPR!$A:$A,0),11)),$C248*INDEX(SPPR!$E:$Z,MATCH($A248,SPPR!$A:$A,0),11),""),"")</f>
        <v/>
      </c>
      <c r="O248">
        <f>IFERROR(IF(ISNUMBER(INDEX(SPPR!$E:$Z,MATCH($A248,SPPR!$A:$A,0),12)),$C248*INDEX(SPPR!$E:$Z,MATCH($A248,SPPR!$A:$A,0),12),""),"")</f>
        <v/>
      </c>
      <c r="P248">
        <f>IFERROR(IF(ISNUMBER(INDEX(SPPR!$E:$Z,MATCH($A248,SPPR!$A:$A,0),13)),$C248*INDEX(SPPR!$E:$Z,MATCH($A248,SPPR!$A:$A,0),13),""),"")</f>
        <v/>
      </c>
      <c r="Q248">
        <f>IFERROR(IF(ISNUMBER(INDEX(SPPR!$E:$Z,MATCH($A248,SPPR!$A:$A,0),14)),$C248*INDEX(SPPR!$E:$Z,MATCH($A248,SPPR!$A:$A,0),14),""),"")</f>
        <v/>
      </c>
      <c r="R248">
        <f>IFERROR(IF(ISNUMBER(INDEX(SPPR!$E:$Z,MATCH($A248,SPPR!$A:$A,0),15)),$C248*INDEX(SPPR!$E:$Z,MATCH($A248,SPPR!$A:$A,0),15),""),"")</f>
        <v/>
      </c>
      <c r="S248">
        <f>IFERROR(IF(ISNUMBER(INDEX(SPPR!$E:$Z,MATCH($A248,SPPR!$A:$A,0),16)),$C248*INDEX(SPPR!$E:$Z,MATCH($A248,SPPR!$A:$A,0),16),""),"")</f>
        <v/>
      </c>
      <c r="T248">
        <f>IFERROR(IF(ISNUMBER(INDEX(SPPR!$E:$Z,MATCH($A248,SPPR!$A:$A,0),17)),$C248*INDEX(SPPR!$E:$Z,MATCH($A248,SPPR!$A:$A,0),17),""),"")</f>
        <v/>
      </c>
      <c r="U248">
        <f>IFERROR(IF(ISNUMBER(INDEX(SPPR!$E:$Z,MATCH($A248,SPPR!$A:$A,0),18)),$C248*INDEX(SPPR!$E:$Z,MATCH($A248,SPPR!$A:$A,0),18),""),"")</f>
        <v/>
      </c>
      <c r="V248">
        <f>IFERROR(IF(ISNUMBER(INDEX(SPPR!$E:$Z,MATCH($A248,SPPR!$A:$A,0),19)),$C248*INDEX(SPPR!$E:$Z,MATCH($A248,SPPR!$A:$A,0),19),""),"")</f>
        <v/>
      </c>
      <c r="W248">
        <f>IFERROR(IF(ISNUMBER(INDEX(SPPR!$E:$Z,MATCH($A248,SPPR!$A:$A,0),20)),$C248*INDEX(SPPR!$E:$Z,MATCH($A248,SPPR!$A:$A,0),20),""),"")</f>
        <v/>
      </c>
      <c r="X248">
        <f>IFERROR(IF(ISNUMBER(INDEX(SPPR!$E:$Z,MATCH($A248,SPPR!$A:$A,0),21)),$C248*INDEX(SPPR!$E:$Z,MATCH($A248,SPPR!$A:$A,0),21),""),"")</f>
        <v/>
      </c>
      <c r="Y248">
        <f>IFERROR(IF(ISNUMBER(INDEX(SPPR!$E:$Z,MATCH($A248,SPPR!$A:$A,0),22)),$C248*INDEX(SPPR!$E:$Z,MATCH($A248,SPPR!$A:$A,0),22),""),"")</f>
        <v/>
      </c>
    </row>
    <row r="249">
      <c r="A249" t="inlineStr">
        <is>
          <t>Glaucostegus cemiculus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IFERROR(IF(ISNUMBER(INDEX(SPPR!$E:$Z,MATCH($A249,SPPR!$A:$A,0),1)),$C249*INDEX(SPPR!$E:$Z,MATCH($A249,SPPR!$A:$A,0),1),""),"")</f>
        <v/>
      </c>
      <c r="E249">
        <f>IFERROR(IF(ISNUMBER(INDEX(SPPR!$E:$Z,MATCH($A249,SPPR!$A:$A,0),2)),$C249*INDEX(SPPR!$E:$Z,MATCH($A249,SPPR!$A:$A,0),2),""),"")</f>
        <v/>
      </c>
      <c r="F249">
        <f>IFERROR(IF(ISNUMBER(INDEX(SPPR!$E:$Z,MATCH($A249,SPPR!$A:$A,0),3)),$C249*INDEX(SPPR!$E:$Z,MATCH($A249,SPPR!$A:$A,0),3),""),"")</f>
        <v/>
      </c>
      <c r="G249">
        <f>IFERROR(IF(ISNUMBER(INDEX(SPPR!$E:$Z,MATCH($A249,SPPR!$A:$A,0),4)),$C249*INDEX(SPPR!$E:$Z,MATCH($A249,SPPR!$A:$A,0),4),""),"")</f>
        <v/>
      </c>
      <c r="H249">
        <f>IFERROR(IF(ISNUMBER(INDEX(SPPR!$E:$Z,MATCH($A249,SPPR!$A:$A,0),5)),$C249*INDEX(SPPR!$E:$Z,MATCH($A249,SPPR!$A:$A,0),5),""),"")</f>
        <v/>
      </c>
      <c r="I249">
        <f>IFERROR(IF(ISNUMBER(INDEX(SPPR!$E:$Z,MATCH($A249,SPPR!$A:$A,0),6)),$C249*INDEX(SPPR!$E:$Z,MATCH($A249,SPPR!$A:$A,0),6),""),"")</f>
        <v/>
      </c>
      <c r="J249">
        <f>IFERROR(IF(ISNUMBER(INDEX(SPPR!$E:$Z,MATCH($A249,SPPR!$A:$A,0),7)),$C249*INDEX(SPPR!$E:$Z,MATCH($A249,SPPR!$A:$A,0),7),""),"")</f>
        <v/>
      </c>
      <c r="K249">
        <f>IFERROR(IF(ISNUMBER(INDEX(SPPR!$E:$Z,MATCH($A249,SPPR!$A:$A,0),8)),$C249*INDEX(SPPR!$E:$Z,MATCH($A249,SPPR!$A:$A,0),8),""),"")</f>
        <v/>
      </c>
      <c r="L249">
        <f>IFERROR(IF(ISNUMBER(INDEX(SPPR!$E:$Z,MATCH($A249,SPPR!$A:$A,0),9)),$C249*INDEX(SPPR!$E:$Z,MATCH($A249,SPPR!$A:$A,0),9),""),"")</f>
        <v/>
      </c>
      <c r="M249">
        <f>IFERROR(IF(ISNUMBER(INDEX(SPPR!$E:$Z,MATCH($A249,SPPR!$A:$A,0),10)),$C249*INDEX(SPPR!$E:$Z,MATCH($A249,SPPR!$A:$A,0),10),""),"")</f>
        <v/>
      </c>
      <c r="N249">
        <f>IFERROR(IF(ISNUMBER(INDEX(SPPR!$E:$Z,MATCH($A249,SPPR!$A:$A,0),11)),$C249*INDEX(SPPR!$E:$Z,MATCH($A249,SPPR!$A:$A,0),11),""),"")</f>
        <v/>
      </c>
      <c r="O249">
        <f>IFERROR(IF(ISNUMBER(INDEX(SPPR!$E:$Z,MATCH($A249,SPPR!$A:$A,0),12)),$C249*INDEX(SPPR!$E:$Z,MATCH($A249,SPPR!$A:$A,0),12),""),"")</f>
        <v/>
      </c>
      <c r="P249">
        <f>IFERROR(IF(ISNUMBER(INDEX(SPPR!$E:$Z,MATCH($A249,SPPR!$A:$A,0),13)),$C249*INDEX(SPPR!$E:$Z,MATCH($A249,SPPR!$A:$A,0),13),""),"")</f>
        <v/>
      </c>
      <c r="Q249">
        <f>IFERROR(IF(ISNUMBER(INDEX(SPPR!$E:$Z,MATCH($A249,SPPR!$A:$A,0),14)),$C249*INDEX(SPPR!$E:$Z,MATCH($A249,SPPR!$A:$A,0),14),""),"")</f>
        <v/>
      </c>
      <c r="R249">
        <f>IFERROR(IF(ISNUMBER(INDEX(SPPR!$E:$Z,MATCH($A249,SPPR!$A:$A,0),15)),$C249*INDEX(SPPR!$E:$Z,MATCH($A249,SPPR!$A:$A,0),15),""),"")</f>
        <v/>
      </c>
      <c r="S249">
        <f>IFERROR(IF(ISNUMBER(INDEX(SPPR!$E:$Z,MATCH($A249,SPPR!$A:$A,0),16)),$C249*INDEX(SPPR!$E:$Z,MATCH($A249,SPPR!$A:$A,0),16),""),"")</f>
        <v/>
      </c>
      <c r="T249">
        <f>IFERROR(IF(ISNUMBER(INDEX(SPPR!$E:$Z,MATCH($A249,SPPR!$A:$A,0),17)),$C249*INDEX(SPPR!$E:$Z,MATCH($A249,SPPR!$A:$A,0),17),""),"")</f>
        <v/>
      </c>
      <c r="U249">
        <f>IFERROR(IF(ISNUMBER(INDEX(SPPR!$E:$Z,MATCH($A249,SPPR!$A:$A,0),18)),$C249*INDEX(SPPR!$E:$Z,MATCH($A249,SPPR!$A:$A,0),18),""),"")</f>
        <v/>
      </c>
      <c r="V249">
        <f>IFERROR(IF(ISNUMBER(INDEX(SPPR!$E:$Z,MATCH($A249,SPPR!$A:$A,0),19)),$C249*INDEX(SPPR!$E:$Z,MATCH($A249,SPPR!$A:$A,0),19),""),"")</f>
        <v/>
      </c>
      <c r="W249">
        <f>IFERROR(IF(ISNUMBER(INDEX(SPPR!$E:$Z,MATCH($A249,SPPR!$A:$A,0),20)),$C249*INDEX(SPPR!$E:$Z,MATCH($A249,SPPR!$A:$A,0),20),""),"")</f>
        <v/>
      </c>
      <c r="X249">
        <f>IFERROR(IF(ISNUMBER(INDEX(SPPR!$E:$Z,MATCH($A249,SPPR!$A:$A,0),21)),$C249*INDEX(SPPR!$E:$Z,MATCH($A249,SPPR!$A:$A,0),21),""),"")</f>
        <v/>
      </c>
      <c r="Y249">
        <f>IFERROR(IF(ISNUMBER(INDEX(SPPR!$E:$Z,MATCH($A249,SPPR!$A:$A,0),22)),$C249*INDEX(SPPR!$E:$Z,MATCH($A249,SPPR!$A:$A,0),22),""),"")</f>
        <v/>
      </c>
    </row>
    <row r="250">
      <c r="A250" t="inlineStr">
        <is>
          <t>Bothidae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IFERROR(IF(ISNUMBER(INDEX(SPPR!$E:$Z,MATCH($A250,SPPR!$A:$A,0),1)),$C250*INDEX(SPPR!$E:$Z,MATCH($A250,SPPR!$A:$A,0),1),""),"")</f>
        <v/>
      </c>
      <c r="E250">
        <f>IFERROR(IF(ISNUMBER(INDEX(SPPR!$E:$Z,MATCH($A250,SPPR!$A:$A,0),2)),$C250*INDEX(SPPR!$E:$Z,MATCH($A250,SPPR!$A:$A,0),2),""),"")</f>
        <v/>
      </c>
      <c r="F250">
        <f>IFERROR(IF(ISNUMBER(INDEX(SPPR!$E:$Z,MATCH($A250,SPPR!$A:$A,0),3)),$C250*INDEX(SPPR!$E:$Z,MATCH($A250,SPPR!$A:$A,0),3),""),"")</f>
        <v/>
      </c>
      <c r="G250">
        <f>IFERROR(IF(ISNUMBER(INDEX(SPPR!$E:$Z,MATCH($A250,SPPR!$A:$A,0),4)),$C250*INDEX(SPPR!$E:$Z,MATCH($A250,SPPR!$A:$A,0),4),""),"")</f>
        <v/>
      </c>
      <c r="H250">
        <f>IFERROR(IF(ISNUMBER(INDEX(SPPR!$E:$Z,MATCH($A250,SPPR!$A:$A,0),5)),$C250*INDEX(SPPR!$E:$Z,MATCH($A250,SPPR!$A:$A,0),5),""),"")</f>
        <v/>
      </c>
      <c r="I250">
        <f>IFERROR(IF(ISNUMBER(INDEX(SPPR!$E:$Z,MATCH($A250,SPPR!$A:$A,0),6)),$C250*INDEX(SPPR!$E:$Z,MATCH($A250,SPPR!$A:$A,0),6),""),"")</f>
        <v/>
      </c>
      <c r="J250">
        <f>IFERROR(IF(ISNUMBER(INDEX(SPPR!$E:$Z,MATCH($A250,SPPR!$A:$A,0),7)),$C250*INDEX(SPPR!$E:$Z,MATCH($A250,SPPR!$A:$A,0),7),""),"")</f>
        <v/>
      </c>
      <c r="K250">
        <f>IFERROR(IF(ISNUMBER(INDEX(SPPR!$E:$Z,MATCH($A250,SPPR!$A:$A,0),8)),$C250*INDEX(SPPR!$E:$Z,MATCH($A250,SPPR!$A:$A,0),8),""),"")</f>
        <v/>
      </c>
      <c r="L250">
        <f>IFERROR(IF(ISNUMBER(INDEX(SPPR!$E:$Z,MATCH($A250,SPPR!$A:$A,0),9)),$C250*INDEX(SPPR!$E:$Z,MATCH($A250,SPPR!$A:$A,0),9),""),"")</f>
        <v/>
      </c>
      <c r="M250">
        <f>IFERROR(IF(ISNUMBER(INDEX(SPPR!$E:$Z,MATCH($A250,SPPR!$A:$A,0),10)),$C250*INDEX(SPPR!$E:$Z,MATCH($A250,SPPR!$A:$A,0),10),""),"")</f>
        <v/>
      </c>
      <c r="N250">
        <f>IFERROR(IF(ISNUMBER(INDEX(SPPR!$E:$Z,MATCH($A250,SPPR!$A:$A,0),11)),$C250*INDEX(SPPR!$E:$Z,MATCH($A250,SPPR!$A:$A,0),11),""),"")</f>
        <v/>
      </c>
      <c r="O250">
        <f>IFERROR(IF(ISNUMBER(INDEX(SPPR!$E:$Z,MATCH($A250,SPPR!$A:$A,0),12)),$C250*INDEX(SPPR!$E:$Z,MATCH($A250,SPPR!$A:$A,0),12),""),"")</f>
        <v/>
      </c>
      <c r="P250">
        <f>IFERROR(IF(ISNUMBER(INDEX(SPPR!$E:$Z,MATCH($A250,SPPR!$A:$A,0),13)),$C250*INDEX(SPPR!$E:$Z,MATCH($A250,SPPR!$A:$A,0),13),""),"")</f>
        <v/>
      </c>
      <c r="Q250">
        <f>IFERROR(IF(ISNUMBER(INDEX(SPPR!$E:$Z,MATCH($A250,SPPR!$A:$A,0),14)),$C250*INDEX(SPPR!$E:$Z,MATCH($A250,SPPR!$A:$A,0),14),""),"")</f>
        <v/>
      </c>
      <c r="R250">
        <f>IFERROR(IF(ISNUMBER(INDEX(SPPR!$E:$Z,MATCH($A250,SPPR!$A:$A,0),15)),$C250*INDEX(SPPR!$E:$Z,MATCH($A250,SPPR!$A:$A,0),15),""),"")</f>
        <v/>
      </c>
      <c r="S250">
        <f>IFERROR(IF(ISNUMBER(INDEX(SPPR!$E:$Z,MATCH($A250,SPPR!$A:$A,0),16)),$C250*INDEX(SPPR!$E:$Z,MATCH($A250,SPPR!$A:$A,0),16),""),"")</f>
        <v/>
      </c>
      <c r="T250">
        <f>IFERROR(IF(ISNUMBER(INDEX(SPPR!$E:$Z,MATCH($A250,SPPR!$A:$A,0),17)),$C250*INDEX(SPPR!$E:$Z,MATCH($A250,SPPR!$A:$A,0),17),""),"")</f>
        <v/>
      </c>
      <c r="U250">
        <f>IFERROR(IF(ISNUMBER(INDEX(SPPR!$E:$Z,MATCH($A250,SPPR!$A:$A,0),18)),$C250*INDEX(SPPR!$E:$Z,MATCH($A250,SPPR!$A:$A,0),18),""),"")</f>
        <v/>
      </c>
      <c r="V250">
        <f>IFERROR(IF(ISNUMBER(INDEX(SPPR!$E:$Z,MATCH($A250,SPPR!$A:$A,0),19)),$C250*INDEX(SPPR!$E:$Z,MATCH($A250,SPPR!$A:$A,0),19),""),"")</f>
        <v/>
      </c>
      <c r="W250">
        <f>IFERROR(IF(ISNUMBER(INDEX(SPPR!$E:$Z,MATCH($A250,SPPR!$A:$A,0),20)),$C250*INDEX(SPPR!$E:$Z,MATCH($A250,SPPR!$A:$A,0),20),""),"")</f>
        <v/>
      </c>
      <c r="X250">
        <f>IFERROR(IF(ISNUMBER(INDEX(SPPR!$E:$Z,MATCH($A250,SPPR!$A:$A,0),21)),$C250*INDEX(SPPR!$E:$Z,MATCH($A250,SPPR!$A:$A,0),21),""),"")</f>
        <v/>
      </c>
      <c r="Y250">
        <f>IFERROR(IF(ISNUMBER(INDEX(SPPR!$E:$Z,MATCH($A250,SPPR!$A:$A,0),22)),$C250*INDEX(SPPR!$E:$Z,MATCH($A250,SPPR!$A:$A,0),22),""),"")</f>
        <v/>
      </c>
    </row>
    <row r="251">
      <c r="A251" t="inlineStr">
        <is>
          <t>Triakidae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IFERROR(IF(ISNUMBER(INDEX(SPPR!$E:$Z,MATCH($A251,SPPR!$A:$A,0),1)),$C251*INDEX(SPPR!$E:$Z,MATCH($A251,SPPR!$A:$A,0),1),""),"")</f>
        <v/>
      </c>
      <c r="E251">
        <f>IFERROR(IF(ISNUMBER(INDEX(SPPR!$E:$Z,MATCH($A251,SPPR!$A:$A,0),2)),$C251*INDEX(SPPR!$E:$Z,MATCH($A251,SPPR!$A:$A,0),2),""),"")</f>
        <v/>
      </c>
      <c r="F251">
        <f>IFERROR(IF(ISNUMBER(INDEX(SPPR!$E:$Z,MATCH($A251,SPPR!$A:$A,0),3)),$C251*INDEX(SPPR!$E:$Z,MATCH($A251,SPPR!$A:$A,0),3),""),"")</f>
        <v/>
      </c>
      <c r="G251">
        <f>IFERROR(IF(ISNUMBER(INDEX(SPPR!$E:$Z,MATCH($A251,SPPR!$A:$A,0),4)),$C251*INDEX(SPPR!$E:$Z,MATCH($A251,SPPR!$A:$A,0),4),""),"")</f>
        <v/>
      </c>
      <c r="H251">
        <f>IFERROR(IF(ISNUMBER(INDEX(SPPR!$E:$Z,MATCH($A251,SPPR!$A:$A,0),5)),$C251*INDEX(SPPR!$E:$Z,MATCH($A251,SPPR!$A:$A,0),5),""),"")</f>
        <v/>
      </c>
      <c r="I251">
        <f>IFERROR(IF(ISNUMBER(INDEX(SPPR!$E:$Z,MATCH($A251,SPPR!$A:$A,0),6)),$C251*INDEX(SPPR!$E:$Z,MATCH($A251,SPPR!$A:$A,0),6),""),"")</f>
        <v/>
      </c>
      <c r="J251">
        <f>IFERROR(IF(ISNUMBER(INDEX(SPPR!$E:$Z,MATCH($A251,SPPR!$A:$A,0),7)),$C251*INDEX(SPPR!$E:$Z,MATCH($A251,SPPR!$A:$A,0),7),""),"")</f>
        <v/>
      </c>
      <c r="K251">
        <f>IFERROR(IF(ISNUMBER(INDEX(SPPR!$E:$Z,MATCH($A251,SPPR!$A:$A,0),8)),$C251*INDEX(SPPR!$E:$Z,MATCH($A251,SPPR!$A:$A,0),8),""),"")</f>
        <v/>
      </c>
      <c r="L251">
        <f>IFERROR(IF(ISNUMBER(INDEX(SPPR!$E:$Z,MATCH($A251,SPPR!$A:$A,0),9)),$C251*INDEX(SPPR!$E:$Z,MATCH($A251,SPPR!$A:$A,0),9),""),"")</f>
        <v/>
      </c>
      <c r="M251">
        <f>IFERROR(IF(ISNUMBER(INDEX(SPPR!$E:$Z,MATCH($A251,SPPR!$A:$A,0),10)),$C251*INDEX(SPPR!$E:$Z,MATCH($A251,SPPR!$A:$A,0),10),""),"")</f>
        <v/>
      </c>
      <c r="N251">
        <f>IFERROR(IF(ISNUMBER(INDEX(SPPR!$E:$Z,MATCH($A251,SPPR!$A:$A,0),11)),$C251*INDEX(SPPR!$E:$Z,MATCH($A251,SPPR!$A:$A,0),11),""),"")</f>
        <v/>
      </c>
      <c r="O251">
        <f>IFERROR(IF(ISNUMBER(INDEX(SPPR!$E:$Z,MATCH($A251,SPPR!$A:$A,0),12)),$C251*INDEX(SPPR!$E:$Z,MATCH($A251,SPPR!$A:$A,0),12),""),"")</f>
        <v/>
      </c>
      <c r="P251">
        <f>IFERROR(IF(ISNUMBER(INDEX(SPPR!$E:$Z,MATCH($A251,SPPR!$A:$A,0),13)),$C251*INDEX(SPPR!$E:$Z,MATCH($A251,SPPR!$A:$A,0),13),""),"")</f>
        <v/>
      </c>
      <c r="Q251">
        <f>IFERROR(IF(ISNUMBER(INDEX(SPPR!$E:$Z,MATCH($A251,SPPR!$A:$A,0),14)),$C251*INDEX(SPPR!$E:$Z,MATCH($A251,SPPR!$A:$A,0),14),""),"")</f>
        <v/>
      </c>
      <c r="R251">
        <f>IFERROR(IF(ISNUMBER(INDEX(SPPR!$E:$Z,MATCH($A251,SPPR!$A:$A,0),15)),$C251*INDEX(SPPR!$E:$Z,MATCH($A251,SPPR!$A:$A,0),15),""),"")</f>
        <v/>
      </c>
      <c r="S251">
        <f>IFERROR(IF(ISNUMBER(INDEX(SPPR!$E:$Z,MATCH($A251,SPPR!$A:$A,0),16)),$C251*INDEX(SPPR!$E:$Z,MATCH($A251,SPPR!$A:$A,0),16),""),"")</f>
        <v/>
      </c>
      <c r="T251">
        <f>IFERROR(IF(ISNUMBER(INDEX(SPPR!$E:$Z,MATCH($A251,SPPR!$A:$A,0),17)),$C251*INDEX(SPPR!$E:$Z,MATCH($A251,SPPR!$A:$A,0),17),""),"")</f>
        <v/>
      </c>
      <c r="U251">
        <f>IFERROR(IF(ISNUMBER(INDEX(SPPR!$E:$Z,MATCH($A251,SPPR!$A:$A,0),18)),$C251*INDEX(SPPR!$E:$Z,MATCH($A251,SPPR!$A:$A,0),18),""),"")</f>
        <v/>
      </c>
      <c r="V251">
        <f>IFERROR(IF(ISNUMBER(INDEX(SPPR!$E:$Z,MATCH($A251,SPPR!$A:$A,0),19)),$C251*INDEX(SPPR!$E:$Z,MATCH($A251,SPPR!$A:$A,0),19),""),"")</f>
        <v/>
      </c>
      <c r="W251">
        <f>IFERROR(IF(ISNUMBER(INDEX(SPPR!$E:$Z,MATCH($A251,SPPR!$A:$A,0),20)),$C251*INDEX(SPPR!$E:$Z,MATCH($A251,SPPR!$A:$A,0),20),""),"")</f>
        <v/>
      </c>
      <c r="X251">
        <f>IFERROR(IF(ISNUMBER(INDEX(SPPR!$E:$Z,MATCH($A251,SPPR!$A:$A,0),21)),$C251*INDEX(SPPR!$E:$Z,MATCH($A251,SPPR!$A:$A,0),21),""),"")</f>
        <v/>
      </c>
      <c r="Y251">
        <f>IFERROR(IF(ISNUMBER(INDEX(SPPR!$E:$Z,MATCH($A251,SPPR!$A:$A,0),22)),$C251*INDEX(SPPR!$E:$Z,MATCH($A251,SPPR!$A:$A,0),22),""),"")</f>
        <v/>
      </c>
    </row>
    <row r="252">
      <c r="A252" t="inlineStr">
        <is>
          <t>Rostroraja alba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IFERROR(IF(ISNUMBER(INDEX(SPPR!$E:$Z,MATCH($A252,SPPR!$A:$A,0),1)),$C252*INDEX(SPPR!$E:$Z,MATCH($A252,SPPR!$A:$A,0),1),""),"")</f>
        <v/>
      </c>
      <c r="E252">
        <f>IFERROR(IF(ISNUMBER(INDEX(SPPR!$E:$Z,MATCH($A252,SPPR!$A:$A,0),2)),$C252*INDEX(SPPR!$E:$Z,MATCH($A252,SPPR!$A:$A,0),2),""),"")</f>
        <v/>
      </c>
      <c r="F252">
        <f>IFERROR(IF(ISNUMBER(INDEX(SPPR!$E:$Z,MATCH($A252,SPPR!$A:$A,0),3)),$C252*INDEX(SPPR!$E:$Z,MATCH($A252,SPPR!$A:$A,0),3),""),"")</f>
        <v/>
      </c>
      <c r="G252">
        <f>IFERROR(IF(ISNUMBER(INDEX(SPPR!$E:$Z,MATCH($A252,SPPR!$A:$A,0),4)),$C252*INDEX(SPPR!$E:$Z,MATCH($A252,SPPR!$A:$A,0),4),""),"")</f>
        <v/>
      </c>
      <c r="H252">
        <f>IFERROR(IF(ISNUMBER(INDEX(SPPR!$E:$Z,MATCH($A252,SPPR!$A:$A,0),5)),$C252*INDEX(SPPR!$E:$Z,MATCH($A252,SPPR!$A:$A,0),5),""),"")</f>
        <v/>
      </c>
      <c r="I252">
        <f>IFERROR(IF(ISNUMBER(INDEX(SPPR!$E:$Z,MATCH($A252,SPPR!$A:$A,0),6)),$C252*INDEX(SPPR!$E:$Z,MATCH($A252,SPPR!$A:$A,0),6),""),"")</f>
        <v/>
      </c>
      <c r="J252">
        <f>IFERROR(IF(ISNUMBER(INDEX(SPPR!$E:$Z,MATCH($A252,SPPR!$A:$A,0),7)),$C252*INDEX(SPPR!$E:$Z,MATCH($A252,SPPR!$A:$A,0),7),""),"")</f>
        <v/>
      </c>
      <c r="K252">
        <f>IFERROR(IF(ISNUMBER(INDEX(SPPR!$E:$Z,MATCH($A252,SPPR!$A:$A,0),8)),$C252*INDEX(SPPR!$E:$Z,MATCH($A252,SPPR!$A:$A,0),8),""),"")</f>
        <v/>
      </c>
      <c r="L252">
        <f>IFERROR(IF(ISNUMBER(INDEX(SPPR!$E:$Z,MATCH($A252,SPPR!$A:$A,0),9)),$C252*INDEX(SPPR!$E:$Z,MATCH($A252,SPPR!$A:$A,0),9),""),"")</f>
        <v/>
      </c>
      <c r="M252">
        <f>IFERROR(IF(ISNUMBER(INDEX(SPPR!$E:$Z,MATCH($A252,SPPR!$A:$A,0),10)),$C252*INDEX(SPPR!$E:$Z,MATCH($A252,SPPR!$A:$A,0),10),""),"")</f>
        <v/>
      </c>
      <c r="N252">
        <f>IFERROR(IF(ISNUMBER(INDEX(SPPR!$E:$Z,MATCH($A252,SPPR!$A:$A,0),11)),$C252*INDEX(SPPR!$E:$Z,MATCH($A252,SPPR!$A:$A,0),11),""),"")</f>
        <v/>
      </c>
      <c r="O252">
        <f>IFERROR(IF(ISNUMBER(INDEX(SPPR!$E:$Z,MATCH($A252,SPPR!$A:$A,0),12)),$C252*INDEX(SPPR!$E:$Z,MATCH($A252,SPPR!$A:$A,0),12),""),"")</f>
        <v/>
      </c>
      <c r="P252">
        <f>IFERROR(IF(ISNUMBER(INDEX(SPPR!$E:$Z,MATCH($A252,SPPR!$A:$A,0),13)),$C252*INDEX(SPPR!$E:$Z,MATCH($A252,SPPR!$A:$A,0),13),""),"")</f>
        <v/>
      </c>
      <c r="Q252">
        <f>IFERROR(IF(ISNUMBER(INDEX(SPPR!$E:$Z,MATCH($A252,SPPR!$A:$A,0),14)),$C252*INDEX(SPPR!$E:$Z,MATCH($A252,SPPR!$A:$A,0),14),""),"")</f>
        <v/>
      </c>
      <c r="R252">
        <f>IFERROR(IF(ISNUMBER(INDEX(SPPR!$E:$Z,MATCH($A252,SPPR!$A:$A,0),15)),$C252*INDEX(SPPR!$E:$Z,MATCH($A252,SPPR!$A:$A,0),15),""),"")</f>
        <v/>
      </c>
      <c r="S252">
        <f>IFERROR(IF(ISNUMBER(INDEX(SPPR!$E:$Z,MATCH($A252,SPPR!$A:$A,0),16)),$C252*INDEX(SPPR!$E:$Z,MATCH($A252,SPPR!$A:$A,0),16),""),"")</f>
        <v/>
      </c>
      <c r="T252">
        <f>IFERROR(IF(ISNUMBER(INDEX(SPPR!$E:$Z,MATCH($A252,SPPR!$A:$A,0),17)),$C252*INDEX(SPPR!$E:$Z,MATCH($A252,SPPR!$A:$A,0),17),""),"")</f>
        <v/>
      </c>
      <c r="U252">
        <f>IFERROR(IF(ISNUMBER(INDEX(SPPR!$E:$Z,MATCH($A252,SPPR!$A:$A,0),18)),$C252*INDEX(SPPR!$E:$Z,MATCH($A252,SPPR!$A:$A,0),18),""),"")</f>
        <v/>
      </c>
      <c r="V252">
        <f>IFERROR(IF(ISNUMBER(INDEX(SPPR!$E:$Z,MATCH($A252,SPPR!$A:$A,0),19)),$C252*INDEX(SPPR!$E:$Z,MATCH($A252,SPPR!$A:$A,0),19),""),"")</f>
        <v/>
      </c>
      <c r="W252">
        <f>IFERROR(IF(ISNUMBER(INDEX(SPPR!$E:$Z,MATCH($A252,SPPR!$A:$A,0),20)),$C252*INDEX(SPPR!$E:$Z,MATCH($A252,SPPR!$A:$A,0),20),""),"")</f>
        <v/>
      </c>
      <c r="X252">
        <f>IFERROR(IF(ISNUMBER(INDEX(SPPR!$E:$Z,MATCH($A252,SPPR!$A:$A,0),21)),$C252*INDEX(SPPR!$E:$Z,MATCH($A252,SPPR!$A:$A,0),21),""),"")</f>
        <v/>
      </c>
      <c r="Y252">
        <f>IFERROR(IF(ISNUMBER(INDEX(SPPR!$E:$Z,MATCH($A252,SPPR!$A:$A,0),22)),$C252*INDEX(SPPR!$E:$Z,MATCH($A252,SPPR!$A:$A,0),22),""),"")</f>
        <v/>
      </c>
    </row>
    <row r="253">
      <c r="A253" t="inlineStr">
        <is>
          <t>Tylosurus crocodilus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IFERROR(IF(ISNUMBER(INDEX(SPPR!$E:$Z,MATCH($A253,SPPR!$A:$A,0),1)),$C253*INDEX(SPPR!$E:$Z,MATCH($A253,SPPR!$A:$A,0),1),""),"")</f>
        <v/>
      </c>
      <c r="E253">
        <f>IFERROR(IF(ISNUMBER(INDEX(SPPR!$E:$Z,MATCH($A253,SPPR!$A:$A,0),2)),$C253*INDEX(SPPR!$E:$Z,MATCH($A253,SPPR!$A:$A,0),2),""),"")</f>
        <v/>
      </c>
      <c r="F253">
        <f>IFERROR(IF(ISNUMBER(INDEX(SPPR!$E:$Z,MATCH($A253,SPPR!$A:$A,0),3)),$C253*INDEX(SPPR!$E:$Z,MATCH($A253,SPPR!$A:$A,0),3),""),"")</f>
        <v/>
      </c>
      <c r="G253">
        <f>IFERROR(IF(ISNUMBER(INDEX(SPPR!$E:$Z,MATCH($A253,SPPR!$A:$A,0),4)),$C253*INDEX(SPPR!$E:$Z,MATCH($A253,SPPR!$A:$A,0),4),""),"")</f>
        <v/>
      </c>
      <c r="H253">
        <f>IFERROR(IF(ISNUMBER(INDEX(SPPR!$E:$Z,MATCH($A253,SPPR!$A:$A,0),5)),$C253*INDEX(SPPR!$E:$Z,MATCH($A253,SPPR!$A:$A,0),5),""),"")</f>
        <v/>
      </c>
      <c r="I253">
        <f>IFERROR(IF(ISNUMBER(INDEX(SPPR!$E:$Z,MATCH($A253,SPPR!$A:$A,0),6)),$C253*INDEX(SPPR!$E:$Z,MATCH($A253,SPPR!$A:$A,0),6),""),"")</f>
        <v/>
      </c>
      <c r="J253">
        <f>IFERROR(IF(ISNUMBER(INDEX(SPPR!$E:$Z,MATCH($A253,SPPR!$A:$A,0),7)),$C253*INDEX(SPPR!$E:$Z,MATCH($A253,SPPR!$A:$A,0),7),""),"")</f>
        <v/>
      </c>
      <c r="K253">
        <f>IFERROR(IF(ISNUMBER(INDEX(SPPR!$E:$Z,MATCH($A253,SPPR!$A:$A,0),8)),$C253*INDEX(SPPR!$E:$Z,MATCH($A253,SPPR!$A:$A,0),8),""),"")</f>
        <v/>
      </c>
      <c r="L253">
        <f>IFERROR(IF(ISNUMBER(INDEX(SPPR!$E:$Z,MATCH($A253,SPPR!$A:$A,0),9)),$C253*INDEX(SPPR!$E:$Z,MATCH($A253,SPPR!$A:$A,0),9),""),"")</f>
        <v/>
      </c>
      <c r="M253">
        <f>IFERROR(IF(ISNUMBER(INDEX(SPPR!$E:$Z,MATCH($A253,SPPR!$A:$A,0),10)),$C253*INDEX(SPPR!$E:$Z,MATCH($A253,SPPR!$A:$A,0),10),""),"")</f>
        <v/>
      </c>
      <c r="N253">
        <f>IFERROR(IF(ISNUMBER(INDEX(SPPR!$E:$Z,MATCH($A253,SPPR!$A:$A,0),11)),$C253*INDEX(SPPR!$E:$Z,MATCH($A253,SPPR!$A:$A,0),11),""),"")</f>
        <v/>
      </c>
      <c r="O253">
        <f>IFERROR(IF(ISNUMBER(INDEX(SPPR!$E:$Z,MATCH($A253,SPPR!$A:$A,0),12)),$C253*INDEX(SPPR!$E:$Z,MATCH($A253,SPPR!$A:$A,0),12),""),"")</f>
        <v/>
      </c>
      <c r="P253">
        <f>IFERROR(IF(ISNUMBER(INDEX(SPPR!$E:$Z,MATCH($A253,SPPR!$A:$A,0),13)),$C253*INDEX(SPPR!$E:$Z,MATCH($A253,SPPR!$A:$A,0),13),""),"")</f>
        <v/>
      </c>
      <c r="Q253">
        <f>IFERROR(IF(ISNUMBER(INDEX(SPPR!$E:$Z,MATCH($A253,SPPR!$A:$A,0),14)),$C253*INDEX(SPPR!$E:$Z,MATCH($A253,SPPR!$A:$A,0),14),""),"")</f>
        <v/>
      </c>
      <c r="R253">
        <f>IFERROR(IF(ISNUMBER(INDEX(SPPR!$E:$Z,MATCH($A253,SPPR!$A:$A,0),15)),$C253*INDEX(SPPR!$E:$Z,MATCH($A253,SPPR!$A:$A,0),15),""),"")</f>
        <v/>
      </c>
      <c r="S253">
        <f>IFERROR(IF(ISNUMBER(INDEX(SPPR!$E:$Z,MATCH($A253,SPPR!$A:$A,0),16)),$C253*INDEX(SPPR!$E:$Z,MATCH($A253,SPPR!$A:$A,0),16),""),"")</f>
        <v/>
      </c>
      <c r="T253">
        <f>IFERROR(IF(ISNUMBER(INDEX(SPPR!$E:$Z,MATCH($A253,SPPR!$A:$A,0),17)),$C253*INDEX(SPPR!$E:$Z,MATCH($A253,SPPR!$A:$A,0),17),""),"")</f>
        <v/>
      </c>
      <c r="U253">
        <f>IFERROR(IF(ISNUMBER(INDEX(SPPR!$E:$Z,MATCH($A253,SPPR!$A:$A,0),18)),$C253*INDEX(SPPR!$E:$Z,MATCH($A253,SPPR!$A:$A,0),18),""),"")</f>
        <v/>
      </c>
      <c r="V253">
        <f>IFERROR(IF(ISNUMBER(INDEX(SPPR!$E:$Z,MATCH($A253,SPPR!$A:$A,0),19)),$C253*INDEX(SPPR!$E:$Z,MATCH($A253,SPPR!$A:$A,0),19),""),"")</f>
        <v/>
      </c>
      <c r="W253">
        <f>IFERROR(IF(ISNUMBER(INDEX(SPPR!$E:$Z,MATCH($A253,SPPR!$A:$A,0),20)),$C253*INDEX(SPPR!$E:$Z,MATCH($A253,SPPR!$A:$A,0),20),""),"")</f>
        <v/>
      </c>
      <c r="X253">
        <f>IFERROR(IF(ISNUMBER(INDEX(SPPR!$E:$Z,MATCH($A253,SPPR!$A:$A,0),21)),$C253*INDEX(SPPR!$E:$Z,MATCH($A253,SPPR!$A:$A,0),21),""),"")</f>
        <v/>
      </c>
      <c r="Y253">
        <f>IFERROR(IF(ISNUMBER(INDEX(SPPR!$E:$Z,MATCH($A253,SPPR!$A:$A,0),22)),$C253*INDEX(SPPR!$E:$Z,MATCH($A253,SPPR!$A:$A,0),22),""),"")</f>
        <v/>
      </c>
    </row>
    <row r="254">
      <c r="A254" t="inlineStr">
        <is>
          <t>Uraspis secunda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IFERROR(IF(ISNUMBER(INDEX(SPPR!$E:$Z,MATCH($A254,SPPR!$A:$A,0),1)),$C254*INDEX(SPPR!$E:$Z,MATCH($A254,SPPR!$A:$A,0),1),""),"")</f>
        <v/>
      </c>
      <c r="E254">
        <f>IFERROR(IF(ISNUMBER(INDEX(SPPR!$E:$Z,MATCH($A254,SPPR!$A:$A,0),2)),$C254*INDEX(SPPR!$E:$Z,MATCH($A254,SPPR!$A:$A,0),2),""),"")</f>
        <v/>
      </c>
      <c r="F254">
        <f>IFERROR(IF(ISNUMBER(INDEX(SPPR!$E:$Z,MATCH($A254,SPPR!$A:$A,0),3)),$C254*INDEX(SPPR!$E:$Z,MATCH($A254,SPPR!$A:$A,0),3),""),"")</f>
        <v/>
      </c>
      <c r="G254">
        <f>IFERROR(IF(ISNUMBER(INDEX(SPPR!$E:$Z,MATCH($A254,SPPR!$A:$A,0),4)),$C254*INDEX(SPPR!$E:$Z,MATCH($A254,SPPR!$A:$A,0),4),""),"")</f>
        <v/>
      </c>
      <c r="H254">
        <f>IFERROR(IF(ISNUMBER(INDEX(SPPR!$E:$Z,MATCH($A254,SPPR!$A:$A,0),5)),$C254*INDEX(SPPR!$E:$Z,MATCH($A254,SPPR!$A:$A,0),5),""),"")</f>
        <v/>
      </c>
      <c r="I254">
        <f>IFERROR(IF(ISNUMBER(INDEX(SPPR!$E:$Z,MATCH($A254,SPPR!$A:$A,0),6)),$C254*INDEX(SPPR!$E:$Z,MATCH($A254,SPPR!$A:$A,0),6),""),"")</f>
        <v/>
      </c>
      <c r="J254">
        <f>IFERROR(IF(ISNUMBER(INDEX(SPPR!$E:$Z,MATCH($A254,SPPR!$A:$A,0),7)),$C254*INDEX(SPPR!$E:$Z,MATCH($A254,SPPR!$A:$A,0),7),""),"")</f>
        <v/>
      </c>
      <c r="K254">
        <f>IFERROR(IF(ISNUMBER(INDEX(SPPR!$E:$Z,MATCH($A254,SPPR!$A:$A,0),8)),$C254*INDEX(SPPR!$E:$Z,MATCH($A254,SPPR!$A:$A,0),8),""),"")</f>
        <v/>
      </c>
      <c r="L254">
        <f>IFERROR(IF(ISNUMBER(INDEX(SPPR!$E:$Z,MATCH($A254,SPPR!$A:$A,0),9)),$C254*INDEX(SPPR!$E:$Z,MATCH($A254,SPPR!$A:$A,0),9),""),"")</f>
        <v/>
      </c>
      <c r="M254">
        <f>IFERROR(IF(ISNUMBER(INDEX(SPPR!$E:$Z,MATCH($A254,SPPR!$A:$A,0),10)),$C254*INDEX(SPPR!$E:$Z,MATCH($A254,SPPR!$A:$A,0),10),""),"")</f>
        <v/>
      </c>
      <c r="N254">
        <f>IFERROR(IF(ISNUMBER(INDEX(SPPR!$E:$Z,MATCH($A254,SPPR!$A:$A,0),11)),$C254*INDEX(SPPR!$E:$Z,MATCH($A254,SPPR!$A:$A,0),11),""),"")</f>
        <v/>
      </c>
      <c r="O254">
        <f>IFERROR(IF(ISNUMBER(INDEX(SPPR!$E:$Z,MATCH($A254,SPPR!$A:$A,0),12)),$C254*INDEX(SPPR!$E:$Z,MATCH($A254,SPPR!$A:$A,0),12),""),"")</f>
        <v/>
      </c>
      <c r="P254">
        <f>IFERROR(IF(ISNUMBER(INDEX(SPPR!$E:$Z,MATCH($A254,SPPR!$A:$A,0),13)),$C254*INDEX(SPPR!$E:$Z,MATCH($A254,SPPR!$A:$A,0),13),""),"")</f>
        <v/>
      </c>
      <c r="Q254">
        <f>IFERROR(IF(ISNUMBER(INDEX(SPPR!$E:$Z,MATCH($A254,SPPR!$A:$A,0),14)),$C254*INDEX(SPPR!$E:$Z,MATCH($A254,SPPR!$A:$A,0),14),""),"")</f>
        <v/>
      </c>
      <c r="R254">
        <f>IFERROR(IF(ISNUMBER(INDEX(SPPR!$E:$Z,MATCH($A254,SPPR!$A:$A,0),15)),$C254*INDEX(SPPR!$E:$Z,MATCH($A254,SPPR!$A:$A,0),15),""),"")</f>
        <v/>
      </c>
      <c r="S254">
        <f>IFERROR(IF(ISNUMBER(INDEX(SPPR!$E:$Z,MATCH($A254,SPPR!$A:$A,0),16)),$C254*INDEX(SPPR!$E:$Z,MATCH($A254,SPPR!$A:$A,0),16),""),"")</f>
        <v/>
      </c>
      <c r="T254">
        <f>IFERROR(IF(ISNUMBER(INDEX(SPPR!$E:$Z,MATCH($A254,SPPR!$A:$A,0),17)),$C254*INDEX(SPPR!$E:$Z,MATCH($A254,SPPR!$A:$A,0),17),""),"")</f>
        <v/>
      </c>
      <c r="U254">
        <f>IFERROR(IF(ISNUMBER(INDEX(SPPR!$E:$Z,MATCH($A254,SPPR!$A:$A,0),18)),$C254*INDEX(SPPR!$E:$Z,MATCH($A254,SPPR!$A:$A,0),18),""),"")</f>
        <v/>
      </c>
      <c r="V254">
        <f>IFERROR(IF(ISNUMBER(INDEX(SPPR!$E:$Z,MATCH($A254,SPPR!$A:$A,0),19)),$C254*INDEX(SPPR!$E:$Z,MATCH($A254,SPPR!$A:$A,0),19),""),"")</f>
        <v/>
      </c>
      <c r="W254">
        <f>IFERROR(IF(ISNUMBER(INDEX(SPPR!$E:$Z,MATCH($A254,SPPR!$A:$A,0),20)),$C254*INDEX(SPPR!$E:$Z,MATCH($A254,SPPR!$A:$A,0),20),""),"")</f>
        <v/>
      </c>
      <c r="X254">
        <f>IFERROR(IF(ISNUMBER(INDEX(SPPR!$E:$Z,MATCH($A254,SPPR!$A:$A,0),21)),$C254*INDEX(SPPR!$E:$Z,MATCH($A254,SPPR!$A:$A,0),21),""),"")</f>
        <v/>
      </c>
      <c r="Y254">
        <f>IFERROR(IF(ISNUMBER(INDEX(SPPR!$E:$Z,MATCH($A254,SPPR!$A:$A,0),22)),$C254*INDEX(SPPR!$E:$Z,MATCH($A254,SPPR!$A:$A,0),22),""),"")</f>
        <v/>
      </c>
    </row>
    <row r="255">
      <c r="A255" t="inlineStr">
        <is>
          <t>Polyprion americanus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IFERROR(IF(ISNUMBER(INDEX(SPPR!$E:$Z,MATCH($A255,SPPR!$A:$A,0),1)),$C255*INDEX(SPPR!$E:$Z,MATCH($A255,SPPR!$A:$A,0),1),""),"")</f>
        <v/>
      </c>
      <c r="E255">
        <f>IFERROR(IF(ISNUMBER(INDEX(SPPR!$E:$Z,MATCH($A255,SPPR!$A:$A,0),2)),$C255*INDEX(SPPR!$E:$Z,MATCH($A255,SPPR!$A:$A,0),2),""),"")</f>
        <v/>
      </c>
      <c r="F255">
        <f>IFERROR(IF(ISNUMBER(INDEX(SPPR!$E:$Z,MATCH($A255,SPPR!$A:$A,0),3)),$C255*INDEX(SPPR!$E:$Z,MATCH($A255,SPPR!$A:$A,0),3),""),"")</f>
        <v/>
      </c>
      <c r="G255">
        <f>IFERROR(IF(ISNUMBER(INDEX(SPPR!$E:$Z,MATCH($A255,SPPR!$A:$A,0),4)),$C255*INDEX(SPPR!$E:$Z,MATCH($A255,SPPR!$A:$A,0),4),""),"")</f>
        <v/>
      </c>
      <c r="H255">
        <f>IFERROR(IF(ISNUMBER(INDEX(SPPR!$E:$Z,MATCH($A255,SPPR!$A:$A,0),5)),$C255*INDEX(SPPR!$E:$Z,MATCH($A255,SPPR!$A:$A,0),5),""),"")</f>
        <v/>
      </c>
      <c r="I255">
        <f>IFERROR(IF(ISNUMBER(INDEX(SPPR!$E:$Z,MATCH($A255,SPPR!$A:$A,0),6)),$C255*INDEX(SPPR!$E:$Z,MATCH($A255,SPPR!$A:$A,0),6),""),"")</f>
        <v/>
      </c>
      <c r="J255">
        <f>IFERROR(IF(ISNUMBER(INDEX(SPPR!$E:$Z,MATCH($A255,SPPR!$A:$A,0),7)),$C255*INDEX(SPPR!$E:$Z,MATCH($A255,SPPR!$A:$A,0),7),""),"")</f>
        <v/>
      </c>
      <c r="K255">
        <f>IFERROR(IF(ISNUMBER(INDEX(SPPR!$E:$Z,MATCH($A255,SPPR!$A:$A,0),8)),$C255*INDEX(SPPR!$E:$Z,MATCH($A255,SPPR!$A:$A,0),8),""),"")</f>
        <v/>
      </c>
      <c r="L255">
        <f>IFERROR(IF(ISNUMBER(INDEX(SPPR!$E:$Z,MATCH($A255,SPPR!$A:$A,0),9)),$C255*INDEX(SPPR!$E:$Z,MATCH($A255,SPPR!$A:$A,0),9),""),"")</f>
        <v/>
      </c>
      <c r="M255">
        <f>IFERROR(IF(ISNUMBER(INDEX(SPPR!$E:$Z,MATCH($A255,SPPR!$A:$A,0),10)),$C255*INDEX(SPPR!$E:$Z,MATCH($A255,SPPR!$A:$A,0),10),""),"")</f>
        <v/>
      </c>
      <c r="N255">
        <f>IFERROR(IF(ISNUMBER(INDEX(SPPR!$E:$Z,MATCH($A255,SPPR!$A:$A,0),11)),$C255*INDEX(SPPR!$E:$Z,MATCH($A255,SPPR!$A:$A,0),11),""),"")</f>
        <v/>
      </c>
      <c r="O255">
        <f>IFERROR(IF(ISNUMBER(INDEX(SPPR!$E:$Z,MATCH($A255,SPPR!$A:$A,0),12)),$C255*INDEX(SPPR!$E:$Z,MATCH($A255,SPPR!$A:$A,0),12),""),"")</f>
        <v/>
      </c>
      <c r="P255">
        <f>IFERROR(IF(ISNUMBER(INDEX(SPPR!$E:$Z,MATCH($A255,SPPR!$A:$A,0),13)),$C255*INDEX(SPPR!$E:$Z,MATCH($A255,SPPR!$A:$A,0),13),""),"")</f>
        <v/>
      </c>
      <c r="Q255">
        <f>IFERROR(IF(ISNUMBER(INDEX(SPPR!$E:$Z,MATCH($A255,SPPR!$A:$A,0),14)),$C255*INDEX(SPPR!$E:$Z,MATCH($A255,SPPR!$A:$A,0),14),""),"")</f>
        <v/>
      </c>
      <c r="R255">
        <f>IFERROR(IF(ISNUMBER(INDEX(SPPR!$E:$Z,MATCH($A255,SPPR!$A:$A,0),15)),$C255*INDEX(SPPR!$E:$Z,MATCH($A255,SPPR!$A:$A,0),15),""),"")</f>
        <v/>
      </c>
      <c r="S255">
        <f>IFERROR(IF(ISNUMBER(INDEX(SPPR!$E:$Z,MATCH($A255,SPPR!$A:$A,0),16)),$C255*INDEX(SPPR!$E:$Z,MATCH($A255,SPPR!$A:$A,0),16),""),"")</f>
        <v/>
      </c>
      <c r="T255">
        <f>IFERROR(IF(ISNUMBER(INDEX(SPPR!$E:$Z,MATCH($A255,SPPR!$A:$A,0),17)),$C255*INDEX(SPPR!$E:$Z,MATCH($A255,SPPR!$A:$A,0),17),""),"")</f>
        <v/>
      </c>
      <c r="U255">
        <f>IFERROR(IF(ISNUMBER(INDEX(SPPR!$E:$Z,MATCH($A255,SPPR!$A:$A,0),18)),$C255*INDEX(SPPR!$E:$Z,MATCH($A255,SPPR!$A:$A,0),18),""),"")</f>
        <v/>
      </c>
      <c r="V255">
        <f>IFERROR(IF(ISNUMBER(INDEX(SPPR!$E:$Z,MATCH($A255,SPPR!$A:$A,0),19)),$C255*INDEX(SPPR!$E:$Z,MATCH($A255,SPPR!$A:$A,0),19),""),"")</f>
        <v/>
      </c>
      <c r="W255">
        <f>IFERROR(IF(ISNUMBER(INDEX(SPPR!$E:$Z,MATCH($A255,SPPR!$A:$A,0),20)),$C255*INDEX(SPPR!$E:$Z,MATCH($A255,SPPR!$A:$A,0),20),""),"")</f>
        <v/>
      </c>
      <c r="X255">
        <f>IFERROR(IF(ISNUMBER(INDEX(SPPR!$E:$Z,MATCH($A255,SPPR!$A:$A,0),21)),$C255*INDEX(SPPR!$E:$Z,MATCH($A255,SPPR!$A:$A,0),21),""),"")</f>
        <v/>
      </c>
      <c r="Y255">
        <f>IFERROR(IF(ISNUMBER(INDEX(SPPR!$E:$Z,MATCH($A255,SPPR!$A:$A,0),22)),$C255*INDEX(SPPR!$E:$Z,MATCH($A255,SPPR!$A:$A,0),22),""),"")</f>
        <v/>
      </c>
    </row>
    <row r="256">
      <c r="A256" t="inlineStr">
        <is>
          <t>Bathysaurus ferox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IFERROR(IF(ISNUMBER(INDEX(SPPR!$E:$Z,MATCH($A256,SPPR!$A:$A,0),1)),$C256*INDEX(SPPR!$E:$Z,MATCH($A256,SPPR!$A:$A,0),1),""),"")</f>
        <v/>
      </c>
      <c r="E256">
        <f>IFERROR(IF(ISNUMBER(INDEX(SPPR!$E:$Z,MATCH($A256,SPPR!$A:$A,0),2)),$C256*INDEX(SPPR!$E:$Z,MATCH($A256,SPPR!$A:$A,0),2),""),"")</f>
        <v/>
      </c>
      <c r="F256">
        <f>IFERROR(IF(ISNUMBER(INDEX(SPPR!$E:$Z,MATCH($A256,SPPR!$A:$A,0),3)),$C256*INDEX(SPPR!$E:$Z,MATCH($A256,SPPR!$A:$A,0),3),""),"")</f>
        <v/>
      </c>
      <c r="G256">
        <f>IFERROR(IF(ISNUMBER(INDEX(SPPR!$E:$Z,MATCH($A256,SPPR!$A:$A,0),4)),$C256*INDEX(SPPR!$E:$Z,MATCH($A256,SPPR!$A:$A,0),4),""),"")</f>
        <v/>
      </c>
      <c r="H256">
        <f>IFERROR(IF(ISNUMBER(INDEX(SPPR!$E:$Z,MATCH($A256,SPPR!$A:$A,0),5)),$C256*INDEX(SPPR!$E:$Z,MATCH($A256,SPPR!$A:$A,0),5),""),"")</f>
        <v/>
      </c>
      <c r="I256">
        <f>IFERROR(IF(ISNUMBER(INDEX(SPPR!$E:$Z,MATCH($A256,SPPR!$A:$A,0),6)),$C256*INDEX(SPPR!$E:$Z,MATCH($A256,SPPR!$A:$A,0),6),""),"")</f>
        <v/>
      </c>
      <c r="J256">
        <f>IFERROR(IF(ISNUMBER(INDEX(SPPR!$E:$Z,MATCH($A256,SPPR!$A:$A,0),7)),$C256*INDEX(SPPR!$E:$Z,MATCH($A256,SPPR!$A:$A,0),7),""),"")</f>
        <v/>
      </c>
      <c r="K256">
        <f>IFERROR(IF(ISNUMBER(INDEX(SPPR!$E:$Z,MATCH($A256,SPPR!$A:$A,0),8)),$C256*INDEX(SPPR!$E:$Z,MATCH($A256,SPPR!$A:$A,0),8),""),"")</f>
        <v/>
      </c>
      <c r="L256">
        <f>IFERROR(IF(ISNUMBER(INDEX(SPPR!$E:$Z,MATCH($A256,SPPR!$A:$A,0),9)),$C256*INDEX(SPPR!$E:$Z,MATCH($A256,SPPR!$A:$A,0),9),""),"")</f>
        <v/>
      </c>
      <c r="M256">
        <f>IFERROR(IF(ISNUMBER(INDEX(SPPR!$E:$Z,MATCH($A256,SPPR!$A:$A,0),10)),$C256*INDEX(SPPR!$E:$Z,MATCH($A256,SPPR!$A:$A,0),10),""),"")</f>
        <v/>
      </c>
      <c r="N256">
        <f>IFERROR(IF(ISNUMBER(INDEX(SPPR!$E:$Z,MATCH($A256,SPPR!$A:$A,0),11)),$C256*INDEX(SPPR!$E:$Z,MATCH($A256,SPPR!$A:$A,0),11),""),"")</f>
        <v/>
      </c>
      <c r="O256">
        <f>IFERROR(IF(ISNUMBER(INDEX(SPPR!$E:$Z,MATCH($A256,SPPR!$A:$A,0),12)),$C256*INDEX(SPPR!$E:$Z,MATCH($A256,SPPR!$A:$A,0),12),""),"")</f>
        <v/>
      </c>
      <c r="P256">
        <f>IFERROR(IF(ISNUMBER(INDEX(SPPR!$E:$Z,MATCH($A256,SPPR!$A:$A,0),13)),$C256*INDEX(SPPR!$E:$Z,MATCH($A256,SPPR!$A:$A,0),13),""),"")</f>
        <v/>
      </c>
      <c r="Q256">
        <f>IFERROR(IF(ISNUMBER(INDEX(SPPR!$E:$Z,MATCH($A256,SPPR!$A:$A,0),14)),$C256*INDEX(SPPR!$E:$Z,MATCH($A256,SPPR!$A:$A,0),14),""),"")</f>
        <v/>
      </c>
      <c r="R256">
        <f>IFERROR(IF(ISNUMBER(INDEX(SPPR!$E:$Z,MATCH($A256,SPPR!$A:$A,0),15)),$C256*INDEX(SPPR!$E:$Z,MATCH($A256,SPPR!$A:$A,0),15),""),"")</f>
        <v/>
      </c>
      <c r="S256">
        <f>IFERROR(IF(ISNUMBER(INDEX(SPPR!$E:$Z,MATCH($A256,SPPR!$A:$A,0),16)),$C256*INDEX(SPPR!$E:$Z,MATCH($A256,SPPR!$A:$A,0),16),""),"")</f>
        <v/>
      </c>
      <c r="T256">
        <f>IFERROR(IF(ISNUMBER(INDEX(SPPR!$E:$Z,MATCH($A256,SPPR!$A:$A,0),17)),$C256*INDEX(SPPR!$E:$Z,MATCH($A256,SPPR!$A:$A,0),17),""),"")</f>
        <v/>
      </c>
      <c r="U256">
        <f>IFERROR(IF(ISNUMBER(INDEX(SPPR!$E:$Z,MATCH($A256,SPPR!$A:$A,0),18)),$C256*INDEX(SPPR!$E:$Z,MATCH($A256,SPPR!$A:$A,0),18),""),"")</f>
        <v/>
      </c>
      <c r="V256">
        <f>IFERROR(IF(ISNUMBER(INDEX(SPPR!$E:$Z,MATCH($A256,SPPR!$A:$A,0),19)),$C256*INDEX(SPPR!$E:$Z,MATCH($A256,SPPR!$A:$A,0),19),""),"")</f>
        <v/>
      </c>
      <c r="W256">
        <f>IFERROR(IF(ISNUMBER(INDEX(SPPR!$E:$Z,MATCH($A256,SPPR!$A:$A,0),20)),$C256*INDEX(SPPR!$E:$Z,MATCH($A256,SPPR!$A:$A,0),20),""),"")</f>
        <v/>
      </c>
      <c r="X256">
        <f>IFERROR(IF(ISNUMBER(INDEX(SPPR!$E:$Z,MATCH($A256,SPPR!$A:$A,0),21)),$C256*INDEX(SPPR!$E:$Z,MATCH($A256,SPPR!$A:$A,0),21),""),"")</f>
        <v/>
      </c>
      <c r="Y256">
        <f>IFERROR(IF(ISNUMBER(INDEX(SPPR!$E:$Z,MATCH($A256,SPPR!$A:$A,0),22)),$C256*INDEX(SPPR!$E:$Z,MATCH($A256,SPPR!$A:$A,0),22),""),"")</f>
        <v/>
      </c>
    </row>
    <row r="257">
      <c r="A257" t="inlineStr">
        <is>
          <t>Coryphaena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IFERROR(IF(ISNUMBER(INDEX(SPPR!$E:$Z,MATCH($A257,SPPR!$A:$A,0),1)),$C257*INDEX(SPPR!$E:$Z,MATCH($A257,SPPR!$A:$A,0),1),""),"")</f>
        <v/>
      </c>
      <c r="E257">
        <f>IFERROR(IF(ISNUMBER(INDEX(SPPR!$E:$Z,MATCH($A257,SPPR!$A:$A,0),2)),$C257*INDEX(SPPR!$E:$Z,MATCH($A257,SPPR!$A:$A,0),2),""),"")</f>
        <v/>
      </c>
      <c r="F257">
        <f>IFERROR(IF(ISNUMBER(INDEX(SPPR!$E:$Z,MATCH($A257,SPPR!$A:$A,0),3)),$C257*INDEX(SPPR!$E:$Z,MATCH($A257,SPPR!$A:$A,0),3),""),"")</f>
        <v/>
      </c>
      <c r="G257">
        <f>IFERROR(IF(ISNUMBER(INDEX(SPPR!$E:$Z,MATCH($A257,SPPR!$A:$A,0),4)),$C257*INDEX(SPPR!$E:$Z,MATCH($A257,SPPR!$A:$A,0),4),""),"")</f>
        <v/>
      </c>
      <c r="H257">
        <f>IFERROR(IF(ISNUMBER(INDEX(SPPR!$E:$Z,MATCH($A257,SPPR!$A:$A,0),5)),$C257*INDEX(SPPR!$E:$Z,MATCH($A257,SPPR!$A:$A,0),5),""),"")</f>
        <v/>
      </c>
      <c r="I257">
        <f>IFERROR(IF(ISNUMBER(INDEX(SPPR!$E:$Z,MATCH($A257,SPPR!$A:$A,0),6)),$C257*INDEX(SPPR!$E:$Z,MATCH($A257,SPPR!$A:$A,0),6),""),"")</f>
        <v/>
      </c>
      <c r="J257">
        <f>IFERROR(IF(ISNUMBER(INDEX(SPPR!$E:$Z,MATCH($A257,SPPR!$A:$A,0),7)),$C257*INDEX(SPPR!$E:$Z,MATCH($A257,SPPR!$A:$A,0),7),""),"")</f>
        <v/>
      </c>
      <c r="K257">
        <f>IFERROR(IF(ISNUMBER(INDEX(SPPR!$E:$Z,MATCH($A257,SPPR!$A:$A,0),8)),$C257*INDEX(SPPR!$E:$Z,MATCH($A257,SPPR!$A:$A,0),8),""),"")</f>
        <v/>
      </c>
      <c r="L257">
        <f>IFERROR(IF(ISNUMBER(INDEX(SPPR!$E:$Z,MATCH($A257,SPPR!$A:$A,0),9)),$C257*INDEX(SPPR!$E:$Z,MATCH($A257,SPPR!$A:$A,0),9),""),"")</f>
        <v/>
      </c>
      <c r="M257">
        <f>IFERROR(IF(ISNUMBER(INDEX(SPPR!$E:$Z,MATCH($A257,SPPR!$A:$A,0),10)),$C257*INDEX(SPPR!$E:$Z,MATCH($A257,SPPR!$A:$A,0),10),""),"")</f>
        <v/>
      </c>
      <c r="N257">
        <f>IFERROR(IF(ISNUMBER(INDEX(SPPR!$E:$Z,MATCH($A257,SPPR!$A:$A,0),11)),$C257*INDEX(SPPR!$E:$Z,MATCH($A257,SPPR!$A:$A,0),11),""),"")</f>
        <v/>
      </c>
      <c r="O257">
        <f>IFERROR(IF(ISNUMBER(INDEX(SPPR!$E:$Z,MATCH($A257,SPPR!$A:$A,0),12)),$C257*INDEX(SPPR!$E:$Z,MATCH($A257,SPPR!$A:$A,0),12),""),"")</f>
        <v/>
      </c>
      <c r="P257">
        <f>IFERROR(IF(ISNUMBER(INDEX(SPPR!$E:$Z,MATCH($A257,SPPR!$A:$A,0),13)),$C257*INDEX(SPPR!$E:$Z,MATCH($A257,SPPR!$A:$A,0),13),""),"")</f>
        <v/>
      </c>
      <c r="Q257">
        <f>IFERROR(IF(ISNUMBER(INDEX(SPPR!$E:$Z,MATCH($A257,SPPR!$A:$A,0),14)),$C257*INDEX(SPPR!$E:$Z,MATCH($A257,SPPR!$A:$A,0),14),""),"")</f>
        <v/>
      </c>
      <c r="R257">
        <f>IFERROR(IF(ISNUMBER(INDEX(SPPR!$E:$Z,MATCH($A257,SPPR!$A:$A,0),15)),$C257*INDEX(SPPR!$E:$Z,MATCH($A257,SPPR!$A:$A,0),15),""),"")</f>
        <v/>
      </c>
      <c r="S257">
        <f>IFERROR(IF(ISNUMBER(INDEX(SPPR!$E:$Z,MATCH($A257,SPPR!$A:$A,0),16)),$C257*INDEX(SPPR!$E:$Z,MATCH($A257,SPPR!$A:$A,0),16),""),"")</f>
        <v/>
      </c>
      <c r="T257">
        <f>IFERROR(IF(ISNUMBER(INDEX(SPPR!$E:$Z,MATCH($A257,SPPR!$A:$A,0),17)),$C257*INDEX(SPPR!$E:$Z,MATCH($A257,SPPR!$A:$A,0),17),""),"")</f>
        <v/>
      </c>
      <c r="U257">
        <f>IFERROR(IF(ISNUMBER(INDEX(SPPR!$E:$Z,MATCH($A257,SPPR!$A:$A,0),18)),$C257*INDEX(SPPR!$E:$Z,MATCH($A257,SPPR!$A:$A,0),18),""),"")</f>
        <v/>
      </c>
      <c r="V257">
        <f>IFERROR(IF(ISNUMBER(INDEX(SPPR!$E:$Z,MATCH($A257,SPPR!$A:$A,0),19)),$C257*INDEX(SPPR!$E:$Z,MATCH($A257,SPPR!$A:$A,0),19),""),"")</f>
        <v/>
      </c>
      <c r="W257">
        <f>IFERROR(IF(ISNUMBER(INDEX(SPPR!$E:$Z,MATCH($A257,SPPR!$A:$A,0),20)),$C257*INDEX(SPPR!$E:$Z,MATCH($A257,SPPR!$A:$A,0),20),""),"")</f>
        <v/>
      </c>
      <c r="X257">
        <f>IFERROR(IF(ISNUMBER(INDEX(SPPR!$E:$Z,MATCH($A257,SPPR!$A:$A,0),21)),$C257*INDEX(SPPR!$E:$Z,MATCH($A257,SPPR!$A:$A,0),21),""),"")</f>
        <v/>
      </c>
      <c r="Y257">
        <f>IFERROR(IF(ISNUMBER(INDEX(SPPR!$E:$Z,MATCH($A257,SPPR!$A:$A,0),22)),$C257*INDEX(SPPR!$E:$Z,MATCH($A257,SPPR!$A:$A,0),22),""),"")</f>
        <v/>
      </c>
    </row>
    <row r="258">
      <c r="A258" t="inlineStr">
        <is>
          <t>Myctophidae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IFERROR(IF(ISNUMBER(INDEX(SPPR!$E:$Z,MATCH($A258,SPPR!$A:$A,0),1)),$C258*INDEX(SPPR!$E:$Z,MATCH($A258,SPPR!$A:$A,0),1),""),"")</f>
        <v/>
      </c>
      <c r="E258">
        <f>IFERROR(IF(ISNUMBER(INDEX(SPPR!$E:$Z,MATCH($A258,SPPR!$A:$A,0),2)),$C258*INDEX(SPPR!$E:$Z,MATCH($A258,SPPR!$A:$A,0),2),""),"")</f>
        <v/>
      </c>
      <c r="F258">
        <f>IFERROR(IF(ISNUMBER(INDEX(SPPR!$E:$Z,MATCH($A258,SPPR!$A:$A,0),3)),$C258*INDEX(SPPR!$E:$Z,MATCH($A258,SPPR!$A:$A,0),3),""),"")</f>
        <v/>
      </c>
      <c r="G258">
        <f>IFERROR(IF(ISNUMBER(INDEX(SPPR!$E:$Z,MATCH($A258,SPPR!$A:$A,0),4)),$C258*INDEX(SPPR!$E:$Z,MATCH($A258,SPPR!$A:$A,0),4),""),"")</f>
        <v/>
      </c>
      <c r="H258">
        <f>IFERROR(IF(ISNUMBER(INDEX(SPPR!$E:$Z,MATCH($A258,SPPR!$A:$A,0),5)),$C258*INDEX(SPPR!$E:$Z,MATCH($A258,SPPR!$A:$A,0),5),""),"")</f>
        <v/>
      </c>
      <c r="I258">
        <f>IFERROR(IF(ISNUMBER(INDEX(SPPR!$E:$Z,MATCH($A258,SPPR!$A:$A,0),6)),$C258*INDEX(SPPR!$E:$Z,MATCH($A258,SPPR!$A:$A,0),6),""),"")</f>
        <v/>
      </c>
      <c r="J258">
        <f>IFERROR(IF(ISNUMBER(INDEX(SPPR!$E:$Z,MATCH($A258,SPPR!$A:$A,0),7)),$C258*INDEX(SPPR!$E:$Z,MATCH($A258,SPPR!$A:$A,0),7),""),"")</f>
        <v/>
      </c>
      <c r="K258">
        <f>IFERROR(IF(ISNUMBER(INDEX(SPPR!$E:$Z,MATCH($A258,SPPR!$A:$A,0),8)),$C258*INDEX(SPPR!$E:$Z,MATCH($A258,SPPR!$A:$A,0),8),""),"")</f>
        <v/>
      </c>
      <c r="L258">
        <f>IFERROR(IF(ISNUMBER(INDEX(SPPR!$E:$Z,MATCH($A258,SPPR!$A:$A,0),9)),$C258*INDEX(SPPR!$E:$Z,MATCH($A258,SPPR!$A:$A,0),9),""),"")</f>
        <v/>
      </c>
      <c r="M258">
        <f>IFERROR(IF(ISNUMBER(INDEX(SPPR!$E:$Z,MATCH($A258,SPPR!$A:$A,0),10)),$C258*INDEX(SPPR!$E:$Z,MATCH($A258,SPPR!$A:$A,0),10),""),"")</f>
        <v/>
      </c>
      <c r="N258">
        <f>IFERROR(IF(ISNUMBER(INDEX(SPPR!$E:$Z,MATCH($A258,SPPR!$A:$A,0),11)),$C258*INDEX(SPPR!$E:$Z,MATCH($A258,SPPR!$A:$A,0),11),""),"")</f>
        <v/>
      </c>
      <c r="O258">
        <f>IFERROR(IF(ISNUMBER(INDEX(SPPR!$E:$Z,MATCH($A258,SPPR!$A:$A,0),12)),$C258*INDEX(SPPR!$E:$Z,MATCH($A258,SPPR!$A:$A,0),12),""),"")</f>
        <v/>
      </c>
      <c r="P258">
        <f>IFERROR(IF(ISNUMBER(INDEX(SPPR!$E:$Z,MATCH($A258,SPPR!$A:$A,0),13)),$C258*INDEX(SPPR!$E:$Z,MATCH($A258,SPPR!$A:$A,0),13),""),"")</f>
        <v/>
      </c>
      <c r="Q258">
        <f>IFERROR(IF(ISNUMBER(INDEX(SPPR!$E:$Z,MATCH($A258,SPPR!$A:$A,0),14)),$C258*INDEX(SPPR!$E:$Z,MATCH($A258,SPPR!$A:$A,0),14),""),"")</f>
        <v/>
      </c>
      <c r="R258">
        <f>IFERROR(IF(ISNUMBER(INDEX(SPPR!$E:$Z,MATCH($A258,SPPR!$A:$A,0),15)),$C258*INDEX(SPPR!$E:$Z,MATCH($A258,SPPR!$A:$A,0),15),""),"")</f>
        <v/>
      </c>
      <c r="S258">
        <f>IFERROR(IF(ISNUMBER(INDEX(SPPR!$E:$Z,MATCH($A258,SPPR!$A:$A,0),16)),$C258*INDEX(SPPR!$E:$Z,MATCH($A258,SPPR!$A:$A,0),16),""),"")</f>
        <v/>
      </c>
      <c r="T258">
        <f>IFERROR(IF(ISNUMBER(INDEX(SPPR!$E:$Z,MATCH($A258,SPPR!$A:$A,0),17)),$C258*INDEX(SPPR!$E:$Z,MATCH($A258,SPPR!$A:$A,0),17),""),"")</f>
        <v/>
      </c>
      <c r="U258">
        <f>IFERROR(IF(ISNUMBER(INDEX(SPPR!$E:$Z,MATCH($A258,SPPR!$A:$A,0),18)),$C258*INDEX(SPPR!$E:$Z,MATCH($A258,SPPR!$A:$A,0),18),""),"")</f>
        <v/>
      </c>
      <c r="V258">
        <f>IFERROR(IF(ISNUMBER(INDEX(SPPR!$E:$Z,MATCH($A258,SPPR!$A:$A,0),19)),$C258*INDEX(SPPR!$E:$Z,MATCH($A258,SPPR!$A:$A,0),19),""),"")</f>
        <v/>
      </c>
      <c r="W258">
        <f>IFERROR(IF(ISNUMBER(INDEX(SPPR!$E:$Z,MATCH($A258,SPPR!$A:$A,0),20)),$C258*INDEX(SPPR!$E:$Z,MATCH($A258,SPPR!$A:$A,0),20),""),"")</f>
        <v/>
      </c>
      <c r="X258">
        <f>IFERROR(IF(ISNUMBER(INDEX(SPPR!$E:$Z,MATCH($A258,SPPR!$A:$A,0),21)),$C258*INDEX(SPPR!$E:$Z,MATCH($A258,SPPR!$A:$A,0),21),""),"")</f>
        <v/>
      </c>
      <c r="Y258">
        <f>IFERROR(IF(ISNUMBER(INDEX(SPPR!$E:$Z,MATCH($A258,SPPR!$A:$A,0),22)),$C258*INDEX(SPPR!$E:$Z,MATCH($A258,SPPR!$A:$A,0),22),""),"")</f>
        <v/>
      </c>
    </row>
    <row r="259">
      <c r="A259" t="inlineStr">
        <is>
          <t>Acanthurus monroviae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IFERROR(IF(ISNUMBER(INDEX(SPPR!$E:$Z,MATCH($A259,SPPR!$A:$A,0),1)),$C259*INDEX(SPPR!$E:$Z,MATCH($A259,SPPR!$A:$A,0),1),""),"")</f>
        <v/>
      </c>
      <c r="E259">
        <f>IFERROR(IF(ISNUMBER(INDEX(SPPR!$E:$Z,MATCH($A259,SPPR!$A:$A,0),2)),$C259*INDEX(SPPR!$E:$Z,MATCH($A259,SPPR!$A:$A,0),2),""),"")</f>
        <v/>
      </c>
      <c r="F259">
        <f>IFERROR(IF(ISNUMBER(INDEX(SPPR!$E:$Z,MATCH($A259,SPPR!$A:$A,0),3)),$C259*INDEX(SPPR!$E:$Z,MATCH($A259,SPPR!$A:$A,0),3),""),"")</f>
        <v/>
      </c>
      <c r="G259">
        <f>IFERROR(IF(ISNUMBER(INDEX(SPPR!$E:$Z,MATCH($A259,SPPR!$A:$A,0),4)),$C259*INDEX(SPPR!$E:$Z,MATCH($A259,SPPR!$A:$A,0),4),""),"")</f>
        <v/>
      </c>
      <c r="H259">
        <f>IFERROR(IF(ISNUMBER(INDEX(SPPR!$E:$Z,MATCH($A259,SPPR!$A:$A,0),5)),$C259*INDEX(SPPR!$E:$Z,MATCH($A259,SPPR!$A:$A,0),5),""),"")</f>
        <v/>
      </c>
      <c r="I259">
        <f>IFERROR(IF(ISNUMBER(INDEX(SPPR!$E:$Z,MATCH($A259,SPPR!$A:$A,0),6)),$C259*INDEX(SPPR!$E:$Z,MATCH($A259,SPPR!$A:$A,0),6),""),"")</f>
        <v/>
      </c>
      <c r="J259">
        <f>IFERROR(IF(ISNUMBER(INDEX(SPPR!$E:$Z,MATCH($A259,SPPR!$A:$A,0),7)),$C259*INDEX(SPPR!$E:$Z,MATCH($A259,SPPR!$A:$A,0),7),""),"")</f>
        <v/>
      </c>
      <c r="K259">
        <f>IFERROR(IF(ISNUMBER(INDEX(SPPR!$E:$Z,MATCH($A259,SPPR!$A:$A,0),8)),$C259*INDEX(SPPR!$E:$Z,MATCH($A259,SPPR!$A:$A,0),8),""),"")</f>
        <v/>
      </c>
      <c r="L259">
        <f>IFERROR(IF(ISNUMBER(INDEX(SPPR!$E:$Z,MATCH($A259,SPPR!$A:$A,0),9)),$C259*INDEX(SPPR!$E:$Z,MATCH($A259,SPPR!$A:$A,0),9),""),"")</f>
        <v/>
      </c>
      <c r="M259">
        <f>IFERROR(IF(ISNUMBER(INDEX(SPPR!$E:$Z,MATCH($A259,SPPR!$A:$A,0),10)),$C259*INDEX(SPPR!$E:$Z,MATCH($A259,SPPR!$A:$A,0),10),""),"")</f>
        <v/>
      </c>
      <c r="N259">
        <f>IFERROR(IF(ISNUMBER(INDEX(SPPR!$E:$Z,MATCH($A259,SPPR!$A:$A,0),11)),$C259*INDEX(SPPR!$E:$Z,MATCH($A259,SPPR!$A:$A,0),11),""),"")</f>
        <v/>
      </c>
      <c r="O259">
        <f>IFERROR(IF(ISNUMBER(INDEX(SPPR!$E:$Z,MATCH($A259,SPPR!$A:$A,0),12)),$C259*INDEX(SPPR!$E:$Z,MATCH($A259,SPPR!$A:$A,0),12),""),"")</f>
        <v/>
      </c>
      <c r="P259">
        <f>IFERROR(IF(ISNUMBER(INDEX(SPPR!$E:$Z,MATCH($A259,SPPR!$A:$A,0),13)),$C259*INDEX(SPPR!$E:$Z,MATCH($A259,SPPR!$A:$A,0),13),""),"")</f>
        <v/>
      </c>
      <c r="Q259">
        <f>IFERROR(IF(ISNUMBER(INDEX(SPPR!$E:$Z,MATCH($A259,SPPR!$A:$A,0),14)),$C259*INDEX(SPPR!$E:$Z,MATCH($A259,SPPR!$A:$A,0),14),""),"")</f>
        <v/>
      </c>
      <c r="R259">
        <f>IFERROR(IF(ISNUMBER(INDEX(SPPR!$E:$Z,MATCH($A259,SPPR!$A:$A,0),15)),$C259*INDEX(SPPR!$E:$Z,MATCH($A259,SPPR!$A:$A,0),15),""),"")</f>
        <v/>
      </c>
      <c r="S259">
        <f>IFERROR(IF(ISNUMBER(INDEX(SPPR!$E:$Z,MATCH($A259,SPPR!$A:$A,0),16)),$C259*INDEX(SPPR!$E:$Z,MATCH($A259,SPPR!$A:$A,0),16),""),"")</f>
        <v/>
      </c>
      <c r="T259">
        <f>IFERROR(IF(ISNUMBER(INDEX(SPPR!$E:$Z,MATCH($A259,SPPR!$A:$A,0),17)),$C259*INDEX(SPPR!$E:$Z,MATCH($A259,SPPR!$A:$A,0),17),""),"")</f>
        <v/>
      </c>
      <c r="U259">
        <f>IFERROR(IF(ISNUMBER(INDEX(SPPR!$E:$Z,MATCH($A259,SPPR!$A:$A,0),18)),$C259*INDEX(SPPR!$E:$Z,MATCH($A259,SPPR!$A:$A,0),18),""),"")</f>
        <v/>
      </c>
      <c r="V259">
        <f>IFERROR(IF(ISNUMBER(INDEX(SPPR!$E:$Z,MATCH($A259,SPPR!$A:$A,0),19)),$C259*INDEX(SPPR!$E:$Z,MATCH($A259,SPPR!$A:$A,0),19),""),"")</f>
        <v/>
      </c>
      <c r="W259">
        <f>IFERROR(IF(ISNUMBER(INDEX(SPPR!$E:$Z,MATCH($A259,SPPR!$A:$A,0),20)),$C259*INDEX(SPPR!$E:$Z,MATCH($A259,SPPR!$A:$A,0),20),""),"")</f>
        <v/>
      </c>
      <c r="X259">
        <f>IFERROR(IF(ISNUMBER(INDEX(SPPR!$E:$Z,MATCH($A259,SPPR!$A:$A,0),21)),$C259*INDEX(SPPR!$E:$Z,MATCH($A259,SPPR!$A:$A,0),21),""),"")</f>
        <v/>
      </c>
      <c r="Y259">
        <f>IFERROR(IF(ISNUMBER(INDEX(SPPR!$E:$Z,MATCH($A259,SPPR!$A:$A,0),22)),$C259*INDEX(SPPR!$E:$Z,MATCH($A259,SPPR!$A:$A,0),22),""),"")</f>
        <v/>
      </c>
    </row>
    <row r="260">
      <c r="A260" t="inlineStr">
        <is>
          <t>Scaridae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IFERROR(IF(ISNUMBER(INDEX(SPPR!$E:$Z,MATCH($A260,SPPR!$A:$A,0),1)),$C260*INDEX(SPPR!$E:$Z,MATCH($A260,SPPR!$A:$A,0),1),""),"")</f>
        <v/>
      </c>
      <c r="E260">
        <f>IFERROR(IF(ISNUMBER(INDEX(SPPR!$E:$Z,MATCH($A260,SPPR!$A:$A,0),2)),$C260*INDEX(SPPR!$E:$Z,MATCH($A260,SPPR!$A:$A,0),2),""),"")</f>
        <v/>
      </c>
      <c r="F260">
        <f>IFERROR(IF(ISNUMBER(INDEX(SPPR!$E:$Z,MATCH($A260,SPPR!$A:$A,0),3)),$C260*INDEX(SPPR!$E:$Z,MATCH($A260,SPPR!$A:$A,0),3),""),"")</f>
        <v/>
      </c>
      <c r="G260">
        <f>IFERROR(IF(ISNUMBER(INDEX(SPPR!$E:$Z,MATCH($A260,SPPR!$A:$A,0),4)),$C260*INDEX(SPPR!$E:$Z,MATCH($A260,SPPR!$A:$A,0),4),""),"")</f>
        <v/>
      </c>
      <c r="H260">
        <f>IFERROR(IF(ISNUMBER(INDEX(SPPR!$E:$Z,MATCH($A260,SPPR!$A:$A,0),5)),$C260*INDEX(SPPR!$E:$Z,MATCH($A260,SPPR!$A:$A,0),5),""),"")</f>
        <v/>
      </c>
      <c r="I260">
        <f>IFERROR(IF(ISNUMBER(INDEX(SPPR!$E:$Z,MATCH($A260,SPPR!$A:$A,0),6)),$C260*INDEX(SPPR!$E:$Z,MATCH($A260,SPPR!$A:$A,0),6),""),"")</f>
        <v/>
      </c>
      <c r="J260">
        <f>IFERROR(IF(ISNUMBER(INDEX(SPPR!$E:$Z,MATCH($A260,SPPR!$A:$A,0),7)),$C260*INDEX(SPPR!$E:$Z,MATCH($A260,SPPR!$A:$A,0),7),""),"")</f>
        <v/>
      </c>
      <c r="K260">
        <f>IFERROR(IF(ISNUMBER(INDEX(SPPR!$E:$Z,MATCH($A260,SPPR!$A:$A,0),8)),$C260*INDEX(SPPR!$E:$Z,MATCH($A260,SPPR!$A:$A,0),8),""),"")</f>
        <v/>
      </c>
      <c r="L260">
        <f>IFERROR(IF(ISNUMBER(INDEX(SPPR!$E:$Z,MATCH($A260,SPPR!$A:$A,0),9)),$C260*INDEX(SPPR!$E:$Z,MATCH($A260,SPPR!$A:$A,0),9),""),"")</f>
        <v/>
      </c>
      <c r="M260">
        <f>IFERROR(IF(ISNUMBER(INDEX(SPPR!$E:$Z,MATCH($A260,SPPR!$A:$A,0),10)),$C260*INDEX(SPPR!$E:$Z,MATCH($A260,SPPR!$A:$A,0),10),""),"")</f>
        <v/>
      </c>
      <c r="N260">
        <f>IFERROR(IF(ISNUMBER(INDEX(SPPR!$E:$Z,MATCH($A260,SPPR!$A:$A,0),11)),$C260*INDEX(SPPR!$E:$Z,MATCH($A260,SPPR!$A:$A,0),11),""),"")</f>
        <v/>
      </c>
      <c r="O260">
        <f>IFERROR(IF(ISNUMBER(INDEX(SPPR!$E:$Z,MATCH($A260,SPPR!$A:$A,0),12)),$C260*INDEX(SPPR!$E:$Z,MATCH($A260,SPPR!$A:$A,0),12),""),"")</f>
        <v/>
      </c>
      <c r="P260">
        <f>IFERROR(IF(ISNUMBER(INDEX(SPPR!$E:$Z,MATCH($A260,SPPR!$A:$A,0),13)),$C260*INDEX(SPPR!$E:$Z,MATCH($A260,SPPR!$A:$A,0),13),""),"")</f>
        <v/>
      </c>
      <c r="Q260">
        <f>IFERROR(IF(ISNUMBER(INDEX(SPPR!$E:$Z,MATCH($A260,SPPR!$A:$A,0),14)),$C260*INDEX(SPPR!$E:$Z,MATCH($A260,SPPR!$A:$A,0),14),""),"")</f>
        <v/>
      </c>
      <c r="R260">
        <f>IFERROR(IF(ISNUMBER(INDEX(SPPR!$E:$Z,MATCH($A260,SPPR!$A:$A,0),15)),$C260*INDEX(SPPR!$E:$Z,MATCH($A260,SPPR!$A:$A,0),15),""),"")</f>
        <v/>
      </c>
      <c r="S260">
        <f>IFERROR(IF(ISNUMBER(INDEX(SPPR!$E:$Z,MATCH($A260,SPPR!$A:$A,0),16)),$C260*INDEX(SPPR!$E:$Z,MATCH($A260,SPPR!$A:$A,0),16),""),"")</f>
        <v/>
      </c>
      <c r="T260">
        <f>IFERROR(IF(ISNUMBER(INDEX(SPPR!$E:$Z,MATCH($A260,SPPR!$A:$A,0),17)),$C260*INDEX(SPPR!$E:$Z,MATCH($A260,SPPR!$A:$A,0),17),""),"")</f>
        <v/>
      </c>
      <c r="U260">
        <f>IFERROR(IF(ISNUMBER(INDEX(SPPR!$E:$Z,MATCH($A260,SPPR!$A:$A,0),18)),$C260*INDEX(SPPR!$E:$Z,MATCH($A260,SPPR!$A:$A,0),18),""),"")</f>
        <v/>
      </c>
      <c r="V260">
        <f>IFERROR(IF(ISNUMBER(INDEX(SPPR!$E:$Z,MATCH($A260,SPPR!$A:$A,0),19)),$C260*INDEX(SPPR!$E:$Z,MATCH($A260,SPPR!$A:$A,0),19),""),"")</f>
        <v/>
      </c>
      <c r="W260">
        <f>IFERROR(IF(ISNUMBER(INDEX(SPPR!$E:$Z,MATCH($A260,SPPR!$A:$A,0),20)),$C260*INDEX(SPPR!$E:$Z,MATCH($A260,SPPR!$A:$A,0),20),""),"")</f>
        <v/>
      </c>
      <c r="X260">
        <f>IFERROR(IF(ISNUMBER(INDEX(SPPR!$E:$Z,MATCH($A260,SPPR!$A:$A,0),21)),$C260*INDEX(SPPR!$E:$Z,MATCH($A260,SPPR!$A:$A,0),21),""),"")</f>
        <v/>
      </c>
      <c r="Y260">
        <f>IFERROR(IF(ISNUMBER(INDEX(SPPR!$E:$Z,MATCH($A260,SPPR!$A:$A,0),22)),$C260*INDEX(SPPR!$E:$Z,MATCH($A260,SPPR!$A:$A,0),22),""),"")</f>
        <v/>
      </c>
    </row>
    <row r="261">
      <c r="A261" t="inlineStr">
        <is>
          <t>Pontinus kuhlii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IFERROR(IF(ISNUMBER(INDEX(SPPR!$E:$Z,MATCH($A261,SPPR!$A:$A,0),1)),$C261*INDEX(SPPR!$E:$Z,MATCH($A261,SPPR!$A:$A,0),1),""),"")</f>
        <v/>
      </c>
      <c r="E261">
        <f>IFERROR(IF(ISNUMBER(INDEX(SPPR!$E:$Z,MATCH($A261,SPPR!$A:$A,0),2)),$C261*INDEX(SPPR!$E:$Z,MATCH($A261,SPPR!$A:$A,0),2),""),"")</f>
        <v/>
      </c>
      <c r="F261">
        <f>IFERROR(IF(ISNUMBER(INDEX(SPPR!$E:$Z,MATCH($A261,SPPR!$A:$A,0),3)),$C261*INDEX(SPPR!$E:$Z,MATCH($A261,SPPR!$A:$A,0),3),""),"")</f>
        <v/>
      </c>
      <c r="G261">
        <f>IFERROR(IF(ISNUMBER(INDEX(SPPR!$E:$Z,MATCH($A261,SPPR!$A:$A,0),4)),$C261*INDEX(SPPR!$E:$Z,MATCH($A261,SPPR!$A:$A,0),4),""),"")</f>
        <v/>
      </c>
      <c r="H261">
        <f>IFERROR(IF(ISNUMBER(INDEX(SPPR!$E:$Z,MATCH($A261,SPPR!$A:$A,0),5)),$C261*INDEX(SPPR!$E:$Z,MATCH($A261,SPPR!$A:$A,0),5),""),"")</f>
        <v/>
      </c>
      <c r="I261">
        <f>IFERROR(IF(ISNUMBER(INDEX(SPPR!$E:$Z,MATCH($A261,SPPR!$A:$A,0),6)),$C261*INDEX(SPPR!$E:$Z,MATCH($A261,SPPR!$A:$A,0),6),""),"")</f>
        <v/>
      </c>
      <c r="J261">
        <f>IFERROR(IF(ISNUMBER(INDEX(SPPR!$E:$Z,MATCH($A261,SPPR!$A:$A,0),7)),$C261*INDEX(SPPR!$E:$Z,MATCH($A261,SPPR!$A:$A,0),7),""),"")</f>
        <v/>
      </c>
      <c r="K261">
        <f>IFERROR(IF(ISNUMBER(INDEX(SPPR!$E:$Z,MATCH($A261,SPPR!$A:$A,0),8)),$C261*INDEX(SPPR!$E:$Z,MATCH($A261,SPPR!$A:$A,0),8),""),"")</f>
        <v/>
      </c>
      <c r="L261">
        <f>IFERROR(IF(ISNUMBER(INDEX(SPPR!$E:$Z,MATCH($A261,SPPR!$A:$A,0),9)),$C261*INDEX(SPPR!$E:$Z,MATCH($A261,SPPR!$A:$A,0),9),""),"")</f>
        <v/>
      </c>
      <c r="M261">
        <f>IFERROR(IF(ISNUMBER(INDEX(SPPR!$E:$Z,MATCH($A261,SPPR!$A:$A,0),10)),$C261*INDEX(SPPR!$E:$Z,MATCH($A261,SPPR!$A:$A,0),10),""),"")</f>
        <v/>
      </c>
      <c r="N261">
        <f>IFERROR(IF(ISNUMBER(INDEX(SPPR!$E:$Z,MATCH($A261,SPPR!$A:$A,0),11)),$C261*INDEX(SPPR!$E:$Z,MATCH($A261,SPPR!$A:$A,0),11),""),"")</f>
        <v/>
      </c>
      <c r="O261">
        <f>IFERROR(IF(ISNUMBER(INDEX(SPPR!$E:$Z,MATCH($A261,SPPR!$A:$A,0),12)),$C261*INDEX(SPPR!$E:$Z,MATCH($A261,SPPR!$A:$A,0),12),""),"")</f>
        <v/>
      </c>
      <c r="P261">
        <f>IFERROR(IF(ISNUMBER(INDEX(SPPR!$E:$Z,MATCH($A261,SPPR!$A:$A,0),13)),$C261*INDEX(SPPR!$E:$Z,MATCH($A261,SPPR!$A:$A,0),13),""),"")</f>
        <v/>
      </c>
      <c r="Q261">
        <f>IFERROR(IF(ISNUMBER(INDEX(SPPR!$E:$Z,MATCH($A261,SPPR!$A:$A,0),14)),$C261*INDEX(SPPR!$E:$Z,MATCH($A261,SPPR!$A:$A,0),14),""),"")</f>
        <v/>
      </c>
      <c r="R261">
        <f>IFERROR(IF(ISNUMBER(INDEX(SPPR!$E:$Z,MATCH($A261,SPPR!$A:$A,0),15)),$C261*INDEX(SPPR!$E:$Z,MATCH($A261,SPPR!$A:$A,0),15),""),"")</f>
        <v/>
      </c>
      <c r="S261">
        <f>IFERROR(IF(ISNUMBER(INDEX(SPPR!$E:$Z,MATCH($A261,SPPR!$A:$A,0),16)),$C261*INDEX(SPPR!$E:$Z,MATCH($A261,SPPR!$A:$A,0),16),""),"")</f>
        <v/>
      </c>
      <c r="T261">
        <f>IFERROR(IF(ISNUMBER(INDEX(SPPR!$E:$Z,MATCH($A261,SPPR!$A:$A,0),17)),$C261*INDEX(SPPR!$E:$Z,MATCH($A261,SPPR!$A:$A,0),17),""),"")</f>
        <v/>
      </c>
      <c r="U261">
        <f>IFERROR(IF(ISNUMBER(INDEX(SPPR!$E:$Z,MATCH($A261,SPPR!$A:$A,0),18)),$C261*INDEX(SPPR!$E:$Z,MATCH($A261,SPPR!$A:$A,0),18),""),"")</f>
        <v/>
      </c>
      <c r="V261">
        <f>IFERROR(IF(ISNUMBER(INDEX(SPPR!$E:$Z,MATCH($A261,SPPR!$A:$A,0),19)),$C261*INDEX(SPPR!$E:$Z,MATCH($A261,SPPR!$A:$A,0),19),""),"")</f>
        <v/>
      </c>
      <c r="W261">
        <f>IFERROR(IF(ISNUMBER(INDEX(SPPR!$E:$Z,MATCH($A261,SPPR!$A:$A,0),20)),$C261*INDEX(SPPR!$E:$Z,MATCH($A261,SPPR!$A:$A,0),20),""),"")</f>
        <v/>
      </c>
      <c r="X261">
        <f>IFERROR(IF(ISNUMBER(INDEX(SPPR!$E:$Z,MATCH($A261,SPPR!$A:$A,0),21)),$C261*INDEX(SPPR!$E:$Z,MATCH($A261,SPPR!$A:$A,0),21),""),"")</f>
        <v/>
      </c>
      <c r="Y261">
        <f>IFERROR(IF(ISNUMBER(INDEX(SPPR!$E:$Z,MATCH($A261,SPPR!$A:$A,0),22)),$C261*INDEX(SPPR!$E:$Z,MATCH($A261,SPPR!$A:$A,0),22),""),"")</f>
        <v/>
      </c>
    </row>
    <row r="262">
      <c r="A262" t="inlineStr">
        <is>
          <t>Solenocera africana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IFERROR(IF(ISNUMBER(INDEX(SPPR!$E:$Z,MATCH($A262,SPPR!$A:$A,0),1)),$C262*INDEX(SPPR!$E:$Z,MATCH($A262,SPPR!$A:$A,0),1),""),"")</f>
        <v/>
      </c>
      <c r="E262">
        <f>IFERROR(IF(ISNUMBER(INDEX(SPPR!$E:$Z,MATCH($A262,SPPR!$A:$A,0),2)),$C262*INDEX(SPPR!$E:$Z,MATCH($A262,SPPR!$A:$A,0),2),""),"")</f>
        <v/>
      </c>
      <c r="F262">
        <f>IFERROR(IF(ISNUMBER(INDEX(SPPR!$E:$Z,MATCH($A262,SPPR!$A:$A,0),3)),$C262*INDEX(SPPR!$E:$Z,MATCH($A262,SPPR!$A:$A,0),3),""),"")</f>
        <v/>
      </c>
      <c r="G262">
        <f>IFERROR(IF(ISNUMBER(INDEX(SPPR!$E:$Z,MATCH($A262,SPPR!$A:$A,0),4)),$C262*INDEX(SPPR!$E:$Z,MATCH($A262,SPPR!$A:$A,0),4),""),"")</f>
        <v/>
      </c>
      <c r="H262">
        <f>IFERROR(IF(ISNUMBER(INDEX(SPPR!$E:$Z,MATCH($A262,SPPR!$A:$A,0),5)),$C262*INDEX(SPPR!$E:$Z,MATCH($A262,SPPR!$A:$A,0),5),""),"")</f>
        <v/>
      </c>
      <c r="I262">
        <f>IFERROR(IF(ISNUMBER(INDEX(SPPR!$E:$Z,MATCH($A262,SPPR!$A:$A,0),6)),$C262*INDEX(SPPR!$E:$Z,MATCH($A262,SPPR!$A:$A,0),6),""),"")</f>
        <v/>
      </c>
      <c r="J262">
        <f>IFERROR(IF(ISNUMBER(INDEX(SPPR!$E:$Z,MATCH($A262,SPPR!$A:$A,0),7)),$C262*INDEX(SPPR!$E:$Z,MATCH($A262,SPPR!$A:$A,0),7),""),"")</f>
        <v/>
      </c>
      <c r="K262">
        <f>IFERROR(IF(ISNUMBER(INDEX(SPPR!$E:$Z,MATCH($A262,SPPR!$A:$A,0),8)),$C262*INDEX(SPPR!$E:$Z,MATCH($A262,SPPR!$A:$A,0),8),""),"")</f>
        <v/>
      </c>
      <c r="L262">
        <f>IFERROR(IF(ISNUMBER(INDEX(SPPR!$E:$Z,MATCH($A262,SPPR!$A:$A,0),9)),$C262*INDEX(SPPR!$E:$Z,MATCH($A262,SPPR!$A:$A,0),9),""),"")</f>
        <v/>
      </c>
      <c r="M262">
        <f>IFERROR(IF(ISNUMBER(INDEX(SPPR!$E:$Z,MATCH($A262,SPPR!$A:$A,0),10)),$C262*INDEX(SPPR!$E:$Z,MATCH($A262,SPPR!$A:$A,0),10),""),"")</f>
        <v/>
      </c>
      <c r="N262">
        <f>IFERROR(IF(ISNUMBER(INDEX(SPPR!$E:$Z,MATCH($A262,SPPR!$A:$A,0),11)),$C262*INDEX(SPPR!$E:$Z,MATCH($A262,SPPR!$A:$A,0),11),""),"")</f>
        <v/>
      </c>
      <c r="O262">
        <f>IFERROR(IF(ISNUMBER(INDEX(SPPR!$E:$Z,MATCH($A262,SPPR!$A:$A,0),12)),$C262*INDEX(SPPR!$E:$Z,MATCH($A262,SPPR!$A:$A,0),12),""),"")</f>
        <v/>
      </c>
      <c r="P262">
        <f>IFERROR(IF(ISNUMBER(INDEX(SPPR!$E:$Z,MATCH($A262,SPPR!$A:$A,0),13)),$C262*INDEX(SPPR!$E:$Z,MATCH($A262,SPPR!$A:$A,0),13),""),"")</f>
        <v/>
      </c>
      <c r="Q262">
        <f>IFERROR(IF(ISNUMBER(INDEX(SPPR!$E:$Z,MATCH($A262,SPPR!$A:$A,0),14)),$C262*INDEX(SPPR!$E:$Z,MATCH($A262,SPPR!$A:$A,0),14),""),"")</f>
        <v/>
      </c>
      <c r="R262">
        <f>IFERROR(IF(ISNUMBER(INDEX(SPPR!$E:$Z,MATCH($A262,SPPR!$A:$A,0),15)),$C262*INDEX(SPPR!$E:$Z,MATCH($A262,SPPR!$A:$A,0),15),""),"")</f>
        <v/>
      </c>
      <c r="S262">
        <f>IFERROR(IF(ISNUMBER(INDEX(SPPR!$E:$Z,MATCH($A262,SPPR!$A:$A,0),16)),$C262*INDEX(SPPR!$E:$Z,MATCH($A262,SPPR!$A:$A,0),16),""),"")</f>
        <v/>
      </c>
      <c r="T262">
        <f>IFERROR(IF(ISNUMBER(INDEX(SPPR!$E:$Z,MATCH($A262,SPPR!$A:$A,0),17)),$C262*INDEX(SPPR!$E:$Z,MATCH($A262,SPPR!$A:$A,0),17),""),"")</f>
        <v/>
      </c>
      <c r="U262">
        <f>IFERROR(IF(ISNUMBER(INDEX(SPPR!$E:$Z,MATCH($A262,SPPR!$A:$A,0),18)),$C262*INDEX(SPPR!$E:$Z,MATCH($A262,SPPR!$A:$A,0),18),""),"")</f>
        <v/>
      </c>
      <c r="V262">
        <f>IFERROR(IF(ISNUMBER(INDEX(SPPR!$E:$Z,MATCH($A262,SPPR!$A:$A,0),19)),$C262*INDEX(SPPR!$E:$Z,MATCH($A262,SPPR!$A:$A,0),19),""),"")</f>
        <v/>
      </c>
      <c r="W262">
        <f>IFERROR(IF(ISNUMBER(INDEX(SPPR!$E:$Z,MATCH($A262,SPPR!$A:$A,0),20)),$C262*INDEX(SPPR!$E:$Z,MATCH($A262,SPPR!$A:$A,0),20),""),"")</f>
        <v/>
      </c>
      <c r="X262">
        <f>IFERROR(IF(ISNUMBER(INDEX(SPPR!$E:$Z,MATCH($A262,SPPR!$A:$A,0),21)),$C262*INDEX(SPPR!$E:$Z,MATCH($A262,SPPR!$A:$A,0),21),""),"")</f>
        <v/>
      </c>
      <c r="Y262">
        <f>IFERROR(IF(ISNUMBER(INDEX(SPPR!$E:$Z,MATCH($A262,SPPR!$A:$A,0),22)),$C262*INDEX(SPPR!$E:$Z,MATCH($A262,SPPR!$A:$A,0),22),""),"")</f>
        <v/>
      </c>
    </row>
    <row r="263">
      <c r="A263" t="inlineStr">
        <is>
          <t>Squaliformes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IFERROR(IF(ISNUMBER(INDEX(SPPR!$E:$Z,MATCH($A263,SPPR!$A:$A,0),1)),$C263*INDEX(SPPR!$E:$Z,MATCH($A263,SPPR!$A:$A,0),1),""),"")</f>
        <v/>
      </c>
      <c r="E263">
        <f>IFERROR(IF(ISNUMBER(INDEX(SPPR!$E:$Z,MATCH($A263,SPPR!$A:$A,0),2)),$C263*INDEX(SPPR!$E:$Z,MATCH($A263,SPPR!$A:$A,0),2),""),"")</f>
        <v/>
      </c>
      <c r="F263">
        <f>IFERROR(IF(ISNUMBER(INDEX(SPPR!$E:$Z,MATCH($A263,SPPR!$A:$A,0),3)),$C263*INDEX(SPPR!$E:$Z,MATCH($A263,SPPR!$A:$A,0),3),""),"")</f>
        <v/>
      </c>
      <c r="G263">
        <f>IFERROR(IF(ISNUMBER(INDEX(SPPR!$E:$Z,MATCH($A263,SPPR!$A:$A,0),4)),$C263*INDEX(SPPR!$E:$Z,MATCH($A263,SPPR!$A:$A,0),4),""),"")</f>
        <v/>
      </c>
      <c r="H263">
        <f>IFERROR(IF(ISNUMBER(INDEX(SPPR!$E:$Z,MATCH($A263,SPPR!$A:$A,0),5)),$C263*INDEX(SPPR!$E:$Z,MATCH($A263,SPPR!$A:$A,0),5),""),"")</f>
        <v/>
      </c>
      <c r="I263">
        <f>IFERROR(IF(ISNUMBER(INDEX(SPPR!$E:$Z,MATCH($A263,SPPR!$A:$A,0),6)),$C263*INDEX(SPPR!$E:$Z,MATCH($A263,SPPR!$A:$A,0),6),""),"")</f>
        <v/>
      </c>
      <c r="J263">
        <f>IFERROR(IF(ISNUMBER(INDEX(SPPR!$E:$Z,MATCH($A263,SPPR!$A:$A,0),7)),$C263*INDEX(SPPR!$E:$Z,MATCH($A263,SPPR!$A:$A,0),7),""),"")</f>
        <v/>
      </c>
      <c r="K263">
        <f>IFERROR(IF(ISNUMBER(INDEX(SPPR!$E:$Z,MATCH($A263,SPPR!$A:$A,0),8)),$C263*INDEX(SPPR!$E:$Z,MATCH($A263,SPPR!$A:$A,0),8),""),"")</f>
        <v/>
      </c>
      <c r="L263">
        <f>IFERROR(IF(ISNUMBER(INDEX(SPPR!$E:$Z,MATCH($A263,SPPR!$A:$A,0),9)),$C263*INDEX(SPPR!$E:$Z,MATCH($A263,SPPR!$A:$A,0),9),""),"")</f>
        <v/>
      </c>
      <c r="M263">
        <f>IFERROR(IF(ISNUMBER(INDEX(SPPR!$E:$Z,MATCH($A263,SPPR!$A:$A,0),10)),$C263*INDEX(SPPR!$E:$Z,MATCH($A263,SPPR!$A:$A,0),10),""),"")</f>
        <v/>
      </c>
      <c r="N263">
        <f>IFERROR(IF(ISNUMBER(INDEX(SPPR!$E:$Z,MATCH($A263,SPPR!$A:$A,0),11)),$C263*INDEX(SPPR!$E:$Z,MATCH($A263,SPPR!$A:$A,0),11),""),"")</f>
        <v/>
      </c>
      <c r="O263">
        <f>IFERROR(IF(ISNUMBER(INDEX(SPPR!$E:$Z,MATCH($A263,SPPR!$A:$A,0),12)),$C263*INDEX(SPPR!$E:$Z,MATCH($A263,SPPR!$A:$A,0),12),""),"")</f>
        <v/>
      </c>
      <c r="P263">
        <f>IFERROR(IF(ISNUMBER(INDEX(SPPR!$E:$Z,MATCH($A263,SPPR!$A:$A,0),13)),$C263*INDEX(SPPR!$E:$Z,MATCH($A263,SPPR!$A:$A,0),13),""),"")</f>
        <v/>
      </c>
      <c r="Q263">
        <f>IFERROR(IF(ISNUMBER(INDEX(SPPR!$E:$Z,MATCH($A263,SPPR!$A:$A,0),14)),$C263*INDEX(SPPR!$E:$Z,MATCH($A263,SPPR!$A:$A,0),14),""),"")</f>
        <v/>
      </c>
      <c r="R263">
        <f>IFERROR(IF(ISNUMBER(INDEX(SPPR!$E:$Z,MATCH($A263,SPPR!$A:$A,0),15)),$C263*INDEX(SPPR!$E:$Z,MATCH($A263,SPPR!$A:$A,0),15),""),"")</f>
        <v/>
      </c>
      <c r="S263">
        <f>IFERROR(IF(ISNUMBER(INDEX(SPPR!$E:$Z,MATCH($A263,SPPR!$A:$A,0),16)),$C263*INDEX(SPPR!$E:$Z,MATCH($A263,SPPR!$A:$A,0),16),""),"")</f>
        <v/>
      </c>
      <c r="T263">
        <f>IFERROR(IF(ISNUMBER(INDEX(SPPR!$E:$Z,MATCH($A263,SPPR!$A:$A,0),17)),$C263*INDEX(SPPR!$E:$Z,MATCH($A263,SPPR!$A:$A,0),17),""),"")</f>
        <v/>
      </c>
      <c r="U263">
        <f>IFERROR(IF(ISNUMBER(INDEX(SPPR!$E:$Z,MATCH($A263,SPPR!$A:$A,0),18)),$C263*INDEX(SPPR!$E:$Z,MATCH($A263,SPPR!$A:$A,0),18),""),"")</f>
        <v/>
      </c>
      <c r="V263">
        <f>IFERROR(IF(ISNUMBER(INDEX(SPPR!$E:$Z,MATCH($A263,SPPR!$A:$A,0),19)),$C263*INDEX(SPPR!$E:$Z,MATCH($A263,SPPR!$A:$A,0),19),""),"")</f>
        <v/>
      </c>
      <c r="W263">
        <f>IFERROR(IF(ISNUMBER(INDEX(SPPR!$E:$Z,MATCH($A263,SPPR!$A:$A,0),20)),$C263*INDEX(SPPR!$E:$Z,MATCH($A263,SPPR!$A:$A,0),20),""),"")</f>
        <v/>
      </c>
      <c r="X263">
        <f>IFERROR(IF(ISNUMBER(INDEX(SPPR!$E:$Z,MATCH($A263,SPPR!$A:$A,0),21)),$C263*INDEX(SPPR!$E:$Z,MATCH($A263,SPPR!$A:$A,0),21),""),"")</f>
        <v/>
      </c>
      <c r="Y263">
        <f>IFERROR(IF(ISNUMBER(INDEX(SPPR!$E:$Z,MATCH($A263,SPPR!$A:$A,0),22)),$C263*INDEX(SPPR!$E:$Z,MATCH($A263,SPPR!$A:$A,0),22),""),"")</f>
        <v/>
      </c>
    </row>
    <row r="264">
      <c r="A264" t="inlineStr">
        <is>
          <t>Psettodes belcheri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IFERROR(IF(ISNUMBER(INDEX(SPPR!$E:$Z,MATCH($A264,SPPR!$A:$A,0),1)),$C264*INDEX(SPPR!$E:$Z,MATCH($A264,SPPR!$A:$A,0),1),""),"")</f>
        <v/>
      </c>
      <c r="E264">
        <f>IFERROR(IF(ISNUMBER(INDEX(SPPR!$E:$Z,MATCH($A264,SPPR!$A:$A,0),2)),$C264*INDEX(SPPR!$E:$Z,MATCH($A264,SPPR!$A:$A,0),2),""),"")</f>
        <v/>
      </c>
      <c r="F264">
        <f>IFERROR(IF(ISNUMBER(INDEX(SPPR!$E:$Z,MATCH($A264,SPPR!$A:$A,0),3)),$C264*INDEX(SPPR!$E:$Z,MATCH($A264,SPPR!$A:$A,0),3),""),"")</f>
        <v/>
      </c>
      <c r="G264">
        <f>IFERROR(IF(ISNUMBER(INDEX(SPPR!$E:$Z,MATCH($A264,SPPR!$A:$A,0),4)),$C264*INDEX(SPPR!$E:$Z,MATCH($A264,SPPR!$A:$A,0),4),""),"")</f>
        <v/>
      </c>
      <c r="H264">
        <f>IFERROR(IF(ISNUMBER(INDEX(SPPR!$E:$Z,MATCH($A264,SPPR!$A:$A,0),5)),$C264*INDEX(SPPR!$E:$Z,MATCH($A264,SPPR!$A:$A,0),5),""),"")</f>
        <v/>
      </c>
      <c r="I264">
        <f>IFERROR(IF(ISNUMBER(INDEX(SPPR!$E:$Z,MATCH($A264,SPPR!$A:$A,0),6)),$C264*INDEX(SPPR!$E:$Z,MATCH($A264,SPPR!$A:$A,0),6),""),"")</f>
        <v/>
      </c>
      <c r="J264">
        <f>IFERROR(IF(ISNUMBER(INDEX(SPPR!$E:$Z,MATCH($A264,SPPR!$A:$A,0),7)),$C264*INDEX(SPPR!$E:$Z,MATCH($A264,SPPR!$A:$A,0),7),""),"")</f>
        <v/>
      </c>
      <c r="K264">
        <f>IFERROR(IF(ISNUMBER(INDEX(SPPR!$E:$Z,MATCH($A264,SPPR!$A:$A,0),8)),$C264*INDEX(SPPR!$E:$Z,MATCH($A264,SPPR!$A:$A,0),8),""),"")</f>
        <v/>
      </c>
      <c r="L264">
        <f>IFERROR(IF(ISNUMBER(INDEX(SPPR!$E:$Z,MATCH($A264,SPPR!$A:$A,0),9)),$C264*INDEX(SPPR!$E:$Z,MATCH($A264,SPPR!$A:$A,0),9),""),"")</f>
        <v/>
      </c>
      <c r="M264">
        <f>IFERROR(IF(ISNUMBER(INDEX(SPPR!$E:$Z,MATCH($A264,SPPR!$A:$A,0),10)),$C264*INDEX(SPPR!$E:$Z,MATCH($A264,SPPR!$A:$A,0),10),""),"")</f>
        <v/>
      </c>
      <c r="N264">
        <f>IFERROR(IF(ISNUMBER(INDEX(SPPR!$E:$Z,MATCH($A264,SPPR!$A:$A,0),11)),$C264*INDEX(SPPR!$E:$Z,MATCH($A264,SPPR!$A:$A,0),11),""),"")</f>
        <v/>
      </c>
      <c r="O264">
        <f>IFERROR(IF(ISNUMBER(INDEX(SPPR!$E:$Z,MATCH($A264,SPPR!$A:$A,0),12)),$C264*INDEX(SPPR!$E:$Z,MATCH($A264,SPPR!$A:$A,0),12),""),"")</f>
        <v/>
      </c>
      <c r="P264">
        <f>IFERROR(IF(ISNUMBER(INDEX(SPPR!$E:$Z,MATCH($A264,SPPR!$A:$A,0),13)),$C264*INDEX(SPPR!$E:$Z,MATCH($A264,SPPR!$A:$A,0),13),""),"")</f>
        <v/>
      </c>
      <c r="Q264">
        <f>IFERROR(IF(ISNUMBER(INDEX(SPPR!$E:$Z,MATCH($A264,SPPR!$A:$A,0),14)),$C264*INDEX(SPPR!$E:$Z,MATCH($A264,SPPR!$A:$A,0),14),""),"")</f>
        <v/>
      </c>
      <c r="R264">
        <f>IFERROR(IF(ISNUMBER(INDEX(SPPR!$E:$Z,MATCH($A264,SPPR!$A:$A,0),15)),$C264*INDEX(SPPR!$E:$Z,MATCH($A264,SPPR!$A:$A,0),15),""),"")</f>
        <v/>
      </c>
      <c r="S264">
        <f>IFERROR(IF(ISNUMBER(INDEX(SPPR!$E:$Z,MATCH($A264,SPPR!$A:$A,0),16)),$C264*INDEX(SPPR!$E:$Z,MATCH($A264,SPPR!$A:$A,0),16),""),"")</f>
        <v/>
      </c>
      <c r="T264">
        <f>IFERROR(IF(ISNUMBER(INDEX(SPPR!$E:$Z,MATCH($A264,SPPR!$A:$A,0),17)),$C264*INDEX(SPPR!$E:$Z,MATCH($A264,SPPR!$A:$A,0),17),""),"")</f>
        <v/>
      </c>
      <c r="U264">
        <f>IFERROR(IF(ISNUMBER(INDEX(SPPR!$E:$Z,MATCH($A264,SPPR!$A:$A,0),18)),$C264*INDEX(SPPR!$E:$Z,MATCH($A264,SPPR!$A:$A,0),18),""),"")</f>
        <v/>
      </c>
      <c r="V264">
        <f>IFERROR(IF(ISNUMBER(INDEX(SPPR!$E:$Z,MATCH($A264,SPPR!$A:$A,0),19)),$C264*INDEX(SPPR!$E:$Z,MATCH($A264,SPPR!$A:$A,0),19),""),"")</f>
        <v/>
      </c>
      <c r="W264">
        <f>IFERROR(IF(ISNUMBER(INDEX(SPPR!$E:$Z,MATCH($A264,SPPR!$A:$A,0),20)),$C264*INDEX(SPPR!$E:$Z,MATCH($A264,SPPR!$A:$A,0),20),""),"")</f>
        <v/>
      </c>
      <c r="X264">
        <f>IFERROR(IF(ISNUMBER(INDEX(SPPR!$E:$Z,MATCH($A264,SPPR!$A:$A,0),21)),$C264*INDEX(SPPR!$E:$Z,MATCH($A264,SPPR!$A:$A,0),21),""),"")</f>
        <v/>
      </c>
      <c r="Y264">
        <f>IFERROR(IF(ISNUMBER(INDEX(SPPR!$E:$Z,MATCH($A264,SPPR!$A:$A,0),22)),$C264*INDEX(SPPR!$E:$Z,MATCH($A264,SPPR!$A:$A,0),22),""),"")</f>
        <v/>
      </c>
    </row>
    <row r="265">
      <c r="A265" t="inlineStr">
        <is>
          <t>Carcharhinus leucas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IFERROR(IF(ISNUMBER(INDEX(SPPR!$E:$Z,MATCH($A265,SPPR!$A:$A,0),1)),$C265*INDEX(SPPR!$E:$Z,MATCH($A265,SPPR!$A:$A,0),1),""),"")</f>
        <v/>
      </c>
      <c r="E265">
        <f>IFERROR(IF(ISNUMBER(INDEX(SPPR!$E:$Z,MATCH($A265,SPPR!$A:$A,0),2)),$C265*INDEX(SPPR!$E:$Z,MATCH($A265,SPPR!$A:$A,0),2),""),"")</f>
        <v/>
      </c>
      <c r="F265">
        <f>IFERROR(IF(ISNUMBER(INDEX(SPPR!$E:$Z,MATCH($A265,SPPR!$A:$A,0),3)),$C265*INDEX(SPPR!$E:$Z,MATCH($A265,SPPR!$A:$A,0),3),""),"")</f>
        <v/>
      </c>
      <c r="G265">
        <f>IFERROR(IF(ISNUMBER(INDEX(SPPR!$E:$Z,MATCH($A265,SPPR!$A:$A,0),4)),$C265*INDEX(SPPR!$E:$Z,MATCH($A265,SPPR!$A:$A,0),4),""),"")</f>
        <v/>
      </c>
      <c r="H265">
        <f>IFERROR(IF(ISNUMBER(INDEX(SPPR!$E:$Z,MATCH($A265,SPPR!$A:$A,0),5)),$C265*INDEX(SPPR!$E:$Z,MATCH($A265,SPPR!$A:$A,0),5),""),"")</f>
        <v/>
      </c>
      <c r="I265">
        <f>IFERROR(IF(ISNUMBER(INDEX(SPPR!$E:$Z,MATCH($A265,SPPR!$A:$A,0),6)),$C265*INDEX(SPPR!$E:$Z,MATCH($A265,SPPR!$A:$A,0),6),""),"")</f>
        <v/>
      </c>
      <c r="J265">
        <f>IFERROR(IF(ISNUMBER(INDEX(SPPR!$E:$Z,MATCH($A265,SPPR!$A:$A,0),7)),$C265*INDEX(SPPR!$E:$Z,MATCH($A265,SPPR!$A:$A,0),7),""),"")</f>
        <v/>
      </c>
      <c r="K265">
        <f>IFERROR(IF(ISNUMBER(INDEX(SPPR!$E:$Z,MATCH($A265,SPPR!$A:$A,0),8)),$C265*INDEX(SPPR!$E:$Z,MATCH($A265,SPPR!$A:$A,0),8),""),"")</f>
        <v/>
      </c>
      <c r="L265">
        <f>IFERROR(IF(ISNUMBER(INDEX(SPPR!$E:$Z,MATCH($A265,SPPR!$A:$A,0),9)),$C265*INDEX(SPPR!$E:$Z,MATCH($A265,SPPR!$A:$A,0),9),""),"")</f>
        <v/>
      </c>
      <c r="M265">
        <f>IFERROR(IF(ISNUMBER(INDEX(SPPR!$E:$Z,MATCH($A265,SPPR!$A:$A,0),10)),$C265*INDEX(SPPR!$E:$Z,MATCH($A265,SPPR!$A:$A,0),10),""),"")</f>
        <v/>
      </c>
      <c r="N265">
        <f>IFERROR(IF(ISNUMBER(INDEX(SPPR!$E:$Z,MATCH($A265,SPPR!$A:$A,0),11)),$C265*INDEX(SPPR!$E:$Z,MATCH($A265,SPPR!$A:$A,0),11),""),"")</f>
        <v/>
      </c>
      <c r="O265">
        <f>IFERROR(IF(ISNUMBER(INDEX(SPPR!$E:$Z,MATCH($A265,SPPR!$A:$A,0),12)),$C265*INDEX(SPPR!$E:$Z,MATCH($A265,SPPR!$A:$A,0),12),""),"")</f>
        <v/>
      </c>
      <c r="P265">
        <f>IFERROR(IF(ISNUMBER(INDEX(SPPR!$E:$Z,MATCH($A265,SPPR!$A:$A,0),13)),$C265*INDEX(SPPR!$E:$Z,MATCH($A265,SPPR!$A:$A,0),13),""),"")</f>
        <v/>
      </c>
      <c r="Q265">
        <f>IFERROR(IF(ISNUMBER(INDEX(SPPR!$E:$Z,MATCH($A265,SPPR!$A:$A,0),14)),$C265*INDEX(SPPR!$E:$Z,MATCH($A265,SPPR!$A:$A,0),14),""),"")</f>
        <v/>
      </c>
      <c r="R265">
        <f>IFERROR(IF(ISNUMBER(INDEX(SPPR!$E:$Z,MATCH($A265,SPPR!$A:$A,0),15)),$C265*INDEX(SPPR!$E:$Z,MATCH($A265,SPPR!$A:$A,0),15),""),"")</f>
        <v/>
      </c>
      <c r="S265">
        <f>IFERROR(IF(ISNUMBER(INDEX(SPPR!$E:$Z,MATCH($A265,SPPR!$A:$A,0),16)),$C265*INDEX(SPPR!$E:$Z,MATCH($A265,SPPR!$A:$A,0),16),""),"")</f>
        <v/>
      </c>
      <c r="T265">
        <f>IFERROR(IF(ISNUMBER(INDEX(SPPR!$E:$Z,MATCH($A265,SPPR!$A:$A,0),17)),$C265*INDEX(SPPR!$E:$Z,MATCH($A265,SPPR!$A:$A,0),17),""),"")</f>
        <v/>
      </c>
      <c r="U265">
        <f>IFERROR(IF(ISNUMBER(INDEX(SPPR!$E:$Z,MATCH($A265,SPPR!$A:$A,0),18)),$C265*INDEX(SPPR!$E:$Z,MATCH($A265,SPPR!$A:$A,0),18),""),"")</f>
        <v/>
      </c>
      <c r="V265">
        <f>IFERROR(IF(ISNUMBER(INDEX(SPPR!$E:$Z,MATCH($A265,SPPR!$A:$A,0),19)),$C265*INDEX(SPPR!$E:$Z,MATCH($A265,SPPR!$A:$A,0),19),""),"")</f>
        <v/>
      </c>
      <c r="W265">
        <f>IFERROR(IF(ISNUMBER(INDEX(SPPR!$E:$Z,MATCH($A265,SPPR!$A:$A,0),20)),$C265*INDEX(SPPR!$E:$Z,MATCH($A265,SPPR!$A:$A,0),20),""),"")</f>
        <v/>
      </c>
      <c r="X265">
        <f>IFERROR(IF(ISNUMBER(INDEX(SPPR!$E:$Z,MATCH($A265,SPPR!$A:$A,0),21)),$C265*INDEX(SPPR!$E:$Z,MATCH($A265,SPPR!$A:$A,0),21),""),"")</f>
        <v/>
      </c>
      <c r="Y265">
        <f>IFERROR(IF(ISNUMBER(INDEX(SPPR!$E:$Z,MATCH($A265,SPPR!$A:$A,0),22)),$C265*INDEX(SPPR!$E:$Z,MATCH($A265,SPPR!$A:$A,0),22),""),"")</f>
        <v/>
      </c>
    </row>
    <row r="266">
      <c r="A266" t="inlineStr">
        <is>
          <t>Apsilus fuscus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IFERROR(IF(ISNUMBER(INDEX(SPPR!$E:$Z,MATCH($A266,SPPR!$A:$A,0),1)),$C266*INDEX(SPPR!$E:$Z,MATCH($A266,SPPR!$A:$A,0),1),""),"")</f>
        <v/>
      </c>
      <c r="E266">
        <f>IFERROR(IF(ISNUMBER(INDEX(SPPR!$E:$Z,MATCH($A266,SPPR!$A:$A,0),2)),$C266*INDEX(SPPR!$E:$Z,MATCH($A266,SPPR!$A:$A,0),2),""),"")</f>
        <v/>
      </c>
      <c r="F266">
        <f>IFERROR(IF(ISNUMBER(INDEX(SPPR!$E:$Z,MATCH($A266,SPPR!$A:$A,0),3)),$C266*INDEX(SPPR!$E:$Z,MATCH($A266,SPPR!$A:$A,0),3),""),"")</f>
        <v/>
      </c>
      <c r="G266">
        <f>IFERROR(IF(ISNUMBER(INDEX(SPPR!$E:$Z,MATCH($A266,SPPR!$A:$A,0),4)),$C266*INDEX(SPPR!$E:$Z,MATCH($A266,SPPR!$A:$A,0),4),""),"")</f>
        <v/>
      </c>
      <c r="H266">
        <f>IFERROR(IF(ISNUMBER(INDEX(SPPR!$E:$Z,MATCH($A266,SPPR!$A:$A,0),5)),$C266*INDEX(SPPR!$E:$Z,MATCH($A266,SPPR!$A:$A,0),5),""),"")</f>
        <v/>
      </c>
      <c r="I266">
        <f>IFERROR(IF(ISNUMBER(INDEX(SPPR!$E:$Z,MATCH($A266,SPPR!$A:$A,0),6)),$C266*INDEX(SPPR!$E:$Z,MATCH($A266,SPPR!$A:$A,0),6),""),"")</f>
        <v/>
      </c>
      <c r="J266">
        <f>IFERROR(IF(ISNUMBER(INDEX(SPPR!$E:$Z,MATCH($A266,SPPR!$A:$A,0),7)),$C266*INDEX(SPPR!$E:$Z,MATCH($A266,SPPR!$A:$A,0),7),""),"")</f>
        <v/>
      </c>
      <c r="K266">
        <f>IFERROR(IF(ISNUMBER(INDEX(SPPR!$E:$Z,MATCH($A266,SPPR!$A:$A,0),8)),$C266*INDEX(SPPR!$E:$Z,MATCH($A266,SPPR!$A:$A,0),8),""),"")</f>
        <v/>
      </c>
      <c r="L266">
        <f>IFERROR(IF(ISNUMBER(INDEX(SPPR!$E:$Z,MATCH($A266,SPPR!$A:$A,0),9)),$C266*INDEX(SPPR!$E:$Z,MATCH($A266,SPPR!$A:$A,0),9),""),"")</f>
        <v/>
      </c>
      <c r="M266">
        <f>IFERROR(IF(ISNUMBER(INDEX(SPPR!$E:$Z,MATCH($A266,SPPR!$A:$A,0),10)),$C266*INDEX(SPPR!$E:$Z,MATCH($A266,SPPR!$A:$A,0),10),""),"")</f>
        <v/>
      </c>
      <c r="N266">
        <f>IFERROR(IF(ISNUMBER(INDEX(SPPR!$E:$Z,MATCH($A266,SPPR!$A:$A,0),11)),$C266*INDEX(SPPR!$E:$Z,MATCH($A266,SPPR!$A:$A,0),11),""),"")</f>
        <v/>
      </c>
      <c r="O266">
        <f>IFERROR(IF(ISNUMBER(INDEX(SPPR!$E:$Z,MATCH($A266,SPPR!$A:$A,0),12)),$C266*INDEX(SPPR!$E:$Z,MATCH($A266,SPPR!$A:$A,0),12),""),"")</f>
        <v/>
      </c>
      <c r="P266">
        <f>IFERROR(IF(ISNUMBER(INDEX(SPPR!$E:$Z,MATCH($A266,SPPR!$A:$A,0),13)),$C266*INDEX(SPPR!$E:$Z,MATCH($A266,SPPR!$A:$A,0),13),""),"")</f>
        <v/>
      </c>
      <c r="Q266">
        <f>IFERROR(IF(ISNUMBER(INDEX(SPPR!$E:$Z,MATCH($A266,SPPR!$A:$A,0),14)),$C266*INDEX(SPPR!$E:$Z,MATCH($A266,SPPR!$A:$A,0),14),""),"")</f>
        <v/>
      </c>
      <c r="R266">
        <f>IFERROR(IF(ISNUMBER(INDEX(SPPR!$E:$Z,MATCH($A266,SPPR!$A:$A,0),15)),$C266*INDEX(SPPR!$E:$Z,MATCH($A266,SPPR!$A:$A,0),15),""),"")</f>
        <v/>
      </c>
      <c r="S266">
        <f>IFERROR(IF(ISNUMBER(INDEX(SPPR!$E:$Z,MATCH($A266,SPPR!$A:$A,0),16)),$C266*INDEX(SPPR!$E:$Z,MATCH($A266,SPPR!$A:$A,0),16),""),"")</f>
        <v/>
      </c>
      <c r="T266">
        <f>IFERROR(IF(ISNUMBER(INDEX(SPPR!$E:$Z,MATCH($A266,SPPR!$A:$A,0),17)),$C266*INDEX(SPPR!$E:$Z,MATCH($A266,SPPR!$A:$A,0),17),""),"")</f>
        <v/>
      </c>
      <c r="U266">
        <f>IFERROR(IF(ISNUMBER(INDEX(SPPR!$E:$Z,MATCH($A266,SPPR!$A:$A,0),18)),$C266*INDEX(SPPR!$E:$Z,MATCH($A266,SPPR!$A:$A,0),18),""),"")</f>
        <v/>
      </c>
      <c r="V266">
        <f>IFERROR(IF(ISNUMBER(INDEX(SPPR!$E:$Z,MATCH($A266,SPPR!$A:$A,0),19)),$C266*INDEX(SPPR!$E:$Z,MATCH($A266,SPPR!$A:$A,0),19),""),"")</f>
        <v/>
      </c>
      <c r="W266">
        <f>IFERROR(IF(ISNUMBER(INDEX(SPPR!$E:$Z,MATCH($A266,SPPR!$A:$A,0),20)),$C266*INDEX(SPPR!$E:$Z,MATCH($A266,SPPR!$A:$A,0),20),""),"")</f>
        <v/>
      </c>
      <c r="X266">
        <f>IFERROR(IF(ISNUMBER(INDEX(SPPR!$E:$Z,MATCH($A266,SPPR!$A:$A,0),21)),$C266*INDEX(SPPR!$E:$Z,MATCH($A266,SPPR!$A:$A,0),21),""),"")</f>
        <v/>
      </c>
      <c r="Y266">
        <f>IFERROR(IF(ISNUMBER(INDEX(SPPR!$E:$Z,MATCH($A266,SPPR!$A:$A,0),22)),$C266*INDEX(SPPR!$E:$Z,MATCH($A266,SPPR!$A:$A,0),22),""),"")</f>
        <v/>
      </c>
    </row>
    <row r="267">
      <c r="A267" t="inlineStr">
        <is>
          <t>Carcharhinus falciformis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IFERROR(IF(ISNUMBER(INDEX(SPPR!$E:$Z,MATCH($A267,SPPR!$A:$A,0),1)),$C267*INDEX(SPPR!$E:$Z,MATCH($A267,SPPR!$A:$A,0),1),""),"")</f>
        <v/>
      </c>
      <c r="E267">
        <f>IFERROR(IF(ISNUMBER(INDEX(SPPR!$E:$Z,MATCH($A267,SPPR!$A:$A,0),2)),$C267*INDEX(SPPR!$E:$Z,MATCH($A267,SPPR!$A:$A,0),2),""),"")</f>
        <v/>
      </c>
      <c r="F267">
        <f>IFERROR(IF(ISNUMBER(INDEX(SPPR!$E:$Z,MATCH($A267,SPPR!$A:$A,0),3)),$C267*INDEX(SPPR!$E:$Z,MATCH($A267,SPPR!$A:$A,0),3),""),"")</f>
        <v/>
      </c>
      <c r="G267">
        <f>IFERROR(IF(ISNUMBER(INDEX(SPPR!$E:$Z,MATCH($A267,SPPR!$A:$A,0),4)),$C267*INDEX(SPPR!$E:$Z,MATCH($A267,SPPR!$A:$A,0),4),""),"")</f>
        <v/>
      </c>
      <c r="H267">
        <f>IFERROR(IF(ISNUMBER(INDEX(SPPR!$E:$Z,MATCH($A267,SPPR!$A:$A,0),5)),$C267*INDEX(SPPR!$E:$Z,MATCH($A267,SPPR!$A:$A,0),5),""),"")</f>
        <v/>
      </c>
      <c r="I267">
        <f>IFERROR(IF(ISNUMBER(INDEX(SPPR!$E:$Z,MATCH($A267,SPPR!$A:$A,0),6)),$C267*INDEX(SPPR!$E:$Z,MATCH($A267,SPPR!$A:$A,0),6),""),"")</f>
        <v/>
      </c>
      <c r="J267">
        <f>IFERROR(IF(ISNUMBER(INDEX(SPPR!$E:$Z,MATCH($A267,SPPR!$A:$A,0),7)),$C267*INDEX(SPPR!$E:$Z,MATCH($A267,SPPR!$A:$A,0),7),""),"")</f>
        <v/>
      </c>
      <c r="K267">
        <f>IFERROR(IF(ISNUMBER(INDEX(SPPR!$E:$Z,MATCH($A267,SPPR!$A:$A,0),8)),$C267*INDEX(SPPR!$E:$Z,MATCH($A267,SPPR!$A:$A,0),8),""),"")</f>
        <v/>
      </c>
      <c r="L267">
        <f>IFERROR(IF(ISNUMBER(INDEX(SPPR!$E:$Z,MATCH($A267,SPPR!$A:$A,0),9)),$C267*INDEX(SPPR!$E:$Z,MATCH($A267,SPPR!$A:$A,0),9),""),"")</f>
        <v/>
      </c>
      <c r="M267">
        <f>IFERROR(IF(ISNUMBER(INDEX(SPPR!$E:$Z,MATCH($A267,SPPR!$A:$A,0),10)),$C267*INDEX(SPPR!$E:$Z,MATCH($A267,SPPR!$A:$A,0),10),""),"")</f>
        <v/>
      </c>
      <c r="N267">
        <f>IFERROR(IF(ISNUMBER(INDEX(SPPR!$E:$Z,MATCH($A267,SPPR!$A:$A,0),11)),$C267*INDEX(SPPR!$E:$Z,MATCH($A267,SPPR!$A:$A,0),11),""),"")</f>
        <v/>
      </c>
      <c r="O267">
        <f>IFERROR(IF(ISNUMBER(INDEX(SPPR!$E:$Z,MATCH($A267,SPPR!$A:$A,0),12)),$C267*INDEX(SPPR!$E:$Z,MATCH($A267,SPPR!$A:$A,0),12),""),"")</f>
        <v/>
      </c>
      <c r="P267">
        <f>IFERROR(IF(ISNUMBER(INDEX(SPPR!$E:$Z,MATCH($A267,SPPR!$A:$A,0),13)),$C267*INDEX(SPPR!$E:$Z,MATCH($A267,SPPR!$A:$A,0),13),""),"")</f>
        <v/>
      </c>
      <c r="Q267">
        <f>IFERROR(IF(ISNUMBER(INDEX(SPPR!$E:$Z,MATCH($A267,SPPR!$A:$A,0),14)),$C267*INDEX(SPPR!$E:$Z,MATCH($A267,SPPR!$A:$A,0),14),""),"")</f>
        <v/>
      </c>
      <c r="R267">
        <f>IFERROR(IF(ISNUMBER(INDEX(SPPR!$E:$Z,MATCH($A267,SPPR!$A:$A,0),15)),$C267*INDEX(SPPR!$E:$Z,MATCH($A267,SPPR!$A:$A,0),15),""),"")</f>
        <v/>
      </c>
      <c r="S267">
        <f>IFERROR(IF(ISNUMBER(INDEX(SPPR!$E:$Z,MATCH($A267,SPPR!$A:$A,0),16)),$C267*INDEX(SPPR!$E:$Z,MATCH($A267,SPPR!$A:$A,0),16),""),"")</f>
        <v/>
      </c>
      <c r="T267">
        <f>IFERROR(IF(ISNUMBER(INDEX(SPPR!$E:$Z,MATCH($A267,SPPR!$A:$A,0),17)),$C267*INDEX(SPPR!$E:$Z,MATCH($A267,SPPR!$A:$A,0),17),""),"")</f>
        <v/>
      </c>
      <c r="U267">
        <f>IFERROR(IF(ISNUMBER(INDEX(SPPR!$E:$Z,MATCH($A267,SPPR!$A:$A,0),18)),$C267*INDEX(SPPR!$E:$Z,MATCH($A267,SPPR!$A:$A,0),18),""),"")</f>
        <v/>
      </c>
      <c r="V267">
        <f>IFERROR(IF(ISNUMBER(INDEX(SPPR!$E:$Z,MATCH($A267,SPPR!$A:$A,0),19)),$C267*INDEX(SPPR!$E:$Z,MATCH($A267,SPPR!$A:$A,0),19),""),"")</f>
        <v/>
      </c>
      <c r="W267">
        <f>IFERROR(IF(ISNUMBER(INDEX(SPPR!$E:$Z,MATCH($A267,SPPR!$A:$A,0),20)),$C267*INDEX(SPPR!$E:$Z,MATCH($A267,SPPR!$A:$A,0),20),""),"")</f>
        <v/>
      </c>
      <c r="X267">
        <f>IFERROR(IF(ISNUMBER(INDEX(SPPR!$E:$Z,MATCH($A267,SPPR!$A:$A,0),21)),$C267*INDEX(SPPR!$E:$Z,MATCH($A267,SPPR!$A:$A,0),21),""),"")</f>
        <v/>
      </c>
      <c r="Y267">
        <f>IFERROR(IF(ISNUMBER(INDEX(SPPR!$E:$Z,MATCH($A267,SPPR!$A:$A,0),22)),$C267*INDEX(SPPR!$E:$Z,MATCH($A267,SPPR!$A:$A,0),22),""),"")</f>
        <v/>
      </c>
    </row>
    <row r="268">
      <c r="A268" t="inlineStr">
        <is>
          <t>Alopias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IFERROR(IF(ISNUMBER(INDEX(SPPR!$E:$Z,MATCH($A268,SPPR!$A:$A,0),1)),$C268*INDEX(SPPR!$E:$Z,MATCH($A268,SPPR!$A:$A,0),1),""),"")</f>
        <v/>
      </c>
      <c r="E268">
        <f>IFERROR(IF(ISNUMBER(INDEX(SPPR!$E:$Z,MATCH($A268,SPPR!$A:$A,0),2)),$C268*INDEX(SPPR!$E:$Z,MATCH($A268,SPPR!$A:$A,0),2),""),"")</f>
        <v/>
      </c>
      <c r="F268">
        <f>IFERROR(IF(ISNUMBER(INDEX(SPPR!$E:$Z,MATCH($A268,SPPR!$A:$A,0),3)),$C268*INDEX(SPPR!$E:$Z,MATCH($A268,SPPR!$A:$A,0),3),""),"")</f>
        <v/>
      </c>
      <c r="G268">
        <f>IFERROR(IF(ISNUMBER(INDEX(SPPR!$E:$Z,MATCH($A268,SPPR!$A:$A,0),4)),$C268*INDEX(SPPR!$E:$Z,MATCH($A268,SPPR!$A:$A,0),4),""),"")</f>
        <v/>
      </c>
      <c r="H268">
        <f>IFERROR(IF(ISNUMBER(INDEX(SPPR!$E:$Z,MATCH($A268,SPPR!$A:$A,0),5)),$C268*INDEX(SPPR!$E:$Z,MATCH($A268,SPPR!$A:$A,0),5),""),"")</f>
        <v/>
      </c>
      <c r="I268">
        <f>IFERROR(IF(ISNUMBER(INDEX(SPPR!$E:$Z,MATCH($A268,SPPR!$A:$A,0),6)),$C268*INDEX(SPPR!$E:$Z,MATCH($A268,SPPR!$A:$A,0),6),""),"")</f>
        <v/>
      </c>
      <c r="J268">
        <f>IFERROR(IF(ISNUMBER(INDEX(SPPR!$E:$Z,MATCH($A268,SPPR!$A:$A,0),7)),$C268*INDEX(SPPR!$E:$Z,MATCH($A268,SPPR!$A:$A,0),7),""),"")</f>
        <v/>
      </c>
      <c r="K268">
        <f>IFERROR(IF(ISNUMBER(INDEX(SPPR!$E:$Z,MATCH($A268,SPPR!$A:$A,0),8)),$C268*INDEX(SPPR!$E:$Z,MATCH($A268,SPPR!$A:$A,0),8),""),"")</f>
        <v/>
      </c>
      <c r="L268">
        <f>IFERROR(IF(ISNUMBER(INDEX(SPPR!$E:$Z,MATCH($A268,SPPR!$A:$A,0),9)),$C268*INDEX(SPPR!$E:$Z,MATCH($A268,SPPR!$A:$A,0),9),""),"")</f>
        <v/>
      </c>
      <c r="M268">
        <f>IFERROR(IF(ISNUMBER(INDEX(SPPR!$E:$Z,MATCH($A268,SPPR!$A:$A,0),10)),$C268*INDEX(SPPR!$E:$Z,MATCH($A268,SPPR!$A:$A,0),10),""),"")</f>
        <v/>
      </c>
      <c r="N268">
        <f>IFERROR(IF(ISNUMBER(INDEX(SPPR!$E:$Z,MATCH($A268,SPPR!$A:$A,0),11)),$C268*INDEX(SPPR!$E:$Z,MATCH($A268,SPPR!$A:$A,0),11),""),"")</f>
        <v/>
      </c>
      <c r="O268">
        <f>IFERROR(IF(ISNUMBER(INDEX(SPPR!$E:$Z,MATCH($A268,SPPR!$A:$A,0),12)),$C268*INDEX(SPPR!$E:$Z,MATCH($A268,SPPR!$A:$A,0),12),""),"")</f>
        <v/>
      </c>
      <c r="P268">
        <f>IFERROR(IF(ISNUMBER(INDEX(SPPR!$E:$Z,MATCH($A268,SPPR!$A:$A,0),13)),$C268*INDEX(SPPR!$E:$Z,MATCH($A268,SPPR!$A:$A,0),13),""),"")</f>
        <v/>
      </c>
      <c r="Q268">
        <f>IFERROR(IF(ISNUMBER(INDEX(SPPR!$E:$Z,MATCH($A268,SPPR!$A:$A,0),14)),$C268*INDEX(SPPR!$E:$Z,MATCH($A268,SPPR!$A:$A,0),14),""),"")</f>
        <v/>
      </c>
      <c r="R268">
        <f>IFERROR(IF(ISNUMBER(INDEX(SPPR!$E:$Z,MATCH($A268,SPPR!$A:$A,0),15)),$C268*INDEX(SPPR!$E:$Z,MATCH($A268,SPPR!$A:$A,0),15),""),"")</f>
        <v/>
      </c>
      <c r="S268">
        <f>IFERROR(IF(ISNUMBER(INDEX(SPPR!$E:$Z,MATCH($A268,SPPR!$A:$A,0),16)),$C268*INDEX(SPPR!$E:$Z,MATCH($A268,SPPR!$A:$A,0),16),""),"")</f>
        <v/>
      </c>
      <c r="T268">
        <f>IFERROR(IF(ISNUMBER(INDEX(SPPR!$E:$Z,MATCH($A268,SPPR!$A:$A,0),17)),$C268*INDEX(SPPR!$E:$Z,MATCH($A268,SPPR!$A:$A,0),17),""),"")</f>
        <v/>
      </c>
      <c r="U268">
        <f>IFERROR(IF(ISNUMBER(INDEX(SPPR!$E:$Z,MATCH($A268,SPPR!$A:$A,0),18)),$C268*INDEX(SPPR!$E:$Z,MATCH($A268,SPPR!$A:$A,0),18),""),"")</f>
        <v/>
      </c>
      <c r="V268">
        <f>IFERROR(IF(ISNUMBER(INDEX(SPPR!$E:$Z,MATCH($A268,SPPR!$A:$A,0),19)),$C268*INDEX(SPPR!$E:$Z,MATCH($A268,SPPR!$A:$A,0),19),""),"")</f>
        <v/>
      </c>
      <c r="W268">
        <f>IFERROR(IF(ISNUMBER(INDEX(SPPR!$E:$Z,MATCH($A268,SPPR!$A:$A,0),20)),$C268*INDEX(SPPR!$E:$Z,MATCH($A268,SPPR!$A:$A,0),20),""),"")</f>
        <v/>
      </c>
      <c r="X268">
        <f>IFERROR(IF(ISNUMBER(INDEX(SPPR!$E:$Z,MATCH($A268,SPPR!$A:$A,0),21)),$C268*INDEX(SPPR!$E:$Z,MATCH($A268,SPPR!$A:$A,0),21),""),"")</f>
        <v/>
      </c>
      <c r="Y268">
        <f>IFERROR(IF(ISNUMBER(INDEX(SPPR!$E:$Z,MATCH($A268,SPPR!$A:$A,0),22)),$C268*INDEX(SPPR!$E:$Z,MATCH($A268,SPPR!$A:$A,0),22),""),"")</f>
        <v/>
      </c>
    </row>
    <row r="269">
      <c r="A269" t="inlineStr">
        <is>
          <t>Stomias affinis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IFERROR(IF(ISNUMBER(INDEX(SPPR!$E:$Z,MATCH($A269,SPPR!$A:$A,0),1)),$C269*INDEX(SPPR!$E:$Z,MATCH($A269,SPPR!$A:$A,0),1),""),"")</f>
        <v/>
      </c>
      <c r="E269">
        <f>IFERROR(IF(ISNUMBER(INDEX(SPPR!$E:$Z,MATCH($A269,SPPR!$A:$A,0),2)),$C269*INDEX(SPPR!$E:$Z,MATCH($A269,SPPR!$A:$A,0),2),""),"")</f>
        <v/>
      </c>
      <c r="F269">
        <f>IFERROR(IF(ISNUMBER(INDEX(SPPR!$E:$Z,MATCH($A269,SPPR!$A:$A,0),3)),$C269*INDEX(SPPR!$E:$Z,MATCH($A269,SPPR!$A:$A,0),3),""),"")</f>
        <v/>
      </c>
      <c r="G269">
        <f>IFERROR(IF(ISNUMBER(INDEX(SPPR!$E:$Z,MATCH($A269,SPPR!$A:$A,0),4)),$C269*INDEX(SPPR!$E:$Z,MATCH($A269,SPPR!$A:$A,0),4),""),"")</f>
        <v/>
      </c>
      <c r="H269">
        <f>IFERROR(IF(ISNUMBER(INDEX(SPPR!$E:$Z,MATCH($A269,SPPR!$A:$A,0),5)),$C269*INDEX(SPPR!$E:$Z,MATCH($A269,SPPR!$A:$A,0),5),""),"")</f>
        <v/>
      </c>
      <c r="I269">
        <f>IFERROR(IF(ISNUMBER(INDEX(SPPR!$E:$Z,MATCH($A269,SPPR!$A:$A,0),6)),$C269*INDEX(SPPR!$E:$Z,MATCH($A269,SPPR!$A:$A,0),6),""),"")</f>
        <v/>
      </c>
      <c r="J269">
        <f>IFERROR(IF(ISNUMBER(INDEX(SPPR!$E:$Z,MATCH($A269,SPPR!$A:$A,0),7)),$C269*INDEX(SPPR!$E:$Z,MATCH($A269,SPPR!$A:$A,0),7),""),"")</f>
        <v/>
      </c>
      <c r="K269">
        <f>IFERROR(IF(ISNUMBER(INDEX(SPPR!$E:$Z,MATCH($A269,SPPR!$A:$A,0),8)),$C269*INDEX(SPPR!$E:$Z,MATCH($A269,SPPR!$A:$A,0),8),""),"")</f>
        <v/>
      </c>
      <c r="L269">
        <f>IFERROR(IF(ISNUMBER(INDEX(SPPR!$E:$Z,MATCH($A269,SPPR!$A:$A,0),9)),$C269*INDEX(SPPR!$E:$Z,MATCH($A269,SPPR!$A:$A,0),9),""),"")</f>
        <v/>
      </c>
      <c r="M269">
        <f>IFERROR(IF(ISNUMBER(INDEX(SPPR!$E:$Z,MATCH($A269,SPPR!$A:$A,0),10)),$C269*INDEX(SPPR!$E:$Z,MATCH($A269,SPPR!$A:$A,0),10),""),"")</f>
        <v/>
      </c>
      <c r="N269">
        <f>IFERROR(IF(ISNUMBER(INDEX(SPPR!$E:$Z,MATCH($A269,SPPR!$A:$A,0),11)),$C269*INDEX(SPPR!$E:$Z,MATCH($A269,SPPR!$A:$A,0),11),""),"")</f>
        <v/>
      </c>
      <c r="O269">
        <f>IFERROR(IF(ISNUMBER(INDEX(SPPR!$E:$Z,MATCH($A269,SPPR!$A:$A,0),12)),$C269*INDEX(SPPR!$E:$Z,MATCH($A269,SPPR!$A:$A,0),12),""),"")</f>
        <v/>
      </c>
      <c r="P269">
        <f>IFERROR(IF(ISNUMBER(INDEX(SPPR!$E:$Z,MATCH($A269,SPPR!$A:$A,0),13)),$C269*INDEX(SPPR!$E:$Z,MATCH($A269,SPPR!$A:$A,0),13),""),"")</f>
        <v/>
      </c>
      <c r="Q269">
        <f>IFERROR(IF(ISNUMBER(INDEX(SPPR!$E:$Z,MATCH($A269,SPPR!$A:$A,0),14)),$C269*INDEX(SPPR!$E:$Z,MATCH($A269,SPPR!$A:$A,0),14),""),"")</f>
        <v/>
      </c>
      <c r="R269">
        <f>IFERROR(IF(ISNUMBER(INDEX(SPPR!$E:$Z,MATCH($A269,SPPR!$A:$A,0),15)),$C269*INDEX(SPPR!$E:$Z,MATCH($A269,SPPR!$A:$A,0),15),""),"")</f>
        <v/>
      </c>
      <c r="S269">
        <f>IFERROR(IF(ISNUMBER(INDEX(SPPR!$E:$Z,MATCH($A269,SPPR!$A:$A,0),16)),$C269*INDEX(SPPR!$E:$Z,MATCH($A269,SPPR!$A:$A,0),16),""),"")</f>
        <v/>
      </c>
      <c r="T269">
        <f>IFERROR(IF(ISNUMBER(INDEX(SPPR!$E:$Z,MATCH($A269,SPPR!$A:$A,0),17)),$C269*INDEX(SPPR!$E:$Z,MATCH($A269,SPPR!$A:$A,0),17),""),"")</f>
        <v/>
      </c>
      <c r="U269">
        <f>IFERROR(IF(ISNUMBER(INDEX(SPPR!$E:$Z,MATCH($A269,SPPR!$A:$A,0),18)),$C269*INDEX(SPPR!$E:$Z,MATCH($A269,SPPR!$A:$A,0),18),""),"")</f>
        <v/>
      </c>
      <c r="V269">
        <f>IFERROR(IF(ISNUMBER(INDEX(SPPR!$E:$Z,MATCH($A269,SPPR!$A:$A,0),19)),$C269*INDEX(SPPR!$E:$Z,MATCH($A269,SPPR!$A:$A,0),19),""),"")</f>
        <v/>
      </c>
      <c r="W269">
        <f>IFERROR(IF(ISNUMBER(INDEX(SPPR!$E:$Z,MATCH($A269,SPPR!$A:$A,0),20)),$C269*INDEX(SPPR!$E:$Z,MATCH($A269,SPPR!$A:$A,0),20),""),"")</f>
        <v/>
      </c>
      <c r="X269">
        <f>IFERROR(IF(ISNUMBER(INDEX(SPPR!$E:$Z,MATCH($A269,SPPR!$A:$A,0),21)),$C269*INDEX(SPPR!$E:$Z,MATCH($A269,SPPR!$A:$A,0),21),""),"")</f>
        <v/>
      </c>
      <c r="Y269">
        <f>IFERROR(IF(ISNUMBER(INDEX(SPPR!$E:$Z,MATCH($A269,SPPR!$A:$A,0),22)),$C269*INDEX(SPPR!$E:$Z,MATCH($A269,SPPR!$A:$A,0),22),""),"")</f>
        <v/>
      </c>
    </row>
    <row r="270">
      <c r="A270" t="inlineStr">
        <is>
          <t>Fistularia tabacaria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IFERROR(IF(ISNUMBER(INDEX(SPPR!$E:$Z,MATCH($A270,SPPR!$A:$A,0),1)),$C270*INDEX(SPPR!$E:$Z,MATCH($A270,SPPR!$A:$A,0),1),""),"")</f>
        <v/>
      </c>
      <c r="E270">
        <f>IFERROR(IF(ISNUMBER(INDEX(SPPR!$E:$Z,MATCH($A270,SPPR!$A:$A,0),2)),$C270*INDEX(SPPR!$E:$Z,MATCH($A270,SPPR!$A:$A,0),2),""),"")</f>
        <v/>
      </c>
      <c r="F270">
        <f>IFERROR(IF(ISNUMBER(INDEX(SPPR!$E:$Z,MATCH($A270,SPPR!$A:$A,0),3)),$C270*INDEX(SPPR!$E:$Z,MATCH($A270,SPPR!$A:$A,0),3),""),"")</f>
        <v/>
      </c>
      <c r="G270">
        <f>IFERROR(IF(ISNUMBER(INDEX(SPPR!$E:$Z,MATCH($A270,SPPR!$A:$A,0),4)),$C270*INDEX(SPPR!$E:$Z,MATCH($A270,SPPR!$A:$A,0),4),""),"")</f>
        <v/>
      </c>
      <c r="H270">
        <f>IFERROR(IF(ISNUMBER(INDEX(SPPR!$E:$Z,MATCH($A270,SPPR!$A:$A,0),5)),$C270*INDEX(SPPR!$E:$Z,MATCH($A270,SPPR!$A:$A,0),5),""),"")</f>
        <v/>
      </c>
      <c r="I270">
        <f>IFERROR(IF(ISNUMBER(INDEX(SPPR!$E:$Z,MATCH($A270,SPPR!$A:$A,0),6)),$C270*INDEX(SPPR!$E:$Z,MATCH($A270,SPPR!$A:$A,0),6),""),"")</f>
        <v/>
      </c>
      <c r="J270">
        <f>IFERROR(IF(ISNUMBER(INDEX(SPPR!$E:$Z,MATCH($A270,SPPR!$A:$A,0),7)),$C270*INDEX(SPPR!$E:$Z,MATCH($A270,SPPR!$A:$A,0),7),""),"")</f>
        <v/>
      </c>
      <c r="K270">
        <f>IFERROR(IF(ISNUMBER(INDEX(SPPR!$E:$Z,MATCH($A270,SPPR!$A:$A,0),8)),$C270*INDEX(SPPR!$E:$Z,MATCH($A270,SPPR!$A:$A,0),8),""),"")</f>
        <v/>
      </c>
      <c r="L270">
        <f>IFERROR(IF(ISNUMBER(INDEX(SPPR!$E:$Z,MATCH($A270,SPPR!$A:$A,0),9)),$C270*INDEX(SPPR!$E:$Z,MATCH($A270,SPPR!$A:$A,0),9),""),"")</f>
        <v/>
      </c>
      <c r="M270">
        <f>IFERROR(IF(ISNUMBER(INDEX(SPPR!$E:$Z,MATCH($A270,SPPR!$A:$A,0),10)),$C270*INDEX(SPPR!$E:$Z,MATCH($A270,SPPR!$A:$A,0),10),""),"")</f>
        <v/>
      </c>
      <c r="N270">
        <f>IFERROR(IF(ISNUMBER(INDEX(SPPR!$E:$Z,MATCH($A270,SPPR!$A:$A,0),11)),$C270*INDEX(SPPR!$E:$Z,MATCH($A270,SPPR!$A:$A,0),11),""),"")</f>
        <v/>
      </c>
      <c r="O270">
        <f>IFERROR(IF(ISNUMBER(INDEX(SPPR!$E:$Z,MATCH($A270,SPPR!$A:$A,0),12)),$C270*INDEX(SPPR!$E:$Z,MATCH($A270,SPPR!$A:$A,0),12),""),"")</f>
        <v/>
      </c>
      <c r="P270">
        <f>IFERROR(IF(ISNUMBER(INDEX(SPPR!$E:$Z,MATCH($A270,SPPR!$A:$A,0),13)),$C270*INDEX(SPPR!$E:$Z,MATCH($A270,SPPR!$A:$A,0),13),""),"")</f>
        <v/>
      </c>
      <c r="Q270">
        <f>IFERROR(IF(ISNUMBER(INDEX(SPPR!$E:$Z,MATCH($A270,SPPR!$A:$A,0),14)),$C270*INDEX(SPPR!$E:$Z,MATCH($A270,SPPR!$A:$A,0),14),""),"")</f>
        <v/>
      </c>
      <c r="R270">
        <f>IFERROR(IF(ISNUMBER(INDEX(SPPR!$E:$Z,MATCH($A270,SPPR!$A:$A,0),15)),$C270*INDEX(SPPR!$E:$Z,MATCH($A270,SPPR!$A:$A,0),15),""),"")</f>
        <v/>
      </c>
      <c r="S270">
        <f>IFERROR(IF(ISNUMBER(INDEX(SPPR!$E:$Z,MATCH($A270,SPPR!$A:$A,0),16)),$C270*INDEX(SPPR!$E:$Z,MATCH($A270,SPPR!$A:$A,0),16),""),"")</f>
        <v/>
      </c>
      <c r="T270">
        <f>IFERROR(IF(ISNUMBER(INDEX(SPPR!$E:$Z,MATCH($A270,SPPR!$A:$A,0),17)),$C270*INDEX(SPPR!$E:$Z,MATCH($A270,SPPR!$A:$A,0),17),""),"")</f>
        <v/>
      </c>
      <c r="U270">
        <f>IFERROR(IF(ISNUMBER(INDEX(SPPR!$E:$Z,MATCH($A270,SPPR!$A:$A,0),18)),$C270*INDEX(SPPR!$E:$Z,MATCH($A270,SPPR!$A:$A,0),18),""),"")</f>
        <v/>
      </c>
      <c r="V270">
        <f>IFERROR(IF(ISNUMBER(INDEX(SPPR!$E:$Z,MATCH($A270,SPPR!$A:$A,0),19)),$C270*INDEX(SPPR!$E:$Z,MATCH($A270,SPPR!$A:$A,0),19),""),"")</f>
        <v/>
      </c>
      <c r="W270">
        <f>IFERROR(IF(ISNUMBER(INDEX(SPPR!$E:$Z,MATCH($A270,SPPR!$A:$A,0),20)),$C270*INDEX(SPPR!$E:$Z,MATCH($A270,SPPR!$A:$A,0),20),""),"")</f>
        <v/>
      </c>
      <c r="X270">
        <f>IFERROR(IF(ISNUMBER(INDEX(SPPR!$E:$Z,MATCH($A270,SPPR!$A:$A,0),21)),$C270*INDEX(SPPR!$E:$Z,MATCH($A270,SPPR!$A:$A,0),21),""),"")</f>
        <v/>
      </c>
      <c r="Y270">
        <f>IFERROR(IF(ISNUMBER(INDEX(SPPR!$E:$Z,MATCH($A270,SPPR!$A:$A,0),22)),$C270*INDEX(SPPR!$E:$Z,MATCH($A270,SPPR!$A:$A,0),22),""),"")</f>
        <v/>
      </c>
    </row>
    <row r="271">
      <c r="A271" t="inlineStr">
        <is>
          <t>Sphyrna lewini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IFERROR(IF(ISNUMBER(INDEX(SPPR!$E:$Z,MATCH($A271,SPPR!$A:$A,0),1)),$C271*INDEX(SPPR!$E:$Z,MATCH($A271,SPPR!$A:$A,0),1),""),"")</f>
        <v/>
      </c>
      <c r="E271">
        <f>IFERROR(IF(ISNUMBER(INDEX(SPPR!$E:$Z,MATCH($A271,SPPR!$A:$A,0),2)),$C271*INDEX(SPPR!$E:$Z,MATCH($A271,SPPR!$A:$A,0),2),""),"")</f>
        <v/>
      </c>
      <c r="F271">
        <f>IFERROR(IF(ISNUMBER(INDEX(SPPR!$E:$Z,MATCH($A271,SPPR!$A:$A,0),3)),$C271*INDEX(SPPR!$E:$Z,MATCH($A271,SPPR!$A:$A,0),3),""),"")</f>
        <v/>
      </c>
      <c r="G271">
        <f>IFERROR(IF(ISNUMBER(INDEX(SPPR!$E:$Z,MATCH($A271,SPPR!$A:$A,0),4)),$C271*INDEX(SPPR!$E:$Z,MATCH($A271,SPPR!$A:$A,0),4),""),"")</f>
        <v/>
      </c>
      <c r="H271">
        <f>IFERROR(IF(ISNUMBER(INDEX(SPPR!$E:$Z,MATCH($A271,SPPR!$A:$A,0),5)),$C271*INDEX(SPPR!$E:$Z,MATCH($A271,SPPR!$A:$A,0),5),""),"")</f>
        <v/>
      </c>
      <c r="I271">
        <f>IFERROR(IF(ISNUMBER(INDEX(SPPR!$E:$Z,MATCH($A271,SPPR!$A:$A,0),6)),$C271*INDEX(SPPR!$E:$Z,MATCH($A271,SPPR!$A:$A,0),6),""),"")</f>
        <v/>
      </c>
      <c r="J271">
        <f>IFERROR(IF(ISNUMBER(INDEX(SPPR!$E:$Z,MATCH($A271,SPPR!$A:$A,0),7)),$C271*INDEX(SPPR!$E:$Z,MATCH($A271,SPPR!$A:$A,0),7),""),"")</f>
        <v/>
      </c>
      <c r="K271">
        <f>IFERROR(IF(ISNUMBER(INDEX(SPPR!$E:$Z,MATCH($A271,SPPR!$A:$A,0),8)),$C271*INDEX(SPPR!$E:$Z,MATCH($A271,SPPR!$A:$A,0),8),""),"")</f>
        <v/>
      </c>
      <c r="L271">
        <f>IFERROR(IF(ISNUMBER(INDEX(SPPR!$E:$Z,MATCH($A271,SPPR!$A:$A,0),9)),$C271*INDEX(SPPR!$E:$Z,MATCH($A271,SPPR!$A:$A,0),9),""),"")</f>
        <v/>
      </c>
      <c r="M271">
        <f>IFERROR(IF(ISNUMBER(INDEX(SPPR!$E:$Z,MATCH($A271,SPPR!$A:$A,0),10)),$C271*INDEX(SPPR!$E:$Z,MATCH($A271,SPPR!$A:$A,0),10),""),"")</f>
        <v/>
      </c>
      <c r="N271">
        <f>IFERROR(IF(ISNUMBER(INDEX(SPPR!$E:$Z,MATCH($A271,SPPR!$A:$A,0),11)),$C271*INDEX(SPPR!$E:$Z,MATCH($A271,SPPR!$A:$A,0),11),""),"")</f>
        <v/>
      </c>
      <c r="O271">
        <f>IFERROR(IF(ISNUMBER(INDEX(SPPR!$E:$Z,MATCH($A271,SPPR!$A:$A,0),12)),$C271*INDEX(SPPR!$E:$Z,MATCH($A271,SPPR!$A:$A,0),12),""),"")</f>
        <v/>
      </c>
      <c r="P271">
        <f>IFERROR(IF(ISNUMBER(INDEX(SPPR!$E:$Z,MATCH($A271,SPPR!$A:$A,0),13)),$C271*INDEX(SPPR!$E:$Z,MATCH($A271,SPPR!$A:$A,0),13),""),"")</f>
        <v/>
      </c>
      <c r="Q271">
        <f>IFERROR(IF(ISNUMBER(INDEX(SPPR!$E:$Z,MATCH($A271,SPPR!$A:$A,0),14)),$C271*INDEX(SPPR!$E:$Z,MATCH($A271,SPPR!$A:$A,0),14),""),"")</f>
        <v/>
      </c>
      <c r="R271">
        <f>IFERROR(IF(ISNUMBER(INDEX(SPPR!$E:$Z,MATCH($A271,SPPR!$A:$A,0),15)),$C271*INDEX(SPPR!$E:$Z,MATCH($A271,SPPR!$A:$A,0),15),""),"")</f>
        <v/>
      </c>
      <c r="S271">
        <f>IFERROR(IF(ISNUMBER(INDEX(SPPR!$E:$Z,MATCH($A271,SPPR!$A:$A,0),16)),$C271*INDEX(SPPR!$E:$Z,MATCH($A271,SPPR!$A:$A,0),16),""),"")</f>
        <v/>
      </c>
      <c r="T271">
        <f>IFERROR(IF(ISNUMBER(INDEX(SPPR!$E:$Z,MATCH($A271,SPPR!$A:$A,0),17)),$C271*INDEX(SPPR!$E:$Z,MATCH($A271,SPPR!$A:$A,0),17),""),"")</f>
        <v/>
      </c>
      <c r="U271">
        <f>IFERROR(IF(ISNUMBER(INDEX(SPPR!$E:$Z,MATCH($A271,SPPR!$A:$A,0),18)),$C271*INDEX(SPPR!$E:$Z,MATCH($A271,SPPR!$A:$A,0),18),""),"")</f>
        <v/>
      </c>
      <c r="V271">
        <f>IFERROR(IF(ISNUMBER(INDEX(SPPR!$E:$Z,MATCH($A271,SPPR!$A:$A,0),19)),$C271*INDEX(SPPR!$E:$Z,MATCH($A271,SPPR!$A:$A,0),19),""),"")</f>
        <v/>
      </c>
      <c r="W271">
        <f>IFERROR(IF(ISNUMBER(INDEX(SPPR!$E:$Z,MATCH($A271,SPPR!$A:$A,0),20)),$C271*INDEX(SPPR!$E:$Z,MATCH($A271,SPPR!$A:$A,0),20),""),"")</f>
        <v/>
      </c>
      <c r="X271">
        <f>IFERROR(IF(ISNUMBER(INDEX(SPPR!$E:$Z,MATCH($A271,SPPR!$A:$A,0),21)),$C271*INDEX(SPPR!$E:$Z,MATCH($A271,SPPR!$A:$A,0),21),""),"")</f>
        <v/>
      </c>
      <c r="Y271">
        <f>IFERROR(IF(ISNUMBER(INDEX(SPPR!$E:$Z,MATCH($A271,SPPR!$A:$A,0),22)),$C271*INDEX(SPPR!$E:$Z,MATCH($A271,SPPR!$A:$A,0),22),""),"")</f>
        <v/>
      </c>
    </row>
    <row r="272">
      <c r="A272" t="inlineStr">
        <is>
          <t>Panulirus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IFERROR(IF(ISNUMBER(INDEX(SPPR!$E:$Z,MATCH($A272,SPPR!$A:$A,0),1)),$C272*INDEX(SPPR!$E:$Z,MATCH($A272,SPPR!$A:$A,0),1),""),"")</f>
        <v/>
      </c>
      <c r="E272">
        <f>IFERROR(IF(ISNUMBER(INDEX(SPPR!$E:$Z,MATCH($A272,SPPR!$A:$A,0),2)),$C272*INDEX(SPPR!$E:$Z,MATCH($A272,SPPR!$A:$A,0),2),""),"")</f>
        <v/>
      </c>
      <c r="F272">
        <f>IFERROR(IF(ISNUMBER(INDEX(SPPR!$E:$Z,MATCH($A272,SPPR!$A:$A,0),3)),$C272*INDEX(SPPR!$E:$Z,MATCH($A272,SPPR!$A:$A,0),3),""),"")</f>
        <v/>
      </c>
      <c r="G272">
        <f>IFERROR(IF(ISNUMBER(INDEX(SPPR!$E:$Z,MATCH($A272,SPPR!$A:$A,0),4)),$C272*INDEX(SPPR!$E:$Z,MATCH($A272,SPPR!$A:$A,0),4),""),"")</f>
        <v/>
      </c>
      <c r="H272">
        <f>IFERROR(IF(ISNUMBER(INDEX(SPPR!$E:$Z,MATCH($A272,SPPR!$A:$A,0),5)),$C272*INDEX(SPPR!$E:$Z,MATCH($A272,SPPR!$A:$A,0),5),""),"")</f>
        <v/>
      </c>
      <c r="I272">
        <f>IFERROR(IF(ISNUMBER(INDEX(SPPR!$E:$Z,MATCH($A272,SPPR!$A:$A,0),6)),$C272*INDEX(SPPR!$E:$Z,MATCH($A272,SPPR!$A:$A,0),6),""),"")</f>
        <v/>
      </c>
      <c r="J272">
        <f>IFERROR(IF(ISNUMBER(INDEX(SPPR!$E:$Z,MATCH($A272,SPPR!$A:$A,0),7)),$C272*INDEX(SPPR!$E:$Z,MATCH($A272,SPPR!$A:$A,0),7),""),"")</f>
        <v/>
      </c>
      <c r="K272">
        <f>IFERROR(IF(ISNUMBER(INDEX(SPPR!$E:$Z,MATCH($A272,SPPR!$A:$A,0),8)),$C272*INDEX(SPPR!$E:$Z,MATCH($A272,SPPR!$A:$A,0),8),""),"")</f>
        <v/>
      </c>
      <c r="L272">
        <f>IFERROR(IF(ISNUMBER(INDEX(SPPR!$E:$Z,MATCH($A272,SPPR!$A:$A,0),9)),$C272*INDEX(SPPR!$E:$Z,MATCH($A272,SPPR!$A:$A,0),9),""),"")</f>
        <v/>
      </c>
      <c r="M272">
        <f>IFERROR(IF(ISNUMBER(INDEX(SPPR!$E:$Z,MATCH($A272,SPPR!$A:$A,0),10)),$C272*INDEX(SPPR!$E:$Z,MATCH($A272,SPPR!$A:$A,0),10),""),"")</f>
        <v/>
      </c>
      <c r="N272">
        <f>IFERROR(IF(ISNUMBER(INDEX(SPPR!$E:$Z,MATCH($A272,SPPR!$A:$A,0),11)),$C272*INDEX(SPPR!$E:$Z,MATCH($A272,SPPR!$A:$A,0),11),""),"")</f>
        <v/>
      </c>
      <c r="O272">
        <f>IFERROR(IF(ISNUMBER(INDEX(SPPR!$E:$Z,MATCH($A272,SPPR!$A:$A,0),12)),$C272*INDEX(SPPR!$E:$Z,MATCH($A272,SPPR!$A:$A,0),12),""),"")</f>
        <v/>
      </c>
      <c r="P272">
        <f>IFERROR(IF(ISNUMBER(INDEX(SPPR!$E:$Z,MATCH($A272,SPPR!$A:$A,0),13)),$C272*INDEX(SPPR!$E:$Z,MATCH($A272,SPPR!$A:$A,0),13),""),"")</f>
        <v/>
      </c>
      <c r="Q272">
        <f>IFERROR(IF(ISNUMBER(INDEX(SPPR!$E:$Z,MATCH($A272,SPPR!$A:$A,0),14)),$C272*INDEX(SPPR!$E:$Z,MATCH($A272,SPPR!$A:$A,0),14),""),"")</f>
        <v/>
      </c>
      <c r="R272">
        <f>IFERROR(IF(ISNUMBER(INDEX(SPPR!$E:$Z,MATCH($A272,SPPR!$A:$A,0),15)),$C272*INDEX(SPPR!$E:$Z,MATCH($A272,SPPR!$A:$A,0),15),""),"")</f>
        <v/>
      </c>
      <c r="S272">
        <f>IFERROR(IF(ISNUMBER(INDEX(SPPR!$E:$Z,MATCH($A272,SPPR!$A:$A,0),16)),$C272*INDEX(SPPR!$E:$Z,MATCH($A272,SPPR!$A:$A,0),16),""),"")</f>
        <v/>
      </c>
      <c r="T272">
        <f>IFERROR(IF(ISNUMBER(INDEX(SPPR!$E:$Z,MATCH($A272,SPPR!$A:$A,0),17)),$C272*INDEX(SPPR!$E:$Z,MATCH($A272,SPPR!$A:$A,0),17),""),"")</f>
        <v/>
      </c>
      <c r="U272">
        <f>IFERROR(IF(ISNUMBER(INDEX(SPPR!$E:$Z,MATCH($A272,SPPR!$A:$A,0),18)),$C272*INDEX(SPPR!$E:$Z,MATCH($A272,SPPR!$A:$A,0),18),""),"")</f>
        <v/>
      </c>
      <c r="V272">
        <f>IFERROR(IF(ISNUMBER(INDEX(SPPR!$E:$Z,MATCH($A272,SPPR!$A:$A,0),19)),$C272*INDEX(SPPR!$E:$Z,MATCH($A272,SPPR!$A:$A,0),19),""),"")</f>
        <v/>
      </c>
      <c r="W272">
        <f>IFERROR(IF(ISNUMBER(INDEX(SPPR!$E:$Z,MATCH($A272,SPPR!$A:$A,0),20)),$C272*INDEX(SPPR!$E:$Z,MATCH($A272,SPPR!$A:$A,0),20),""),"")</f>
        <v/>
      </c>
      <c r="X272">
        <f>IFERROR(IF(ISNUMBER(INDEX(SPPR!$E:$Z,MATCH($A272,SPPR!$A:$A,0),21)),$C272*INDEX(SPPR!$E:$Z,MATCH($A272,SPPR!$A:$A,0),21),""),"")</f>
        <v/>
      </c>
      <c r="Y272">
        <f>IFERROR(IF(ISNUMBER(INDEX(SPPR!$E:$Z,MATCH($A272,SPPR!$A:$A,0),22)),$C272*INDEX(SPPR!$E:$Z,MATCH($A272,SPPR!$A:$A,0),22),""),"")</f>
        <v/>
      </c>
    </row>
    <row r="273">
      <c r="A273" t="inlineStr">
        <is>
          <t>Alopias vulpinus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IFERROR(IF(ISNUMBER(INDEX(SPPR!$E:$Z,MATCH($A273,SPPR!$A:$A,0),1)),$C273*INDEX(SPPR!$E:$Z,MATCH($A273,SPPR!$A:$A,0),1),""),"")</f>
        <v/>
      </c>
      <c r="E273">
        <f>IFERROR(IF(ISNUMBER(INDEX(SPPR!$E:$Z,MATCH($A273,SPPR!$A:$A,0),2)),$C273*INDEX(SPPR!$E:$Z,MATCH($A273,SPPR!$A:$A,0),2),""),"")</f>
        <v/>
      </c>
      <c r="F273">
        <f>IFERROR(IF(ISNUMBER(INDEX(SPPR!$E:$Z,MATCH($A273,SPPR!$A:$A,0),3)),$C273*INDEX(SPPR!$E:$Z,MATCH($A273,SPPR!$A:$A,0),3),""),"")</f>
        <v/>
      </c>
      <c r="G273">
        <f>IFERROR(IF(ISNUMBER(INDEX(SPPR!$E:$Z,MATCH($A273,SPPR!$A:$A,0),4)),$C273*INDEX(SPPR!$E:$Z,MATCH($A273,SPPR!$A:$A,0),4),""),"")</f>
        <v/>
      </c>
      <c r="H273">
        <f>IFERROR(IF(ISNUMBER(INDEX(SPPR!$E:$Z,MATCH($A273,SPPR!$A:$A,0),5)),$C273*INDEX(SPPR!$E:$Z,MATCH($A273,SPPR!$A:$A,0),5),""),"")</f>
        <v/>
      </c>
      <c r="I273">
        <f>IFERROR(IF(ISNUMBER(INDEX(SPPR!$E:$Z,MATCH($A273,SPPR!$A:$A,0),6)),$C273*INDEX(SPPR!$E:$Z,MATCH($A273,SPPR!$A:$A,0),6),""),"")</f>
        <v/>
      </c>
      <c r="J273">
        <f>IFERROR(IF(ISNUMBER(INDEX(SPPR!$E:$Z,MATCH($A273,SPPR!$A:$A,0),7)),$C273*INDEX(SPPR!$E:$Z,MATCH($A273,SPPR!$A:$A,0),7),""),"")</f>
        <v/>
      </c>
      <c r="K273">
        <f>IFERROR(IF(ISNUMBER(INDEX(SPPR!$E:$Z,MATCH($A273,SPPR!$A:$A,0),8)),$C273*INDEX(SPPR!$E:$Z,MATCH($A273,SPPR!$A:$A,0),8),""),"")</f>
        <v/>
      </c>
      <c r="L273">
        <f>IFERROR(IF(ISNUMBER(INDEX(SPPR!$E:$Z,MATCH($A273,SPPR!$A:$A,0),9)),$C273*INDEX(SPPR!$E:$Z,MATCH($A273,SPPR!$A:$A,0),9),""),"")</f>
        <v/>
      </c>
      <c r="M273">
        <f>IFERROR(IF(ISNUMBER(INDEX(SPPR!$E:$Z,MATCH($A273,SPPR!$A:$A,0),10)),$C273*INDEX(SPPR!$E:$Z,MATCH($A273,SPPR!$A:$A,0),10),""),"")</f>
        <v/>
      </c>
      <c r="N273">
        <f>IFERROR(IF(ISNUMBER(INDEX(SPPR!$E:$Z,MATCH($A273,SPPR!$A:$A,0),11)),$C273*INDEX(SPPR!$E:$Z,MATCH($A273,SPPR!$A:$A,0),11),""),"")</f>
        <v/>
      </c>
      <c r="O273">
        <f>IFERROR(IF(ISNUMBER(INDEX(SPPR!$E:$Z,MATCH($A273,SPPR!$A:$A,0),12)),$C273*INDEX(SPPR!$E:$Z,MATCH($A273,SPPR!$A:$A,0),12),""),"")</f>
        <v/>
      </c>
      <c r="P273">
        <f>IFERROR(IF(ISNUMBER(INDEX(SPPR!$E:$Z,MATCH($A273,SPPR!$A:$A,0),13)),$C273*INDEX(SPPR!$E:$Z,MATCH($A273,SPPR!$A:$A,0),13),""),"")</f>
        <v/>
      </c>
      <c r="Q273">
        <f>IFERROR(IF(ISNUMBER(INDEX(SPPR!$E:$Z,MATCH($A273,SPPR!$A:$A,0),14)),$C273*INDEX(SPPR!$E:$Z,MATCH($A273,SPPR!$A:$A,0),14),""),"")</f>
        <v/>
      </c>
      <c r="R273">
        <f>IFERROR(IF(ISNUMBER(INDEX(SPPR!$E:$Z,MATCH($A273,SPPR!$A:$A,0),15)),$C273*INDEX(SPPR!$E:$Z,MATCH($A273,SPPR!$A:$A,0),15),""),"")</f>
        <v/>
      </c>
      <c r="S273">
        <f>IFERROR(IF(ISNUMBER(INDEX(SPPR!$E:$Z,MATCH($A273,SPPR!$A:$A,0),16)),$C273*INDEX(SPPR!$E:$Z,MATCH($A273,SPPR!$A:$A,0),16),""),"")</f>
        <v/>
      </c>
      <c r="T273">
        <f>IFERROR(IF(ISNUMBER(INDEX(SPPR!$E:$Z,MATCH($A273,SPPR!$A:$A,0),17)),$C273*INDEX(SPPR!$E:$Z,MATCH($A273,SPPR!$A:$A,0),17),""),"")</f>
        <v/>
      </c>
      <c r="U273">
        <f>IFERROR(IF(ISNUMBER(INDEX(SPPR!$E:$Z,MATCH($A273,SPPR!$A:$A,0),18)),$C273*INDEX(SPPR!$E:$Z,MATCH($A273,SPPR!$A:$A,0),18),""),"")</f>
        <v/>
      </c>
      <c r="V273">
        <f>IFERROR(IF(ISNUMBER(INDEX(SPPR!$E:$Z,MATCH($A273,SPPR!$A:$A,0),19)),$C273*INDEX(SPPR!$E:$Z,MATCH($A273,SPPR!$A:$A,0),19),""),"")</f>
        <v/>
      </c>
      <c r="W273">
        <f>IFERROR(IF(ISNUMBER(INDEX(SPPR!$E:$Z,MATCH($A273,SPPR!$A:$A,0),20)),$C273*INDEX(SPPR!$E:$Z,MATCH($A273,SPPR!$A:$A,0),20),""),"")</f>
        <v/>
      </c>
      <c r="X273">
        <f>IFERROR(IF(ISNUMBER(INDEX(SPPR!$E:$Z,MATCH($A273,SPPR!$A:$A,0),21)),$C273*INDEX(SPPR!$E:$Z,MATCH($A273,SPPR!$A:$A,0),21),""),"")</f>
        <v/>
      </c>
      <c r="Y273">
        <f>IFERROR(IF(ISNUMBER(INDEX(SPPR!$E:$Z,MATCH($A273,SPPR!$A:$A,0),22)),$C273*INDEX(SPPR!$E:$Z,MATCH($A273,SPPR!$A:$A,0),22),""),"")</f>
        <v/>
      </c>
    </row>
    <row r="274">
      <c r="A274" t="inlineStr">
        <is>
          <t>Helicolenus dactylopterus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IFERROR(IF(ISNUMBER(INDEX(SPPR!$E:$Z,MATCH($A274,SPPR!$A:$A,0),1)),$C274*INDEX(SPPR!$E:$Z,MATCH($A274,SPPR!$A:$A,0),1),""),"")</f>
        <v/>
      </c>
      <c r="E274">
        <f>IFERROR(IF(ISNUMBER(INDEX(SPPR!$E:$Z,MATCH($A274,SPPR!$A:$A,0),2)),$C274*INDEX(SPPR!$E:$Z,MATCH($A274,SPPR!$A:$A,0),2),""),"")</f>
        <v/>
      </c>
      <c r="F274">
        <f>IFERROR(IF(ISNUMBER(INDEX(SPPR!$E:$Z,MATCH($A274,SPPR!$A:$A,0),3)),$C274*INDEX(SPPR!$E:$Z,MATCH($A274,SPPR!$A:$A,0),3),""),"")</f>
        <v/>
      </c>
      <c r="G274">
        <f>IFERROR(IF(ISNUMBER(INDEX(SPPR!$E:$Z,MATCH($A274,SPPR!$A:$A,0),4)),$C274*INDEX(SPPR!$E:$Z,MATCH($A274,SPPR!$A:$A,0),4),""),"")</f>
        <v/>
      </c>
      <c r="H274">
        <f>IFERROR(IF(ISNUMBER(INDEX(SPPR!$E:$Z,MATCH($A274,SPPR!$A:$A,0),5)),$C274*INDEX(SPPR!$E:$Z,MATCH($A274,SPPR!$A:$A,0),5),""),"")</f>
        <v/>
      </c>
      <c r="I274">
        <f>IFERROR(IF(ISNUMBER(INDEX(SPPR!$E:$Z,MATCH($A274,SPPR!$A:$A,0),6)),$C274*INDEX(SPPR!$E:$Z,MATCH($A274,SPPR!$A:$A,0),6),""),"")</f>
        <v/>
      </c>
      <c r="J274">
        <f>IFERROR(IF(ISNUMBER(INDEX(SPPR!$E:$Z,MATCH($A274,SPPR!$A:$A,0),7)),$C274*INDEX(SPPR!$E:$Z,MATCH($A274,SPPR!$A:$A,0),7),""),"")</f>
        <v/>
      </c>
      <c r="K274">
        <f>IFERROR(IF(ISNUMBER(INDEX(SPPR!$E:$Z,MATCH($A274,SPPR!$A:$A,0),8)),$C274*INDEX(SPPR!$E:$Z,MATCH($A274,SPPR!$A:$A,0),8),""),"")</f>
        <v/>
      </c>
      <c r="L274">
        <f>IFERROR(IF(ISNUMBER(INDEX(SPPR!$E:$Z,MATCH($A274,SPPR!$A:$A,0),9)),$C274*INDEX(SPPR!$E:$Z,MATCH($A274,SPPR!$A:$A,0),9),""),"")</f>
        <v/>
      </c>
      <c r="M274">
        <f>IFERROR(IF(ISNUMBER(INDEX(SPPR!$E:$Z,MATCH($A274,SPPR!$A:$A,0),10)),$C274*INDEX(SPPR!$E:$Z,MATCH($A274,SPPR!$A:$A,0),10),""),"")</f>
        <v/>
      </c>
      <c r="N274">
        <f>IFERROR(IF(ISNUMBER(INDEX(SPPR!$E:$Z,MATCH($A274,SPPR!$A:$A,0),11)),$C274*INDEX(SPPR!$E:$Z,MATCH($A274,SPPR!$A:$A,0),11),""),"")</f>
        <v/>
      </c>
      <c r="O274">
        <f>IFERROR(IF(ISNUMBER(INDEX(SPPR!$E:$Z,MATCH($A274,SPPR!$A:$A,0),12)),$C274*INDEX(SPPR!$E:$Z,MATCH($A274,SPPR!$A:$A,0),12),""),"")</f>
        <v/>
      </c>
      <c r="P274">
        <f>IFERROR(IF(ISNUMBER(INDEX(SPPR!$E:$Z,MATCH($A274,SPPR!$A:$A,0),13)),$C274*INDEX(SPPR!$E:$Z,MATCH($A274,SPPR!$A:$A,0),13),""),"")</f>
        <v/>
      </c>
      <c r="Q274">
        <f>IFERROR(IF(ISNUMBER(INDEX(SPPR!$E:$Z,MATCH($A274,SPPR!$A:$A,0),14)),$C274*INDEX(SPPR!$E:$Z,MATCH($A274,SPPR!$A:$A,0),14),""),"")</f>
        <v/>
      </c>
      <c r="R274">
        <f>IFERROR(IF(ISNUMBER(INDEX(SPPR!$E:$Z,MATCH($A274,SPPR!$A:$A,0),15)),$C274*INDEX(SPPR!$E:$Z,MATCH($A274,SPPR!$A:$A,0),15),""),"")</f>
        <v/>
      </c>
      <c r="S274">
        <f>IFERROR(IF(ISNUMBER(INDEX(SPPR!$E:$Z,MATCH($A274,SPPR!$A:$A,0),16)),$C274*INDEX(SPPR!$E:$Z,MATCH($A274,SPPR!$A:$A,0),16),""),"")</f>
        <v/>
      </c>
      <c r="T274">
        <f>IFERROR(IF(ISNUMBER(INDEX(SPPR!$E:$Z,MATCH($A274,SPPR!$A:$A,0),17)),$C274*INDEX(SPPR!$E:$Z,MATCH($A274,SPPR!$A:$A,0),17),""),"")</f>
        <v/>
      </c>
      <c r="U274">
        <f>IFERROR(IF(ISNUMBER(INDEX(SPPR!$E:$Z,MATCH($A274,SPPR!$A:$A,0),18)),$C274*INDEX(SPPR!$E:$Z,MATCH($A274,SPPR!$A:$A,0),18),""),"")</f>
        <v/>
      </c>
      <c r="V274">
        <f>IFERROR(IF(ISNUMBER(INDEX(SPPR!$E:$Z,MATCH($A274,SPPR!$A:$A,0),19)),$C274*INDEX(SPPR!$E:$Z,MATCH($A274,SPPR!$A:$A,0),19),""),"")</f>
        <v/>
      </c>
      <c r="W274">
        <f>IFERROR(IF(ISNUMBER(INDEX(SPPR!$E:$Z,MATCH($A274,SPPR!$A:$A,0),20)),$C274*INDEX(SPPR!$E:$Z,MATCH($A274,SPPR!$A:$A,0),20),""),"")</f>
        <v/>
      </c>
      <c r="X274">
        <f>IFERROR(IF(ISNUMBER(INDEX(SPPR!$E:$Z,MATCH($A274,SPPR!$A:$A,0),21)),$C274*INDEX(SPPR!$E:$Z,MATCH($A274,SPPR!$A:$A,0),21),""),"")</f>
        <v/>
      </c>
      <c r="Y274">
        <f>IFERROR(IF(ISNUMBER(INDEX(SPPR!$E:$Z,MATCH($A274,SPPR!$A:$A,0),22)),$C274*INDEX(SPPR!$E:$Z,MATCH($A274,SPPR!$A:$A,0),22),""),"")</f>
        <v/>
      </c>
    </row>
    <row r="275">
      <c r="A275" t="inlineStr">
        <is>
          <t>Marine finfishes not identified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IFERROR(IF(ISNUMBER(INDEX(SPPR!$E:$Z,MATCH($A275,SPPR!$A:$A,0),1)),$C275*INDEX(SPPR!$E:$Z,MATCH($A275,SPPR!$A:$A,0),1),""),"")</f>
        <v/>
      </c>
      <c r="E275">
        <f>IFERROR(IF(ISNUMBER(INDEX(SPPR!$E:$Z,MATCH($A275,SPPR!$A:$A,0),2)),$C275*INDEX(SPPR!$E:$Z,MATCH($A275,SPPR!$A:$A,0),2),""),"")</f>
        <v/>
      </c>
      <c r="F275">
        <f>IFERROR(IF(ISNUMBER(INDEX(SPPR!$E:$Z,MATCH($A275,SPPR!$A:$A,0),3)),$C275*INDEX(SPPR!$E:$Z,MATCH($A275,SPPR!$A:$A,0),3),""),"")</f>
        <v/>
      </c>
      <c r="G275">
        <f>IFERROR(IF(ISNUMBER(INDEX(SPPR!$E:$Z,MATCH($A275,SPPR!$A:$A,0),4)),$C275*INDEX(SPPR!$E:$Z,MATCH($A275,SPPR!$A:$A,0),4),""),"")</f>
        <v/>
      </c>
      <c r="H275">
        <f>IFERROR(IF(ISNUMBER(INDEX(SPPR!$E:$Z,MATCH($A275,SPPR!$A:$A,0),5)),$C275*INDEX(SPPR!$E:$Z,MATCH($A275,SPPR!$A:$A,0),5),""),"")</f>
        <v/>
      </c>
      <c r="I275">
        <f>IFERROR(IF(ISNUMBER(INDEX(SPPR!$E:$Z,MATCH($A275,SPPR!$A:$A,0),6)),$C275*INDEX(SPPR!$E:$Z,MATCH($A275,SPPR!$A:$A,0),6),""),"")</f>
        <v/>
      </c>
      <c r="J275">
        <f>IFERROR(IF(ISNUMBER(INDEX(SPPR!$E:$Z,MATCH($A275,SPPR!$A:$A,0),7)),$C275*INDEX(SPPR!$E:$Z,MATCH($A275,SPPR!$A:$A,0),7),""),"")</f>
        <v/>
      </c>
      <c r="K275">
        <f>IFERROR(IF(ISNUMBER(INDEX(SPPR!$E:$Z,MATCH($A275,SPPR!$A:$A,0),8)),$C275*INDEX(SPPR!$E:$Z,MATCH($A275,SPPR!$A:$A,0),8),""),"")</f>
        <v/>
      </c>
      <c r="L275">
        <f>IFERROR(IF(ISNUMBER(INDEX(SPPR!$E:$Z,MATCH($A275,SPPR!$A:$A,0),9)),$C275*INDEX(SPPR!$E:$Z,MATCH($A275,SPPR!$A:$A,0),9),""),"")</f>
        <v/>
      </c>
      <c r="M275">
        <f>IFERROR(IF(ISNUMBER(INDEX(SPPR!$E:$Z,MATCH($A275,SPPR!$A:$A,0),10)),$C275*INDEX(SPPR!$E:$Z,MATCH($A275,SPPR!$A:$A,0),10),""),"")</f>
        <v/>
      </c>
      <c r="N275">
        <f>IFERROR(IF(ISNUMBER(INDEX(SPPR!$E:$Z,MATCH($A275,SPPR!$A:$A,0),11)),$C275*INDEX(SPPR!$E:$Z,MATCH($A275,SPPR!$A:$A,0),11),""),"")</f>
        <v/>
      </c>
      <c r="O275">
        <f>IFERROR(IF(ISNUMBER(INDEX(SPPR!$E:$Z,MATCH($A275,SPPR!$A:$A,0),12)),$C275*INDEX(SPPR!$E:$Z,MATCH($A275,SPPR!$A:$A,0),12),""),"")</f>
        <v/>
      </c>
      <c r="P275">
        <f>IFERROR(IF(ISNUMBER(INDEX(SPPR!$E:$Z,MATCH($A275,SPPR!$A:$A,0),13)),$C275*INDEX(SPPR!$E:$Z,MATCH($A275,SPPR!$A:$A,0),13),""),"")</f>
        <v/>
      </c>
      <c r="Q275">
        <f>IFERROR(IF(ISNUMBER(INDEX(SPPR!$E:$Z,MATCH($A275,SPPR!$A:$A,0),14)),$C275*INDEX(SPPR!$E:$Z,MATCH($A275,SPPR!$A:$A,0),14),""),"")</f>
        <v/>
      </c>
      <c r="R275">
        <f>IFERROR(IF(ISNUMBER(INDEX(SPPR!$E:$Z,MATCH($A275,SPPR!$A:$A,0),15)),$C275*INDEX(SPPR!$E:$Z,MATCH($A275,SPPR!$A:$A,0),15),""),"")</f>
        <v/>
      </c>
      <c r="S275">
        <f>IFERROR(IF(ISNUMBER(INDEX(SPPR!$E:$Z,MATCH($A275,SPPR!$A:$A,0),16)),$C275*INDEX(SPPR!$E:$Z,MATCH($A275,SPPR!$A:$A,0),16),""),"")</f>
        <v/>
      </c>
      <c r="T275">
        <f>IFERROR(IF(ISNUMBER(INDEX(SPPR!$E:$Z,MATCH($A275,SPPR!$A:$A,0),17)),$C275*INDEX(SPPR!$E:$Z,MATCH($A275,SPPR!$A:$A,0),17),""),"")</f>
        <v/>
      </c>
      <c r="U275">
        <f>IFERROR(IF(ISNUMBER(INDEX(SPPR!$E:$Z,MATCH($A275,SPPR!$A:$A,0),18)),$C275*INDEX(SPPR!$E:$Z,MATCH($A275,SPPR!$A:$A,0),18),""),"")</f>
        <v/>
      </c>
      <c r="V275">
        <f>IFERROR(IF(ISNUMBER(INDEX(SPPR!$E:$Z,MATCH($A275,SPPR!$A:$A,0),19)),$C275*INDEX(SPPR!$E:$Z,MATCH($A275,SPPR!$A:$A,0),19),""),"")</f>
        <v/>
      </c>
      <c r="W275">
        <f>IFERROR(IF(ISNUMBER(INDEX(SPPR!$E:$Z,MATCH($A275,SPPR!$A:$A,0),20)),$C275*INDEX(SPPR!$E:$Z,MATCH($A275,SPPR!$A:$A,0),20),""),"")</f>
        <v/>
      </c>
      <c r="X275">
        <f>IFERROR(IF(ISNUMBER(INDEX(SPPR!$E:$Z,MATCH($A275,SPPR!$A:$A,0),21)),$C275*INDEX(SPPR!$E:$Z,MATCH($A275,SPPR!$A:$A,0),21),""),"")</f>
        <v/>
      </c>
      <c r="Y275">
        <f>IFERROR(IF(ISNUMBER(INDEX(SPPR!$E:$Z,MATCH($A275,SPPR!$A:$A,0),22)),$C275*INDEX(SPPR!$E:$Z,MATCH($A275,SPPR!$A:$A,0),22),""),"")</f>
        <v/>
      </c>
    </row>
    <row r="276">
      <c r="A276" t="inlineStr">
        <is>
          <t>Holocentrus adscensionis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IFERROR(IF(ISNUMBER(INDEX(SPPR!$E:$Z,MATCH($A276,SPPR!$A:$A,0),1)),$C276*INDEX(SPPR!$E:$Z,MATCH($A276,SPPR!$A:$A,0),1),""),"")</f>
        <v/>
      </c>
      <c r="E276">
        <f>IFERROR(IF(ISNUMBER(INDEX(SPPR!$E:$Z,MATCH($A276,SPPR!$A:$A,0),2)),$C276*INDEX(SPPR!$E:$Z,MATCH($A276,SPPR!$A:$A,0),2),""),"")</f>
        <v/>
      </c>
      <c r="F276">
        <f>IFERROR(IF(ISNUMBER(INDEX(SPPR!$E:$Z,MATCH($A276,SPPR!$A:$A,0),3)),$C276*INDEX(SPPR!$E:$Z,MATCH($A276,SPPR!$A:$A,0),3),""),"")</f>
        <v/>
      </c>
      <c r="G276">
        <f>IFERROR(IF(ISNUMBER(INDEX(SPPR!$E:$Z,MATCH($A276,SPPR!$A:$A,0),4)),$C276*INDEX(SPPR!$E:$Z,MATCH($A276,SPPR!$A:$A,0),4),""),"")</f>
        <v/>
      </c>
      <c r="H276">
        <f>IFERROR(IF(ISNUMBER(INDEX(SPPR!$E:$Z,MATCH($A276,SPPR!$A:$A,0),5)),$C276*INDEX(SPPR!$E:$Z,MATCH($A276,SPPR!$A:$A,0),5),""),"")</f>
        <v/>
      </c>
      <c r="I276">
        <f>IFERROR(IF(ISNUMBER(INDEX(SPPR!$E:$Z,MATCH($A276,SPPR!$A:$A,0),6)),$C276*INDEX(SPPR!$E:$Z,MATCH($A276,SPPR!$A:$A,0),6),""),"")</f>
        <v/>
      </c>
      <c r="J276">
        <f>IFERROR(IF(ISNUMBER(INDEX(SPPR!$E:$Z,MATCH($A276,SPPR!$A:$A,0),7)),$C276*INDEX(SPPR!$E:$Z,MATCH($A276,SPPR!$A:$A,0),7),""),"")</f>
        <v/>
      </c>
      <c r="K276">
        <f>IFERROR(IF(ISNUMBER(INDEX(SPPR!$E:$Z,MATCH($A276,SPPR!$A:$A,0),8)),$C276*INDEX(SPPR!$E:$Z,MATCH($A276,SPPR!$A:$A,0),8),""),"")</f>
        <v/>
      </c>
      <c r="L276">
        <f>IFERROR(IF(ISNUMBER(INDEX(SPPR!$E:$Z,MATCH($A276,SPPR!$A:$A,0),9)),$C276*INDEX(SPPR!$E:$Z,MATCH($A276,SPPR!$A:$A,0),9),""),"")</f>
        <v/>
      </c>
      <c r="M276">
        <f>IFERROR(IF(ISNUMBER(INDEX(SPPR!$E:$Z,MATCH($A276,SPPR!$A:$A,0),10)),$C276*INDEX(SPPR!$E:$Z,MATCH($A276,SPPR!$A:$A,0),10),""),"")</f>
        <v/>
      </c>
      <c r="N276">
        <f>IFERROR(IF(ISNUMBER(INDEX(SPPR!$E:$Z,MATCH($A276,SPPR!$A:$A,0),11)),$C276*INDEX(SPPR!$E:$Z,MATCH($A276,SPPR!$A:$A,0),11),""),"")</f>
        <v/>
      </c>
      <c r="O276">
        <f>IFERROR(IF(ISNUMBER(INDEX(SPPR!$E:$Z,MATCH($A276,SPPR!$A:$A,0),12)),$C276*INDEX(SPPR!$E:$Z,MATCH($A276,SPPR!$A:$A,0),12),""),"")</f>
        <v/>
      </c>
      <c r="P276">
        <f>IFERROR(IF(ISNUMBER(INDEX(SPPR!$E:$Z,MATCH($A276,SPPR!$A:$A,0),13)),$C276*INDEX(SPPR!$E:$Z,MATCH($A276,SPPR!$A:$A,0),13),""),"")</f>
        <v/>
      </c>
      <c r="Q276">
        <f>IFERROR(IF(ISNUMBER(INDEX(SPPR!$E:$Z,MATCH($A276,SPPR!$A:$A,0),14)),$C276*INDEX(SPPR!$E:$Z,MATCH($A276,SPPR!$A:$A,0),14),""),"")</f>
        <v/>
      </c>
      <c r="R276">
        <f>IFERROR(IF(ISNUMBER(INDEX(SPPR!$E:$Z,MATCH($A276,SPPR!$A:$A,0),15)),$C276*INDEX(SPPR!$E:$Z,MATCH($A276,SPPR!$A:$A,0),15),""),"")</f>
        <v/>
      </c>
      <c r="S276">
        <f>IFERROR(IF(ISNUMBER(INDEX(SPPR!$E:$Z,MATCH($A276,SPPR!$A:$A,0),16)),$C276*INDEX(SPPR!$E:$Z,MATCH($A276,SPPR!$A:$A,0),16),""),"")</f>
        <v/>
      </c>
      <c r="T276">
        <f>IFERROR(IF(ISNUMBER(INDEX(SPPR!$E:$Z,MATCH($A276,SPPR!$A:$A,0),17)),$C276*INDEX(SPPR!$E:$Z,MATCH($A276,SPPR!$A:$A,0),17),""),"")</f>
        <v/>
      </c>
      <c r="U276">
        <f>IFERROR(IF(ISNUMBER(INDEX(SPPR!$E:$Z,MATCH($A276,SPPR!$A:$A,0),18)),$C276*INDEX(SPPR!$E:$Z,MATCH($A276,SPPR!$A:$A,0),18),""),"")</f>
        <v/>
      </c>
      <c r="V276">
        <f>IFERROR(IF(ISNUMBER(INDEX(SPPR!$E:$Z,MATCH($A276,SPPR!$A:$A,0),19)),$C276*INDEX(SPPR!$E:$Z,MATCH($A276,SPPR!$A:$A,0),19),""),"")</f>
        <v/>
      </c>
      <c r="W276">
        <f>IFERROR(IF(ISNUMBER(INDEX(SPPR!$E:$Z,MATCH($A276,SPPR!$A:$A,0),20)),$C276*INDEX(SPPR!$E:$Z,MATCH($A276,SPPR!$A:$A,0),20),""),"")</f>
        <v/>
      </c>
      <c r="X276">
        <f>IFERROR(IF(ISNUMBER(INDEX(SPPR!$E:$Z,MATCH($A276,SPPR!$A:$A,0),21)),$C276*INDEX(SPPR!$E:$Z,MATCH($A276,SPPR!$A:$A,0),21),""),"")</f>
        <v/>
      </c>
      <c r="Y276">
        <f>IFERROR(IF(ISNUMBER(INDEX(SPPR!$E:$Z,MATCH($A276,SPPR!$A:$A,0),22)),$C276*INDEX(SPPR!$E:$Z,MATCH($A276,SPPR!$A:$A,0),22),""),"")</f>
        <v/>
      </c>
    </row>
    <row r="277">
      <c r="A277" t="inlineStr">
        <is>
          <t>Centrophorus granulosus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IFERROR(IF(ISNUMBER(INDEX(SPPR!$E:$Z,MATCH($A277,SPPR!$A:$A,0),1)),$C277*INDEX(SPPR!$E:$Z,MATCH($A277,SPPR!$A:$A,0),1),""),"")</f>
        <v/>
      </c>
      <c r="E277">
        <f>IFERROR(IF(ISNUMBER(INDEX(SPPR!$E:$Z,MATCH($A277,SPPR!$A:$A,0),2)),$C277*INDEX(SPPR!$E:$Z,MATCH($A277,SPPR!$A:$A,0),2),""),"")</f>
        <v/>
      </c>
      <c r="F277">
        <f>IFERROR(IF(ISNUMBER(INDEX(SPPR!$E:$Z,MATCH($A277,SPPR!$A:$A,0),3)),$C277*INDEX(SPPR!$E:$Z,MATCH($A277,SPPR!$A:$A,0),3),""),"")</f>
        <v/>
      </c>
      <c r="G277">
        <f>IFERROR(IF(ISNUMBER(INDEX(SPPR!$E:$Z,MATCH($A277,SPPR!$A:$A,0),4)),$C277*INDEX(SPPR!$E:$Z,MATCH($A277,SPPR!$A:$A,0),4),""),"")</f>
        <v/>
      </c>
      <c r="H277">
        <f>IFERROR(IF(ISNUMBER(INDEX(SPPR!$E:$Z,MATCH($A277,SPPR!$A:$A,0),5)),$C277*INDEX(SPPR!$E:$Z,MATCH($A277,SPPR!$A:$A,0),5),""),"")</f>
        <v/>
      </c>
      <c r="I277">
        <f>IFERROR(IF(ISNUMBER(INDEX(SPPR!$E:$Z,MATCH($A277,SPPR!$A:$A,0),6)),$C277*INDEX(SPPR!$E:$Z,MATCH($A277,SPPR!$A:$A,0),6),""),"")</f>
        <v/>
      </c>
      <c r="J277">
        <f>IFERROR(IF(ISNUMBER(INDEX(SPPR!$E:$Z,MATCH($A277,SPPR!$A:$A,0),7)),$C277*INDEX(SPPR!$E:$Z,MATCH($A277,SPPR!$A:$A,0),7),""),"")</f>
        <v/>
      </c>
      <c r="K277">
        <f>IFERROR(IF(ISNUMBER(INDEX(SPPR!$E:$Z,MATCH($A277,SPPR!$A:$A,0),8)),$C277*INDEX(SPPR!$E:$Z,MATCH($A277,SPPR!$A:$A,0),8),""),"")</f>
        <v/>
      </c>
      <c r="L277">
        <f>IFERROR(IF(ISNUMBER(INDEX(SPPR!$E:$Z,MATCH($A277,SPPR!$A:$A,0),9)),$C277*INDEX(SPPR!$E:$Z,MATCH($A277,SPPR!$A:$A,0),9),""),"")</f>
        <v/>
      </c>
      <c r="M277">
        <f>IFERROR(IF(ISNUMBER(INDEX(SPPR!$E:$Z,MATCH($A277,SPPR!$A:$A,0),10)),$C277*INDEX(SPPR!$E:$Z,MATCH($A277,SPPR!$A:$A,0),10),""),"")</f>
        <v/>
      </c>
      <c r="N277">
        <f>IFERROR(IF(ISNUMBER(INDEX(SPPR!$E:$Z,MATCH($A277,SPPR!$A:$A,0),11)),$C277*INDEX(SPPR!$E:$Z,MATCH($A277,SPPR!$A:$A,0),11),""),"")</f>
        <v/>
      </c>
      <c r="O277">
        <f>IFERROR(IF(ISNUMBER(INDEX(SPPR!$E:$Z,MATCH($A277,SPPR!$A:$A,0),12)),$C277*INDEX(SPPR!$E:$Z,MATCH($A277,SPPR!$A:$A,0),12),""),"")</f>
        <v/>
      </c>
      <c r="P277">
        <f>IFERROR(IF(ISNUMBER(INDEX(SPPR!$E:$Z,MATCH($A277,SPPR!$A:$A,0),13)),$C277*INDEX(SPPR!$E:$Z,MATCH($A277,SPPR!$A:$A,0),13),""),"")</f>
        <v/>
      </c>
      <c r="Q277">
        <f>IFERROR(IF(ISNUMBER(INDEX(SPPR!$E:$Z,MATCH($A277,SPPR!$A:$A,0),14)),$C277*INDEX(SPPR!$E:$Z,MATCH($A277,SPPR!$A:$A,0),14),""),"")</f>
        <v/>
      </c>
      <c r="R277">
        <f>IFERROR(IF(ISNUMBER(INDEX(SPPR!$E:$Z,MATCH($A277,SPPR!$A:$A,0),15)),$C277*INDEX(SPPR!$E:$Z,MATCH($A277,SPPR!$A:$A,0),15),""),"")</f>
        <v/>
      </c>
      <c r="S277">
        <f>IFERROR(IF(ISNUMBER(INDEX(SPPR!$E:$Z,MATCH($A277,SPPR!$A:$A,0),16)),$C277*INDEX(SPPR!$E:$Z,MATCH($A277,SPPR!$A:$A,0),16),""),"")</f>
        <v/>
      </c>
      <c r="T277">
        <f>IFERROR(IF(ISNUMBER(INDEX(SPPR!$E:$Z,MATCH($A277,SPPR!$A:$A,0),17)),$C277*INDEX(SPPR!$E:$Z,MATCH($A277,SPPR!$A:$A,0),17),""),"")</f>
        <v/>
      </c>
      <c r="U277">
        <f>IFERROR(IF(ISNUMBER(INDEX(SPPR!$E:$Z,MATCH($A277,SPPR!$A:$A,0),18)),$C277*INDEX(SPPR!$E:$Z,MATCH($A277,SPPR!$A:$A,0),18),""),"")</f>
        <v/>
      </c>
      <c r="V277">
        <f>IFERROR(IF(ISNUMBER(INDEX(SPPR!$E:$Z,MATCH($A277,SPPR!$A:$A,0),19)),$C277*INDEX(SPPR!$E:$Z,MATCH($A277,SPPR!$A:$A,0),19),""),"")</f>
        <v/>
      </c>
      <c r="W277">
        <f>IFERROR(IF(ISNUMBER(INDEX(SPPR!$E:$Z,MATCH($A277,SPPR!$A:$A,0),20)),$C277*INDEX(SPPR!$E:$Z,MATCH($A277,SPPR!$A:$A,0),20),""),"")</f>
        <v/>
      </c>
      <c r="X277">
        <f>IFERROR(IF(ISNUMBER(INDEX(SPPR!$E:$Z,MATCH($A277,SPPR!$A:$A,0),21)),$C277*INDEX(SPPR!$E:$Z,MATCH($A277,SPPR!$A:$A,0),21),""),"")</f>
        <v/>
      </c>
      <c r="Y277">
        <f>IFERROR(IF(ISNUMBER(INDEX(SPPR!$E:$Z,MATCH($A277,SPPR!$A:$A,0),22)),$C277*INDEX(SPPR!$E:$Z,MATCH($A277,SPPR!$A:$A,0),22),""),"")</f>
        <v/>
      </c>
    </row>
    <row r="278">
      <c r="A278" t="inlineStr">
        <is>
          <t>Galeorhinus galeus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IFERROR(IF(ISNUMBER(INDEX(SPPR!$E:$Z,MATCH($A278,SPPR!$A:$A,0),1)),$C278*INDEX(SPPR!$E:$Z,MATCH($A278,SPPR!$A:$A,0),1),""),"")</f>
        <v/>
      </c>
      <c r="E278">
        <f>IFERROR(IF(ISNUMBER(INDEX(SPPR!$E:$Z,MATCH($A278,SPPR!$A:$A,0),2)),$C278*INDEX(SPPR!$E:$Z,MATCH($A278,SPPR!$A:$A,0),2),""),"")</f>
        <v/>
      </c>
      <c r="F278">
        <f>IFERROR(IF(ISNUMBER(INDEX(SPPR!$E:$Z,MATCH($A278,SPPR!$A:$A,0),3)),$C278*INDEX(SPPR!$E:$Z,MATCH($A278,SPPR!$A:$A,0),3),""),"")</f>
        <v/>
      </c>
      <c r="G278">
        <f>IFERROR(IF(ISNUMBER(INDEX(SPPR!$E:$Z,MATCH($A278,SPPR!$A:$A,0),4)),$C278*INDEX(SPPR!$E:$Z,MATCH($A278,SPPR!$A:$A,0),4),""),"")</f>
        <v/>
      </c>
      <c r="H278">
        <f>IFERROR(IF(ISNUMBER(INDEX(SPPR!$E:$Z,MATCH($A278,SPPR!$A:$A,0),5)),$C278*INDEX(SPPR!$E:$Z,MATCH($A278,SPPR!$A:$A,0),5),""),"")</f>
        <v/>
      </c>
      <c r="I278">
        <f>IFERROR(IF(ISNUMBER(INDEX(SPPR!$E:$Z,MATCH($A278,SPPR!$A:$A,0),6)),$C278*INDEX(SPPR!$E:$Z,MATCH($A278,SPPR!$A:$A,0),6),""),"")</f>
        <v/>
      </c>
      <c r="J278">
        <f>IFERROR(IF(ISNUMBER(INDEX(SPPR!$E:$Z,MATCH($A278,SPPR!$A:$A,0),7)),$C278*INDEX(SPPR!$E:$Z,MATCH($A278,SPPR!$A:$A,0),7),""),"")</f>
        <v/>
      </c>
      <c r="K278">
        <f>IFERROR(IF(ISNUMBER(INDEX(SPPR!$E:$Z,MATCH($A278,SPPR!$A:$A,0),8)),$C278*INDEX(SPPR!$E:$Z,MATCH($A278,SPPR!$A:$A,0),8),""),"")</f>
        <v/>
      </c>
      <c r="L278">
        <f>IFERROR(IF(ISNUMBER(INDEX(SPPR!$E:$Z,MATCH($A278,SPPR!$A:$A,0),9)),$C278*INDEX(SPPR!$E:$Z,MATCH($A278,SPPR!$A:$A,0),9),""),"")</f>
        <v/>
      </c>
      <c r="M278">
        <f>IFERROR(IF(ISNUMBER(INDEX(SPPR!$E:$Z,MATCH($A278,SPPR!$A:$A,0),10)),$C278*INDEX(SPPR!$E:$Z,MATCH($A278,SPPR!$A:$A,0),10),""),"")</f>
        <v/>
      </c>
      <c r="N278">
        <f>IFERROR(IF(ISNUMBER(INDEX(SPPR!$E:$Z,MATCH($A278,SPPR!$A:$A,0),11)),$C278*INDEX(SPPR!$E:$Z,MATCH($A278,SPPR!$A:$A,0),11),""),"")</f>
        <v/>
      </c>
      <c r="O278">
        <f>IFERROR(IF(ISNUMBER(INDEX(SPPR!$E:$Z,MATCH($A278,SPPR!$A:$A,0),12)),$C278*INDEX(SPPR!$E:$Z,MATCH($A278,SPPR!$A:$A,0),12),""),"")</f>
        <v/>
      </c>
      <c r="P278">
        <f>IFERROR(IF(ISNUMBER(INDEX(SPPR!$E:$Z,MATCH($A278,SPPR!$A:$A,0),13)),$C278*INDEX(SPPR!$E:$Z,MATCH($A278,SPPR!$A:$A,0),13),""),"")</f>
        <v/>
      </c>
      <c r="Q278">
        <f>IFERROR(IF(ISNUMBER(INDEX(SPPR!$E:$Z,MATCH($A278,SPPR!$A:$A,0),14)),$C278*INDEX(SPPR!$E:$Z,MATCH($A278,SPPR!$A:$A,0),14),""),"")</f>
        <v/>
      </c>
      <c r="R278">
        <f>IFERROR(IF(ISNUMBER(INDEX(SPPR!$E:$Z,MATCH($A278,SPPR!$A:$A,0),15)),$C278*INDEX(SPPR!$E:$Z,MATCH($A278,SPPR!$A:$A,0),15),""),"")</f>
        <v/>
      </c>
      <c r="S278">
        <f>IFERROR(IF(ISNUMBER(INDEX(SPPR!$E:$Z,MATCH($A278,SPPR!$A:$A,0),16)),$C278*INDEX(SPPR!$E:$Z,MATCH($A278,SPPR!$A:$A,0),16),""),"")</f>
        <v/>
      </c>
      <c r="T278">
        <f>IFERROR(IF(ISNUMBER(INDEX(SPPR!$E:$Z,MATCH($A278,SPPR!$A:$A,0),17)),$C278*INDEX(SPPR!$E:$Z,MATCH($A278,SPPR!$A:$A,0),17),""),"")</f>
        <v/>
      </c>
      <c r="U278">
        <f>IFERROR(IF(ISNUMBER(INDEX(SPPR!$E:$Z,MATCH($A278,SPPR!$A:$A,0),18)),$C278*INDEX(SPPR!$E:$Z,MATCH($A278,SPPR!$A:$A,0),18),""),"")</f>
        <v/>
      </c>
      <c r="V278">
        <f>IFERROR(IF(ISNUMBER(INDEX(SPPR!$E:$Z,MATCH($A278,SPPR!$A:$A,0),19)),$C278*INDEX(SPPR!$E:$Z,MATCH($A278,SPPR!$A:$A,0),19),""),"")</f>
        <v/>
      </c>
      <c r="W278">
        <f>IFERROR(IF(ISNUMBER(INDEX(SPPR!$E:$Z,MATCH($A278,SPPR!$A:$A,0),20)),$C278*INDEX(SPPR!$E:$Z,MATCH($A278,SPPR!$A:$A,0),20),""),"")</f>
        <v/>
      </c>
      <c r="X278">
        <f>IFERROR(IF(ISNUMBER(INDEX(SPPR!$E:$Z,MATCH($A278,SPPR!$A:$A,0),21)),$C278*INDEX(SPPR!$E:$Z,MATCH($A278,SPPR!$A:$A,0),21),""),"")</f>
        <v/>
      </c>
      <c r="Y278">
        <f>IFERROR(IF(ISNUMBER(INDEX(SPPR!$E:$Z,MATCH($A278,SPPR!$A:$A,0),22)),$C278*INDEX(SPPR!$E:$Z,MATCH($A278,SPPR!$A:$A,0),22),""),"")</f>
        <v/>
      </c>
    </row>
    <row r="279">
      <c r="A279" t="inlineStr">
        <is>
          <t>Gymnothorax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IFERROR(IF(ISNUMBER(INDEX(SPPR!$E:$Z,MATCH($A279,SPPR!$A:$A,0),1)),$C279*INDEX(SPPR!$E:$Z,MATCH($A279,SPPR!$A:$A,0),1),""),"")</f>
        <v/>
      </c>
      <c r="E279">
        <f>IFERROR(IF(ISNUMBER(INDEX(SPPR!$E:$Z,MATCH($A279,SPPR!$A:$A,0),2)),$C279*INDEX(SPPR!$E:$Z,MATCH($A279,SPPR!$A:$A,0),2),""),"")</f>
        <v/>
      </c>
      <c r="F279">
        <f>IFERROR(IF(ISNUMBER(INDEX(SPPR!$E:$Z,MATCH($A279,SPPR!$A:$A,0),3)),$C279*INDEX(SPPR!$E:$Z,MATCH($A279,SPPR!$A:$A,0),3),""),"")</f>
        <v/>
      </c>
      <c r="G279">
        <f>IFERROR(IF(ISNUMBER(INDEX(SPPR!$E:$Z,MATCH($A279,SPPR!$A:$A,0),4)),$C279*INDEX(SPPR!$E:$Z,MATCH($A279,SPPR!$A:$A,0),4),""),"")</f>
        <v/>
      </c>
      <c r="H279">
        <f>IFERROR(IF(ISNUMBER(INDEX(SPPR!$E:$Z,MATCH($A279,SPPR!$A:$A,0),5)),$C279*INDEX(SPPR!$E:$Z,MATCH($A279,SPPR!$A:$A,0),5),""),"")</f>
        <v/>
      </c>
      <c r="I279">
        <f>IFERROR(IF(ISNUMBER(INDEX(SPPR!$E:$Z,MATCH($A279,SPPR!$A:$A,0),6)),$C279*INDEX(SPPR!$E:$Z,MATCH($A279,SPPR!$A:$A,0),6),""),"")</f>
        <v/>
      </c>
      <c r="J279">
        <f>IFERROR(IF(ISNUMBER(INDEX(SPPR!$E:$Z,MATCH($A279,SPPR!$A:$A,0),7)),$C279*INDEX(SPPR!$E:$Z,MATCH($A279,SPPR!$A:$A,0),7),""),"")</f>
        <v/>
      </c>
      <c r="K279">
        <f>IFERROR(IF(ISNUMBER(INDEX(SPPR!$E:$Z,MATCH($A279,SPPR!$A:$A,0),8)),$C279*INDEX(SPPR!$E:$Z,MATCH($A279,SPPR!$A:$A,0),8),""),"")</f>
        <v/>
      </c>
      <c r="L279">
        <f>IFERROR(IF(ISNUMBER(INDEX(SPPR!$E:$Z,MATCH($A279,SPPR!$A:$A,0),9)),$C279*INDEX(SPPR!$E:$Z,MATCH($A279,SPPR!$A:$A,0),9),""),"")</f>
        <v/>
      </c>
      <c r="M279">
        <f>IFERROR(IF(ISNUMBER(INDEX(SPPR!$E:$Z,MATCH($A279,SPPR!$A:$A,0),10)),$C279*INDEX(SPPR!$E:$Z,MATCH($A279,SPPR!$A:$A,0),10),""),"")</f>
        <v/>
      </c>
      <c r="N279">
        <f>IFERROR(IF(ISNUMBER(INDEX(SPPR!$E:$Z,MATCH($A279,SPPR!$A:$A,0),11)),$C279*INDEX(SPPR!$E:$Z,MATCH($A279,SPPR!$A:$A,0),11),""),"")</f>
        <v/>
      </c>
      <c r="O279">
        <f>IFERROR(IF(ISNUMBER(INDEX(SPPR!$E:$Z,MATCH($A279,SPPR!$A:$A,0),12)),$C279*INDEX(SPPR!$E:$Z,MATCH($A279,SPPR!$A:$A,0),12),""),"")</f>
        <v/>
      </c>
      <c r="P279">
        <f>IFERROR(IF(ISNUMBER(INDEX(SPPR!$E:$Z,MATCH($A279,SPPR!$A:$A,0),13)),$C279*INDEX(SPPR!$E:$Z,MATCH($A279,SPPR!$A:$A,0),13),""),"")</f>
        <v/>
      </c>
      <c r="Q279">
        <f>IFERROR(IF(ISNUMBER(INDEX(SPPR!$E:$Z,MATCH($A279,SPPR!$A:$A,0),14)),$C279*INDEX(SPPR!$E:$Z,MATCH($A279,SPPR!$A:$A,0),14),""),"")</f>
        <v/>
      </c>
      <c r="R279">
        <f>IFERROR(IF(ISNUMBER(INDEX(SPPR!$E:$Z,MATCH($A279,SPPR!$A:$A,0),15)),$C279*INDEX(SPPR!$E:$Z,MATCH($A279,SPPR!$A:$A,0),15),""),"")</f>
        <v/>
      </c>
      <c r="S279">
        <f>IFERROR(IF(ISNUMBER(INDEX(SPPR!$E:$Z,MATCH($A279,SPPR!$A:$A,0),16)),$C279*INDEX(SPPR!$E:$Z,MATCH($A279,SPPR!$A:$A,0),16),""),"")</f>
        <v/>
      </c>
      <c r="T279">
        <f>IFERROR(IF(ISNUMBER(INDEX(SPPR!$E:$Z,MATCH($A279,SPPR!$A:$A,0),17)),$C279*INDEX(SPPR!$E:$Z,MATCH($A279,SPPR!$A:$A,0),17),""),"")</f>
        <v/>
      </c>
      <c r="U279">
        <f>IFERROR(IF(ISNUMBER(INDEX(SPPR!$E:$Z,MATCH($A279,SPPR!$A:$A,0),18)),$C279*INDEX(SPPR!$E:$Z,MATCH($A279,SPPR!$A:$A,0),18),""),"")</f>
        <v/>
      </c>
      <c r="V279">
        <f>IFERROR(IF(ISNUMBER(INDEX(SPPR!$E:$Z,MATCH($A279,SPPR!$A:$A,0),19)),$C279*INDEX(SPPR!$E:$Z,MATCH($A279,SPPR!$A:$A,0),19),""),"")</f>
        <v/>
      </c>
      <c r="W279">
        <f>IFERROR(IF(ISNUMBER(INDEX(SPPR!$E:$Z,MATCH($A279,SPPR!$A:$A,0),20)),$C279*INDEX(SPPR!$E:$Z,MATCH($A279,SPPR!$A:$A,0),20),""),"")</f>
        <v/>
      </c>
      <c r="X279">
        <f>IFERROR(IF(ISNUMBER(INDEX(SPPR!$E:$Z,MATCH($A279,SPPR!$A:$A,0),21)),$C279*INDEX(SPPR!$E:$Z,MATCH($A279,SPPR!$A:$A,0),21),""),"")</f>
        <v/>
      </c>
      <c r="Y279">
        <f>IFERROR(IF(ISNUMBER(INDEX(SPPR!$E:$Z,MATCH($A279,SPPR!$A:$A,0),22)),$C279*INDEX(SPPR!$E:$Z,MATCH($A279,SPPR!$A:$A,0),22),""),"")</f>
        <v/>
      </c>
    </row>
    <row r="280">
      <c r="A280" t="inlineStr">
        <is>
          <t>Echeneidae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IFERROR(IF(ISNUMBER(INDEX(SPPR!$E:$Z,MATCH($A280,SPPR!$A:$A,0),1)),$C280*INDEX(SPPR!$E:$Z,MATCH($A280,SPPR!$A:$A,0),1),""),"")</f>
        <v/>
      </c>
      <c r="E280">
        <f>IFERROR(IF(ISNUMBER(INDEX(SPPR!$E:$Z,MATCH($A280,SPPR!$A:$A,0),2)),$C280*INDEX(SPPR!$E:$Z,MATCH($A280,SPPR!$A:$A,0),2),""),"")</f>
        <v/>
      </c>
      <c r="F280">
        <f>IFERROR(IF(ISNUMBER(INDEX(SPPR!$E:$Z,MATCH($A280,SPPR!$A:$A,0),3)),$C280*INDEX(SPPR!$E:$Z,MATCH($A280,SPPR!$A:$A,0),3),""),"")</f>
        <v/>
      </c>
      <c r="G280">
        <f>IFERROR(IF(ISNUMBER(INDEX(SPPR!$E:$Z,MATCH($A280,SPPR!$A:$A,0),4)),$C280*INDEX(SPPR!$E:$Z,MATCH($A280,SPPR!$A:$A,0),4),""),"")</f>
        <v/>
      </c>
      <c r="H280">
        <f>IFERROR(IF(ISNUMBER(INDEX(SPPR!$E:$Z,MATCH($A280,SPPR!$A:$A,0),5)),$C280*INDEX(SPPR!$E:$Z,MATCH($A280,SPPR!$A:$A,0),5),""),"")</f>
        <v/>
      </c>
      <c r="I280">
        <f>IFERROR(IF(ISNUMBER(INDEX(SPPR!$E:$Z,MATCH($A280,SPPR!$A:$A,0),6)),$C280*INDEX(SPPR!$E:$Z,MATCH($A280,SPPR!$A:$A,0),6),""),"")</f>
        <v/>
      </c>
      <c r="J280">
        <f>IFERROR(IF(ISNUMBER(INDEX(SPPR!$E:$Z,MATCH($A280,SPPR!$A:$A,0),7)),$C280*INDEX(SPPR!$E:$Z,MATCH($A280,SPPR!$A:$A,0),7),""),"")</f>
        <v/>
      </c>
      <c r="K280">
        <f>IFERROR(IF(ISNUMBER(INDEX(SPPR!$E:$Z,MATCH($A280,SPPR!$A:$A,0),8)),$C280*INDEX(SPPR!$E:$Z,MATCH($A280,SPPR!$A:$A,0),8),""),"")</f>
        <v/>
      </c>
      <c r="L280">
        <f>IFERROR(IF(ISNUMBER(INDEX(SPPR!$E:$Z,MATCH($A280,SPPR!$A:$A,0),9)),$C280*INDEX(SPPR!$E:$Z,MATCH($A280,SPPR!$A:$A,0),9),""),"")</f>
        <v/>
      </c>
      <c r="M280">
        <f>IFERROR(IF(ISNUMBER(INDEX(SPPR!$E:$Z,MATCH($A280,SPPR!$A:$A,0),10)),$C280*INDEX(SPPR!$E:$Z,MATCH($A280,SPPR!$A:$A,0),10),""),"")</f>
        <v/>
      </c>
      <c r="N280">
        <f>IFERROR(IF(ISNUMBER(INDEX(SPPR!$E:$Z,MATCH($A280,SPPR!$A:$A,0),11)),$C280*INDEX(SPPR!$E:$Z,MATCH($A280,SPPR!$A:$A,0),11),""),"")</f>
        <v/>
      </c>
      <c r="O280">
        <f>IFERROR(IF(ISNUMBER(INDEX(SPPR!$E:$Z,MATCH($A280,SPPR!$A:$A,0),12)),$C280*INDEX(SPPR!$E:$Z,MATCH($A280,SPPR!$A:$A,0),12),""),"")</f>
        <v/>
      </c>
      <c r="P280">
        <f>IFERROR(IF(ISNUMBER(INDEX(SPPR!$E:$Z,MATCH($A280,SPPR!$A:$A,0),13)),$C280*INDEX(SPPR!$E:$Z,MATCH($A280,SPPR!$A:$A,0),13),""),"")</f>
        <v/>
      </c>
      <c r="Q280">
        <f>IFERROR(IF(ISNUMBER(INDEX(SPPR!$E:$Z,MATCH($A280,SPPR!$A:$A,0),14)),$C280*INDEX(SPPR!$E:$Z,MATCH($A280,SPPR!$A:$A,0),14),""),"")</f>
        <v/>
      </c>
      <c r="R280">
        <f>IFERROR(IF(ISNUMBER(INDEX(SPPR!$E:$Z,MATCH($A280,SPPR!$A:$A,0),15)),$C280*INDEX(SPPR!$E:$Z,MATCH($A280,SPPR!$A:$A,0),15),""),"")</f>
        <v/>
      </c>
      <c r="S280">
        <f>IFERROR(IF(ISNUMBER(INDEX(SPPR!$E:$Z,MATCH($A280,SPPR!$A:$A,0),16)),$C280*INDEX(SPPR!$E:$Z,MATCH($A280,SPPR!$A:$A,0),16),""),"")</f>
        <v/>
      </c>
      <c r="T280">
        <f>IFERROR(IF(ISNUMBER(INDEX(SPPR!$E:$Z,MATCH($A280,SPPR!$A:$A,0),17)),$C280*INDEX(SPPR!$E:$Z,MATCH($A280,SPPR!$A:$A,0),17),""),"")</f>
        <v/>
      </c>
      <c r="U280">
        <f>IFERROR(IF(ISNUMBER(INDEX(SPPR!$E:$Z,MATCH($A280,SPPR!$A:$A,0),18)),$C280*INDEX(SPPR!$E:$Z,MATCH($A280,SPPR!$A:$A,0),18),""),"")</f>
        <v/>
      </c>
      <c r="V280">
        <f>IFERROR(IF(ISNUMBER(INDEX(SPPR!$E:$Z,MATCH($A280,SPPR!$A:$A,0),19)),$C280*INDEX(SPPR!$E:$Z,MATCH($A280,SPPR!$A:$A,0),19),""),"")</f>
        <v/>
      </c>
      <c r="W280">
        <f>IFERROR(IF(ISNUMBER(INDEX(SPPR!$E:$Z,MATCH($A280,SPPR!$A:$A,0),20)),$C280*INDEX(SPPR!$E:$Z,MATCH($A280,SPPR!$A:$A,0),20),""),"")</f>
        <v/>
      </c>
      <c r="X280">
        <f>IFERROR(IF(ISNUMBER(INDEX(SPPR!$E:$Z,MATCH($A280,SPPR!$A:$A,0),21)),$C280*INDEX(SPPR!$E:$Z,MATCH($A280,SPPR!$A:$A,0),21),""),"")</f>
        <v/>
      </c>
      <c r="Y280">
        <f>IFERROR(IF(ISNUMBER(INDEX(SPPR!$E:$Z,MATCH($A280,SPPR!$A:$A,0),22)),$C280*INDEX(SPPR!$E:$Z,MATCH($A280,SPPR!$A:$A,0),22),""),"")</f>
        <v/>
      </c>
    </row>
    <row r="281">
      <c r="A281" t="inlineStr">
        <is>
          <t>Dicentrarchus punctatus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IFERROR(IF(ISNUMBER(INDEX(SPPR!$E:$Z,MATCH($A281,SPPR!$A:$A,0),1)),$C281*INDEX(SPPR!$E:$Z,MATCH($A281,SPPR!$A:$A,0),1),""),"")</f>
        <v/>
      </c>
      <c r="E281">
        <f>IFERROR(IF(ISNUMBER(INDEX(SPPR!$E:$Z,MATCH($A281,SPPR!$A:$A,0),2)),$C281*INDEX(SPPR!$E:$Z,MATCH($A281,SPPR!$A:$A,0),2),""),"")</f>
        <v/>
      </c>
      <c r="F281">
        <f>IFERROR(IF(ISNUMBER(INDEX(SPPR!$E:$Z,MATCH($A281,SPPR!$A:$A,0),3)),$C281*INDEX(SPPR!$E:$Z,MATCH($A281,SPPR!$A:$A,0),3),""),"")</f>
        <v/>
      </c>
      <c r="G281">
        <f>IFERROR(IF(ISNUMBER(INDEX(SPPR!$E:$Z,MATCH($A281,SPPR!$A:$A,0),4)),$C281*INDEX(SPPR!$E:$Z,MATCH($A281,SPPR!$A:$A,0),4),""),"")</f>
        <v/>
      </c>
      <c r="H281">
        <f>IFERROR(IF(ISNUMBER(INDEX(SPPR!$E:$Z,MATCH($A281,SPPR!$A:$A,0),5)),$C281*INDEX(SPPR!$E:$Z,MATCH($A281,SPPR!$A:$A,0),5),""),"")</f>
        <v/>
      </c>
      <c r="I281">
        <f>IFERROR(IF(ISNUMBER(INDEX(SPPR!$E:$Z,MATCH($A281,SPPR!$A:$A,0),6)),$C281*INDEX(SPPR!$E:$Z,MATCH($A281,SPPR!$A:$A,0),6),""),"")</f>
        <v/>
      </c>
      <c r="J281">
        <f>IFERROR(IF(ISNUMBER(INDEX(SPPR!$E:$Z,MATCH($A281,SPPR!$A:$A,0),7)),$C281*INDEX(SPPR!$E:$Z,MATCH($A281,SPPR!$A:$A,0),7),""),"")</f>
        <v/>
      </c>
      <c r="K281">
        <f>IFERROR(IF(ISNUMBER(INDEX(SPPR!$E:$Z,MATCH($A281,SPPR!$A:$A,0),8)),$C281*INDEX(SPPR!$E:$Z,MATCH($A281,SPPR!$A:$A,0),8),""),"")</f>
        <v/>
      </c>
      <c r="L281">
        <f>IFERROR(IF(ISNUMBER(INDEX(SPPR!$E:$Z,MATCH($A281,SPPR!$A:$A,0),9)),$C281*INDEX(SPPR!$E:$Z,MATCH($A281,SPPR!$A:$A,0),9),""),"")</f>
        <v/>
      </c>
      <c r="M281">
        <f>IFERROR(IF(ISNUMBER(INDEX(SPPR!$E:$Z,MATCH($A281,SPPR!$A:$A,0),10)),$C281*INDEX(SPPR!$E:$Z,MATCH($A281,SPPR!$A:$A,0),10),""),"")</f>
        <v/>
      </c>
      <c r="N281">
        <f>IFERROR(IF(ISNUMBER(INDEX(SPPR!$E:$Z,MATCH($A281,SPPR!$A:$A,0),11)),$C281*INDEX(SPPR!$E:$Z,MATCH($A281,SPPR!$A:$A,0),11),""),"")</f>
        <v/>
      </c>
      <c r="O281">
        <f>IFERROR(IF(ISNUMBER(INDEX(SPPR!$E:$Z,MATCH($A281,SPPR!$A:$A,0),12)),$C281*INDEX(SPPR!$E:$Z,MATCH($A281,SPPR!$A:$A,0),12),""),"")</f>
        <v/>
      </c>
      <c r="P281">
        <f>IFERROR(IF(ISNUMBER(INDEX(SPPR!$E:$Z,MATCH($A281,SPPR!$A:$A,0),13)),$C281*INDEX(SPPR!$E:$Z,MATCH($A281,SPPR!$A:$A,0),13),""),"")</f>
        <v/>
      </c>
      <c r="Q281">
        <f>IFERROR(IF(ISNUMBER(INDEX(SPPR!$E:$Z,MATCH($A281,SPPR!$A:$A,0),14)),$C281*INDEX(SPPR!$E:$Z,MATCH($A281,SPPR!$A:$A,0),14),""),"")</f>
        <v/>
      </c>
      <c r="R281">
        <f>IFERROR(IF(ISNUMBER(INDEX(SPPR!$E:$Z,MATCH($A281,SPPR!$A:$A,0),15)),$C281*INDEX(SPPR!$E:$Z,MATCH($A281,SPPR!$A:$A,0),15),""),"")</f>
        <v/>
      </c>
      <c r="S281">
        <f>IFERROR(IF(ISNUMBER(INDEX(SPPR!$E:$Z,MATCH($A281,SPPR!$A:$A,0),16)),$C281*INDEX(SPPR!$E:$Z,MATCH($A281,SPPR!$A:$A,0),16),""),"")</f>
        <v/>
      </c>
      <c r="T281">
        <f>IFERROR(IF(ISNUMBER(INDEX(SPPR!$E:$Z,MATCH($A281,SPPR!$A:$A,0),17)),$C281*INDEX(SPPR!$E:$Z,MATCH($A281,SPPR!$A:$A,0),17),""),"")</f>
        <v/>
      </c>
      <c r="U281">
        <f>IFERROR(IF(ISNUMBER(INDEX(SPPR!$E:$Z,MATCH($A281,SPPR!$A:$A,0),18)),$C281*INDEX(SPPR!$E:$Z,MATCH($A281,SPPR!$A:$A,0),18),""),"")</f>
        <v/>
      </c>
      <c r="V281">
        <f>IFERROR(IF(ISNUMBER(INDEX(SPPR!$E:$Z,MATCH($A281,SPPR!$A:$A,0),19)),$C281*INDEX(SPPR!$E:$Z,MATCH($A281,SPPR!$A:$A,0),19),""),"")</f>
        <v/>
      </c>
      <c r="W281">
        <f>IFERROR(IF(ISNUMBER(INDEX(SPPR!$E:$Z,MATCH($A281,SPPR!$A:$A,0),20)),$C281*INDEX(SPPR!$E:$Z,MATCH($A281,SPPR!$A:$A,0),20),""),"")</f>
        <v/>
      </c>
      <c r="X281">
        <f>IFERROR(IF(ISNUMBER(INDEX(SPPR!$E:$Z,MATCH($A281,SPPR!$A:$A,0),21)),$C281*INDEX(SPPR!$E:$Z,MATCH($A281,SPPR!$A:$A,0),21),""),"")</f>
        <v/>
      </c>
      <c r="Y281">
        <f>IFERROR(IF(ISNUMBER(INDEX(SPPR!$E:$Z,MATCH($A281,SPPR!$A:$A,0),22)),$C281*INDEX(SPPR!$E:$Z,MATCH($A281,SPPR!$A:$A,0),22),""),"")</f>
        <v/>
      </c>
    </row>
    <row r="282">
      <c r="A282" t="inlineStr">
        <is>
          <t>Caranx lugubris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IFERROR(IF(ISNUMBER(INDEX(SPPR!$E:$Z,MATCH($A282,SPPR!$A:$A,0),1)),$C282*INDEX(SPPR!$E:$Z,MATCH($A282,SPPR!$A:$A,0),1),""),"")</f>
        <v/>
      </c>
      <c r="E282">
        <f>IFERROR(IF(ISNUMBER(INDEX(SPPR!$E:$Z,MATCH($A282,SPPR!$A:$A,0),2)),$C282*INDEX(SPPR!$E:$Z,MATCH($A282,SPPR!$A:$A,0),2),""),"")</f>
        <v/>
      </c>
      <c r="F282">
        <f>IFERROR(IF(ISNUMBER(INDEX(SPPR!$E:$Z,MATCH($A282,SPPR!$A:$A,0),3)),$C282*INDEX(SPPR!$E:$Z,MATCH($A282,SPPR!$A:$A,0),3),""),"")</f>
        <v/>
      </c>
      <c r="G282">
        <f>IFERROR(IF(ISNUMBER(INDEX(SPPR!$E:$Z,MATCH($A282,SPPR!$A:$A,0),4)),$C282*INDEX(SPPR!$E:$Z,MATCH($A282,SPPR!$A:$A,0),4),""),"")</f>
        <v/>
      </c>
      <c r="H282">
        <f>IFERROR(IF(ISNUMBER(INDEX(SPPR!$E:$Z,MATCH($A282,SPPR!$A:$A,0),5)),$C282*INDEX(SPPR!$E:$Z,MATCH($A282,SPPR!$A:$A,0),5),""),"")</f>
        <v/>
      </c>
      <c r="I282">
        <f>IFERROR(IF(ISNUMBER(INDEX(SPPR!$E:$Z,MATCH($A282,SPPR!$A:$A,0),6)),$C282*INDEX(SPPR!$E:$Z,MATCH($A282,SPPR!$A:$A,0),6),""),"")</f>
        <v/>
      </c>
      <c r="J282">
        <f>IFERROR(IF(ISNUMBER(INDEX(SPPR!$E:$Z,MATCH($A282,SPPR!$A:$A,0),7)),$C282*INDEX(SPPR!$E:$Z,MATCH($A282,SPPR!$A:$A,0),7),""),"")</f>
        <v/>
      </c>
      <c r="K282">
        <f>IFERROR(IF(ISNUMBER(INDEX(SPPR!$E:$Z,MATCH($A282,SPPR!$A:$A,0),8)),$C282*INDEX(SPPR!$E:$Z,MATCH($A282,SPPR!$A:$A,0),8),""),"")</f>
        <v/>
      </c>
      <c r="L282">
        <f>IFERROR(IF(ISNUMBER(INDEX(SPPR!$E:$Z,MATCH($A282,SPPR!$A:$A,0),9)),$C282*INDEX(SPPR!$E:$Z,MATCH($A282,SPPR!$A:$A,0),9),""),"")</f>
        <v/>
      </c>
      <c r="M282">
        <f>IFERROR(IF(ISNUMBER(INDEX(SPPR!$E:$Z,MATCH($A282,SPPR!$A:$A,0),10)),$C282*INDEX(SPPR!$E:$Z,MATCH($A282,SPPR!$A:$A,0),10),""),"")</f>
        <v/>
      </c>
      <c r="N282">
        <f>IFERROR(IF(ISNUMBER(INDEX(SPPR!$E:$Z,MATCH($A282,SPPR!$A:$A,0),11)),$C282*INDEX(SPPR!$E:$Z,MATCH($A282,SPPR!$A:$A,0),11),""),"")</f>
        <v/>
      </c>
      <c r="O282">
        <f>IFERROR(IF(ISNUMBER(INDEX(SPPR!$E:$Z,MATCH($A282,SPPR!$A:$A,0),12)),$C282*INDEX(SPPR!$E:$Z,MATCH($A282,SPPR!$A:$A,0),12),""),"")</f>
        <v/>
      </c>
      <c r="P282">
        <f>IFERROR(IF(ISNUMBER(INDEX(SPPR!$E:$Z,MATCH($A282,SPPR!$A:$A,0),13)),$C282*INDEX(SPPR!$E:$Z,MATCH($A282,SPPR!$A:$A,0),13),""),"")</f>
        <v/>
      </c>
      <c r="Q282">
        <f>IFERROR(IF(ISNUMBER(INDEX(SPPR!$E:$Z,MATCH($A282,SPPR!$A:$A,0),14)),$C282*INDEX(SPPR!$E:$Z,MATCH($A282,SPPR!$A:$A,0),14),""),"")</f>
        <v/>
      </c>
      <c r="R282">
        <f>IFERROR(IF(ISNUMBER(INDEX(SPPR!$E:$Z,MATCH($A282,SPPR!$A:$A,0),15)),$C282*INDEX(SPPR!$E:$Z,MATCH($A282,SPPR!$A:$A,0),15),""),"")</f>
        <v/>
      </c>
      <c r="S282">
        <f>IFERROR(IF(ISNUMBER(INDEX(SPPR!$E:$Z,MATCH($A282,SPPR!$A:$A,0),16)),$C282*INDEX(SPPR!$E:$Z,MATCH($A282,SPPR!$A:$A,0),16),""),"")</f>
        <v/>
      </c>
      <c r="T282">
        <f>IFERROR(IF(ISNUMBER(INDEX(SPPR!$E:$Z,MATCH($A282,SPPR!$A:$A,0),17)),$C282*INDEX(SPPR!$E:$Z,MATCH($A282,SPPR!$A:$A,0),17),""),"")</f>
        <v/>
      </c>
      <c r="U282">
        <f>IFERROR(IF(ISNUMBER(INDEX(SPPR!$E:$Z,MATCH($A282,SPPR!$A:$A,0),18)),$C282*INDEX(SPPR!$E:$Z,MATCH($A282,SPPR!$A:$A,0),18),""),"")</f>
        <v/>
      </c>
      <c r="V282">
        <f>IFERROR(IF(ISNUMBER(INDEX(SPPR!$E:$Z,MATCH($A282,SPPR!$A:$A,0),19)),$C282*INDEX(SPPR!$E:$Z,MATCH($A282,SPPR!$A:$A,0),19),""),"")</f>
        <v/>
      </c>
      <c r="W282">
        <f>IFERROR(IF(ISNUMBER(INDEX(SPPR!$E:$Z,MATCH($A282,SPPR!$A:$A,0),20)),$C282*INDEX(SPPR!$E:$Z,MATCH($A282,SPPR!$A:$A,0),20),""),"")</f>
        <v/>
      </c>
      <c r="X282">
        <f>IFERROR(IF(ISNUMBER(INDEX(SPPR!$E:$Z,MATCH($A282,SPPR!$A:$A,0),21)),$C282*INDEX(SPPR!$E:$Z,MATCH($A282,SPPR!$A:$A,0),21),""),"")</f>
        <v/>
      </c>
      <c r="Y282">
        <f>IFERROR(IF(ISNUMBER(INDEX(SPPR!$E:$Z,MATCH($A282,SPPR!$A:$A,0),22)),$C282*INDEX(SPPR!$E:$Z,MATCH($A282,SPPR!$A:$A,0),22),""),"")</f>
        <v/>
      </c>
    </row>
    <row r="283">
      <c r="A283" t="inlineStr">
        <is>
          <t>Holothuriidae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IFERROR(IF(ISNUMBER(INDEX(SPPR!$E:$Z,MATCH($A283,SPPR!$A:$A,0),1)),$C283*INDEX(SPPR!$E:$Z,MATCH($A283,SPPR!$A:$A,0),1),""),"")</f>
        <v/>
      </c>
      <c r="E283">
        <f>IFERROR(IF(ISNUMBER(INDEX(SPPR!$E:$Z,MATCH($A283,SPPR!$A:$A,0),2)),$C283*INDEX(SPPR!$E:$Z,MATCH($A283,SPPR!$A:$A,0),2),""),"")</f>
        <v/>
      </c>
      <c r="F283">
        <f>IFERROR(IF(ISNUMBER(INDEX(SPPR!$E:$Z,MATCH($A283,SPPR!$A:$A,0),3)),$C283*INDEX(SPPR!$E:$Z,MATCH($A283,SPPR!$A:$A,0),3),""),"")</f>
        <v/>
      </c>
      <c r="G283">
        <f>IFERROR(IF(ISNUMBER(INDEX(SPPR!$E:$Z,MATCH($A283,SPPR!$A:$A,0),4)),$C283*INDEX(SPPR!$E:$Z,MATCH($A283,SPPR!$A:$A,0),4),""),"")</f>
        <v/>
      </c>
      <c r="H283">
        <f>IFERROR(IF(ISNUMBER(INDEX(SPPR!$E:$Z,MATCH($A283,SPPR!$A:$A,0),5)),$C283*INDEX(SPPR!$E:$Z,MATCH($A283,SPPR!$A:$A,0),5),""),"")</f>
        <v/>
      </c>
      <c r="I283">
        <f>IFERROR(IF(ISNUMBER(INDEX(SPPR!$E:$Z,MATCH($A283,SPPR!$A:$A,0),6)),$C283*INDEX(SPPR!$E:$Z,MATCH($A283,SPPR!$A:$A,0),6),""),"")</f>
        <v/>
      </c>
      <c r="J283">
        <f>IFERROR(IF(ISNUMBER(INDEX(SPPR!$E:$Z,MATCH($A283,SPPR!$A:$A,0),7)),$C283*INDEX(SPPR!$E:$Z,MATCH($A283,SPPR!$A:$A,0),7),""),"")</f>
        <v/>
      </c>
      <c r="K283">
        <f>IFERROR(IF(ISNUMBER(INDEX(SPPR!$E:$Z,MATCH($A283,SPPR!$A:$A,0),8)),$C283*INDEX(SPPR!$E:$Z,MATCH($A283,SPPR!$A:$A,0),8),""),"")</f>
        <v/>
      </c>
      <c r="L283">
        <f>IFERROR(IF(ISNUMBER(INDEX(SPPR!$E:$Z,MATCH($A283,SPPR!$A:$A,0),9)),$C283*INDEX(SPPR!$E:$Z,MATCH($A283,SPPR!$A:$A,0),9),""),"")</f>
        <v/>
      </c>
      <c r="M283">
        <f>IFERROR(IF(ISNUMBER(INDEX(SPPR!$E:$Z,MATCH($A283,SPPR!$A:$A,0),10)),$C283*INDEX(SPPR!$E:$Z,MATCH($A283,SPPR!$A:$A,0),10),""),"")</f>
        <v/>
      </c>
      <c r="N283">
        <f>IFERROR(IF(ISNUMBER(INDEX(SPPR!$E:$Z,MATCH($A283,SPPR!$A:$A,0),11)),$C283*INDEX(SPPR!$E:$Z,MATCH($A283,SPPR!$A:$A,0),11),""),"")</f>
        <v/>
      </c>
      <c r="O283">
        <f>IFERROR(IF(ISNUMBER(INDEX(SPPR!$E:$Z,MATCH($A283,SPPR!$A:$A,0),12)),$C283*INDEX(SPPR!$E:$Z,MATCH($A283,SPPR!$A:$A,0),12),""),"")</f>
        <v/>
      </c>
      <c r="P283">
        <f>IFERROR(IF(ISNUMBER(INDEX(SPPR!$E:$Z,MATCH($A283,SPPR!$A:$A,0),13)),$C283*INDEX(SPPR!$E:$Z,MATCH($A283,SPPR!$A:$A,0),13),""),"")</f>
        <v/>
      </c>
      <c r="Q283">
        <f>IFERROR(IF(ISNUMBER(INDEX(SPPR!$E:$Z,MATCH($A283,SPPR!$A:$A,0),14)),$C283*INDEX(SPPR!$E:$Z,MATCH($A283,SPPR!$A:$A,0),14),""),"")</f>
        <v/>
      </c>
      <c r="R283">
        <f>IFERROR(IF(ISNUMBER(INDEX(SPPR!$E:$Z,MATCH($A283,SPPR!$A:$A,0),15)),$C283*INDEX(SPPR!$E:$Z,MATCH($A283,SPPR!$A:$A,0),15),""),"")</f>
        <v/>
      </c>
      <c r="S283">
        <f>IFERROR(IF(ISNUMBER(INDEX(SPPR!$E:$Z,MATCH($A283,SPPR!$A:$A,0),16)),$C283*INDEX(SPPR!$E:$Z,MATCH($A283,SPPR!$A:$A,0),16),""),"")</f>
        <v/>
      </c>
      <c r="T283">
        <f>IFERROR(IF(ISNUMBER(INDEX(SPPR!$E:$Z,MATCH($A283,SPPR!$A:$A,0),17)),$C283*INDEX(SPPR!$E:$Z,MATCH($A283,SPPR!$A:$A,0),17),""),"")</f>
        <v/>
      </c>
      <c r="U283">
        <f>IFERROR(IF(ISNUMBER(INDEX(SPPR!$E:$Z,MATCH($A283,SPPR!$A:$A,0),18)),$C283*INDEX(SPPR!$E:$Z,MATCH($A283,SPPR!$A:$A,0),18),""),"")</f>
        <v/>
      </c>
      <c r="V283">
        <f>IFERROR(IF(ISNUMBER(INDEX(SPPR!$E:$Z,MATCH($A283,SPPR!$A:$A,0),19)),$C283*INDEX(SPPR!$E:$Z,MATCH($A283,SPPR!$A:$A,0),19),""),"")</f>
        <v/>
      </c>
      <c r="W283">
        <f>IFERROR(IF(ISNUMBER(INDEX(SPPR!$E:$Z,MATCH($A283,SPPR!$A:$A,0),20)),$C283*INDEX(SPPR!$E:$Z,MATCH($A283,SPPR!$A:$A,0),20),""),"")</f>
        <v/>
      </c>
      <c r="X283">
        <f>IFERROR(IF(ISNUMBER(INDEX(SPPR!$E:$Z,MATCH($A283,SPPR!$A:$A,0),21)),$C283*INDEX(SPPR!$E:$Z,MATCH($A283,SPPR!$A:$A,0),21),""),"")</f>
        <v/>
      </c>
      <c r="Y283">
        <f>IFERROR(IF(ISNUMBER(INDEX(SPPR!$E:$Z,MATCH($A283,SPPR!$A:$A,0),22)),$C283*INDEX(SPPR!$E:$Z,MATCH($A283,SPPR!$A:$A,0),22),""),"")</f>
        <v/>
      </c>
    </row>
    <row r="284">
      <c r="A284" t="inlineStr">
        <is>
          <t>Centrophorus squamosus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IFERROR(IF(ISNUMBER(INDEX(SPPR!$E:$Z,MATCH($A284,SPPR!$A:$A,0),1)),$C284*INDEX(SPPR!$E:$Z,MATCH($A284,SPPR!$A:$A,0),1),""),"")</f>
        <v/>
      </c>
      <c r="E284">
        <f>IFERROR(IF(ISNUMBER(INDEX(SPPR!$E:$Z,MATCH($A284,SPPR!$A:$A,0),2)),$C284*INDEX(SPPR!$E:$Z,MATCH($A284,SPPR!$A:$A,0),2),""),"")</f>
        <v/>
      </c>
      <c r="F284">
        <f>IFERROR(IF(ISNUMBER(INDEX(SPPR!$E:$Z,MATCH($A284,SPPR!$A:$A,0),3)),$C284*INDEX(SPPR!$E:$Z,MATCH($A284,SPPR!$A:$A,0),3),""),"")</f>
        <v/>
      </c>
      <c r="G284">
        <f>IFERROR(IF(ISNUMBER(INDEX(SPPR!$E:$Z,MATCH($A284,SPPR!$A:$A,0),4)),$C284*INDEX(SPPR!$E:$Z,MATCH($A284,SPPR!$A:$A,0),4),""),"")</f>
        <v/>
      </c>
      <c r="H284">
        <f>IFERROR(IF(ISNUMBER(INDEX(SPPR!$E:$Z,MATCH($A284,SPPR!$A:$A,0),5)),$C284*INDEX(SPPR!$E:$Z,MATCH($A284,SPPR!$A:$A,0),5),""),"")</f>
        <v/>
      </c>
      <c r="I284">
        <f>IFERROR(IF(ISNUMBER(INDEX(SPPR!$E:$Z,MATCH($A284,SPPR!$A:$A,0),6)),$C284*INDEX(SPPR!$E:$Z,MATCH($A284,SPPR!$A:$A,0),6),""),"")</f>
        <v/>
      </c>
      <c r="J284">
        <f>IFERROR(IF(ISNUMBER(INDEX(SPPR!$E:$Z,MATCH($A284,SPPR!$A:$A,0),7)),$C284*INDEX(SPPR!$E:$Z,MATCH($A284,SPPR!$A:$A,0),7),""),"")</f>
        <v/>
      </c>
      <c r="K284">
        <f>IFERROR(IF(ISNUMBER(INDEX(SPPR!$E:$Z,MATCH($A284,SPPR!$A:$A,0),8)),$C284*INDEX(SPPR!$E:$Z,MATCH($A284,SPPR!$A:$A,0),8),""),"")</f>
        <v/>
      </c>
      <c r="L284">
        <f>IFERROR(IF(ISNUMBER(INDEX(SPPR!$E:$Z,MATCH($A284,SPPR!$A:$A,0),9)),$C284*INDEX(SPPR!$E:$Z,MATCH($A284,SPPR!$A:$A,0),9),""),"")</f>
        <v/>
      </c>
      <c r="M284">
        <f>IFERROR(IF(ISNUMBER(INDEX(SPPR!$E:$Z,MATCH($A284,SPPR!$A:$A,0),10)),$C284*INDEX(SPPR!$E:$Z,MATCH($A284,SPPR!$A:$A,0),10),""),"")</f>
        <v/>
      </c>
      <c r="N284">
        <f>IFERROR(IF(ISNUMBER(INDEX(SPPR!$E:$Z,MATCH($A284,SPPR!$A:$A,0),11)),$C284*INDEX(SPPR!$E:$Z,MATCH($A284,SPPR!$A:$A,0),11),""),"")</f>
        <v/>
      </c>
      <c r="O284">
        <f>IFERROR(IF(ISNUMBER(INDEX(SPPR!$E:$Z,MATCH($A284,SPPR!$A:$A,0),12)),$C284*INDEX(SPPR!$E:$Z,MATCH($A284,SPPR!$A:$A,0),12),""),"")</f>
        <v/>
      </c>
      <c r="P284">
        <f>IFERROR(IF(ISNUMBER(INDEX(SPPR!$E:$Z,MATCH($A284,SPPR!$A:$A,0),13)),$C284*INDEX(SPPR!$E:$Z,MATCH($A284,SPPR!$A:$A,0),13),""),"")</f>
        <v/>
      </c>
      <c r="Q284">
        <f>IFERROR(IF(ISNUMBER(INDEX(SPPR!$E:$Z,MATCH($A284,SPPR!$A:$A,0),14)),$C284*INDEX(SPPR!$E:$Z,MATCH($A284,SPPR!$A:$A,0),14),""),"")</f>
        <v/>
      </c>
      <c r="R284">
        <f>IFERROR(IF(ISNUMBER(INDEX(SPPR!$E:$Z,MATCH($A284,SPPR!$A:$A,0),15)),$C284*INDEX(SPPR!$E:$Z,MATCH($A284,SPPR!$A:$A,0),15),""),"")</f>
        <v/>
      </c>
      <c r="S284">
        <f>IFERROR(IF(ISNUMBER(INDEX(SPPR!$E:$Z,MATCH($A284,SPPR!$A:$A,0),16)),$C284*INDEX(SPPR!$E:$Z,MATCH($A284,SPPR!$A:$A,0),16),""),"")</f>
        <v/>
      </c>
      <c r="T284">
        <f>IFERROR(IF(ISNUMBER(INDEX(SPPR!$E:$Z,MATCH($A284,SPPR!$A:$A,0),17)),$C284*INDEX(SPPR!$E:$Z,MATCH($A284,SPPR!$A:$A,0),17),""),"")</f>
        <v/>
      </c>
      <c r="U284">
        <f>IFERROR(IF(ISNUMBER(INDEX(SPPR!$E:$Z,MATCH($A284,SPPR!$A:$A,0),18)),$C284*INDEX(SPPR!$E:$Z,MATCH($A284,SPPR!$A:$A,0),18),""),"")</f>
        <v/>
      </c>
      <c r="V284">
        <f>IFERROR(IF(ISNUMBER(INDEX(SPPR!$E:$Z,MATCH($A284,SPPR!$A:$A,0),19)),$C284*INDEX(SPPR!$E:$Z,MATCH($A284,SPPR!$A:$A,0),19),""),"")</f>
        <v/>
      </c>
      <c r="W284">
        <f>IFERROR(IF(ISNUMBER(INDEX(SPPR!$E:$Z,MATCH($A284,SPPR!$A:$A,0),20)),$C284*INDEX(SPPR!$E:$Z,MATCH($A284,SPPR!$A:$A,0),20),""),"")</f>
        <v/>
      </c>
      <c r="X284">
        <f>IFERROR(IF(ISNUMBER(INDEX(SPPR!$E:$Z,MATCH($A284,SPPR!$A:$A,0),21)),$C284*INDEX(SPPR!$E:$Z,MATCH($A284,SPPR!$A:$A,0),21),""),"")</f>
        <v/>
      </c>
      <c r="Y284">
        <f>IFERROR(IF(ISNUMBER(INDEX(SPPR!$E:$Z,MATCH($A284,SPPR!$A:$A,0),22)),$C284*INDEX(SPPR!$E:$Z,MATCH($A284,SPPR!$A:$A,0),22),""),"")</f>
        <v/>
      </c>
    </row>
    <row r="285">
      <c r="A285" t="inlineStr">
        <is>
          <t>Sarpa salpa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IFERROR(IF(ISNUMBER(INDEX(SPPR!$E:$Z,MATCH($A285,SPPR!$A:$A,0),1)),$C285*INDEX(SPPR!$E:$Z,MATCH($A285,SPPR!$A:$A,0),1),""),"")</f>
        <v/>
      </c>
      <c r="E285">
        <f>IFERROR(IF(ISNUMBER(INDEX(SPPR!$E:$Z,MATCH($A285,SPPR!$A:$A,0),2)),$C285*INDEX(SPPR!$E:$Z,MATCH($A285,SPPR!$A:$A,0),2),""),"")</f>
        <v/>
      </c>
      <c r="F285">
        <f>IFERROR(IF(ISNUMBER(INDEX(SPPR!$E:$Z,MATCH($A285,SPPR!$A:$A,0),3)),$C285*INDEX(SPPR!$E:$Z,MATCH($A285,SPPR!$A:$A,0),3),""),"")</f>
        <v/>
      </c>
      <c r="G285">
        <f>IFERROR(IF(ISNUMBER(INDEX(SPPR!$E:$Z,MATCH($A285,SPPR!$A:$A,0),4)),$C285*INDEX(SPPR!$E:$Z,MATCH($A285,SPPR!$A:$A,0),4),""),"")</f>
        <v/>
      </c>
      <c r="H285">
        <f>IFERROR(IF(ISNUMBER(INDEX(SPPR!$E:$Z,MATCH($A285,SPPR!$A:$A,0),5)),$C285*INDEX(SPPR!$E:$Z,MATCH($A285,SPPR!$A:$A,0),5),""),"")</f>
        <v/>
      </c>
      <c r="I285">
        <f>IFERROR(IF(ISNUMBER(INDEX(SPPR!$E:$Z,MATCH($A285,SPPR!$A:$A,0),6)),$C285*INDEX(SPPR!$E:$Z,MATCH($A285,SPPR!$A:$A,0),6),""),"")</f>
        <v/>
      </c>
      <c r="J285">
        <f>IFERROR(IF(ISNUMBER(INDEX(SPPR!$E:$Z,MATCH($A285,SPPR!$A:$A,0),7)),$C285*INDEX(SPPR!$E:$Z,MATCH($A285,SPPR!$A:$A,0),7),""),"")</f>
        <v/>
      </c>
      <c r="K285">
        <f>IFERROR(IF(ISNUMBER(INDEX(SPPR!$E:$Z,MATCH($A285,SPPR!$A:$A,0),8)),$C285*INDEX(SPPR!$E:$Z,MATCH($A285,SPPR!$A:$A,0),8),""),"")</f>
        <v/>
      </c>
      <c r="L285">
        <f>IFERROR(IF(ISNUMBER(INDEX(SPPR!$E:$Z,MATCH($A285,SPPR!$A:$A,0),9)),$C285*INDEX(SPPR!$E:$Z,MATCH($A285,SPPR!$A:$A,0),9),""),"")</f>
        <v/>
      </c>
      <c r="M285">
        <f>IFERROR(IF(ISNUMBER(INDEX(SPPR!$E:$Z,MATCH($A285,SPPR!$A:$A,0),10)),$C285*INDEX(SPPR!$E:$Z,MATCH($A285,SPPR!$A:$A,0),10),""),"")</f>
        <v/>
      </c>
      <c r="N285">
        <f>IFERROR(IF(ISNUMBER(INDEX(SPPR!$E:$Z,MATCH($A285,SPPR!$A:$A,0),11)),$C285*INDEX(SPPR!$E:$Z,MATCH($A285,SPPR!$A:$A,0),11),""),"")</f>
        <v/>
      </c>
      <c r="O285">
        <f>IFERROR(IF(ISNUMBER(INDEX(SPPR!$E:$Z,MATCH($A285,SPPR!$A:$A,0),12)),$C285*INDEX(SPPR!$E:$Z,MATCH($A285,SPPR!$A:$A,0),12),""),"")</f>
        <v/>
      </c>
      <c r="P285">
        <f>IFERROR(IF(ISNUMBER(INDEX(SPPR!$E:$Z,MATCH($A285,SPPR!$A:$A,0),13)),$C285*INDEX(SPPR!$E:$Z,MATCH($A285,SPPR!$A:$A,0),13),""),"")</f>
        <v/>
      </c>
      <c r="Q285">
        <f>IFERROR(IF(ISNUMBER(INDEX(SPPR!$E:$Z,MATCH($A285,SPPR!$A:$A,0),14)),$C285*INDEX(SPPR!$E:$Z,MATCH($A285,SPPR!$A:$A,0),14),""),"")</f>
        <v/>
      </c>
      <c r="R285">
        <f>IFERROR(IF(ISNUMBER(INDEX(SPPR!$E:$Z,MATCH($A285,SPPR!$A:$A,0),15)),$C285*INDEX(SPPR!$E:$Z,MATCH($A285,SPPR!$A:$A,0),15),""),"")</f>
        <v/>
      </c>
      <c r="S285">
        <f>IFERROR(IF(ISNUMBER(INDEX(SPPR!$E:$Z,MATCH($A285,SPPR!$A:$A,0),16)),$C285*INDEX(SPPR!$E:$Z,MATCH($A285,SPPR!$A:$A,0),16),""),"")</f>
        <v/>
      </c>
      <c r="T285">
        <f>IFERROR(IF(ISNUMBER(INDEX(SPPR!$E:$Z,MATCH($A285,SPPR!$A:$A,0),17)),$C285*INDEX(SPPR!$E:$Z,MATCH($A285,SPPR!$A:$A,0),17),""),"")</f>
        <v/>
      </c>
      <c r="U285">
        <f>IFERROR(IF(ISNUMBER(INDEX(SPPR!$E:$Z,MATCH($A285,SPPR!$A:$A,0),18)),$C285*INDEX(SPPR!$E:$Z,MATCH($A285,SPPR!$A:$A,0),18),""),"")</f>
        <v/>
      </c>
      <c r="V285">
        <f>IFERROR(IF(ISNUMBER(INDEX(SPPR!$E:$Z,MATCH($A285,SPPR!$A:$A,0),19)),$C285*INDEX(SPPR!$E:$Z,MATCH($A285,SPPR!$A:$A,0),19),""),"")</f>
        <v/>
      </c>
      <c r="W285">
        <f>IFERROR(IF(ISNUMBER(INDEX(SPPR!$E:$Z,MATCH($A285,SPPR!$A:$A,0),20)),$C285*INDEX(SPPR!$E:$Z,MATCH($A285,SPPR!$A:$A,0),20),""),"")</f>
        <v/>
      </c>
      <c r="X285">
        <f>IFERROR(IF(ISNUMBER(INDEX(SPPR!$E:$Z,MATCH($A285,SPPR!$A:$A,0),21)),$C285*INDEX(SPPR!$E:$Z,MATCH($A285,SPPR!$A:$A,0),21),""),"")</f>
        <v/>
      </c>
      <c r="Y285">
        <f>IFERROR(IF(ISNUMBER(INDEX(SPPR!$E:$Z,MATCH($A285,SPPR!$A:$A,0),22)),$C285*INDEX(SPPR!$E:$Z,MATCH($A285,SPPR!$A:$A,0),22),""),"")</f>
        <v/>
      </c>
    </row>
    <row r="286">
      <c r="A286" t="inlineStr">
        <is>
          <t>Chaceon maritae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IFERROR(IF(ISNUMBER(INDEX(SPPR!$E:$Z,MATCH($A286,SPPR!$A:$A,0),1)),$C286*INDEX(SPPR!$E:$Z,MATCH($A286,SPPR!$A:$A,0),1),""),"")</f>
        <v/>
      </c>
      <c r="E286">
        <f>IFERROR(IF(ISNUMBER(INDEX(SPPR!$E:$Z,MATCH($A286,SPPR!$A:$A,0),2)),$C286*INDEX(SPPR!$E:$Z,MATCH($A286,SPPR!$A:$A,0),2),""),"")</f>
        <v/>
      </c>
      <c r="F286">
        <f>IFERROR(IF(ISNUMBER(INDEX(SPPR!$E:$Z,MATCH($A286,SPPR!$A:$A,0),3)),$C286*INDEX(SPPR!$E:$Z,MATCH($A286,SPPR!$A:$A,0),3),""),"")</f>
        <v/>
      </c>
      <c r="G286">
        <f>IFERROR(IF(ISNUMBER(INDEX(SPPR!$E:$Z,MATCH($A286,SPPR!$A:$A,0),4)),$C286*INDEX(SPPR!$E:$Z,MATCH($A286,SPPR!$A:$A,0),4),""),"")</f>
        <v/>
      </c>
      <c r="H286">
        <f>IFERROR(IF(ISNUMBER(INDEX(SPPR!$E:$Z,MATCH($A286,SPPR!$A:$A,0),5)),$C286*INDEX(SPPR!$E:$Z,MATCH($A286,SPPR!$A:$A,0),5),""),"")</f>
        <v/>
      </c>
      <c r="I286">
        <f>IFERROR(IF(ISNUMBER(INDEX(SPPR!$E:$Z,MATCH($A286,SPPR!$A:$A,0),6)),$C286*INDEX(SPPR!$E:$Z,MATCH($A286,SPPR!$A:$A,0),6),""),"")</f>
        <v/>
      </c>
      <c r="J286">
        <f>IFERROR(IF(ISNUMBER(INDEX(SPPR!$E:$Z,MATCH($A286,SPPR!$A:$A,0),7)),$C286*INDEX(SPPR!$E:$Z,MATCH($A286,SPPR!$A:$A,0),7),""),"")</f>
        <v/>
      </c>
      <c r="K286">
        <f>IFERROR(IF(ISNUMBER(INDEX(SPPR!$E:$Z,MATCH($A286,SPPR!$A:$A,0),8)),$C286*INDEX(SPPR!$E:$Z,MATCH($A286,SPPR!$A:$A,0),8),""),"")</f>
        <v/>
      </c>
      <c r="L286">
        <f>IFERROR(IF(ISNUMBER(INDEX(SPPR!$E:$Z,MATCH($A286,SPPR!$A:$A,0),9)),$C286*INDEX(SPPR!$E:$Z,MATCH($A286,SPPR!$A:$A,0),9),""),"")</f>
        <v/>
      </c>
      <c r="M286">
        <f>IFERROR(IF(ISNUMBER(INDEX(SPPR!$E:$Z,MATCH($A286,SPPR!$A:$A,0),10)),$C286*INDEX(SPPR!$E:$Z,MATCH($A286,SPPR!$A:$A,0),10),""),"")</f>
        <v/>
      </c>
      <c r="N286">
        <f>IFERROR(IF(ISNUMBER(INDEX(SPPR!$E:$Z,MATCH($A286,SPPR!$A:$A,0),11)),$C286*INDEX(SPPR!$E:$Z,MATCH($A286,SPPR!$A:$A,0),11),""),"")</f>
        <v/>
      </c>
      <c r="O286">
        <f>IFERROR(IF(ISNUMBER(INDEX(SPPR!$E:$Z,MATCH($A286,SPPR!$A:$A,0),12)),$C286*INDEX(SPPR!$E:$Z,MATCH($A286,SPPR!$A:$A,0),12),""),"")</f>
        <v/>
      </c>
      <c r="P286">
        <f>IFERROR(IF(ISNUMBER(INDEX(SPPR!$E:$Z,MATCH($A286,SPPR!$A:$A,0),13)),$C286*INDEX(SPPR!$E:$Z,MATCH($A286,SPPR!$A:$A,0),13),""),"")</f>
        <v/>
      </c>
      <c r="Q286">
        <f>IFERROR(IF(ISNUMBER(INDEX(SPPR!$E:$Z,MATCH($A286,SPPR!$A:$A,0),14)),$C286*INDEX(SPPR!$E:$Z,MATCH($A286,SPPR!$A:$A,0),14),""),"")</f>
        <v/>
      </c>
      <c r="R286">
        <f>IFERROR(IF(ISNUMBER(INDEX(SPPR!$E:$Z,MATCH($A286,SPPR!$A:$A,0),15)),$C286*INDEX(SPPR!$E:$Z,MATCH($A286,SPPR!$A:$A,0),15),""),"")</f>
        <v/>
      </c>
      <c r="S286">
        <f>IFERROR(IF(ISNUMBER(INDEX(SPPR!$E:$Z,MATCH($A286,SPPR!$A:$A,0),16)),$C286*INDEX(SPPR!$E:$Z,MATCH($A286,SPPR!$A:$A,0),16),""),"")</f>
        <v/>
      </c>
      <c r="T286">
        <f>IFERROR(IF(ISNUMBER(INDEX(SPPR!$E:$Z,MATCH($A286,SPPR!$A:$A,0),17)),$C286*INDEX(SPPR!$E:$Z,MATCH($A286,SPPR!$A:$A,0),17),""),"")</f>
        <v/>
      </c>
      <c r="U286">
        <f>IFERROR(IF(ISNUMBER(INDEX(SPPR!$E:$Z,MATCH($A286,SPPR!$A:$A,0),18)),$C286*INDEX(SPPR!$E:$Z,MATCH($A286,SPPR!$A:$A,0),18),""),"")</f>
        <v/>
      </c>
      <c r="V286">
        <f>IFERROR(IF(ISNUMBER(INDEX(SPPR!$E:$Z,MATCH($A286,SPPR!$A:$A,0),19)),$C286*INDEX(SPPR!$E:$Z,MATCH($A286,SPPR!$A:$A,0),19),""),"")</f>
        <v/>
      </c>
      <c r="W286">
        <f>IFERROR(IF(ISNUMBER(INDEX(SPPR!$E:$Z,MATCH($A286,SPPR!$A:$A,0),20)),$C286*INDEX(SPPR!$E:$Z,MATCH($A286,SPPR!$A:$A,0),20),""),"")</f>
        <v/>
      </c>
      <c r="X286">
        <f>IFERROR(IF(ISNUMBER(INDEX(SPPR!$E:$Z,MATCH($A286,SPPR!$A:$A,0),21)),$C286*INDEX(SPPR!$E:$Z,MATCH($A286,SPPR!$A:$A,0),21),""),"")</f>
        <v/>
      </c>
      <c r="Y286">
        <f>IFERROR(IF(ISNUMBER(INDEX(SPPR!$E:$Z,MATCH($A286,SPPR!$A:$A,0),22)),$C286*INDEX(SPPR!$E:$Z,MATCH($A286,SPPR!$A:$A,0),22),""),"")</f>
        <v/>
      </c>
    </row>
    <row r="287">
      <c r="A287" t="inlineStr">
        <is>
          <t>Isurus paucus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IFERROR(IF(ISNUMBER(INDEX(SPPR!$E:$Z,MATCH($A287,SPPR!$A:$A,0),1)),$C287*INDEX(SPPR!$E:$Z,MATCH($A287,SPPR!$A:$A,0),1),""),"")</f>
        <v/>
      </c>
      <c r="E287">
        <f>IFERROR(IF(ISNUMBER(INDEX(SPPR!$E:$Z,MATCH($A287,SPPR!$A:$A,0),2)),$C287*INDEX(SPPR!$E:$Z,MATCH($A287,SPPR!$A:$A,0),2),""),"")</f>
        <v/>
      </c>
      <c r="F287">
        <f>IFERROR(IF(ISNUMBER(INDEX(SPPR!$E:$Z,MATCH($A287,SPPR!$A:$A,0),3)),$C287*INDEX(SPPR!$E:$Z,MATCH($A287,SPPR!$A:$A,0),3),""),"")</f>
        <v/>
      </c>
      <c r="G287">
        <f>IFERROR(IF(ISNUMBER(INDEX(SPPR!$E:$Z,MATCH($A287,SPPR!$A:$A,0),4)),$C287*INDEX(SPPR!$E:$Z,MATCH($A287,SPPR!$A:$A,0),4),""),"")</f>
        <v/>
      </c>
      <c r="H287">
        <f>IFERROR(IF(ISNUMBER(INDEX(SPPR!$E:$Z,MATCH($A287,SPPR!$A:$A,0),5)),$C287*INDEX(SPPR!$E:$Z,MATCH($A287,SPPR!$A:$A,0),5),""),"")</f>
        <v/>
      </c>
      <c r="I287">
        <f>IFERROR(IF(ISNUMBER(INDEX(SPPR!$E:$Z,MATCH($A287,SPPR!$A:$A,0),6)),$C287*INDEX(SPPR!$E:$Z,MATCH($A287,SPPR!$A:$A,0),6),""),"")</f>
        <v/>
      </c>
      <c r="J287">
        <f>IFERROR(IF(ISNUMBER(INDEX(SPPR!$E:$Z,MATCH($A287,SPPR!$A:$A,0),7)),$C287*INDEX(SPPR!$E:$Z,MATCH($A287,SPPR!$A:$A,0),7),""),"")</f>
        <v/>
      </c>
      <c r="K287">
        <f>IFERROR(IF(ISNUMBER(INDEX(SPPR!$E:$Z,MATCH($A287,SPPR!$A:$A,0),8)),$C287*INDEX(SPPR!$E:$Z,MATCH($A287,SPPR!$A:$A,0),8),""),"")</f>
        <v/>
      </c>
      <c r="L287">
        <f>IFERROR(IF(ISNUMBER(INDEX(SPPR!$E:$Z,MATCH($A287,SPPR!$A:$A,0),9)),$C287*INDEX(SPPR!$E:$Z,MATCH($A287,SPPR!$A:$A,0),9),""),"")</f>
        <v/>
      </c>
      <c r="M287">
        <f>IFERROR(IF(ISNUMBER(INDEX(SPPR!$E:$Z,MATCH($A287,SPPR!$A:$A,0),10)),$C287*INDEX(SPPR!$E:$Z,MATCH($A287,SPPR!$A:$A,0),10),""),"")</f>
        <v/>
      </c>
      <c r="N287">
        <f>IFERROR(IF(ISNUMBER(INDEX(SPPR!$E:$Z,MATCH($A287,SPPR!$A:$A,0),11)),$C287*INDEX(SPPR!$E:$Z,MATCH($A287,SPPR!$A:$A,0),11),""),"")</f>
        <v/>
      </c>
      <c r="O287">
        <f>IFERROR(IF(ISNUMBER(INDEX(SPPR!$E:$Z,MATCH($A287,SPPR!$A:$A,0),12)),$C287*INDEX(SPPR!$E:$Z,MATCH($A287,SPPR!$A:$A,0),12),""),"")</f>
        <v/>
      </c>
      <c r="P287">
        <f>IFERROR(IF(ISNUMBER(INDEX(SPPR!$E:$Z,MATCH($A287,SPPR!$A:$A,0),13)),$C287*INDEX(SPPR!$E:$Z,MATCH($A287,SPPR!$A:$A,0),13),""),"")</f>
        <v/>
      </c>
      <c r="Q287">
        <f>IFERROR(IF(ISNUMBER(INDEX(SPPR!$E:$Z,MATCH($A287,SPPR!$A:$A,0),14)),$C287*INDEX(SPPR!$E:$Z,MATCH($A287,SPPR!$A:$A,0),14),""),"")</f>
        <v/>
      </c>
      <c r="R287">
        <f>IFERROR(IF(ISNUMBER(INDEX(SPPR!$E:$Z,MATCH($A287,SPPR!$A:$A,0),15)),$C287*INDEX(SPPR!$E:$Z,MATCH($A287,SPPR!$A:$A,0),15),""),"")</f>
        <v/>
      </c>
      <c r="S287">
        <f>IFERROR(IF(ISNUMBER(INDEX(SPPR!$E:$Z,MATCH($A287,SPPR!$A:$A,0),16)),$C287*INDEX(SPPR!$E:$Z,MATCH($A287,SPPR!$A:$A,0),16),""),"")</f>
        <v/>
      </c>
      <c r="T287">
        <f>IFERROR(IF(ISNUMBER(INDEX(SPPR!$E:$Z,MATCH($A287,SPPR!$A:$A,0),17)),$C287*INDEX(SPPR!$E:$Z,MATCH($A287,SPPR!$A:$A,0),17),""),"")</f>
        <v/>
      </c>
      <c r="U287">
        <f>IFERROR(IF(ISNUMBER(INDEX(SPPR!$E:$Z,MATCH($A287,SPPR!$A:$A,0),18)),$C287*INDEX(SPPR!$E:$Z,MATCH($A287,SPPR!$A:$A,0),18),""),"")</f>
        <v/>
      </c>
      <c r="V287">
        <f>IFERROR(IF(ISNUMBER(INDEX(SPPR!$E:$Z,MATCH($A287,SPPR!$A:$A,0),19)),$C287*INDEX(SPPR!$E:$Z,MATCH($A287,SPPR!$A:$A,0),19),""),"")</f>
        <v/>
      </c>
      <c r="W287">
        <f>IFERROR(IF(ISNUMBER(INDEX(SPPR!$E:$Z,MATCH($A287,SPPR!$A:$A,0),20)),$C287*INDEX(SPPR!$E:$Z,MATCH($A287,SPPR!$A:$A,0),20),""),"")</f>
        <v/>
      </c>
      <c r="X287">
        <f>IFERROR(IF(ISNUMBER(INDEX(SPPR!$E:$Z,MATCH($A287,SPPR!$A:$A,0),21)),$C287*INDEX(SPPR!$E:$Z,MATCH($A287,SPPR!$A:$A,0),21),""),"")</f>
        <v/>
      </c>
      <c r="Y287">
        <f>IFERROR(IF(ISNUMBER(INDEX(SPPR!$E:$Z,MATCH($A287,SPPR!$A:$A,0),22)),$C287*INDEX(SPPR!$E:$Z,MATCH($A287,SPPR!$A:$A,0),22),""),"")</f>
        <v/>
      </c>
    </row>
    <row r="288">
      <c r="A288" t="inlineStr">
        <is>
          <t>Carcharodon carcharias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IFERROR(IF(ISNUMBER(INDEX(SPPR!$E:$Z,MATCH($A288,SPPR!$A:$A,0),1)),$C288*INDEX(SPPR!$E:$Z,MATCH($A288,SPPR!$A:$A,0),1),""),"")</f>
        <v/>
      </c>
      <c r="E288">
        <f>IFERROR(IF(ISNUMBER(INDEX(SPPR!$E:$Z,MATCH($A288,SPPR!$A:$A,0),2)),$C288*INDEX(SPPR!$E:$Z,MATCH($A288,SPPR!$A:$A,0),2),""),"")</f>
        <v/>
      </c>
      <c r="F288">
        <f>IFERROR(IF(ISNUMBER(INDEX(SPPR!$E:$Z,MATCH($A288,SPPR!$A:$A,0),3)),$C288*INDEX(SPPR!$E:$Z,MATCH($A288,SPPR!$A:$A,0),3),""),"")</f>
        <v/>
      </c>
      <c r="G288">
        <f>IFERROR(IF(ISNUMBER(INDEX(SPPR!$E:$Z,MATCH($A288,SPPR!$A:$A,0),4)),$C288*INDEX(SPPR!$E:$Z,MATCH($A288,SPPR!$A:$A,0),4),""),"")</f>
        <v/>
      </c>
      <c r="H288">
        <f>IFERROR(IF(ISNUMBER(INDEX(SPPR!$E:$Z,MATCH($A288,SPPR!$A:$A,0),5)),$C288*INDEX(SPPR!$E:$Z,MATCH($A288,SPPR!$A:$A,0),5),""),"")</f>
        <v/>
      </c>
      <c r="I288">
        <f>IFERROR(IF(ISNUMBER(INDEX(SPPR!$E:$Z,MATCH($A288,SPPR!$A:$A,0),6)),$C288*INDEX(SPPR!$E:$Z,MATCH($A288,SPPR!$A:$A,0),6),""),"")</f>
        <v/>
      </c>
      <c r="J288">
        <f>IFERROR(IF(ISNUMBER(INDEX(SPPR!$E:$Z,MATCH($A288,SPPR!$A:$A,0),7)),$C288*INDEX(SPPR!$E:$Z,MATCH($A288,SPPR!$A:$A,0),7),""),"")</f>
        <v/>
      </c>
      <c r="K288">
        <f>IFERROR(IF(ISNUMBER(INDEX(SPPR!$E:$Z,MATCH($A288,SPPR!$A:$A,0),8)),$C288*INDEX(SPPR!$E:$Z,MATCH($A288,SPPR!$A:$A,0),8),""),"")</f>
        <v/>
      </c>
      <c r="L288">
        <f>IFERROR(IF(ISNUMBER(INDEX(SPPR!$E:$Z,MATCH($A288,SPPR!$A:$A,0),9)),$C288*INDEX(SPPR!$E:$Z,MATCH($A288,SPPR!$A:$A,0),9),""),"")</f>
        <v/>
      </c>
      <c r="M288">
        <f>IFERROR(IF(ISNUMBER(INDEX(SPPR!$E:$Z,MATCH($A288,SPPR!$A:$A,0),10)),$C288*INDEX(SPPR!$E:$Z,MATCH($A288,SPPR!$A:$A,0),10),""),"")</f>
        <v/>
      </c>
      <c r="N288">
        <f>IFERROR(IF(ISNUMBER(INDEX(SPPR!$E:$Z,MATCH($A288,SPPR!$A:$A,0),11)),$C288*INDEX(SPPR!$E:$Z,MATCH($A288,SPPR!$A:$A,0),11),""),"")</f>
        <v/>
      </c>
      <c r="O288">
        <f>IFERROR(IF(ISNUMBER(INDEX(SPPR!$E:$Z,MATCH($A288,SPPR!$A:$A,0),12)),$C288*INDEX(SPPR!$E:$Z,MATCH($A288,SPPR!$A:$A,0),12),""),"")</f>
        <v/>
      </c>
      <c r="P288">
        <f>IFERROR(IF(ISNUMBER(INDEX(SPPR!$E:$Z,MATCH($A288,SPPR!$A:$A,0),13)),$C288*INDEX(SPPR!$E:$Z,MATCH($A288,SPPR!$A:$A,0),13),""),"")</f>
        <v/>
      </c>
      <c r="Q288">
        <f>IFERROR(IF(ISNUMBER(INDEX(SPPR!$E:$Z,MATCH($A288,SPPR!$A:$A,0),14)),$C288*INDEX(SPPR!$E:$Z,MATCH($A288,SPPR!$A:$A,0),14),""),"")</f>
        <v/>
      </c>
      <c r="R288">
        <f>IFERROR(IF(ISNUMBER(INDEX(SPPR!$E:$Z,MATCH($A288,SPPR!$A:$A,0),15)),$C288*INDEX(SPPR!$E:$Z,MATCH($A288,SPPR!$A:$A,0),15),""),"")</f>
        <v/>
      </c>
      <c r="S288">
        <f>IFERROR(IF(ISNUMBER(INDEX(SPPR!$E:$Z,MATCH($A288,SPPR!$A:$A,0),16)),$C288*INDEX(SPPR!$E:$Z,MATCH($A288,SPPR!$A:$A,0),16),""),"")</f>
        <v/>
      </c>
      <c r="T288">
        <f>IFERROR(IF(ISNUMBER(INDEX(SPPR!$E:$Z,MATCH($A288,SPPR!$A:$A,0),17)),$C288*INDEX(SPPR!$E:$Z,MATCH($A288,SPPR!$A:$A,0),17),""),"")</f>
        <v/>
      </c>
      <c r="U288">
        <f>IFERROR(IF(ISNUMBER(INDEX(SPPR!$E:$Z,MATCH($A288,SPPR!$A:$A,0),18)),$C288*INDEX(SPPR!$E:$Z,MATCH($A288,SPPR!$A:$A,0),18),""),"")</f>
        <v/>
      </c>
      <c r="V288">
        <f>IFERROR(IF(ISNUMBER(INDEX(SPPR!$E:$Z,MATCH($A288,SPPR!$A:$A,0),19)),$C288*INDEX(SPPR!$E:$Z,MATCH($A288,SPPR!$A:$A,0),19),""),"")</f>
        <v/>
      </c>
      <c r="W288">
        <f>IFERROR(IF(ISNUMBER(INDEX(SPPR!$E:$Z,MATCH($A288,SPPR!$A:$A,0),20)),$C288*INDEX(SPPR!$E:$Z,MATCH($A288,SPPR!$A:$A,0),20),""),"")</f>
        <v/>
      </c>
      <c r="X288">
        <f>IFERROR(IF(ISNUMBER(INDEX(SPPR!$E:$Z,MATCH($A288,SPPR!$A:$A,0),21)),$C288*INDEX(SPPR!$E:$Z,MATCH($A288,SPPR!$A:$A,0),21),""),"")</f>
        <v/>
      </c>
      <c r="Y288">
        <f>IFERROR(IF(ISNUMBER(INDEX(SPPR!$E:$Z,MATCH($A288,SPPR!$A:$A,0),22)),$C288*INDEX(SPPR!$E:$Z,MATCH($A288,SPPR!$A:$A,0),22),""),"")</f>
        <v/>
      </c>
    </row>
    <row r="289">
      <c r="A289" t="inlineStr">
        <is>
          <t>Ruvettus pretiosus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IFERROR(IF(ISNUMBER(INDEX(SPPR!$E:$Z,MATCH($A289,SPPR!$A:$A,0),1)),$C289*INDEX(SPPR!$E:$Z,MATCH($A289,SPPR!$A:$A,0),1),""),"")</f>
        <v/>
      </c>
      <c r="E289">
        <f>IFERROR(IF(ISNUMBER(INDEX(SPPR!$E:$Z,MATCH($A289,SPPR!$A:$A,0),2)),$C289*INDEX(SPPR!$E:$Z,MATCH($A289,SPPR!$A:$A,0),2),""),"")</f>
        <v/>
      </c>
      <c r="F289">
        <f>IFERROR(IF(ISNUMBER(INDEX(SPPR!$E:$Z,MATCH($A289,SPPR!$A:$A,0),3)),$C289*INDEX(SPPR!$E:$Z,MATCH($A289,SPPR!$A:$A,0),3),""),"")</f>
        <v/>
      </c>
      <c r="G289">
        <f>IFERROR(IF(ISNUMBER(INDEX(SPPR!$E:$Z,MATCH($A289,SPPR!$A:$A,0),4)),$C289*INDEX(SPPR!$E:$Z,MATCH($A289,SPPR!$A:$A,0),4),""),"")</f>
        <v/>
      </c>
      <c r="H289">
        <f>IFERROR(IF(ISNUMBER(INDEX(SPPR!$E:$Z,MATCH($A289,SPPR!$A:$A,0),5)),$C289*INDEX(SPPR!$E:$Z,MATCH($A289,SPPR!$A:$A,0),5),""),"")</f>
        <v/>
      </c>
      <c r="I289">
        <f>IFERROR(IF(ISNUMBER(INDEX(SPPR!$E:$Z,MATCH($A289,SPPR!$A:$A,0),6)),$C289*INDEX(SPPR!$E:$Z,MATCH($A289,SPPR!$A:$A,0),6),""),"")</f>
        <v/>
      </c>
      <c r="J289">
        <f>IFERROR(IF(ISNUMBER(INDEX(SPPR!$E:$Z,MATCH($A289,SPPR!$A:$A,0),7)),$C289*INDEX(SPPR!$E:$Z,MATCH($A289,SPPR!$A:$A,0),7),""),"")</f>
        <v/>
      </c>
      <c r="K289">
        <f>IFERROR(IF(ISNUMBER(INDEX(SPPR!$E:$Z,MATCH($A289,SPPR!$A:$A,0),8)),$C289*INDEX(SPPR!$E:$Z,MATCH($A289,SPPR!$A:$A,0),8),""),"")</f>
        <v/>
      </c>
      <c r="L289">
        <f>IFERROR(IF(ISNUMBER(INDEX(SPPR!$E:$Z,MATCH($A289,SPPR!$A:$A,0),9)),$C289*INDEX(SPPR!$E:$Z,MATCH($A289,SPPR!$A:$A,0),9),""),"")</f>
        <v/>
      </c>
      <c r="M289">
        <f>IFERROR(IF(ISNUMBER(INDEX(SPPR!$E:$Z,MATCH($A289,SPPR!$A:$A,0),10)),$C289*INDEX(SPPR!$E:$Z,MATCH($A289,SPPR!$A:$A,0),10),""),"")</f>
        <v/>
      </c>
      <c r="N289">
        <f>IFERROR(IF(ISNUMBER(INDEX(SPPR!$E:$Z,MATCH($A289,SPPR!$A:$A,0),11)),$C289*INDEX(SPPR!$E:$Z,MATCH($A289,SPPR!$A:$A,0),11),""),"")</f>
        <v/>
      </c>
      <c r="O289">
        <f>IFERROR(IF(ISNUMBER(INDEX(SPPR!$E:$Z,MATCH($A289,SPPR!$A:$A,0),12)),$C289*INDEX(SPPR!$E:$Z,MATCH($A289,SPPR!$A:$A,0),12),""),"")</f>
        <v/>
      </c>
      <c r="P289">
        <f>IFERROR(IF(ISNUMBER(INDEX(SPPR!$E:$Z,MATCH($A289,SPPR!$A:$A,0),13)),$C289*INDEX(SPPR!$E:$Z,MATCH($A289,SPPR!$A:$A,0),13),""),"")</f>
        <v/>
      </c>
      <c r="Q289">
        <f>IFERROR(IF(ISNUMBER(INDEX(SPPR!$E:$Z,MATCH($A289,SPPR!$A:$A,0),14)),$C289*INDEX(SPPR!$E:$Z,MATCH($A289,SPPR!$A:$A,0),14),""),"")</f>
        <v/>
      </c>
      <c r="R289">
        <f>IFERROR(IF(ISNUMBER(INDEX(SPPR!$E:$Z,MATCH($A289,SPPR!$A:$A,0),15)),$C289*INDEX(SPPR!$E:$Z,MATCH($A289,SPPR!$A:$A,0),15),""),"")</f>
        <v/>
      </c>
      <c r="S289">
        <f>IFERROR(IF(ISNUMBER(INDEX(SPPR!$E:$Z,MATCH($A289,SPPR!$A:$A,0),16)),$C289*INDEX(SPPR!$E:$Z,MATCH($A289,SPPR!$A:$A,0),16),""),"")</f>
        <v/>
      </c>
      <c r="T289">
        <f>IFERROR(IF(ISNUMBER(INDEX(SPPR!$E:$Z,MATCH($A289,SPPR!$A:$A,0),17)),$C289*INDEX(SPPR!$E:$Z,MATCH($A289,SPPR!$A:$A,0),17),""),"")</f>
        <v/>
      </c>
      <c r="U289">
        <f>IFERROR(IF(ISNUMBER(INDEX(SPPR!$E:$Z,MATCH($A289,SPPR!$A:$A,0),18)),$C289*INDEX(SPPR!$E:$Z,MATCH($A289,SPPR!$A:$A,0),18),""),"")</f>
        <v/>
      </c>
      <c r="V289">
        <f>IFERROR(IF(ISNUMBER(INDEX(SPPR!$E:$Z,MATCH($A289,SPPR!$A:$A,0),19)),$C289*INDEX(SPPR!$E:$Z,MATCH($A289,SPPR!$A:$A,0),19),""),"")</f>
        <v/>
      </c>
      <c r="W289">
        <f>IFERROR(IF(ISNUMBER(INDEX(SPPR!$E:$Z,MATCH($A289,SPPR!$A:$A,0),20)),$C289*INDEX(SPPR!$E:$Z,MATCH($A289,SPPR!$A:$A,0),20),""),"")</f>
        <v/>
      </c>
      <c r="X289">
        <f>IFERROR(IF(ISNUMBER(INDEX(SPPR!$E:$Z,MATCH($A289,SPPR!$A:$A,0),21)),$C289*INDEX(SPPR!$E:$Z,MATCH($A289,SPPR!$A:$A,0),21),""),"")</f>
        <v/>
      </c>
      <c r="Y289">
        <f>IFERROR(IF(ISNUMBER(INDEX(SPPR!$E:$Z,MATCH($A289,SPPR!$A:$A,0),22)),$C289*INDEX(SPPR!$E:$Z,MATCH($A289,SPPR!$A:$A,0),22),""),"")</f>
        <v/>
      </c>
    </row>
    <row r="290">
      <c r="A290" t="inlineStr">
        <is>
          <t>Centroscymnus coelolepis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IFERROR(IF(ISNUMBER(INDEX(SPPR!$E:$Z,MATCH($A290,SPPR!$A:$A,0),1)),$C290*INDEX(SPPR!$E:$Z,MATCH($A290,SPPR!$A:$A,0),1),""),"")</f>
        <v/>
      </c>
      <c r="E290">
        <f>IFERROR(IF(ISNUMBER(INDEX(SPPR!$E:$Z,MATCH($A290,SPPR!$A:$A,0),2)),$C290*INDEX(SPPR!$E:$Z,MATCH($A290,SPPR!$A:$A,0),2),""),"")</f>
        <v/>
      </c>
      <c r="F290">
        <f>IFERROR(IF(ISNUMBER(INDEX(SPPR!$E:$Z,MATCH($A290,SPPR!$A:$A,0),3)),$C290*INDEX(SPPR!$E:$Z,MATCH($A290,SPPR!$A:$A,0),3),""),"")</f>
        <v/>
      </c>
      <c r="G290">
        <f>IFERROR(IF(ISNUMBER(INDEX(SPPR!$E:$Z,MATCH($A290,SPPR!$A:$A,0),4)),$C290*INDEX(SPPR!$E:$Z,MATCH($A290,SPPR!$A:$A,0),4),""),"")</f>
        <v/>
      </c>
      <c r="H290">
        <f>IFERROR(IF(ISNUMBER(INDEX(SPPR!$E:$Z,MATCH($A290,SPPR!$A:$A,0),5)),$C290*INDEX(SPPR!$E:$Z,MATCH($A290,SPPR!$A:$A,0),5),""),"")</f>
        <v/>
      </c>
      <c r="I290">
        <f>IFERROR(IF(ISNUMBER(INDEX(SPPR!$E:$Z,MATCH($A290,SPPR!$A:$A,0),6)),$C290*INDEX(SPPR!$E:$Z,MATCH($A290,SPPR!$A:$A,0),6),""),"")</f>
        <v/>
      </c>
      <c r="J290">
        <f>IFERROR(IF(ISNUMBER(INDEX(SPPR!$E:$Z,MATCH($A290,SPPR!$A:$A,0),7)),$C290*INDEX(SPPR!$E:$Z,MATCH($A290,SPPR!$A:$A,0),7),""),"")</f>
        <v/>
      </c>
      <c r="K290">
        <f>IFERROR(IF(ISNUMBER(INDEX(SPPR!$E:$Z,MATCH($A290,SPPR!$A:$A,0),8)),$C290*INDEX(SPPR!$E:$Z,MATCH($A290,SPPR!$A:$A,0),8),""),"")</f>
        <v/>
      </c>
      <c r="L290">
        <f>IFERROR(IF(ISNUMBER(INDEX(SPPR!$E:$Z,MATCH($A290,SPPR!$A:$A,0),9)),$C290*INDEX(SPPR!$E:$Z,MATCH($A290,SPPR!$A:$A,0),9),""),"")</f>
        <v/>
      </c>
      <c r="M290">
        <f>IFERROR(IF(ISNUMBER(INDEX(SPPR!$E:$Z,MATCH($A290,SPPR!$A:$A,0),10)),$C290*INDEX(SPPR!$E:$Z,MATCH($A290,SPPR!$A:$A,0),10),""),"")</f>
        <v/>
      </c>
      <c r="N290">
        <f>IFERROR(IF(ISNUMBER(INDEX(SPPR!$E:$Z,MATCH($A290,SPPR!$A:$A,0),11)),$C290*INDEX(SPPR!$E:$Z,MATCH($A290,SPPR!$A:$A,0),11),""),"")</f>
        <v/>
      </c>
      <c r="O290">
        <f>IFERROR(IF(ISNUMBER(INDEX(SPPR!$E:$Z,MATCH($A290,SPPR!$A:$A,0),12)),$C290*INDEX(SPPR!$E:$Z,MATCH($A290,SPPR!$A:$A,0),12),""),"")</f>
        <v/>
      </c>
      <c r="P290">
        <f>IFERROR(IF(ISNUMBER(INDEX(SPPR!$E:$Z,MATCH($A290,SPPR!$A:$A,0),13)),$C290*INDEX(SPPR!$E:$Z,MATCH($A290,SPPR!$A:$A,0),13),""),"")</f>
        <v/>
      </c>
      <c r="Q290">
        <f>IFERROR(IF(ISNUMBER(INDEX(SPPR!$E:$Z,MATCH($A290,SPPR!$A:$A,0),14)),$C290*INDEX(SPPR!$E:$Z,MATCH($A290,SPPR!$A:$A,0),14),""),"")</f>
        <v/>
      </c>
      <c r="R290">
        <f>IFERROR(IF(ISNUMBER(INDEX(SPPR!$E:$Z,MATCH($A290,SPPR!$A:$A,0),15)),$C290*INDEX(SPPR!$E:$Z,MATCH($A290,SPPR!$A:$A,0),15),""),"")</f>
        <v/>
      </c>
      <c r="S290">
        <f>IFERROR(IF(ISNUMBER(INDEX(SPPR!$E:$Z,MATCH($A290,SPPR!$A:$A,0),16)),$C290*INDEX(SPPR!$E:$Z,MATCH($A290,SPPR!$A:$A,0),16),""),"")</f>
        <v/>
      </c>
      <c r="T290">
        <f>IFERROR(IF(ISNUMBER(INDEX(SPPR!$E:$Z,MATCH($A290,SPPR!$A:$A,0),17)),$C290*INDEX(SPPR!$E:$Z,MATCH($A290,SPPR!$A:$A,0),17),""),"")</f>
        <v/>
      </c>
      <c r="U290">
        <f>IFERROR(IF(ISNUMBER(INDEX(SPPR!$E:$Z,MATCH($A290,SPPR!$A:$A,0),18)),$C290*INDEX(SPPR!$E:$Z,MATCH($A290,SPPR!$A:$A,0),18),""),"")</f>
        <v/>
      </c>
      <c r="V290">
        <f>IFERROR(IF(ISNUMBER(INDEX(SPPR!$E:$Z,MATCH($A290,SPPR!$A:$A,0),19)),$C290*INDEX(SPPR!$E:$Z,MATCH($A290,SPPR!$A:$A,0),19),""),"")</f>
        <v/>
      </c>
      <c r="W290">
        <f>IFERROR(IF(ISNUMBER(INDEX(SPPR!$E:$Z,MATCH($A290,SPPR!$A:$A,0),20)),$C290*INDEX(SPPR!$E:$Z,MATCH($A290,SPPR!$A:$A,0),20),""),"")</f>
        <v/>
      </c>
      <c r="X290">
        <f>IFERROR(IF(ISNUMBER(INDEX(SPPR!$E:$Z,MATCH($A290,SPPR!$A:$A,0),21)),$C290*INDEX(SPPR!$E:$Z,MATCH($A290,SPPR!$A:$A,0),21),""),"")</f>
        <v/>
      </c>
      <c r="Y290">
        <f>IFERROR(IF(ISNUMBER(INDEX(SPPR!$E:$Z,MATCH($A290,SPPR!$A:$A,0),22)),$C290*INDEX(SPPR!$E:$Z,MATCH($A290,SPPR!$A:$A,0),22),""),"")</f>
        <v/>
      </c>
    </row>
    <row r="291">
      <c r="A291" t="inlineStr">
        <is>
          <t>Mustelus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IFERROR(IF(ISNUMBER(INDEX(SPPR!$E:$Z,MATCH($A291,SPPR!$A:$A,0),1)),$C291*INDEX(SPPR!$E:$Z,MATCH($A291,SPPR!$A:$A,0),1),""),"")</f>
        <v/>
      </c>
      <c r="E291">
        <f>IFERROR(IF(ISNUMBER(INDEX(SPPR!$E:$Z,MATCH($A291,SPPR!$A:$A,0),2)),$C291*INDEX(SPPR!$E:$Z,MATCH($A291,SPPR!$A:$A,0),2),""),"")</f>
        <v/>
      </c>
      <c r="F291">
        <f>IFERROR(IF(ISNUMBER(INDEX(SPPR!$E:$Z,MATCH($A291,SPPR!$A:$A,0),3)),$C291*INDEX(SPPR!$E:$Z,MATCH($A291,SPPR!$A:$A,0),3),""),"")</f>
        <v/>
      </c>
      <c r="G291">
        <f>IFERROR(IF(ISNUMBER(INDEX(SPPR!$E:$Z,MATCH($A291,SPPR!$A:$A,0),4)),$C291*INDEX(SPPR!$E:$Z,MATCH($A291,SPPR!$A:$A,0),4),""),"")</f>
        <v/>
      </c>
      <c r="H291">
        <f>IFERROR(IF(ISNUMBER(INDEX(SPPR!$E:$Z,MATCH($A291,SPPR!$A:$A,0),5)),$C291*INDEX(SPPR!$E:$Z,MATCH($A291,SPPR!$A:$A,0),5),""),"")</f>
        <v/>
      </c>
      <c r="I291">
        <f>IFERROR(IF(ISNUMBER(INDEX(SPPR!$E:$Z,MATCH($A291,SPPR!$A:$A,0),6)),$C291*INDEX(SPPR!$E:$Z,MATCH($A291,SPPR!$A:$A,0),6),""),"")</f>
        <v/>
      </c>
      <c r="J291">
        <f>IFERROR(IF(ISNUMBER(INDEX(SPPR!$E:$Z,MATCH($A291,SPPR!$A:$A,0),7)),$C291*INDEX(SPPR!$E:$Z,MATCH($A291,SPPR!$A:$A,0),7),""),"")</f>
        <v/>
      </c>
      <c r="K291">
        <f>IFERROR(IF(ISNUMBER(INDEX(SPPR!$E:$Z,MATCH($A291,SPPR!$A:$A,0),8)),$C291*INDEX(SPPR!$E:$Z,MATCH($A291,SPPR!$A:$A,0),8),""),"")</f>
        <v/>
      </c>
      <c r="L291">
        <f>IFERROR(IF(ISNUMBER(INDEX(SPPR!$E:$Z,MATCH($A291,SPPR!$A:$A,0),9)),$C291*INDEX(SPPR!$E:$Z,MATCH($A291,SPPR!$A:$A,0),9),""),"")</f>
        <v/>
      </c>
      <c r="M291">
        <f>IFERROR(IF(ISNUMBER(INDEX(SPPR!$E:$Z,MATCH($A291,SPPR!$A:$A,0),10)),$C291*INDEX(SPPR!$E:$Z,MATCH($A291,SPPR!$A:$A,0),10),""),"")</f>
        <v/>
      </c>
      <c r="N291">
        <f>IFERROR(IF(ISNUMBER(INDEX(SPPR!$E:$Z,MATCH($A291,SPPR!$A:$A,0),11)),$C291*INDEX(SPPR!$E:$Z,MATCH($A291,SPPR!$A:$A,0),11),""),"")</f>
        <v/>
      </c>
      <c r="O291">
        <f>IFERROR(IF(ISNUMBER(INDEX(SPPR!$E:$Z,MATCH($A291,SPPR!$A:$A,0),12)),$C291*INDEX(SPPR!$E:$Z,MATCH($A291,SPPR!$A:$A,0),12),""),"")</f>
        <v/>
      </c>
      <c r="P291">
        <f>IFERROR(IF(ISNUMBER(INDEX(SPPR!$E:$Z,MATCH($A291,SPPR!$A:$A,0),13)),$C291*INDEX(SPPR!$E:$Z,MATCH($A291,SPPR!$A:$A,0),13),""),"")</f>
        <v/>
      </c>
      <c r="Q291">
        <f>IFERROR(IF(ISNUMBER(INDEX(SPPR!$E:$Z,MATCH($A291,SPPR!$A:$A,0),14)),$C291*INDEX(SPPR!$E:$Z,MATCH($A291,SPPR!$A:$A,0),14),""),"")</f>
        <v/>
      </c>
      <c r="R291">
        <f>IFERROR(IF(ISNUMBER(INDEX(SPPR!$E:$Z,MATCH($A291,SPPR!$A:$A,0),15)),$C291*INDEX(SPPR!$E:$Z,MATCH($A291,SPPR!$A:$A,0),15),""),"")</f>
        <v/>
      </c>
      <c r="S291">
        <f>IFERROR(IF(ISNUMBER(INDEX(SPPR!$E:$Z,MATCH($A291,SPPR!$A:$A,0),16)),$C291*INDEX(SPPR!$E:$Z,MATCH($A291,SPPR!$A:$A,0),16),""),"")</f>
        <v/>
      </c>
      <c r="T291">
        <f>IFERROR(IF(ISNUMBER(INDEX(SPPR!$E:$Z,MATCH($A291,SPPR!$A:$A,0),17)),$C291*INDEX(SPPR!$E:$Z,MATCH($A291,SPPR!$A:$A,0),17),""),"")</f>
        <v/>
      </c>
      <c r="U291">
        <f>IFERROR(IF(ISNUMBER(INDEX(SPPR!$E:$Z,MATCH($A291,SPPR!$A:$A,0),18)),$C291*INDEX(SPPR!$E:$Z,MATCH($A291,SPPR!$A:$A,0),18),""),"")</f>
        <v/>
      </c>
      <c r="V291">
        <f>IFERROR(IF(ISNUMBER(INDEX(SPPR!$E:$Z,MATCH($A291,SPPR!$A:$A,0),19)),$C291*INDEX(SPPR!$E:$Z,MATCH($A291,SPPR!$A:$A,0),19),""),"")</f>
        <v/>
      </c>
      <c r="W291">
        <f>IFERROR(IF(ISNUMBER(INDEX(SPPR!$E:$Z,MATCH($A291,SPPR!$A:$A,0),20)),$C291*INDEX(SPPR!$E:$Z,MATCH($A291,SPPR!$A:$A,0),20),""),"")</f>
        <v/>
      </c>
      <c r="X291">
        <f>IFERROR(IF(ISNUMBER(INDEX(SPPR!$E:$Z,MATCH($A291,SPPR!$A:$A,0),21)),$C291*INDEX(SPPR!$E:$Z,MATCH($A291,SPPR!$A:$A,0),21),""),"")</f>
        <v/>
      </c>
      <c r="Y291">
        <f>IFERROR(IF(ISNUMBER(INDEX(SPPR!$E:$Z,MATCH($A291,SPPR!$A:$A,0),22)),$C291*INDEX(SPPR!$E:$Z,MATCH($A291,SPPR!$A:$A,0),22),""),"")</f>
        <v/>
      </c>
    </row>
    <row r="292">
      <c r="A292" t="inlineStr">
        <is>
          <t>Arnoglossus laterna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IFERROR(IF(ISNUMBER(INDEX(SPPR!$E:$Z,MATCH($A292,SPPR!$A:$A,0),1)),$C292*INDEX(SPPR!$E:$Z,MATCH($A292,SPPR!$A:$A,0),1),""),"")</f>
        <v/>
      </c>
      <c r="E292">
        <f>IFERROR(IF(ISNUMBER(INDEX(SPPR!$E:$Z,MATCH($A292,SPPR!$A:$A,0),2)),$C292*INDEX(SPPR!$E:$Z,MATCH($A292,SPPR!$A:$A,0),2),""),"")</f>
        <v/>
      </c>
      <c r="F292">
        <f>IFERROR(IF(ISNUMBER(INDEX(SPPR!$E:$Z,MATCH($A292,SPPR!$A:$A,0),3)),$C292*INDEX(SPPR!$E:$Z,MATCH($A292,SPPR!$A:$A,0),3),""),"")</f>
        <v/>
      </c>
      <c r="G292">
        <f>IFERROR(IF(ISNUMBER(INDEX(SPPR!$E:$Z,MATCH($A292,SPPR!$A:$A,0),4)),$C292*INDEX(SPPR!$E:$Z,MATCH($A292,SPPR!$A:$A,0),4),""),"")</f>
        <v/>
      </c>
      <c r="H292">
        <f>IFERROR(IF(ISNUMBER(INDEX(SPPR!$E:$Z,MATCH($A292,SPPR!$A:$A,0),5)),$C292*INDEX(SPPR!$E:$Z,MATCH($A292,SPPR!$A:$A,0),5),""),"")</f>
        <v/>
      </c>
      <c r="I292">
        <f>IFERROR(IF(ISNUMBER(INDEX(SPPR!$E:$Z,MATCH($A292,SPPR!$A:$A,0),6)),$C292*INDEX(SPPR!$E:$Z,MATCH($A292,SPPR!$A:$A,0),6),""),"")</f>
        <v/>
      </c>
      <c r="J292">
        <f>IFERROR(IF(ISNUMBER(INDEX(SPPR!$E:$Z,MATCH($A292,SPPR!$A:$A,0),7)),$C292*INDEX(SPPR!$E:$Z,MATCH($A292,SPPR!$A:$A,0),7),""),"")</f>
        <v/>
      </c>
      <c r="K292">
        <f>IFERROR(IF(ISNUMBER(INDEX(SPPR!$E:$Z,MATCH($A292,SPPR!$A:$A,0),8)),$C292*INDEX(SPPR!$E:$Z,MATCH($A292,SPPR!$A:$A,0),8),""),"")</f>
        <v/>
      </c>
      <c r="L292">
        <f>IFERROR(IF(ISNUMBER(INDEX(SPPR!$E:$Z,MATCH($A292,SPPR!$A:$A,0),9)),$C292*INDEX(SPPR!$E:$Z,MATCH($A292,SPPR!$A:$A,0),9),""),"")</f>
        <v/>
      </c>
      <c r="M292">
        <f>IFERROR(IF(ISNUMBER(INDEX(SPPR!$E:$Z,MATCH($A292,SPPR!$A:$A,0),10)),$C292*INDEX(SPPR!$E:$Z,MATCH($A292,SPPR!$A:$A,0),10),""),"")</f>
        <v/>
      </c>
      <c r="N292">
        <f>IFERROR(IF(ISNUMBER(INDEX(SPPR!$E:$Z,MATCH($A292,SPPR!$A:$A,0),11)),$C292*INDEX(SPPR!$E:$Z,MATCH($A292,SPPR!$A:$A,0),11),""),"")</f>
        <v/>
      </c>
      <c r="O292">
        <f>IFERROR(IF(ISNUMBER(INDEX(SPPR!$E:$Z,MATCH($A292,SPPR!$A:$A,0),12)),$C292*INDEX(SPPR!$E:$Z,MATCH($A292,SPPR!$A:$A,0),12),""),"")</f>
        <v/>
      </c>
      <c r="P292">
        <f>IFERROR(IF(ISNUMBER(INDEX(SPPR!$E:$Z,MATCH($A292,SPPR!$A:$A,0),13)),$C292*INDEX(SPPR!$E:$Z,MATCH($A292,SPPR!$A:$A,0),13),""),"")</f>
        <v/>
      </c>
      <c r="Q292">
        <f>IFERROR(IF(ISNUMBER(INDEX(SPPR!$E:$Z,MATCH($A292,SPPR!$A:$A,0),14)),$C292*INDEX(SPPR!$E:$Z,MATCH($A292,SPPR!$A:$A,0),14),""),"")</f>
        <v/>
      </c>
      <c r="R292">
        <f>IFERROR(IF(ISNUMBER(INDEX(SPPR!$E:$Z,MATCH($A292,SPPR!$A:$A,0),15)),$C292*INDEX(SPPR!$E:$Z,MATCH($A292,SPPR!$A:$A,0),15),""),"")</f>
        <v/>
      </c>
      <c r="S292">
        <f>IFERROR(IF(ISNUMBER(INDEX(SPPR!$E:$Z,MATCH($A292,SPPR!$A:$A,0),16)),$C292*INDEX(SPPR!$E:$Z,MATCH($A292,SPPR!$A:$A,0),16),""),"")</f>
        <v/>
      </c>
      <c r="T292">
        <f>IFERROR(IF(ISNUMBER(INDEX(SPPR!$E:$Z,MATCH($A292,SPPR!$A:$A,0),17)),$C292*INDEX(SPPR!$E:$Z,MATCH($A292,SPPR!$A:$A,0),17),""),"")</f>
        <v/>
      </c>
      <c r="U292">
        <f>IFERROR(IF(ISNUMBER(INDEX(SPPR!$E:$Z,MATCH($A292,SPPR!$A:$A,0),18)),$C292*INDEX(SPPR!$E:$Z,MATCH($A292,SPPR!$A:$A,0),18),""),"")</f>
        <v/>
      </c>
      <c r="V292">
        <f>IFERROR(IF(ISNUMBER(INDEX(SPPR!$E:$Z,MATCH($A292,SPPR!$A:$A,0),19)),$C292*INDEX(SPPR!$E:$Z,MATCH($A292,SPPR!$A:$A,0),19),""),"")</f>
        <v/>
      </c>
      <c r="W292">
        <f>IFERROR(IF(ISNUMBER(INDEX(SPPR!$E:$Z,MATCH($A292,SPPR!$A:$A,0),20)),$C292*INDEX(SPPR!$E:$Z,MATCH($A292,SPPR!$A:$A,0),20),""),"")</f>
        <v/>
      </c>
      <c r="X292">
        <f>IFERROR(IF(ISNUMBER(INDEX(SPPR!$E:$Z,MATCH($A292,SPPR!$A:$A,0),21)),$C292*INDEX(SPPR!$E:$Z,MATCH($A292,SPPR!$A:$A,0),21),""),"")</f>
        <v/>
      </c>
      <c r="Y292">
        <f>IFERROR(IF(ISNUMBER(INDEX(SPPR!$E:$Z,MATCH($A292,SPPR!$A:$A,0),22)),$C292*INDEX(SPPR!$E:$Z,MATCH($A292,SPPR!$A:$A,0),22),""),"")</f>
        <v/>
      </c>
    </row>
    <row r="293">
      <c r="A293" t="inlineStr">
        <is>
          <t>Carcharhinus amboinensis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IFERROR(IF(ISNUMBER(INDEX(SPPR!$E:$Z,MATCH($A293,SPPR!$A:$A,0),1)),$C293*INDEX(SPPR!$E:$Z,MATCH($A293,SPPR!$A:$A,0),1),""),"")</f>
        <v/>
      </c>
      <c r="E293">
        <f>IFERROR(IF(ISNUMBER(INDEX(SPPR!$E:$Z,MATCH($A293,SPPR!$A:$A,0),2)),$C293*INDEX(SPPR!$E:$Z,MATCH($A293,SPPR!$A:$A,0),2),""),"")</f>
        <v/>
      </c>
      <c r="F293">
        <f>IFERROR(IF(ISNUMBER(INDEX(SPPR!$E:$Z,MATCH($A293,SPPR!$A:$A,0),3)),$C293*INDEX(SPPR!$E:$Z,MATCH($A293,SPPR!$A:$A,0),3),""),"")</f>
        <v/>
      </c>
      <c r="G293">
        <f>IFERROR(IF(ISNUMBER(INDEX(SPPR!$E:$Z,MATCH($A293,SPPR!$A:$A,0),4)),$C293*INDEX(SPPR!$E:$Z,MATCH($A293,SPPR!$A:$A,0),4),""),"")</f>
        <v/>
      </c>
      <c r="H293">
        <f>IFERROR(IF(ISNUMBER(INDEX(SPPR!$E:$Z,MATCH($A293,SPPR!$A:$A,0),5)),$C293*INDEX(SPPR!$E:$Z,MATCH($A293,SPPR!$A:$A,0),5),""),"")</f>
        <v/>
      </c>
      <c r="I293">
        <f>IFERROR(IF(ISNUMBER(INDEX(SPPR!$E:$Z,MATCH($A293,SPPR!$A:$A,0),6)),$C293*INDEX(SPPR!$E:$Z,MATCH($A293,SPPR!$A:$A,0),6),""),"")</f>
        <v/>
      </c>
      <c r="J293">
        <f>IFERROR(IF(ISNUMBER(INDEX(SPPR!$E:$Z,MATCH($A293,SPPR!$A:$A,0),7)),$C293*INDEX(SPPR!$E:$Z,MATCH($A293,SPPR!$A:$A,0),7),""),"")</f>
        <v/>
      </c>
      <c r="K293">
        <f>IFERROR(IF(ISNUMBER(INDEX(SPPR!$E:$Z,MATCH($A293,SPPR!$A:$A,0),8)),$C293*INDEX(SPPR!$E:$Z,MATCH($A293,SPPR!$A:$A,0),8),""),"")</f>
        <v/>
      </c>
      <c r="L293">
        <f>IFERROR(IF(ISNUMBER(INDEX(SPPR!$E:$Z,MATCH($A293,SPPR!$A:$A,0),9)),$C293*INDEX(SPPR!$E:$Z,MATCH($A293,SPPR!$A:$A,0),9),""),"")</f>
        <v/>
      </c>
      <c r="M293">
        <f>IFERROR(IF(ISNUMBER(INDEX(SPPR!$E:$Z,MATCH($A293,SPPR!$A:$A,0),10)),$C293*INDEX(SPPR!$E:$Z,MATCH($A293,SPPR!$A:$A,0),10),""),"")</f>
        <v/>
      </c>
      <c r="N293">
        <f>IFERROR(IF(ISNUMBER(INDEX(SPPR!$E:$Z,MATCH($A293,SPPR!$A:$A,0),11)),$C293*INDEX(SPPR!$E:$Z,MATCH($A293,SPPR!$A:$A,0),11),""),"")</f>
        <v/>
      </c>
      <c r="O293">
        <f>IFERROR(IF(ISNUMBER(INDEX(SPPR!$E:$Z,MATCH($A293,SPPR!$A:$A,0),12)),$C293*INDEX(SPPR!$E:$Z,MATCH($A293,SPPR!$A:$A,0),12),""),"")</f>
        <v/>
      </c>
      <c r="P293">
        <f>IFERROR(IF(ISNUMBER(INDEX(SPPR!$E:$Z,MATCH($A293,SPPR!$A:$A,0),13)),$C293*INDEX(SPPR!$E:$Z,MATCH($A293,SPPR!$A:$A,0),13),""),"")</f>
        <v/>
      </c>
      <c r="Q293">
        <f>IFERROR(IF(ISNUMBER(INDEX(SPPR!$E:$Z,MATCH($A293,SPPR!$A:$A,0),14)),$C293*INDEX(SPPR!$E:$Z,MATCH($A293,SPPR!$A:$A,0),14),""),"")</f>
        <v/>
      </c>
      <c r="R293">
        <f>IFERROR(IF(ISNUMBER(INDEX(SPPR!$E:$Z,MATCH($A293,SPPR!$A:$A,0),15)),$C293*INDEX(SPPR!$E:$Z,MATCH($A293,SPPR!$A:$A,0),15),""),"")</f>
        <v/>
      </c>
      <c r="S293">
        <f>IFERROR(IF(ISNUMBER(INDEX(SPPR!$E:$Z,MATCH($A293,SPPR!$A:$A,0),16)),$C293*INDEX(SPPR!$E:$Z,MATCH($A293,SPPR!$A:$A,0),16),""),"")</f>
        <v/>
      </c>
      <c r="T293">
        <f>IFERROR(IF(ISNUMBER(INDEX(SPPR!$E:$Z,MATCH($A293,SPPR!$A:$A,0),17)),$C293*INDEX(SPPR!$E:$Z,MATCH($A293,SPPR!$A:$A,0),17),""),"")</f>
        <v/>
      </c>
      <c r="U293">
        <f>IFERROR(IF(ISNUMBER(INDEX(SPPR!$E:$Z,MATCH($A293,SPPR!$A:$A,0),18)),$C293*INDEX(SPPR!$E:$Z,MATCH($A293,SPPR!$A:$A,0),18),""),"")</f>
        <v/>
      </c>
      <c r="V293">
        <f>IFERROR(IF(ISNUMBER(INDEX(SPPR!$E:$Z,MATCH($A293,SPPR!$A:$A,0),19)),$C293*INDEX(SPPR!$E:$Z,MATCH($A293,SPPR!$A:$A,0),19),""),"")</f>
        <v/>
      </c>
      <c r="W293">
        <f>IFERROR(IF(ISNUMBER(INDEX(SPPR!$E:$Z,MATCH($A293,SPPR!$A:$A,0),20)),$C293*INDEX(SPPR!$E:$Z,MATCH($A293,SPPR!$A:$A,0),20),""),"")</f>
        <v/>
      </c>
      <c r="X293">
        <f>IFERROR(IF(ISNUMBER(INDEX(SPPR!$E:$Z,MATCH($A293,SPPR!$A:$A,0),21)),$C293*INDEX(SPPR!$E:$Z,MATCH($A293,SPPR!$A:$A,0),21),""),"")</f>
        <v/>
      </c>
      <c r="Y293">
        <f>IFERROR(IF(ISNUMBER(INDEX(SPPR!$E:$Z,MATCH($A293,SPPR!$A:$A,0),22)),$C293*INDEX(SPPR!$E:$Z,MATCH($A293,SPPR!$A:$A,0),22),""),"")</f>
        <v/>
      </c>
    </row>
    <row r="294">
      <c r="A294" t="inlineStr">
        <is>
          <t>Epinephelus caninus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IFERROR(IF(ISNUMBER(INDEX(SPPR!$E:$Z,MATCH($A294,SPPR!$A:$A,0),1)),$C294*INDEX(SPPR!$E:$Z,MATCH($A294,SPPR!$A:$A,0),1),""),"")</f>
        <v/>
      </c>
      <c r="E294">
        <f>IFERROR(IF(ISNUMBER(INDEX(SPPR!$E:$Z,MATCH($A294,SPPR!$A:$A,0),2)),$C294*INDEX(SPPR!$E:$Z,MATCH($A294,SPPR!$A:$A,0),2),""),"")</f>
        <v/>
      </c>
      <c r="F294">
        <f>IFERROR(IF(ISNUMBER(INDEX(SPPR!$E:$Z,MATCH($A294,SPPR!$A:$A,0),3)),$C294*INDEX(SPPR!$E:$Z,MATCH($A294,SPPR!$A:$A,0),3),""),"")</f>
        <v/>
      </c>
      <c r="G294">
        <f>IFERROR(IF(ISNUMBER(INDEX(SPPR!$E:$Z,MATCH($A294,SPPR!$A:$A,0),4)),$C294*INDEX(SPPR!$E:$Z,MATCH($A294,SPPR!$A:$A,0),4),""),"")</f>
        <v/>
      </c>
      <c r="H294">
        <f>IFERROR(IF(ISNUMBER(INDEX(SPPR!$E:$Z,MATCH($A294,SPPR!$A:$A,0),5)),$C294*INDEX(SPPR!$E:$Z,MATCH($A294,SPPR!$A:$A,0),5),""),"")</f>
        <v/>
      </c>
      <c r="I294">
        <f>IFERROR(IF(ISNUMBER(INDEX(SPPR!$E:$Z,MATCH($A294,SPPR!$A:$A,0),6)),$C294*INDEX(SPPR!$E:$Z,MATCH($A294,SPPR!$A:$A,0),6),""),"")</f>
        <v/>
      </c>
      <c r="J294">
        <f>IFERROR(IF(ISNUMBER(INDEX(SPPR!$E:$Z,MATCH($A294,SPPR!$A:$A,0),7)),$C294*INDEX(SPPR!$E:$Z,MATCH($A294,SPPR!$A:$A,0),7),""),"")</f>
        <v/>
      </c>
      <c r="K294">
        <f>IFERROR(IF(ISNUMBER(INDEX(SPPR!$E:$Z,MATCH($A294,SPPR!$A:$A,0),8)),$C294*INDEX(SPPR!$E:$Z,MATCH($A294,SPPR!$A:$A,0),8),""),"")</f>
        <v/>
      </c>
      <c r="L294">
        <f>IFERROR(IF(ISNUMBER(INDEX(SPPR!$E:$Z,MATCH($A294,SPPR!$A:$A,0),9)),$C294*INDEX(SPPR!$E:$Z,MATCH($A294,SPPR!$A:$A,0),9),""),"")</f>
        <v/>
      </c>
      <c r="M294">
        <f>IFERROR(IF(ISNUMBER(INDEX(SPPR!$E:$Z,MATCH($A294,SPPR!$A:$A,0),10)),$C294*INDEX(SPPR!$E:$Z,MATCH($A294,SPPR!$A:$A,0),10),""),"")</f>
        <v/>
      </c>
      <c r="N294">
        <f>IFERROR(IF(ISNUMBER(INDEX(SPPR!$E:$Z,MATCH($A294,SPPR!$A:$A,0),11)),$C294*INDEX(SPPR!$E:$Z,MATCH($A294,SPPR!$A:$A,0),11),""),"")</f>
        <v/>
      </c>
      <c r="O294">
        <f>IFERROR(IF(ISNUMBER(INDEX(SPPR!$E:$Z,MATCH($A294,SPPR!$A:$A,0),12)),$C294*INDEX(SPPR!$E:$Z,MATCH($A294,SPPR!$A:$A,0),12),""),"")</f>
        <v/>
      </c>
      <c r="P294">
        <f>IFERROR(IF(ISNUMBER(INDEX(SPPR!$E:$Z,MATCH($A294,SPPR!$A:$A,0),13)),$C294*INDEX(SPPR!$E:$Z,MATCH($A294,SPPR!$A:$A,0),13),""),"")</f>
        <v/>
      </c>
      <c r="Q294">
        <f>IFERROR(IF(ISNUMBER(INDEX(SPPR!$E:$Z,MATCH($A294,SPPR!$A:$A,0),14)),$C294*INDEX(SPPR!$E:$Z,MATCH($A294,SPPR!$A:$A,0),14),""),"")</f>
        <v/>
      </c>
      <c r="R294">
        <f>IFERROR(IF(ISNUMBER(INDEX(SPPR!$E:$Z,MATCH($A294,SPPR!$A:$A,0),15)),$C294*INDEX(SPPR!$E:$Z,MATCH($A294,SPPR!$A:$A,0),15),""),"")</f>
        <v/>
      </c>
      <c r="S294">
        <f>IFERROR(IF(ISNUMBER(INDEX(SPPR!$E:$Z,MATCH($A294,SPPR!$A:$A,0),16)),$C294*INDEX(SPPR!$E:$Z,MATCH($A294,SPPR!$A:$A,0),16),""),"")</f>
        <v/>
      </c>
      <c r="T294">
        <f>IFERROR(IF(ISNUMBER(INDEX(SPPR!$E:$Z,MATCH($A294,SPPR!$A:$A,0),17)),$C294*INDEX(SPPR!$E:$Z,MATCH($A294,SPPR!$A:$A,0),17),""),"")</f>
        <v/>
      </c>
      <c r="U294">
        <f>IFERROR(IF(ISNUMBER(INDEX(SPPR!$E:$Z,MATCH($A294,SPPR!$A:$A,0),18)),$C294*INDEX(SPPR!$E:$Z,MATCH($A294,SPPR!$A:$A,0),18),""),"")</f>
        <v/>
      </c>
      <c r="V294">
        <f>IFERROR(IF(ISNUMBER(INDEX(SPPR!$E:$Z,MATCH($A294,SPPR!$A:$A,0),19)),$C294*INDEX(SPPR!$E:$Z,MATCH($A294,SPPR!$A:$A,0),19),""),"")</f>
        <v/>
      </c>
      <c r="W294">
        <f>IFERROR(IF(ISNUMBER(INDEX(SPPR!$E:$Z,MATCH($A294,SPPR!$A:$A,0),20)),$C294*INDEX(SPPR!$E:$Z,MATCH($A294,SPPR!$A:$A,0),20),""),"")</f>
        <v/>
      </c>
      <c r="X294">
        <f>IFERROR(IF(ISNUMBER(INDEX(SPPR!$E:$Z,MATCH($A294,SPPR!$A:$A,0),21)),$C294*INDEX(SPPR!$E:$Z,MATCH($A294,SPPR!$A:$A,0),21),""),"")</f>
        <v/>
      </c>
      <c r="Y294">
        <f>IFERROR(IF(ISNUMBER(INDEX(SPPR!$E:$Z,MATCH($A294,SPPR!$A:$A,0),22)),$C294*INDEX(SPPR!$E:$Z,MATCH($A294,SPPR!$A:$A,0),22),""),"")</f>
        <v/>
      </c>
    </row>
    <row r="295">
      <c r="A295" t="inlineStr">
        <is>
          <t>Beryx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IFERROR(IF(ISNUMBER(INDEX(SPPR!$E:$Z,MATCH($A295,SPPR!$A:$A,0),1)),$C295*INDEX(SPPR!$E:$Z,MATCH($A295,SPPR!$A:$A,0),1),""),"")</f>
        <v/>
      </c>
      <c r="E295">
        <f>IFERROR(IF(ISNUMBER(INDEX(SPPR!$E:$Z,MATCH($A295,SPPR!$A:$A,0),2)),$C295*INDEX(SPPR!$E:$Z,MATCH($A295,SPPR!$A:$A,0),2),""),"")</f>
        <v/>
      </c>
      <c r="F295">
        <f>IFERROR(IF(ISNUMBER(INDEX(SPPR!$E:$Z,MATCH($A295,SPPR!$A:$A,0),3)),$C295*INDEX(SPPR!$E:$Z,MATCH($A295,SPPR!$A:$A,0),3),""),"")</f>
        <v/>
      </c>
      <c r="G295">
        <f>IFERROR(IF(ISNUMBER(INDEX(SPPR!$E:$Z,MATCH($A295,SPPR!$A:$A,0),4)),$C295*INDEX(SPPR!$E:$Z,MATCH($A295,SPPR!$A:$A,0),4),""),"")</f>
        <v/>
      </c>
      <c r="H295">
        <f>IFERROR(IF(ISNUMBER(INDEX(SPPR!$E:$Z,MATCH($A295,SPPR!$A:$A,0),5)),$C295*INDEX(SPPR!$E:$Z,MATCH($A295,SPPR!$A:$A,0),5),""),"")</f>
        <v/>
      </c>
      <c r="I295">
        <f>IFERROR(IF(ISNUMBER(INDEX(SPPR!$E:$Z,MATCH($A295,SPPR!$A:$A,0),6)),$C295*INDEX(SPPR!$E:$Z,MATCH($A295,SPPR!$A:$A,0),6),""),"")</f>
        <v/>
      </c>
      <c r="J295">
        <f>IFERROR(IF(ISNUMBER(INDEX(SPPR!$E:$Z,MATCH($A295,SPPR!$A:$A,0),7)),$C295*INDEX(SPPR!$E:$Z,MATCH($A295,SPPR!$A:$A,0),7),""),"")</f>
        <v/>
      </c>
      <c r="K295">
        <f>IFERROR(IF(ISNUMBER(INDEX(SPPR!$E:$Z,MATCH($A295,SPPR!$A:$A,0),8)),$C295*INDEX(SPPR!$E:$Z,MATCH($A295,SPPR!$A:$A,0),8),""),"")</f>
        <v/>
      </c>
      <c r="L295">
        <f>IFERROR(IF(ISNUMBER(INDEX(SPPR!$E:$Z,MATCH($A295,SPPR!$A:$A,0),9)),$C295*INDEX(SPPR!$E:$Z,MATCH($A295,SPPR!$A:$A,0),9),""),"")</f>
        <v/>
      </c>
      <c r="M295">
        <f>IFERROR(IF(ISNUMBER(INDEX(SPPR!$E:$Z,MATCH($A295,SPPR!$A:$A,0),10)),$C295*INDEX(SPPR!$E:$Z,MATCH($A295,SPPR!$A:$A,0),10),""),"")</f>
        <v/>
      </c>
      <c r="N295">
        <f>IFERROR(IF(ISNUMBER(INDEX(SPPR!$E:$Z,MATCH($A295,SPPR!$A:$A,0),11)),$C295*INDEX(SPPR!$E:$Z,MATCH($A295,SPPR!$A:$A,0),11),""),"")</f>
        <v/>
      </c>
      <c r="O295">
        <f>IFERROR(IF(ISNUMBER(INDEX(SPPR!$E:$Z,MATCH($A295,SPPR!$A:$A,0),12)),$C295*INDEX(SPPR!$E:$Z,MATCH($A295,SPPR!$A:$A,0),12),""),"")</f>
        <v/>
      </c>
      <c r="P295">
        <f>IFERROR(IF(ISNUMBER(INDEX(SPPR!$E:$Z,MATCH($A295,SPPR!$A:$A,0),13)),$C295*INDEX(SPPR!$E:$Z,MATCH($A295,SPPR!$A:$A,0),13),""),"")</f>
        <v/>
      </c>
      <c r="Q295">
        <f>IFERROR(IF(ISNUMBER(INDEX(SPPR!$E:$Z,MATCH($A295,SPPR!$A:$A,0),14)),$C295*INDEX(SPPR!$E:$Z,MATCH($A295,SPPR!$A:$A,0),14),""),"")</f>
        <v/>
      </c>
      <c r="R295">
        <f>IFERROR(IF(ISNUMBER(INDEX(SPPR!$E:$Z,MATCH($A295,SPPR!$A:$A,0),15)),$C295*INDEX(SPPR!$E:$Z,MATCH($A295,SPPR!$A:$A,0),15),""),"")</f>
        <v/>
      </c>
      <c r="S295">
        <f>IFERROR(IF(ISNUMBER(INDEX(SPPR!$E:$Z,MATCH($A295,SPPR!$A:$A,0),16)),$C295*INDEX(SPPR!$E:$Z,MATCH($A295,SPPR!$A:$A,0),16),""),"")</f>
        <v/>
      </c>
      <c r="T295">
        <f>IFERROR(IF(ISNUMBER(INDEX(SPPR!$E:$Z,MATCH($A295,SPPR!$A:$A,0),17)),$C295*INDEX(SPPR!$E:$Z,MATCH($A295,SPPR!$A:$A,0),17),""),"")</f>
        <v/>
      </c>
      <c r="U295">
        <f>IFERROR(IF(ISNUMBER(INDEX(SPPR!$E:$Z,MATCH($A295,SPPR!$A:$A,0),18)),$C295*INDEX(SPPR!$E:$Z,MATCH($A295,SPPR!$A:$A,0),18),""),"")</f>
        <v/>
      </c>
      <c r="V295">
        <f>IFERROR(IF(ISNUMBER(INDEX(SPPR!$E:$Z,MATCH($A295,SPPR!$A:$A,0),19)),$C295*INDEX(SPPR!$E:$Z,MATCH($A295,SPPR!$A:$A,0),19),""),"")</f>
        <v/>
      </c>
      <c r="W295">
        <f>IFERROR(IF(ISNUMBER(INDEX(SPPR!$E:$Z,MATCH($A295,SPPR!$A:$A,0),20)),$C295*INDEX(SPPR!$E:$Z,MATCH($A295,SPPR!$A:$A,0),20),""),"")</f>
        <v/>
      </c>
      <c r="X295">
        <f>IFERROR(IF(ISNUMBER(INDEX(SPPR!$E:$Z,MATCH($A295,SPPR!$A:$A,0),21)),$C295*INDEX(SPPR!$E:$Z,MATCH($A295,SPPR!$A:$A,0),21),""),"")</f>
        <v/>
      </c>
      <c r="Y295">
        <f>IFERROR(IF(ISNUMBER(INDEX(SPPR!$E:$Z,MATCH($A295,SPPR!$A:$A,0),22)),$C295*INDEX(SPPR!$E:$Z,MATCH($A295,SPPR!$A:$A,0),22),""),"")</f>
        <v/>
      </c>
    </row>
    <row r="296">
      <c r="A296" t="inlineStr">
        <is>
          <t>Mustelus mustelus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IFERROR(IF(ISNUMBER(INDEX(SPPR!$E:$Z,MATCH($A296,SPPR!$A:$A,0),1)),$C296*INDEX(SPPR!$E:$Z,MATCH($A296,SPPR!$A:$A,0),1),""),"")</f>
        <v/>
      </c>
      <c r="E296">
        <f>IFERROR(IF(ISNUMBER(INDEX(SPPR!$E:$Z,MATCH($A296,SPPR!$A:$A,0),2)),$C296*INDEX(SPPR!$E:$Z,MATCH($A296,SPPR!$A:$A,0),2),""),"")</f>
        <v/>
      </c>
      <c r="F296">
        <f>IFERROR(IF(ISNUMBER(INDEX(SPPR!$E:$Z,MATCH($A296,SPPR!$A:$A,0),3)),$C296*INDEX(SPPR!$E:$Z,MATCH($A296,SPPR!$A:$A,0),3),""),"")</f>
        <v/>
      </c>
      <c r="G296">
        <f>IFERROR(IF(ISNUMBER(INDEX(SPPR!$E:$Z,MATCH($A296,SPPR!$A:$A,0),4)),$C296*INDEX(SPPR!$E:$Z,MATCH($A296,SPPR!$A:$A,0),4),""),"")</f>
        <v/>
      </c>
      <c r="H296">
        <f>IFERROR(IF(ISNUMBER(INDEX(SPPR!$E:$Z,MATCH($A296,SPPR!$A:$A,0),5)),$C296*INDEX(SPPR!$E:$Z,MATCH($A296,SPPR!$A:$A,0),5),""),"")</f>
        <v/>
      </c>
      <c r="I296">
        <f>IFERROR(IF(ISNUMBER(INDEX(SPPR!$E:$Z,MATCH($A296,SPPR!$A:$A,0),6)),$C296*INDEX(SPPR!$E:$Z,MATCH($A296,SPPR!$A:$A,0),6),""),"")</f>
        <v/>
      </c>
      <c r="J296">
        <f>IFERROR(IF(ISNUMBER(INDEX(SPPR!$E:$Z,MATCH($A296,SPPR!$A:$A,0),7)),$C296*INDEX(SPPR!$E:$Z,MATCH($A296,SPPR!$A:$A,0),7),""),"")</f>
        <v/>
      </c>
      <c r="K296">
        <f>IFERROR(IF(ISNUMBER(INDEX(SPPR!$E:$Z,MATCH($A296,SPPR!$A:$A,0),8)),$C296*INDEX(SPPR!$E:$Z,MATCH($A296,SPPR!$A:$A,0),8),""),"")</f>
        <v/>
      </c>
      <c r="L296">
        <f>IFERROR(IF(ISNUMBER(INDEX(SPPR!$E:$Z,MATCH($A296,SPPR!$A:$A,0),9)),$C296*INDEX(SPPR!$E:$Z,MATCH($A296,SPPR!$A:$A,0),9),""),"")</f>
        <v/>
      </c>
      <c r="M296">
        <f>IFERROR(IF(ISNUMBER(INDEX(SPPR!$E:$Z,MATCH($A296,SPPR!$A:$A,0),10)),$C296*INDEX(SPPR!$E:$Z,MATCH($A296,SPPR!$A:$A,0),10),""),"")</f>
        <v/>
      </c>
      <c r="N296">
        <f>IFERROR(IF(ISNUMBER(INDEX(SPPR!$E:$Z,MATCH($A296,SPPR!$A:$A,0),11)),$C296*INDEX(SPPR!$E:$Z,MATCH($A296,SPPR!$A:$A,0),11),""),"")</f>
        <v/>
      </c>
      <c r="O296">
        <f>IFERROR(IF(ISNUMBER(INDEX(SPPR!$E:$Z,MATCH($A296,SPPR!$A:$A,0),12)),$C296*INDEX(SPPR!$E:$Z,MATCH($A296,SPPR!$A:$A,0),12),""),"")</f>
        <v/>
      </c>
      <c r="P296">
        <f>IFERROR(IF(ISNUMBER(INDEX(SPPR!$E:$Z,MATCH($A296,SPPR!$A:$A,0),13)),$C296*INDEX(SPPR!$E:$Z,MATCH($A296,SPPR!$A:$A,0),13),""),"")</f>
        <v/>
      </c>
      <c r="Q296">
        <f>IFERROR(IF(ISNUMBER(INDEX(SPPR!$E:$Z,MATCH($A296,SPPR!$A:$A,0),14)),$C296*INDEX(SPPR!$E:$Z,MATCH($A296,SPPR!$A:$A,0),14),""),"")</f>
        <v/>
      </c>
      <c r="R296">
        <f>IFERROR(IF(ISNUMBER(INDEX(SPPR!$E:$Z,MATCH($A296,SPPR!$A:$A,0),15)),$C296*INDEX(SPPR!$E:$Z,MATCH($A296,SPPR!$A:$A,0),15),""),"")</f>
        <v/>
      </c>
      <c r="S296">
        <f>IFERROR(IF(ISNUMBER(INDEX(SPPR!$E:$Z,MATCH($A296,SPPR!$A:$A,0),16)),$C296*INDEX(SPPR!$E:$Z,MATCH($A296,SPPR!$A:$A,0),16),""),"")</f>
        <v/>
      </c>
      <c r="T296">
        <f>IFERROR(IF(ISNUMBER(INDEX(SPPR!$E:$Z,MATCH($A296,SPPR!$A:$A,0),17)),$C296*INDEX(SPPR!$E:$Z,MATCH($A296,SPPR!$A:$A,0),17),""),"")</f>
        <v/>
      </c>
      <c r="U296">
        <f>IFERROR(IF(ISNUMBER(INDEX(SPPR!$E:$Z,MATCH($A296,SPPR!$A:$A,0),18)),$C296*INDEX(SPPR!$E:$Z,MATCH($A296,SPPR!$A:$A,0),18),""),"")</f>
        <v/>
      </c>
      <c r="V296">
        <f>IFERROR(IF(ISNUMBER(INDEX(SPPR!$E:$Z,MATCH($A296,SPPR!$A:$A,0),19)),$C296*INDEX(SPPR!$E:$Z,MATCH($A296,SPPR!$A:$A,0),19),""),"")</f>
        <v/>
      </c>
      <c r="W296">
        <f>IFERROR(IF(ISNUMBER(INDEX(SPPR!$E:$Z,MATCH($A296,SPPR!$A:$A,0),20)),$C296*INDEX(SPPR!$E:$Z,MATCH($A296,SPPR!$A:$A,0),20),""),"")</f>
        <v/>
      </c>
      <c r="X296">
        <f>IFERROR(IF(ISNUMBER(INDEX(SPPR!$E:$Z,MATCH($A296,SPPR!$A:$A,0),21)),$C296*INDEX(SPPR!$E:$Z,MATCH($A296,SPPR!$A:$A,0),21),""),"")</f>
        <v/>
      </c>
      <c r="Y296">
        <f>IFERROR(IF(ISNUMBER(INDEX(SPPR!$E:$Z,MATCH($A296,SPPR!$A:$A,0),22)),$C296*INDEX(SPPR!$E:$Z,MATCH($A296,SPPR!$A:$A,0),22),""),"")</f>
        <v/>
      </c>
    </row>
    <row r="297">
      <c r="A297" t="inlineStr">
        <is>
          <t>Alopias superciliosus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IFERROR(IF(ISNUMBER(INDEX(SPPR!$E:$Z,MATCH($A297,SPPR!$A:$A,0),1)),$C297*INDEX(SPPR!$E:$Z,MATCH($A297,SPPR!$A:$A,0),1),""),"")</f>
        <v/>
      </c>
      <c r="E297">
        <f>IFERROR(IF(ISNUMBER(INDEX(SPPR!$E:$Z,MATCH($A297,SPPR!$A:$A,0),2)),$C297*INDEX(SPPR!$E:$Z,MATCH($A297,SPPR!$A:$A,0),2),""),"")</f>
        <v/>
      </c>
      <c r="F297">
        <f>IFERROR(IF(ISNUMBER(INDEX(SPPR!$E:$Z,MATCH($A297,SPPR!$A:$A,0),3)),$C297*INDEX(SPPR!$E:$Z,MATCH($A297,SPPR!$A:$A,0),3),""),"")</f>
        <v/>
      </c>
      <c r="G297">
        <f>IFERROR(IF(ISNUMBER(INDEX(SPPR!$E:$Z,MATCH($A297,SPPR!$A:$A,0),4)),$C297*INDEX(SPPR!$E:$Z,MATCH($A297,SPPR!$A:$A,0),4),""),"")</f>
        <v/>
      </c>
      <c r="H297">
        <f>IFERROR(IF(ISNUMBER(INDEX(SPPR!$E:$Z,MATCH($A297,SPPR!$A:$A,0),5)),$C297*INDEX(SPPR!$E:$Z,MATCH($A297,SPPR!$A:$A,0),5),""),"")</f>
        <v/>
      </c>
      <c r="I297">
        <f>IFERROR(IF(ISNUMBER(INDEX(SPPR!$E:$Z,MATCH($A297,SPPR!$A:$A,0),6)),$C297*INDEX(SPPR!$E:$Z,MATCH($A297,SPPR!$A:$A,0),6),""),"")</f>
        <v/>
      </c>
      <c r="J297">
        <f>IFERROR(IF(ISNUMBER(INDEX(SPPR!$E:$Z,MATCH($A297,SPPR!$A:$A,0),7)),$C297*INDEX(SPPR!$E:$Z,MATCH($A297,SPPR!$A:$A,0),7),""),"")</f>
        <v/>
      </c>
      <c r="K297">
        <f>IFERROR(IF(ISNUMBER(INDEX(SPPR!$E:$Z,MATCH($A297,SPPR!$A:$A,0),8)),$C297*INDEX(SPPR!$E:$Z,MATCH($A297,SPPR!$A:$A,0),8),""),"")</f>
        <v/>
      </c>
      <c r="L297">
        <f>IFERROR(IF(ISNUMBER(INDEX(SPPR!$E:$Z,MATCH($A297,SPPR!$A:$A,0),9)),$C297*INDEX(SPPR!$E:$Z,MATCH($A297,SPPR!$A:$A,0),9),""),"")</f>
        <v/>
      </c>
      <c r="M297">
        <f>IFERROR(IF(ISNUMBER(INDEX(SPPR!$E:$Z,MATCH($A297,SPPR!$A:$A,0),10)),$C297*INDEX(SPPR!$E:$Z,MATCH($A297,SPPR!$A:$A,0),10),""),"")</f>
        <v/>
      </c>
      <c r="N297">
        <f>IFERROR(IF(ISNUMBER(INDEX(SPPR!$E:$Z,MATCH($A297,SPPR!$A:$A,0),11)),$C297*INDEX(SPPR!$E:$Z,MATCH($A297,SPPR!$A:$A,0),11),""),"")</f>
        <v/>
      </c>
      <c r="O297">
        <f>IFERROR(IF(ISNUMBER(INDEX(SPPR!$E:$Z,MATCH($A297,SPPR!$A:$A,0),12)),$C297*INDEX(SPPR!$E:$Z,MATCH($A297,SPPR!$A:$A,0),12),""),"")</f>
        <v/>
      </c>
      <c r="P297">
        <f>IFERROR(IF(ISNUMBER(INDEX(SPPR!$E:$Z,MATCH($A297,SPPR!$A:$A,0),13)),$C297*INDEX(SPPR!$E:$Z,MATCH($A297,SPPR!$A:$A,0),13),""),"")</f>
        <v/>
      </c>
      <c r="Q297">
        <f>IFERROR(IF(ISNUMBER(INDEX(SPPR!$E:$Z,MATCH($A297,SPPR!$A:$A,0),14)),$C297*INDEX(SPPR!$E:$Z,MATCH($A297,SPPR!$A:$A,0),14),""),"")</f>
        <v/>
      </c>
      <c r="R297">
        <f>IFERROR(IF(ISNUMBER(INDEX(SPPR!$E:$Z,MATCH($A297,SPPR!$A:$A,0),15)),$C297*INDEX(SPPR!$E:$Z,MATCH($A297,SPPR!$A:$A,0),15),""),"")</f>
        <v/>
      </c>
      <c r="S297">
        <f>IFERROR(IF(ISNUMBER(INDEX(SPPR!$E:$Z,MATCH($A297,SPPR!$A:$A,0),16)),$C297*INDEX(SPPR!$E:$Z,MATCH($A297,SPPR!$A:$A,0),16),""),"")</f>
        <v/>
      </c>
      <c r="T297">
        <f>IFERROR(IF(ISNUMBER(INDEX(SPPR!$E:$Z,MATCH($A297,SPPR!$A:$A,0),17)),$C297*INDEX(SPPR!$E:$Z,MATCH($A297,SPPR!$A:$A,0),17),""),"")</f>
        <v/>
      </c>
      <c r="U297">
        <f>IFERROR(IF(ISNUMBER(INDEX(SPPR!$E:$Z,MATCH($A297,SPPR!$A:$A,0),18)),$C297*INDEX(SPPR!$E:$Z,MATCH($A297,SPPR!$A:$A,0),18),""),"")</f>
        <v/>
      </c>
      <c r="V297">
        <f>IFERROR(IF(ISNUMBER(INDEX(SPPR!$E:$Z,MATCH($A297,SPPR!$A:$A,0),19)),$C297*INDEX(SPPR!$E:$Z,MATCH($A297,SPPR!$A:$A,0),19),""),"")</f>
        <v/>
      </c>
      <c r="W297">
        <f>IFERROR(IF(ISNUMBER(INDEX(SPPR!$E:$Z,MATCH($A297,SPPR!$A:$A,0),20)),$C297*INDEX(SPPR!$E:$Z,MATCH($A297,SPPR!$A:$A,0),20),""),"")</f>
        <v/>
      </c>
      <c r="X297">
        <f>IFERROR(IF(ISNUMBER(INDEX(SPPR!$E:$Z,MATCH($A297,SPPR!$A:$A,0),21)),$C297*INDEX(SPPR!$E:$Z,MATCH($A297,SPPR!$A:$A,0),21),""),"")</f>
        <v/>
      </c>
      <c r="Y297">
        <f>IFERROR(IF(ISNUMBER(INDEX(SPPR!$E:$Z,MATCH($A297,SPPR!$A:$A,0),22)),$C297*INDEX(SPPR!$E:$Z,MATCH($A297,SPPR!$A:$A,0),22),""),"")</f>
        <v/>
      </c>
    </row>
    <row r="298">
      <c r="A298" t="inlineStr">
        <is>
          <t>Maja squinado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IFERROR(IF(ISNUMBER(INDEX(SPPR!$E:$Z,MATCH($A298,SPPR!$A:$A,0),1)),$C298*INDEX(SPPR!$E:$Z,MATCH($A298,SPPR!$A:$A,0),1),""),"")</f>
        <v/>
      </c>
      <c r="E298">
        <f>IFERROR(IF(ISNUMBER(INDEX(SPPR!$E:$Z,MATCH($A298,SPPR!$A:$A,0),2)),$C298*INDEX(SPPR!$E:$Z,MATCH($A298,SPPR!$A:$A,0),2),""),"")</f>
        <v/>
      </c>
      <c r="F298">
        <f>IFERROR(IF(ISNUMBER(INDEX(SPPR!$E:$Z,MATCH($A298,SPPR!$A:$A,0),3)),$C298*INDEX(SPPR!$E:$Z,MATCH($A298,SPPR!$A:$A,0),3),""),"")</f>
        <v/>
      </c>
      <c r="G298">
        <f>IFERROR(IF(ISNUMBER(INDEX(SPPR!$E:$Z,MATCH($A298,SPPR!$A:$A,0),4)),$C298*INDEX(SPPR!$E:$Z,MATCH($A298,SPPR!$A:$A,0),4),""),"")</f>
        <v/>
      </c>
      <c r="H298">
        <f>IFERROR(IF(ISNUMBER(INDEX(SPPR!$E:$Z,MATCH($A298,SPPR!$A:$A,0),5)),$C298*INDEX(SPPR!$E:$Z,MATCH($A298,SPPR!$A:$A,0),5),""),"")</f>
        <v/>
      </c>
      <c r="I298">
        <f>IFERROR(IF(ISNUMBER(INDEX(SPPR!$E:$Z,MATCH($A298,SPPR!$A:$A,0),6)),$C298*INDEX(SPPR!$E:$Z,MATCH($A298,SPPR!$A:$A,0),6),""),"")</f>
        <v/>
      </c>
      <c r="J298">
        <f>IFERROR(IF(ISNUMBER(INDEX(SPPR!$E:$Z,MATCH($A298,SPPR!$A:$A,0),7)),$C298*INDEX(SPPR!$E:$Z,MATCH($A298,SPPR!$A:$A,0),7),""),"")</f>
        <v/>
      </c>
      <c r="K298">
        <f>IFERROR(IF(ISNUMBER(INDEX(SPPR!$E:$Z,MATCH($A298,SPPR!$A:$A,0),8)),$C298*INDEX(SPPR!$E:$Z,MATCH($A298,SPPR!$A:$A,0),8),""),"")</f>
        <v/>
      </c>
      <c r="L298">
        <f>IFERROR(IF(ISNUMBER(INDEX(SPPR!$E:$Z,MATCH($A298,SPPR!$A:$A,0),9)),$C298*INDEX(SPPR!$E:$Z,MATCH($A298,SPPR!$A:$A,0),9),""),"")</f>
        <v/>
      </c>
      <c r="M298">
        <f>IFERROR(IF(ISNUMBER(INDEX(SPPR!$E:$Z,MATCH($A298,SPPR!$A:$A,0),10)),$C298*INDEX(SPPR!$E:$Z,MATCH($A298,SPPR!$A:$A,0),10),""),"")</f>
        <v/>
      </c>
      <c r="N298">
        <f>IFERROR(IF(ISNUMBER(INDEX(SPPR!$E:$Z,MATCH($A298,SPPR!$A:$A,0),11)),$C298*INDEX(SPPR!$E:$Z,MATCH($A298,SPPR!$A:$A,0),11),""),"")</f>
        <v/>
      </c>
      <c r="O298">
        <f>IFERROR(IF(ISNUMBER(INDEX(SPPR!$E:$Z,MATCH($A298,SPPR!$A:$A,0),12)),$C298*INDEX(SPPR!$E:$Z,MATCH($A298,SPPR!$A:$A,0),12),""),"")</f>
        <v/>
      </c>
      <c r="P298">
        <f>IFERROR(IF(ISNUMBER(INDEX(SPPR!$E:$Z,MATCH($A298,SPPR!$A:$A,0),13)),$C298*INDEX(SPPR!$E:$Z,MATCH($A298,SPPR!$A:$A,0),13),""),"")</f>
        <v/>
      </c>
      <c r="Q298">
        <f>IFERROR(IF(ISNUMBER(INDEX(SPPR!$E:$Z,MATCH($A298,SPPR!$A:$A,0),14)),$C298*INDEX(SPPR!$E:$Z,MATCH($A298,SPPR!$A:$A,0),14),""),"")</f>
        <v/>
      </c>
      <c r="R298">
        <f>IFERROR(IF(ISNUMBER(INDEX(SPPR!$E:$Z,MATCH($A298,SPPR!$A:$A,0),15)),$C298*INDEX(SPPR!$E:$Z,MATCH($A298,SPPR!$A:$A,0),15),""),"")</f>
        <v/>
      </c>
      <c r="S298">
        <f>IFERROR(IF(ISNUMBER(INDEX(SPPR!$E:$Z,MATCH($A298,SPPR!$A:$A,0),16)),$C298*INDEX(SPPR!$E:$Z,MATCH($A298,SPPR!$A:$A,0),16),""),"")</f>
        <v/>
      </c>
      <c r="T298">
        <f>IFERROR(IF(ISNUMBER(INDEX(SPPR!$E:$Z,MATCH($A298,SPPR!$A:$A,0),17)),$C298*INDEX(SPPR!$E:$Z,MATCH($A298,SPPR!$A:$A,0),17),""),"")</f>
        <v/>
      </c>
      <c r="U298">
        <f>IFERROR(IF(ISNUMBER(INDEX(SPPR!$E:$Z,MATCH($A298,SPPR!$A:$A,0),18)),$C298*INDEX(SPPR!$E:$Z,MATCH($A298,SPPR!$A:$A,0),18),""),"")</f>
        <v/>
      </c>
      <c r="V298">
        <f>IFERROR(IF(ISNUMBER(INDEX(SPPR!$E:$Z,MATCH($A298,SPPR!$A:$A,0),19)),$C298*INDEX(SPPR!$E:$Z,MATCH($A298,SPPR!$A:$A,0),19),""),"")</f>
        <v/>
      </c>
      <c r="W298">
        <f>IFERROR(IF(ISNUMBER(INDEX(SPPR!$E:$Z,MATCH($A298,SPPR!$A:$A,0),20)),$C298*INDEX(SPPR!$E:$Z,MATCH($A298,SPPR!$A:$A,0),20),""),"")</f>
        <v/>
      </c>
      <c r="X298">
        <f>IFERROR(IF(ISNUMBER(INDEX(SPPR!$E:$Z,MATCH($A298,SPPR!$A:$A,0),21)),$C298*INDEX(SPPR!$E:$Z,MATCH($A298,SPPR!$A:$A,0),21),""),"")</f>
        <v/>
      </c>
      <c r="Y298">
        <f>IFERROR(IF(ISNUMBER(INDEX(SPPR!$E:$Z,MATCH($A298,SPPR!$A:$A,0),22)),$C298*INDEX(SPPR!$E:$Z,MATCH($A298,SPPR!$A:$A,0),22),""),"")</f>
        <v/>
      </c>
    </row>
    <row r="299">
      <c r="A299" t="inlineStr">
        <is>
          <t>Cynoglossus senegalensis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IFERROR(IF(ISNUMBER(INDEX(SPPR!$E:$Z,MATCH($A299,SPPR!$A:$A,0),1)),$C299*INDEX(SPPR!$E:$Z,MATCH($A299,SPPR!$A:$A,0),1),""),"")</f>
        <v/>
      </c>
      <c r="E299">
        <f>IFERROR(IF(ISNUMBER(INDEX(SPPR!$E:$Z,MATCH($A299,SPPR!$A:$A,0),2)),$C299*INDEX(SPPR!$E:$Z,MATCH($A299,SPPR!$A:$A,0),2),""),"")</f>
        <v/>
      </c>
      <c r="F299">
        <f>IFERROR(IF(ISNUMBER(INDEX(SPPR!$E:$Z,MATCH($A299,SPPR!$A:$A,0),3)),$C299*INDEX(SPPR!$E:$Z,MATCH($A299,SPPR!$A:$A,0),3),""),"")</f>
        <v/>
      </c>
      <c r="G299">
        <f>IFERROR(IF(ISNUMBER(INDEX(SPPR!$E:$Z,MATCH($A299,SPPR!$A:$A,0),4)),$C299*INDEX(SPPR!$E:$Z,MATCH($A299,SPPR!$A:$A,0),4),""),"")</f>
        <v/>
      </c>
      <c r="H299">
        <f>IFERROR(IF(ISNUMBER(INDEX(SPPR!$E:$Z,MATCH($A299,SPPR!$A:$A,0),5)),$C299*INDEX(SPPR!$E:$Z,MATCH($A299,SPPR!$A:$A,0),5),""),"")</f>
        <v/>
      </c>
      <c r="I299">
        <f>IFERROR(IF(ISNUMBER(INDEX(SPPR!$E:$Z,MATCH($A299,SPPR!$A:$A,0),6)),$C299*INDEX(SPPR!$E:$Z,MATCH($A299,SPPR!$A:$A,0),6),""),"")</f>
        <v/>
      </c>
      <c r="J299">
        <f>IFERROR(IF(ISNUMBER(INDEX(SPPR!$E:$Z,MATCH($A299,SPPR!$A:$A,0),7)),$C299*INDEX(SPPR!$E:$Z,MATCH($A299,SPPR!$A:$A,0),7),""),"")</f>
        <v/>
      </c>
      <c r="K299">
        <f>IFERROR(IF(ISNUMBER(INDEX(SPPR!$E:$Z,MATCH($A299,SPPR!$A:$A,0),8)),$C299*INDEX(SPPR!$E:$Z,MATCH($A299,SPPR!$A:$A,0),8),""),"")</f>
        <v/>
      </c>
      <c r="L299">
        <f>IFERROR(IF(ISNUMBER(INDEX(SPPR!$E:$Z,MATCH($A299,SPPR!$A:$A,0),9)),$C299*INDEX(SPPR!$E:$Z,MATCH($A299,SPPR!$A:$A,0),9),""),"")</f>
        <v/>
      </c>
      <c r="M299">
        <f>IFERROR(IF(ISNUMBER(INDEX(SPPR!$E:$Z,MATCH($A299,SPPR!$A:$A,0),10)),$C299*INDEX(SPPR!$E:$Z,MATCH($A299,SPPR!$A:$A,0),10),""),"")</f>
        <v/>
      </c>
      <c r="N299">
        <f>IFERROR(IF(ISNUMBER(INDEX(SPPR!$E:$Z,MATCH($A299,SPPR!$A:$A,0),11)),$C299*INDEX(SPPR!$E:$Z,MATCH($A299,SPPR!$A:$A,0),11),""),"")</f>
        <v/>
      </c>
      <c r="O299">
        <f>IFERROR(IF(ISNUMBER(INDEX(SPPR!$E:$Z,MATCH($A299,SPPR!$A:$A,0),12)),$C299*INDEX(SPPR!$E:$Z,MATCH($A299,SPPR!$A:$A,0),12),""),"")</f>
        <v/>
      </c>
      <c r="P299">
        <f>IFERROR(IF(ISNUMBER(INDEX(SPPR!$E:$Z,MATCH($A299,SPPR!$A:$A,0),13)),$C299*INDEX(SPPR!$E:$Z,MATCH($A299,SPPR!$A:$A,0),13),""),"")</f>
        <v/>
      </c>
      <c r="Q299">
        <f>IFERROR(IF(ISNUMBER(INDEX(SPPR!$E:$Z,MATCH($A299,SPPR!$A:$A,0),14)),$C299*INDEX(SPPR!$E:$Z,MATCH($A299,SPPR!$A:$A,0),14),""),"")</f>
        <v/>
      </c>
      <c r="R299">
        <f>IFERROR(IF(ISNUMBER(INDEX(SPPR!$E:$Z,MATCH($A299,SPPR!$A:$A,0),15)),$C299*INDEX(SPPR!$E:$Z,MATCH($A299,SPPR!$A:$A,0),15),""),"")</f>
        <v/>
      </c>
      <c r="S299">
        <f>IFERROR(IF(ISNUMBER(INDEX(SPPR!$E:$Z,MATCH($A299,SPPR!$A:$A,0),16)),$C299*INDEX(SPPR!$E:$Z,MATCH($A299,SPPR!$A:$A,0),16),""),"")</f>
        <v/>
      </c>
      <c r="T299">
        <f>IFERROR(IF(ISNUMBER(INDEX(SPPR!$E:$Z,MATCH($A299,SPPR!$A:$A,0),17)),$C299*INDEX(SPPR!$E:$Z,MATCH($A299,SPPR!$A:$A,0),17),""),"")</f>
        <v/>
      </c>
      <c r="U299">
        <f>IFERROR(IF(ISNUMBER(INDEX(SPPR!$E:$Z,MATCH($A299,SPPR!$A:$A,0),18)),$C299*INDEX(SPPR!$E:$Z,MATCH($A299,SPPR!$A:$A,0),18),""),"")</f>
        <v/>
      </c>
      <c r="V299">
        <f>IFERROR(IF(ISNUMBER(INDEX(SPPR!$E:$Z,MATCH($A299,SPPR!$A:$A,0),19)),$C299*INDEX(SPPR!$E:$Z,MATCH($A299,SPPR!$A:$A,0),19),""),"")</f>
        <v/>
      </c>
      <c r="W299">
        <f>IFERROR(IF(ISNUMBER(INDEX(SPPR!$E:$Z,MATCH($A299,SPPR!$A:$A,0),20)),$C299*INDEX(SPPR!$E:$Z,MATCH($A299,SPPR!$A:$A,0),20),""),"")</f>
        <v/>
      </c>
      <c r="X299">
        <f>IFERROR(IF(ISNUMBER(INDEX(SPPR!$E:$Z,MATCH($A299,SPPR!$A:$A,0),21)),$C299*INDEX(SPPR!$E:$Z,MATCH($A299,SPPR!$A:$A,0),21),""),"")</f>
        <v/>
      </c>
      <c r="Y299">
        <f>IFERROR(IF(ISNUMBER(INDEX(SPPR!$E:$Z,MATCH($A299,SPPR!$A:$A,0),22)),$C299*INDEX(SPPR!$E:$Z,MATCH($A299,SPPR!$A:$A,0),22),""),"")</f>
        <v/>
      </c>
    </row>
    <row r="300">
      <c r="A300" t="inlineStr">
        <is>
          <t>Panulirus regius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IFERROR(IF(ISNUMBER(INDEX(SPPR!$E:$Z,MATCH($A300,SPPR!$A:$A,0),1)),$C300*INDEX(SPPR!$E:$Z,MATCH($A300,SPPR!$A:$A,0),1),""),"")</f>
        <v/>
      </c>
      <c r="E300">
        <f>IFERROR(IF(ISNUMBER(INDEX(SPPR!$E:$Z,MATCH($A300,SPPR!$A:$A,0),2)),$C300*INDEX(SPPR!$E:$Z,MATCH($A300,SPPR!$A:$A,0),2),""),"")</f>
        <v/>
      </c>
      <c r="F300">
        <f>IFERROR(IF(ISNUMBER(INDEX(SPPR!$E:$Z,MATCH($A300,SPPR!$A:$A,0),3)),$C300*INDEX(SPPR!$E:$Z,MATCH($A300,SPPR!$A:$A,0),3),""),"")</f>
        <v/>
      </c>
      <c r="G300">
        <f>IFERROR(IF(ISNUMBER(INDEX(SPPR!$E:$Z,MATCH($A300,SPPR!$A:$A,0),4)),$C300*INDEX(SPPR!$E:$Z,MATCH($A300,SPPR!$A:$A,0),4),""),"")</f>
        <v/>
      </c>
      <c r="H300">
        <f>IFERROR(IF(ISNUMBER(INDEX(SPPR!$E:$Z,MATCH($A300,SPPR!$A:$A,0),5)),$C300*INDEX(SPPR!$E:$Z,MATCH($A300,SPPR!$A:$A,0),5),""),"")</f>
        <v/>
      </c>
      <c r="I300">
        <f>IFERROR(IF(ISNUMBER(INDEX(SPPR!$E:$Z,MATCH($A300,SPPR!$A:$A,0),6)),$C300*INDEX(SPPR!$E:$Z,MATCH($A300,SPPR!$A:$A,0),6),""),"")</f>
        <v/>
      </c>
      <c r="J300">
        <f>IFERROR(IF(ISNUMBER(INDEX(SPPR!$E:$Z,MATCH($A300,SPPR!$A:$A,0),7)),$C300*INDEX(SPPR!$E:$Z,MATCH($A300,SPPR!$A:$A,0),7),""),"")</f>
        <v/>
      </c>
      <c r="K300">
        <f>IFERROR(IF(ISNUMBER(INDEX(SPPR!$E:$Z,MATCH($A300,SPPR!$A:$A,0),8)),$C300*INDEX(SPPR!$E:$Z,MATCH($A300,SPPR!$A:$A,0),8),""),"")</f>
        <v/>
      </c>
      <c r="L300">
        <f>IFERROR(IF(ISNUMBER(INDEX(SPPR!$E:$Z,MATCH($A300,SPPR!$A:$A,0),9)),$C300*INDEX(SPPR!$E:$Z,MATCH($A300,SPPR!$A:$A,0),9),""),"")</f>
        <v/>
      </c>
      <c r="M300">
        <f>IFERROR(IF(ISNUMBER(INDEX(SPPR!$E:$Z,MATCH($A300,SPPR!$A:$A,0),10)),$C300*INDEX(SPPR!$E:$Z,MATCH($A300,SPPR!$A:$A,0),10),""),"")</f>
        <v/>
      </c>
      <c r="N300">
        <f>IFERROR(IF(ISNUMBER(INDEX(SPPR!$E:$Z,MATCH($A300,SPPR!$A:$A,0),11)),$C300*INDEX(SPPR!$E:$Z,MATCH($A300,SPPR!$A:$A,0),11),""),"")</f>
        <v/>
      </c>
      <c r="O300">
        <f>IFERROR(IF(ISNUMBER(INDEX(SPPR!$E:$Z,MATCH($A300,SPPR!$A:$A,0),12)),$C300*INDEX(SPPR!$E:$Z,MATCH($A300,SPPR!$A:$A,0),12),""),"")</f>
        <v/>
      </c>
      <c r="P300">
        <f>IFERROR(IF(ISNUMBER(INDEX(SPPR!$E:$Z,MATCH($A300,SPPR!$A:$A,0),13)),$C300*INDEX(SPPR!$E:$Z,MATCH($A300,SPPR!$A:$A,0),13),""),"")</f>
        <v/>
      </c>
      <c r="Q300">
        <f>IFERROR(IF(ISNUMBER(INDEX(SPPR!$E:$Z,MATCH($A300,SPPR!$A:$A,0),14)),$C300*INDEX(SPPR!$E:$Z,MATCH($A300,SPPR!$A:$A,0),14),""),"")</f>
        <v/>
      </c>
      <c r="R300">
        <f>IFERROR(IF(ISNUMBER(INDEX(SPPR!$E:$Z,MATCH($A300,SPPR!$A:$A,0),15)),$C300*INDEX(SPPR!$E:$Z,MATCH($A300,SPPR!$A:$A,0),15),""),"")</f>
        <v/>
      </c>
      <c r="S300">
        <f>IFERROR(IF(ISNUMBER(INDEX(SPPR!$E:$Z,MATCH($A300,SPPR!$A:$A,0),16)),$C300*INDEX(SPPR!$E:$Z,MATCH($A300,SPPR!$A:$A,0),16),""),"")</f>
        <v/>
      </c>
      <c r="T300">
        <f>IFERROR(IF(ISNUMBER(INDEX(SPPR!$E:$Z,MATCH($A300,SPPR!$A:$A,0),17)),$C300*INDEX(SPPR!$E:$Z,MATCH($A300,SPPR!$A:$A,0),17),""),"")</f>
        <v/>
      </c>
      <c r="U300">
        <f>IFERROR(IF(ISNUMBER(INDEX(SPPR!$E:$Z,MATCH($A300,SPPR!$A:$A,0),18)),$C300*INDEX(SPPR!$E:$Z,MATCH($A300,SPPR!$A:$A,0),18),""),"")</f>
        <v/>
      </c>
      <c r="V300">
        <f>IFERROR(IF(ISNUMBER(INDEX(SPPR!$E:$Z,MATCH($A300,SPPR!$A:$A,0),19)),$C300*INDEX(SPPR!$E:$Z,MATCH($A300,SPPR!$A:$A,0),19),""),"")</f>
        <v/>
      </c>
      <c r="W300">
        <f>IFERROR(IF(ISNUMBER(INDEX(SPPR!$E:$Z,MATCH($A300,SPPR!$A:$A,0),20)),$C300*INDEX(SPPR!$E:$Z,MATCH($A300,SPPR!$A:$A,0),20),""),"")</f>
        <v/>
      </c>
      <c r="X300">
        <f>IFERROR(IF(ISNUMBER(INDEX(SPPR!$E:$Z,MATCH($A300,SPPR!$A:$A,0),21)),$C300*INDEX(SPPR!$E:$Z,MATCH($A300,SPPR!$A:$A,0),21),""),"")</f>
        <v/>
      </c>
      <c r="Y300">
        <f>IFERROR(IF(ISNUMBER(INDEX(SPPR!$E:$Z,MATCH($A300,SPPR!$A:$A,0),22)),$C300*INDEX(SPPR!$E:$Z,MATCH($A300,SPPR!$A:$A,0),22),""),"")</f>
        <v/>
      </c>
    </row>
    <row r="301">
      <c r="A301" t="inlineStr">
        <is>
          <t>Trachichthyidae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IFERROR(IF(ISNUMBER(INDEX(SPPR!$E:$Z,MATCH($A301,SPPR!$A:$A,0),1)),$C301*INDEX(SPPR!$E:$Z,MATCH($A301,SPPR!$A:$A,0),1),""),"")</f>
        <v/>
      </c>
      <c r="E301">
        <f>IFERROR(IF(ISNUMBER(INDEX(SPPR!$E:$Z,MATCH($A301,SPPR!$A:$A,0),2)),$C301*INDEX(SPPR!$E:$Z,MATCH($A301,SPPR!$A:$A,0),2),""),"")</f>
        <v/>
      </c>
      <c r="F301">
        <f>IFERROR(IF(ISNUMBER(INDEX(SPPR!$E:$Z,MATCH($A301,SPPR!$A:$A,0),3)),$C301*INDEX(SPPR!$E:$Z,MATCH($A301,SPPR!$A:$A,0),3),""),"")</f>
        <v/>
      </c>
      <c r="G301">
        <f>IFERROR(IF(ISNUMBER(INDEX(SPPR!$E:$Z,MATCH($A301,SPPR!$A:$A,0),4)),$C301*INDEX(SPPR!$E:$Z,MATCH($A301,SPPR!$A:$A,0),4),""),"")</f>
        <v/>
      </c>
      <c r="H301">
        <f>IFERROR(IF(ISNUMBER(INDEX(SPPR!$E:$Z,MATCH($A301,SPPR!$A:$A,0),5)),$C301*INDEX(SPPR!$E:$Z,MATCH($A301,SPPR!$A:$A,0),5),""),"")</f>
        <v/>
      </c>
      <c r="I301">
        <f>IFERROR(IF(ISNUMBER(INDEX(SPPR!$E:$Z,MATCH($A301,SPPR!$A:$A,0),6)),$C301*INDEX(SPPR!$E:$Z,MATCH($A301,SPPR!$A:$A,0),6),""),"")</f>
        <v/>
      </c>
      <c r="J301">
        <f>IFERROR(IF(ISNUMBER(INDEX(SPPR!$E:$Z,MATCH($A301,SPPR!$A:$A,0),7)),$C301*INDEX(SPPR!$E:$Z,MATCH($A301,SPPR!$A:$A,0),7),""),"")</f>
        <v/>
      </c>
      <c r="K301">
        <f>IFERROR(IF(ISNUMBER(INDEX(SPPR!$E:$Z,MATCH($A301,SPPR!$A:$A,0),8)),$C301*INDEX(SPPR!$E:$Z,MATCH($A301,SPPR!$A:$A,0),8),""),"")</f>
        <v/>
      </c>
      <c r="L301">
        <f>IFERROR(IF(ISNUMBER(INDEX(SPPR!$E:$Z,MATCH($A301,SPPR!$A:$A,0),9)),$C301*INDEX(SPPR!$E:$Z,MATCH($A301,SPPR!$A:$A,0),9),""),"")</f>
        <v/>
      </c>
      <c r="M301">
        <f>IFERROR(IF(ISNUMBER(INDEX(SPPR!$E:$Z,MATCH($A301,SPPR!$A:$A,0),10)),$C301*INDEX(SPPR!$E:$Z,MATCH($A301,SPPR!$A:$A,0),10),""),"")</f>
        <v/>
      </c>
      <c r="N301">
        <f>IFERROR(IF(ISNUMBER(INDEX(SPPR!$E:$Z,MATCH($A301,SPPR!$A:$A,0),11)),$C301*INDEX(SPPR!$E:$Z,MATCH($A301,SPPR!$A:$A,0),11),""),"")</f>
        <v/>
      </c>
      <c r="O301">
        <f>IFERROR(IF(ISNUMBER(INDEX(SPPR!$E:$Z,MATCH($A301,SPPR!$A:$A,0),12)),$C301*INDEX(SPPR!$E:$Z,MATCH($A301,SPPR!$A:$A,0),12),""),"")</f>
        <v/>
      </c>
      <c r="P301">
        <f>IFERROR(IF(ISNUMBER(INDEX(SPPR!$E:$Z,MATCH($A301,SPPR!$A:$A,0),13)),$C301*INDEX(SPPR!$E:$Z,MATCH($A301,SPPR!$A:$A,0),13),""),"")</f>
        <v/>
      </c>
      <c r="Q301">
        <f>IFERROR(IF(ISNUMBER(INDEX(SPPR!$E:$Z,MATCH($A301,SPPR!$A:$A,0),14)),$C301*INDEX(SPPR!$E:$Z,MATCH($A301,SPPR!$A:$A,0),14),""),"")</f>
        <v/>
      </c>
      <c r="R301">
        <f>IFERROR(IF(ISNUMBER(INDEX(SPPR!$E:$Z,MATCH($A301,SPPR!$A:$A,0),15)),$C301*INDEX(SPPR!$E:$Z,MATCH($A301,SPPR!$A:$A,0),15),""),"")</f>
        <v/>
      </c>
      <c r="S301">
        <f>IFERROR(IF(ISNUMBER(INDEX(SPPR!$E:$Z,MATCH($A301,SPPR!$A:$A,0),16)),$C301*INDEX(SPPR!$E:$Z,MATCH($A301,SPPR!$A:$A,0),16),""),"")</f>
        <v/>
      </c>
      <c r="T301">
        <f>IFERROR(IF(ISNUMBER(INDEX(SPPR!$E:$Z,MATCH($A301,SPPR!$A:$A,0),17)),$C301*INDEX(SPPR!$E:$Z,MATCH($A301,SPPR!$A:$A,0),17),""),"")</f>
        <v/>
      </c>
      <c r="U301">
        <f>IFERROR(IF(ISNUMBER(INDEX(SPPR!$E:$Z,MATCH($A301,SPPR!$A:$A,0),18)),$C301*INDEX(SPPR!$E:$Z,MATCH($A301,SPPR!$A:$A,0),18),""),"")</f>
        <v/>
      </c>
      <c r="V301">
        <f>IFERROR(IF(ISNUMBER(INDEX(SPPR!$E:$Z,MATCH($A301,SPPR!$A:$A,0),19)),$C301*INDEX(SPPR!$E:$Z,MATCH($A301,SPPR!$A:$A,0),19),""),"")</f>
        <v/>
      </c>
      <c r="W301">
        <f>IFERROR(IF(ISNUMBER(INDEX(SPPR!$E:$Z,MATCH($A301,SPPR!$A:$A,0),20)),$C301*INDEX(SPPR!$E:$Z,MATCH($A301,SPPR!$A:$A,0),20),""),"")</f>
        <v/>
      </c>
      <c r="X301">
        <f>IFERROR(IF(ISNUMBER(INDEX(SPPR!$E:$Z,MATCH($A301,SPPR!$A:$A,0),21)),$C301*INDEX(SPPR!$E:$Z,MATCH($A301,SPPR!$A:$A,0),21),""),"")</f>
        <v/>
      </c>
      <c r="Y301">
        <f>IFERROR(IF(ISNUMBER(INDEX(SPPR!$E:$Z,MATCH($A301,SPPR!$A:$A,0),22)),$C301*INDEX(SPPR!$E:$Z,MATCH($A301,SPPR!$A:$A,0),22),""),"")</f>
        <v/>
      </c>
    </row>
    <row r="302">
      <c r="A302" t="inlineStr">
        <is>
          <t>Leptocharias smithii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IFERROR(IF(ISNUMBER(INDEX(SPPR!$E:$Z,MATCH($A302,SPPR!$A:$A,0),1)),$C302*INDEX(SPPR!$E:$Z,MATCH($A302,SPPR!$A:$A,0),1),""),"")</f>
        <v/>
      </c>
      <c r="E302">
        <f>IFERROR(IF(ISNUMBER(INDEX(SPPR!$E:$Z,MATCH($A302,SPPR!$A:$A,0),2)),$C302*INDEX(SPPR!$E:$Z,MATCH($A302,SPPR!$A:$A,0),2),""),"")</f>
        <v/>
      </c>
      <c r="F302">
        <f>IFERROR(IF(ISNUMBER(INDEX(SPPR!$E:$Z,MATCH($A302,SPPR!$A:$A,0),3)),$C302*INDEX(SPPR!$E:$Z,MATCH($A302,SPPR!$A:$A,0),3),""),"")</f>
        <v/>
      </c>
      <c r="G302">
        <f>IFERROR(IF(ISNUMBER(INDEX(SPPR!$E:$Z,MATCH($A302,SPPR!$A:$A,0),4)),$C302*INDEX(SPPR!$E:$Z,MATCH($A302,SPPR!$A:$A,0),4),""),"")</f>
        <v/>
      </c>
      <c r="H302">
        <f>IFERROR(IF(ISNUMBER(INDEX(SPPR!$E:$Z,MATCH($A302,SPPR!$A:$A,0),5)),$C302*INDEX(SPPR!$E:$Z,MATCH($A302,SPPR!$A:$A,0),5),""),"")</f>
        <v/>
      </c>
      <c r="I302">
        <f>IFERROR(IF(ISNUMBER(INDEX(SPPR!$E:$Z,MATCH($A302,SPPR!$A:$A,0),6)),$C302*INDEX(SPPR!$E:$Z,MATCH($A302,SPPR!$A:$A,0),6),""),"")</f>
        <v/>
      </c>
      <c r="J302">
        <f>IFERROR(IF(ISNUMBER(INDEX(SPPR!$E:$Z,MATCH($A302,SPPR!$A:$A,0),7)),$C302*INDEX(SPPR!$E:$Z,MATCH($A302,SPPR!$A:$A,0),7),""),"")</f>
        <v/>
      </c>
      <c r="K302">
        <f>IFERROR(IF(ISNUMBER(INDEX(SPPR!$E:$Z,MATCH($A302,SPPR!$A:$A,0),8)),$C302*INDEX(SPPR!$E:$Z,MATCH($A302,SPPR!$A:$A,0),8),""),"")</f>
        <v/>
      </c>
      <c r="L302">
        <f>IFERROR(IF(ISNUMBER(INDEX(SPPR!$E:$Z,MATCH($A302,SPPR!$A:$A,0),9)),$C302*INDEX(SPPR!$E:$Z,MATCH($A302,SPPR!$A:$A,0),9),""),"")</f>
        <v/>
      </c>
      <c r="M302">
        <f>IFERROR(IF(ISNUMBER(INDEX(SPPR!$E:$Z,MATCH($A302,SPPR!$A:$A,0),10)),$C302*INDEX(SPPR!$E:$Z,MATCH($A302,SPPR!$A:$A,0),10),""),"")</f>
        <v/>
      </c>
      <c r="N302">
        <f>IFERROR(IF(ISNUMBER(INDEX(SPPR!$E:$Z,MATCH($A302,SPPR!$A:$A,0),11)),$C302*INDEX(SPPR!$E:$Z,MATCH($A302,SPPR!$A:$A,0),11),""),"")</f>
        <v/>
      </c>
      <c r="O302">
        <f>IFERROR(IF(ISNUMBER(INDEX(SPPR!$E:$Z,MATCH($A302,SPPR!$A:$A,0),12)),$C302*INDEX(SPPR!$E:$Z,MATCH($A302,SPPR!$A:$A,0),12),""),"")</f>
        <v/>
      </c>
      <c r="P302">
        <f>IFERROR(IF(ISNUMBER(INDEX(SPPR!$E:$Z,MATCH($A302,SPPR!$A:$A,0),13)),$C302*INDEX(SPPR!$E:$Z,MATCH($A302,SPPR!$A:$A,0),13),""),"")</f>
        <v/>
      </c>
      <c r="Q302">
        <f>IFERROR(IF(ISNUMBER(INDEX(SPPR!$E:$Z,MATCH($A302,SPPR!$A:$A,0),14)),$C302*INDEX(SPPR!$E:$Z,MATCH($A302,SPPR!$A:$A,0),14),""),"")</f>
        <v/>
      </c>
      <c r="R302">
        <f>IFERROR(IF(ISNUMBER(INDEX(SPPR!$E:$Z,MATCH($A302,SPPR!$A:$A,0),15)),$C302*INDEX(SPPR!$E:$Z,MATCH($A302,SPPR!$A:$A,0),15),""),"")</f>
        <v/>
      </c>
      <c r="S302">
        <f>IFERROR(IF(ISNUMBER(INDEX(SPPR!$E:$Z,MATCH($A302,SPPR!$A:$A,0),16)),$C302*INDEX(SPPR!$E:$Z,MATCH($A302,SPPR!$A:$A,0),16),""),"")</f>
        <v/>
      </c>
      <c r="T302">
        <f>IFERROR(IF(ISNUMBER(INDEX(SPPR!$E:$Z,MATCH($A302,SPPR!$A:$A,0),17)),$C302*INDEX(SPPR!$E:$Z,MATCH($A302,SPPR!$A:$A,0),17),""),"")</f>
        <v/>
      </c>
      <c r="U302">
        <f>IFERROR(IF(ISNUMBER(INDEX(SPPR!$E:$Z,MATCH($A302,SPPR!$A:$A,0),18)),$C302*INDEX(SPPR!$E:$Z,MATCH($A302,SPPR!$A:$A,0),18),""),"")</f>
        <v/>
      </c>
      <c r="V302">
        <f>IFERROR(IF(ISNUMBER(INDEX(SPPR!$E:$Z,MATCH($A302,SPPR!$A:$A,0),19)),$C302*INDEX(SPPR!$E:$Z,MATCH($A302,SPPR!$A:$A,0),19),""),"")</f>
        <v/>
      </c>
      <c r="W302">
        <f>IFERROR(IF(ISNUMBER(INDEX(SPPR!$E:$Z,MATCH($A302,SPPR!$A:$A,0),20)),$C302*INDEX(SPPR!$E:$Z,MATCH($A302,SPPR!$A:$A,0),20),""),"")</f>
        <v/>
      </c>
      <c r="X302">
        <f>IFERROR(IF(ISNUMBER(INDEX(SPPR!$E:$Z,MATCH($A302,SPPR!$A:$A,0),21)),$C302*INDEX(SPPR!$E:$Z,MATCH($A302,SPPR!$A:$A,0),21),""),"")</f>
        <v/>
      </c>
      <c r="Y302">
        <f>IFERROR(IF(ISNUMBER(INDEX(SPPR!$E:$Z,MATCH($A302,SPPR!$A:$A,0),22)),$C302*INDEX(SPPR!$E:$Z,MATCH($A302,SPPR!$A:$A,0),22),""),"")</f>
        <v/>
      </c>
    </row>
    <row r="303">
      <c r="A303" t="inlineStr">
        <is>
          <t>Lophius vaillanti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IFERROR(IF(ISNUMBER(INDEX(SPPR!$E:$Z,MATCH($A303,SPPR!$A:$A,0),1)),$C303*INDEX(SPPR!$E:$Z,MATCH($A303,SPPR!$A:$A,0),1),""),"")</f>
        <v/>
      </c>
      <c r="E303">
        <f>IFERROR(IF(ISNUMBER(INDEX(SPPR!$E:$Z,MATCH($A303,SPPR!$A:$A,0),2)),$C303*INDEX(SPPR!$E:$Z,MATCH($A303,SPPR!$A:$A,0),2),""),"")</f>
        <v/>
      </c>
      <c r="F303">
        <f>IFERROR(IF(ISNUMBER(INDEX(SPPR!$E:$Z,MATCH($A303,SPPR!$A:$A,0),3)),$C303*INDEX(SPPR!$E:$Z,MATCH($A303,SPPR!$A:$A,0),3),""),"")</f>
        <v/>
      </c>
      <c r="G303">
        <f>IFERROR(IF(ISNUMBER(INDEX(SPPR!$E:$Z,MATCH($A303,SPPR!$A:$A,0),4)),$C303*INDEX(SPPR!$E:$Z,MATCH($A303,SPPR!$A:$A,0),4),""),"")</f>
        <v/>
      </c>
      <c r="H303">
        <f>IFERROR(IF(ISNUMBER(INDEX(SPPR!$E:$Z,MATCH($A303,SPPR!$A:$A,0),5)),$C303*INDEX(SPPR!$E:$Z,MATCH($A303,SPPR!$A:$A,0),5),""),"")</f>
        <v/>
      </c>
      <c r="I303">
        <f>IFERROR(IF(ISNUMBER(INDEX(SPPR!$E:$Z,MATCH($A303,SPPR!$A:$A,0),6)),$C303*INDEX(SPPR!$E:$Z,MATCH($A303,SPPR!$A:$A,0),6),""),"")</f>
        <v/>
      </c>
      <c r="J303">
        <f>IFERROR(IF(ISNUMBER(INDEX(SPPR!$E:$Z,MATCH($A303,SPPR!$A:$A,0),7)),$C303*INDEX(SPPR!$E:$Z,MATCH($A303,SPPR!$A:$A,0),7),""),"")</f>
        <v/>
      </c>
      <c r="K303">
        <f>IFERROR(IF(ISNUMBER(INDEX(SPPR!$E:$Z,MATCH($A303,SPPR!$A:$A,0),8)),$C303*INDEX(SPPR!$E:$Z,MATCH($A303,SPPR!$A:$A,0),8),""),"")</f>
        <v/>
      </c>
      <c r="L303">
        <f>IFERROR(IF(ISNUMBER(INDEX(SPPR!$E:$Z,MATCH($A303,SPPR!$A:$A,0),9)),$C303*INDEX(SPPR!$E:$Z,MATCH($A303,SPPR!$A:$A,0),9),""),"")</f>
        <v/>
      </c>
      <c r="M303">
        <f>IFERROR(IF(ISNUMBER(INDEX(SPPR!$E:$Z,MATCH($A303,SPPR!$A:$A,0),10)),$C303*INDEX(SPPR!$E:$Z,MATCH($A303,SPPR!$A:$A,0),10),""),"")</f>
        <v/>
      </c>
      <c r="N303">
        <f>IFERROR(IF(ISNUMBER(INDEX(SPPR!$E:$Z,MATCH($A303,SPPR!$A:$A,0),11)),$C303*INDEX(SPPR!$E:$Z,MATCH($A303,SPPR!$A:$A,0),11),""),"")</f>
        <v/>
      </c>
      <c r="O303">
        <f>IFERROR(IF(ISNUMBER(INDEX(SPPR!$E:$Z,MATCH($A303,SPPR!$A:$A,0),12)),$C303*INDEX(SPPR!$E:$Z,MATCH($A303,SPPR!$A:$A,0),12),""),"")</f>
        <v/>
      </c>
      <c r="P303">
        <f>IFERROR(IF(ISNUMBER(INDEX(SPPR!$E:$Z,MATCH($A303,SPPR!$A:$A,0),13)),$C303*INDEX(SPPR!$E:$Z,MATCH($A303,SPPR!$A:$A,0),13),""),"")</f>
        <v/>
      </c>
      <c r="Q303">
        <f>IFERROR(IF(ISNUMBER(INDEX(SPPR!$E:$Z,MATCH($A303,SPPR!$A:$A,0),14)),$C303*INDEX(SPPR!$E:$Z,MATCH($A303,SPPR!$A:$A,0),14),""),"")</f>
        <v/>
      </c>
      <c r="R303">
        <f>IFERROR(IF(ISNUMBER(INDEX(SPPR!$E:$Z,MATCH($A303,SPPR!$A:$A,0),15)),$C303*INDEX(SPPR!$E:$Z,MATCH($A303,SPPR!$A:$A,0),15),""),"")</f>
        <v/>
      </c>
      <c r="S303">
        <f>IFERROR(IF(ISNUMBER(INDEX(SPPR!$E:$Z,MATCH($A303,SPPR!$A:$A,0),16)),$C303*INDEX(SPPR!$E:$Z,MATCH($A303,SPPR!$A:$A,0),16),""),"")</f>
        <v/>
      </c>
      <c r="T303">
        <f>IFERROR(IF(ISNUMBER(INDEX(SPPR!$E:$Z,MATCH($A303,SPPR!$A:$A,0),17)),$C303*INDEX(SPPR!$E:$Z,MATCH($A303,SPPR!$A:$A,0),17),""),"")</f>
        <v/>
      </c>
      <c r="U303">
        <f>IFERROR(IF(ISNUMBER(INDEX(SPPR!$E:$Z,MATCH($A303,SPPR!$A:$A,0),18)),$C303*INDEX(SPPR!$E:$Z,MATCH($A303,SPPR!$A:$A,0),18),""),"")</f>
        <v/>
      </c>
      <c r="V303">
        <f>IFERROR(IF(ISNUMBER(INDEX(SPPR!$E:$Z,MATCH($A303,SPPR!$A:$A,0),19)),$C303*INDEX(SPPR!$E:$Z,MATCH($A303,SPPR!$A:$A,0),19),""),"")</f>
        <v/>
      </c>
      <c r="W303">
        <f>IFERROR(IF(ISNUMBER(INDEX(SPPR!$E:$Z,MATCH($A303,SPPR!$A:$A,0),20)),$C303*INDEX(SPPR!$E:$Z,MATCH($A303,SPPR!$A:$A,0),20),""),"")</f>
        <v/>
      </c>
      <c r="X303">
        <f>IFERROR(IF(ISNUMBER(INDEX(SPPR!$E:$Z,MATCH($A303,SPPR!$A:$A,0),21)),$C303*INDEX(SPPR!$E:$Z,MATCH($A303,SPPR!$A:$A,0),21),""),"")</f>
        <v/>
      </c>
      <c r="Y303">
        <f>IFERROR(IF(ISNUMBER(INDEX(SPPR!$E:$Z,MATCH($A303,SPPR!$A:$A,0),22)),$C303*INDEX(SPPR!$E:$Z,MATCH($A303,SPPR!$A:$A,0),22),""),"")</f>
        <v/>
      </c>
    </row>
    <row r="304">
      <c r="A304" t="inlineStr">
        <is>
          <t>Zenopsis conchifer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IFERROR(IF(ISNUMBER(INDEX(SPPR!$E:$Z,MATCH($A304,SPPR!$A:$A,0),1)),$C304*INDEX(SPPR!$E:$Z,MATCH($A304,SPPR!$A:$A,0),1),""),"")</f>
        <v/>
      </c>
      <c r="E304">
        <f>IFERROR(IF(ISNUMBER(INDEX(SPPR!$E:$Z,MATCH($A304,SPPR!$A:$A,0),2)),$C304*INDEX(SPPR!$E:$Z,MATCH($A304,SPPR!$A:$A,0),2),""),"")</f>
        <v/>
      </c>
      <c r="F304">
        <f>IFERROR(IF(ISNUMBER(INDEX(SPPR!$E:$Z,MATCH($A304,SPPR!$A:$A,0),3)),$C304*INDEX(SPPR!$E:$Z,MATCH($A304,SPPR!$A:$A,0),3),""),"")</f>
        <v/>
      </c>
      <c r="G304">
        <f>IFERROR(IF(ISNUMBER(INDEX(SPPR!$E:$Z,MATCH($A304,SPPR!$A:$A,0),4)),$C304*INDEX(SPPR!$E:$Z,MATCH($A304,SPPR!$A:$A,0),4),""),"")</f>
        <v/>
      </c>
      <c r="H304">
        <f>IFERROR(IF(ISNUMBER(INDEX(SPPR!$E:$Z,MATCH($A304,SPPR!$A:$A,0),5)),$C304*INDEX(SPPR!$E:$Z,MATCH($A304,SPPR!$A:$A,0),5),""),"")</f>
        <v/>
      </c>
      <c r="I304">
        <f>IFERROR(IF(ISNUMBER(INDEX(SPPR!$E:$Z,MATCH($A304,SPPR!$A:$A,0),6)),$C304*INDEX(SPPR!$E:$Z,MATCH($A304,SPPR!$A:$A,0),6),""),"")</f>
        <v/>
      </c>
      <c r="J304">
        <f>IFERROR(IF(ISNUMBER(INDEX(SPPR!$E:$Z,MATCH($A304,SPPR!$A:$A,0),7)),$C304*INDEX(SPPR!$E:$Z,MATCH($A304,SPPR!$A:$A,0),7),""),"")</f>
        <v/>
      </c>
      <c r="K304">
        <f>IFERROR(IF(ISNUMBER(INDEX(SPPR!$E:$Z,MATCH($A304,SPPR!$A:$A,0),8)),$C304*INDEX(SPPR!$E:$Z,MATCH($A304,SPPR!$A:$A,0),8),""),"")</f>
        <v/>
      </c>
      <c r="L304">
        <f>IFERROR(IF(ISNUMBER(INDEX(SPPR!$E:$Z,MATCH($A304,SPPR!$A:$A,0),9)),$C304*INDEX(SPPR!$E:$Z,MATCH($A304,SPPR!$A:$A,0),9),""),"")</f>
        <v/>
      </c>
      <c r="M304">
        <f>IFERROR(IF(ISNUMBER(INDEX(SPPR!$E:$Z,MATCH($A304,SPPR!$A:$A,0),10)),$C304*INDEX(SPPR!$E:$Z,MATCH($A304,SPPR!$A:$A,0),10),""),"")</f>
        <v/>
      </c>
      <c r="N304">
        <f>IFERROR(IF(ISNUMBER(INDEX(SPPR!$E:$Z,MATCH($A304,SPPR!$A:$A,0),11)),$C304*INDEX(SPPR!$E:$Z,MATCH($A304,SPPR!$A:$A,0),11),""),"")</f>
        <v/>
      </c>
      <c r="O304">
        <f>IFERROR(IF(ISNUMBER(INDEX(SPPR!$E:$Z,MATCH($A304,SPPR!$A:$A,0),12)),$C304*INDEX(SPPR!$E:$Z,MATCH($A304,SPPR!$A:$A,0),12),""),"")</f>
        <v/>
      </c>
      <c r="P304">
        <f>IFERROR(IF(ISNUMBER(INDEX(SPPR!$E:$Z,MATCH($A304,SPPR!$A:$A,0),13)),$C304*INDEX(SPPR!$E:$Z,MATCH($A304,SPPR!$A:$A,0),13),""),"")</f>
        <v/>
      </c>
      <c r="Q304">
        <f>IFERROR(IF(ISNUMBER(INDEX(SPPR!$E:$Z,MATCH($A304,SPPR!$A:$A,0),14)),$C304*INDEX(SPPR!$E:$Z,MATCH($A304,SPPR!$A:$A,0),14),""),"")</f>
        <v/>
      </c>
      <c r="R304">
        <f>IFERROR(IF(ISNUMBER(INDEX(SPPR!$E:$Z,MATCH($A304,SPPR!$A:$A,0),15)),$C304*INDEX(SPPR!$E:$Z,MATCH($A304,SPPR!$A:$A,0),15),""),"")</f>
        <v/>
      </c>
      <c r="S304">
        <f>IFERROR(IF(ISNUMBER(INDEX(SPPR!$E:$Z,MATCH($A304,SPPR!$A:$A,0),16)),$C304*INDEX(SPPR!$E:$Z,MATCH($A304,SPPR!$A:$A,0),16),""),"")</f>
        <v/>
      </c>
      <c r="T304">
        <f>IFERROR(IF(ISNUMBER(INDEX(SPPR!$E:$Z,MATCH($A304,SPPR!$A:$A,0),17)),$C304*INDEX(SPPR!$E:$Z,MATCH($A304,SPPR!$A:$A,0),17),""),"")</f>
        <v/>
      </c>
      <c r="U304">
        <f>IFERROR(IF(ISNUMBER(INDEX(SPPR!$E:$Z,MATCH($A304,SPPR!$A:$A,0),18)),$C304*INDEX(SPPR!$E:$Z,MATCH($A304,SPPR!$A:$A,0),18),""),"")</f>
        <v/>
      </c>
      <c r="V304">
        <f>IFERROR(IF(ISNUMBER(INDEX(SPPR!$E:$Z,MATCH($A304,SPPR!$A:$A,0),19)),$C304*INDEX(SPPR!$E:$Z,MATCH($A304,SPPR!$A:$A,0),19),""),"")</f>
        <v/>
      </c>
      <c r="W304">
        <f>IFERROR(IF(ISNUMBER(INDEX(SPPR!$E:$Z,MATCH($A304,SPPR!$A:$A,0),20)),$C304*INDEX(SPPR!$E:$Z,MATCH($A304,SPPR!$A:$A,0),20),""),"")</f>
        <v/>
      </c>
      <c r="X304">
        <f>IFERROR(IF(ISNUMBER(INDEX(SPPR!$E:$Z,MATCH($A304,SPPR!$A:$A,0),21)),$C304*INDEX(SPPR!$E:$Z,MATCH($A304,SPPR!$A:$A,0),21),""),"")</f>
        <v/>
      </c>
      <c r="Y304">
        <f>IFERROR(IF(ISNUMBER(INDEX(SPPR!$E:$Z,MATCH($A304,SPPR!$A:$A,0),22)),$C304*INDEX(SPPR!$E:$Z,MATCH($A304,SPPR!$A:$A,0),22),""),"")</f>
        <v/>
      </c>
    </row>
    <row r="305">
      <c r="A305" t="inlineStr">
        <is>
          <t>Cyprinidae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IFERROR(IF(ISNUMBER(INDEX(SPPR!$E:$Z,MATCH($A305,SPPR!$A:$A,0),1)),$C305*INDEX(SPPR!$E:$Z,MATCH($A305,SPPR!$A:$A,0),1),""),"")</f>
        <v/>
      </c>
      <c r="E305">
        <f>IFERROR(IF(ISNUMBER(INDEX(SPPR!$E:$Z,MATCH($A305,SPPR!$A:$A,0),2)),$C305*INDEX(SPPR!$E:$Z,MATCH($A305,SPPR!$A:$A,0),2),""),"")</f>
        <v/>
      </c>
      <c r="F305">
        <f>IFERROR(IF(ISNUMBER(INDEX(SPPR!$E:$Z,MATCH($A305,SPPR!$A:$A,0),3)),$C305*INDEX(SPPR!$E:$Z,MATCH($A305,SPPR!$A:$A,0),3),""),"")</f>
        <v/>
      </c>
      <c r="G305">
        <f>IFERROR(IF(ISNUMBER(INDEX(SPPR!$E:$Z,MATCH($A305,SPPR!$A:$A,0),4)),$C305*INDEX(SPPR!$E:$Z,MATCH($A305,SPPR!$A:$A,0),4),""),"")</f>
        <v/>
      </c>
      <c r="H305">
        <f>IFERROR(IF(ISNUMBER(INDEX(SPPR!$E:$Z,MATCH($A305,SPPR!$A:$A,0),5)),$C305*INDEX(SPPR!$E:$Z,MATCH($A305,SPPR!$A:$A,0),5),""),"")</f>
        <v/>
      </c>
      <c r="I305">
        <f>IFERROR(IF(ISNUMBER(INDEX(SPPR!$E:$Z,MATCH($A305,SPPR!$A:$A,0),6)),$C305*INDEX(SPPR!$E:$Z,MATCH($A305,SPPR!$A:$A,0),6),""),"")</f>
        <v/>
      </c>
      <c r="J305">
        <f>IFERROR(IF(ISNUMBER(INDEX(SPPR!$E:$Z,MATCH($A305,SPPR!$A:$A,0),7)),$C305*INDEX(SPPR!$E:$Z,MATCH($A305,SPPR!$A:$A,0),7),""),"")</f>
        <v/>
      </c>
      <c r="K305">
        <f>IFERROR(IF(ISNUMBER(INDEX(SPPR!$E:$Z,MATCH($A305,SPPR!$A:$A,0),8)),$C305*INDEX(SPPR!$E:$Z,MATCH($A305,SPPR!$A:$A,0),8),""),"")</f>
        <v/>
      </c>
      <c r="L305">
        <f>IFERROR(IF(ISNUMBER(INDEX(SPPR!$E:$Z,MATCH($A305,SPPR!$A:$A,0),9)),$C305*INDEX(SPPR!$E:$Z,MATCH($A305,SPPR!$A:$A,0),9),""),"")</f>
        <v/>
      </c>
      <c r="M305">
        <f>IFERROR(IF(ISNUMBER(INDEX(SPPR!$E:$Z,MATCH($A305,SPPR!$A:$A,0),10)),$C305*INDEX(SPPR!$E:$Z,MATCH($A305,SPPR!$A:$A,0),10),""),"")</f>
        <v/>
      </c>
      <c r="N305">
        <f>IFERROR(IF(ISNUMBER(INDEX(SPPR!$E:$Z,MATCH($A305,SPPR!$A:$A,0),11)),$C305*INDEX(SPPR!$E:$Z,MATCH($A305,SPPR!$A:$A,0),11),""),"")</f>
        <v/>
      </c>
      <c r="O305">
        <f>IFERROR(IF(ISNUMBER(INDEX(SPPR!$E:$Z,MATCH($A305,SPPR!$A:$A,0),12)),$C305*INDEX(SPPR!$E:$Z,MATCH($A305,SPPR!$A:$A,0),12),""),"")</f>
        <v/>
      </c>
      <c r="P305">
        <f>IFERROR(IF(ISNUMBER(INDEX(SPPR!$E:$Z,MATCH($A305,SPPR!$A:$A,0),13)),$C305*INDEX(SPPR!$E:$Z,MATCH($A305,SPPR!$A:$A,0),13),""),"")</f>
        <v/>
      </c>
      <c r="Q305">
        <f>IFERROR(IF(ISNUMBER(INDEX(SPPR!$E:$Z,MATCH($A305,SPPR!$A:$A,0),14)),$C305*INDEX(SPPR!$E:$Z,MATCH($A305,SPPR!$A:$A,0),14),""),"")</f>
        <v/>
      </c>
      <c r="R305">
        <f>IFERROR(IF(ISNUMBER(INDEX(SPPR!$E:$Z,MATCH($A305,SPPR!$A:$A,0),15)),$C305*INDEX(SPPR!$E:$Z,MATCH($A305,SPPR!$A:$A,0),15),""),"")</f>
        <v/>
      </c>
      <c r="S305">
        <f>IFERROR(IF(ISNUMBER(INDEX(SPPR!$E:$Z,MATCH($A305,SPPR!$A:$A,0),16)),$C305*INDEX(SPPR!$E:$Z,MATCH($A305,SPPR!$A:$A,0),16),""),"")</f>
        <v/>
      </c>
      <c r="T305">
        <f>IFERROR(IF(ISNUMBER(INDEX(SPPR!$E:$Z,MATCH($A305,SPPR!$A:$A,0),17)),$C305*INDEX(SPPR!$E:$Z,MATCH($A305,SPPR!$A:$A,0),17),""),"")</f>
        <v/>
      </c>
      <c r="U305">
        <f>IFERROR(IF(ISNUMBER(INDEX(SPPR!$E:$Z,MATCH($A305,SPPR!$A:$A,0),18)),$C305*INDEX(SPPR!$E:$Z,MATCH($A305,SPPR!$A:$A,0),18),""),"")</f>
        <v/>
      </c>
      <c r="V305">
        <f>IFERROR(IF(ISNUMBER(INDEX(SPPR!$E:$Z,MATCH($A305,SPPR!$A:$A,0),19)),$C305*INDEX(SPPR!$E:$Z,MATCH($A305,SPPR!$A:$A,0),19),""),"")</f>
        <v/>
      </c>
      <c r="W305">
        <f>IFERROR(IF(ISNUMBER(INDEX(SPPR!$E:$Z,MATCH($A305,SPPR!$A:$A,0),20)),$C305*INDEX(SPPR!$E:$Z,MATCH($A305,SPPR!$A:$A,0),20),""),"")</f>
        <v/>
      </c>
      <c r="X305">
        <f>IFERROR(IF(ISNUMBER(INDEX(SPPR!$E:$Z,MATCH($A305,SPPR!$A:$A,0),21)),$C305*INDEX(SPPR!$E:$Z,MATCH($A305,SPPR!$A:$A,0),21),""),"")</f>
        <v/>
      </c>
      <c r="Y305">
        <f>IFERROR(IF(ISNUMBER(INDEX(SPPR!$E:$Z,MATCH($A305,SPPR!$A:$A,0),22)),$C305*INDEX(SPPR!$E:$Z,MATCH($A305,SPPR!$A:$A,0),22),""),"")</f>
        <v/>
      </c>
    </row>
    <row r="306">
      <c r="A306" t="inlineStr">
        <is>
          <t>Inermiidae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IFERROR(IF(ISNUMBER(INDEX(SPPR!$E:$Z,MATCH($A306,SPPR!$A:$A,0),1)),$C306*INDEX(SPPR!$E:$Z,MATCH($A306,SPPR!$A:$A,0),1),""),"")</f>
        <v/>
      </c>
      <c r="E306">
        <f>IFERROR(IF(ISNUMBER(INDEX(SPPR!$E:$Z,MATCH($A306,SPPR!$A:$A,0),2)),$C306*INDEX(SPPR!$E:$Z,MATCH($A306,SPPR!$A:$A,0),2),""),"")</f>
        <v/>
      </c>
      <c r="F306">
        <f>IFERROR(IF(ISNUMBER(INDEX(SPPR!$E:$Z,MATCH($A306,SPPR!$A:$A,0),3)),$C306*INDEX(SPPR!$E:$Z,MATCH($A306,SPPR!$A:$A,0),3),""),"")</f>
        <v/>
      </c>
      <c r="G306">
        <f>IFERROR(IF(ISNUMBER(INDEX(SPPR!$E:$Z,MATCH($A306,SPPR!$A:$A,0),4)),$C306*INDEX(SPPR!$E:$Z,MATCH($A306,SPPR!$A:$A,0),4),""),"")</f>
        <v/>
      </c>
      <c r="H306">
        <f>IFERROR(IF(ISNUMBER(INDEX(SPPR!$E:$Z,MATCH($A306,SPPR!$A:$A,0),5)),$C306*INDEX(SPPR!$E:$Z,MATCH($A306,SPPR!$A:$A,0),5),""),"")</f>
        <v/>
      </c>
      <c r="I306">
        <f>IFERROR(IF(ISNUMBER(INDEX(SPPR!$E:$Z,MATCH($A306,SPPR!$A:$A,0),6)),$C306*INDEX(SPPR!$E:$Z,MATCH($A306,SPPR!$A:$A,0),6),""),"")</f>
        <v/>
      </c>
      <c r="J306">
        <f>IFERROR(IF(ISNUMBER(INDEX(SPPR!$E:$Z,MATCH($A306,SPPR!$A:$A,0),7)),$C306*INDEX(SPPR!$E:$Z,MATCH($A306,SPPR!$A:$A,0),7),""),"")</f>
        <v/>
      </c>
      <c r="K306">
        <f>IFERROR(IF(ISNUMBER(INDEX(SPPR!$E:$Z,MATCH($A306,SPPR!$A:$A,0),8)),$C306*INDEX(SPPR!$E:$Z,MATCH($A306,SPPR!$A:$A,0),8),""),"")</f>
        <v/>
      </c>
      <c r="L306">
        <f>IFERROR(IF(ISNUMBER(INDEX(SPPR!$E:$Z,MATCH($A306,SPPR!$A:$A,0),9)),$C306*INDEX(SPPR!$E:$Z,MATCH($A306,SPPR!$A:$A,0),9),""),"")</f>
        <v/>
      </c>
      <c r="M306">
        <f>IFERROR(IF(ISNUMBER(INDEX(SPPR!$E:$Z,MATCH($A306,SPPR!$A:$A,0),10)),$C306*INDEX(SPPR!$E:$Z,MATCH($A306,SPPR!$A:$A,0),10),""),"")</f>
        <v/>
      </c>
      <c r="N306">
        <f>IFERROR(IF(ISNUMBER(INDEX(SPPR!$E:$Z,MATCH($A306,SPPR!$A:$A,0),11)),$C306*INDEX(SPPR!$E:$Z,MATCH($A306,SPPR!$A:$A,0),11),""),"")</f>
        <v/>
      </c>
      <c r="O306">
        <f>IFERROR(IF(ISNUMBER(INDEX(SPPR!$E:$Z,MATCH($A306,SPPR!$A:$A,0),12)),$C306*INDEX(SPPR!$E:$Z,MATCH($A306,SPPR!$A:$A,0),12),""),"")</f>
        <v/>
      </c>
      <c r="P306">
        <f>IFERROR(IF(ISNUMBER(INDEX(SPPR!$E:$Z,MATCH($A306,SPPR!$A:$A,0),13)),$C306*INDEX(SPPR!$E:$Z,MATCH($A306,SPPR!$A:$A,0),13),""),"")</f>
        <v/>
      </c>
      <c r="Q306">
        <f>IFERROR(IF(ISNUMBER(INDEX(SPPR!$E:$Z,MATCH($A306,SPPR!$A:$A,0),14)),$C306*INDEX(SPPR!$E:$Z,MATCH($A306,SPPR!$A:$A,0),14),""),"")</f>
        <v/>
      </c>
      <c r="R306">
        <f>IFERROR(IF(ISNUMBER(INDEX(SPPR!$E:$Z,MATCH($A306,SPPR!$A:$A,0),15)),$C306*INDEX(SPPR!$E:$Z,MATCH($A306,SPPR!$A:$A,0),15),""),"")</f>
        <v/>
      </c>
      <c r="S306">
        <f>IFERROR(IF(ISNUMBER(INDEX(SPPR!$E:$Z,MATCH($A306,SPPR!$A:$A,0),16)),$C306*INDEX(SPPR!$E:$Z,MATCH($A306,SPPR!$A:$A,0),16),""),"")</f>
        <v/>
      </c>
      <c r="T306">
        <f>IFERROR(IF(ISNUMBER(INDEX(SPPR!$E:$Z,MATCH($A306,SPPR!$A:$A,0),17)),$C306*INDEX(SPPR!$E:$Z,MATCH($A306,SPPR!$A:$A,0),17),""),"")</f>
        <v/>
      </c>
      <c r="U306">
        <f>IFERROR(IF(ISNUMBER(INDEX(SPPR!$E:$Z,MATCH($A306,SPPR!$A:$A,0),18)),$C306*INDEX(SPPR!$E:$Z,MATCH($A306,SPPR!$A:$A,0),18),""),"")</f>
        <v/>
      </c>
      <c r="V306">
        <f>IFERROR(IF(ISNUMBER(INDEX(SPPR!$E:$Z,MATCH($A306,SPPR!$A:$A,0),19)),$C306*INDEX(SPPR!$E:$Z,MATCH($A306,SPPR!$A:$A,0),19),""),"")</f>
        <v/>
      </c>
      <c r="W306">
        <f>IFERROR(IF(ISNUMBER(INDEX(SPPR!$E:$Z,MATCH($A306,SPPR!$A:$A,0),20)),$C306*INDEX(SPPR!$E:$Z,MATCH($A306,SPPR!$A:$A,0),20),""),"")</f>
        <v/>
      </c>
      <c r="X306">
        <f>IFERROR(IF(ISNUMBER(INDEX(SPPR!$E:$Z,MATCH($A306,SPPR!$A:$A,0),21)),$C306*INDEX(SPPR!$E:$Z,MATCH($A306,SPPR!$A:$A,0),21),""),"")</f>
        <v/>
      </c>
      <c r="Y306">
        <f>IFERROR(IF(ISNUMBER(INDEX(SPPR!$E:$Z,MATCH($A306,SPPR!$A:$A,0),22)),$C306*INDEX(SPPR!$E:$Z,MATCH($A306,SPPR!$A:$A,0),22),""),"")</f>
        <v/>
      </c>
    </row>
    <row r="307">
      <c r="A307" t="inlineStr">
        <is>
          <t>Pristidae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IFERROR(IF(ISNUMBER(INDEX(SPPR!$E:$Z,MATCH($A307,SPPR!$A:$A,0),1)),$C307*INDEX(SPPR!$E:$Z,MATCH($A307,SPPR!$A:$A,0),1),""),"")</f>
        <v/>
      </c>
      <c r="E307">
        <f>IFERROR(IF(ISNUMBER(INDEX(SPPR!$E:$Z,MATCH($A307,SPPR!$A:$A,0),2)),$C307*INDEX(SPPR!$E:$Z,MATCH($A307,SPPR!$A:$A,0),2),""),"")</f>
        <v/>
      </c>
      <c r="F307">
        <f>IFERROR(IF(ISNUMBER(INDEX(SPPR!$E:$Z,MATCH($A307,SPPR!$A:$A,0),3)),$C307*INDEX(SPPR!$E:$Z,MATCH($A307,SPPR!$A:$A,0),3),""),"")</f>
        <v/>
      </c>
      <c r="G307">
        <f>IFERROR(IF(ISNUMBER(INDEX(SPPR!$E:$Z,MATCH($A307,SPPR!$A:$A,0),4)),$C307*INDEX(SPPR!$E:$Z,MATCH($A307,SPPR!$A:$A,0),4),""),"")</f>
        <v/>
      </c>
      <c r="H307">
        <f>IFERROR(IF(ISNUMBER(INDEX(SPPR!$E:$Z,MATCH($A307,SPPR!$A:$A,0),5)),$C307*INDEX(SPPR!$E:$Z,MATCH($A307,SPPR!$A:$A,0),5),""),"")</f>
        <v/>
      </c>
      <c r="I307">
        <f>IFERROR(IF(ISNUMBER(INDEX(SPPR!$E:$Z,MATCH($A307,SPPR!$A:$A,0),6)),$C307*INDEX(SPPR!$E:$Z,MATCH($A307,SPPR!$A:$A,0),6),""),"")</f>
        <v/>
      </c>
      <c r="J307">
        <f>IFERROR(IF(ISNUMBER(INDEX(SPPR!$E:$Z,MATCH($A307,SPPR!$A:$A,0),7)),$C307*INDEX(SPPR!$E:$Z,MATCH($A307,SPPR!$A:$A,0),7),""),"")</f>
        <v/>
      </c>
      <c r="K307">
        <f>IFERROR(IF(ISNUMBER(INDEX(SPPR!$E:$Z,MATCH($A307,SPPR!$A:$A,0),8)),$C307*INDEX(SPPR!$E:$Z,MATCH($A307,SPPR!$A:$A,0),8),""),"")</f>
        <v/>
      </c>
      <c r="L307">
        <f>IFERROR(IF(ISNUMBER(INDEX(SPPR!$E:$Z,MATCH($A307,SPPR!$A:$A,0),9)),$C307*INDEX(SPPR!$E:$Z,MATCH($A307,SPPR!$A:$A,0),9),""),"")</f>
        <v/>
      </c>
      <c r="M307">
        <f>IFERROR(IF(ISNUMBER(INDEX(SPPR!$E:$Z,MATCH($A307,SPPR!$A:$A,0),10)),$C307*INDEX(SPPR!$E:$Z,MATCH($A307,SPPR!$A:$A,0),10),""),"")</f>
        <v/>
      </c>
      <c r="N307">
        <f>IFERROR(IF(ISNUMBER(INDEX(SPPR!$E:$Z,MATCH($A307,SPPR!$A:$A,0),11)),$C307*INDEX(SPPR!$E:$Z,MATCH($A307,SPPR!$A:$A,0),11),""),"")</f>
        <v/>
      </c>
      <c r="O307">
        <f>IFERROR(IF(ISNUMBER(INDEX(SPPR!$E:$Z,MATCH($A307,SPPR!$A:$A,0),12)),$C307*INDEX(SPPR!$E:$Z,MATCH($A307,SPPR!$A:$A,0),12),""),"")</f>
        <v/>
      </c>
      <c r="P307">
        <f>IFERROR(IF(ISNUMBER(INDEX(SPPR!$E:$Z,MATCH($A307,SPPR!$A:$A,0),13)),$C307*INDEX(SPPR!$E:$Z,MATCH($A307,SPPR!$A:$A,0),13),""),"")</f>
        <v/>
      </c>
      <c r="Q307">
        <f>IFERROR(IF(ISNUMBER(INDEX(SPPR!$E:$Z,MATCH($A307,SPPR!$A:$A,0),14)),$C307*INDEX(SPPR!$E:$Z,MATCH($A307,SPPR!$A:$A,0),14),""),"")</f>
        <v/>
      </c>
      <c r="R307">
        <f>IFERROR(IF(ISNUMBER(INDEX(SPPR!$E:$Z,MATCH($A307,SPPR!$A:$A,0),15)),$C307*INDEX(SPPR!$E:$Z,MATCH($A307,SPPR!$A:$A,0),15),""),"")</f>
        <v/>
      </c>
      <c r="S307">
        <f>IFERROR(IF(ISNUMBER(INDEX(SPPR!$E:$Z,MATCH($A307,SPPR!$A:$A,0),16)),$C307*INDEX(SPPR!$E:$Z,MATCH($A307,SPPR!$A:$A,0),16),""),"")</f>
        <v/>
      </c>
      <c r="T307">
        <f>IFERROR(IF(ISNUMBER(INDEX(SPPR!$E:$Z,MATCH($A307,SPPR!$A:$A,0),17)),$C307*INDEX(SPPR!$E:$Z,MATCH($A307,SPPR!$A:$A,0),17),""),"")</f>
        <v/>
      </c>
      <c r="U307">
        <f>IFERROR(IF(ISNUMBER(INDEX(SPPR!$E:$Z,MATCH($A307,SPPR!$A:$A,0),18)),$C307*INDEX(SPPR!$E:$Z,MATCH($A307,SPPR!$A:$A,0),18),""),"")</f>
        <v/>
      </c>
      <c r="V307">
        <f>IFERROR(IF(ISNUMBER(INDEX(SPPR!$E:$Z,MATCH($A307,SPPR!$A:$A,0),19)),$C307*INDEX(SPPR!$E:$Z,MATCH($A307,SPPR!$A:$A,0),19),""),"")</f>
        <v/>
      </c>
      <c r="W307">
        <f>IFERROR(IF(ISNUMBER(INDEX(SPPR!$E:$Z,MATCH($A307,SPPR!$A:$A,0),20)),$C307*INDEX(SPPR!$E:$Z,MATCH($A307,SPPR!$A:$A,0),20),""),"")</f>
        <v/>
      </c>
      <c r="X307">
        <f>IFERROR(IF(ISNUMBER(INDEX(SPPR!$E:$Z,MATCH($A307,SPPR!$A:$A,0),21)),$C307*INDEX(SPPR!$E:$Z,MATCH($A307,SPPR!$A:$A,0),21),""),"")</f>
        <v/>
      </c>
      <c r="Y307">
        <f>IFERROR(IF(ISNUMBER(INDEX(SPPR!$E:$Z,MATCH($A307,SPPR!$A:$A,0),22)),$C307*INDEX(SPPR!$E:$Z,MATCH($A307,SPPR!$A:$A,0),22),""),"")</f>
        <v/>
      </c>
    </row>
    <row r="308">
      <c r="A308" t="inlineStr">
        <is>
          <t>Beryx splendens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IFERROR(IF(ISNUMBER(INDEX(SPPR!$E:$Z,MATCH($A308,SPPR!$A:$A,0),1)),$C308*INDEX(SPPR!$E:$Z,MATCH($A308,SPPR!$A:$A,0),1),""),"")</f>
        <v/>
      </c>
      <c r="E308">
        <f>IFERROR(IF(ISNUMBER(INDEX(SPPR!$E:$Z,MATCH($A308,SPPR!$A:$A,0),2)),$C308*INDEX(SPPR!$E:$Z,MATCH($A308,SPPR!$A:$A,0),2),""),"")</f>
        <v/>
      </c>
      <c r="F308">
        <f>IFERROR(IF(ISNUMBER(INDEX(SPPR!$E:$Z,MATCH($A308,SPPR!$A:$A,0),3)),$C308*INDEX(SPPR!$E:$Z,MATCH($A308,SPPR!$A:$A,0),3),""),"")</f>
        <v/>
      </c>
      <c r="G308">
        <f>IFERROR(IF(ISNUMBER(INDEX(SPPR!$E:$Z,MATCH($A308,SPPR!$A:$A,0),4)),$C308*INDEX(SPPR!$E:$Z,MATCH($A308,SPPR!$A:$A,0),4),""),"")</f>
        <v/>
      </c>
      <c r="H308">
        <f>IFERROR(IF(ISNUMBER(INDEX(SPPR!$E:$Z,MATCH($A308,SPPR!$A:$A,0),5)),$C308*INDEX(SPPR!$E:$Z,MATCH($A308,SPPR!$A:$A,0),5),""),"")</f>
        <v/>
      </c>
      <c r="I308">
        <f>IFERROR(IF(ISNUMBER(INDEX(SPPR!$E:$Z,MATCH($A308,SPPR!$A:$A,0),6)),$C308*INDEX(SPPR!$E:$Z,MATCH($A308,SPPR!$A:$A,0),6),""),"")</f>
        <v/>
      </c>
      <c r="J308">
        <f>IFERROR(IF(ISNUMBER(INDEX(SPPR!$E:$Z,MATCH($A308,SPPR!$A:$A,0),7)),$C308*INDEX(SPPR!$E:$Z,MATCH($A308,SPPR!$A:$A,0),7),""),"")</f>
        <v/>
      </c>
      <c r="K308">
        <f>IFERROR(IF(ISNUMBER(INDEX(SPPR!$E:$Z,MATCH($A308,SPPR!$A:$A,0),8)),$C308*INDEX(SPPR!$E:$Z,MATCH($A308,SPPR!$A:$A,0),8),""),"")</f>
        <v/>
      </c>
      <c r="L308">
        <f>IFERROR(IF(ISNUMBER(INDEX(SPPR!$E:$Z,MATCH($A308,SPPR!$A:$A,0),9)),$C308*INDEX(SPPR!$E:$Z,MATCH($A308,SPPR!$A:$A,0),9),""),"")</f>
        <v/>
      </c>
      <c r="M308">
        <f>IFERROR(IF(ISNUMBER(INDEX(SPPR!$E:$Z,MATCH($A308,SPPR!$A:$A,0),10)),$C308*INDEX(SPPR!$E:$Z,MATCH($A308,SPPR!$A:$A,0),10),""),"")</f>
        <v/>
      </c>
      <c r="N308">
        <f>IFERROR(IF(ISNUMBER(INDEX(SPPR!$E:$Z,MATCH($A308,SPPR!$A:$A,0),11)),$C308*INDEX(SPPR!$E:$Z,MATCH($A308,SPPR!$A:$A,0),11),""),"")</f>
        <v/>
      </c>
      <c r="O308">
        <f>IFERROR(IF(ISNUMBER(INDEX(SPPR!$E:$Z,MATCH($A308,SPPR!$A:$A,0),12)),$C308*INDEX(SPPR!$E:$Z,MATCH($A308,SPPR!$A:$A,0),12),""),"")</f>
        <v/>
      </c>
      <c r="P308">
        <f>IFERROR(IF(ISNUMBER(INDEX(SPPR!$E:$Z,MATCH($A308,SPPR!$A:$A,0),13)),$C308*INDEX(SPPR!$E:$Z,MATCH($A308,SPPR!$A:$A,0),13),""),"")</f>
        <v/>
      </c>
      <c r="Q308">
        <f>IFERROR(IF(ISNUMBER(INDEX(SPPR!$E:$Z,MATCH($A308,SPPR!$A:$A,0),14)),$C308*INDEX(SPPR!$E:$Z,MATCH($A308,SPPR!$A:$A,0),14),""),"")</f>
        <v/>
      </c>
      <c r="R308">
        <f>IFERROR(IF(ISNUMBER(INDEX(SPPR!$E:$Z,MATCH($A308,SPPR!$A:$A,0),15)),$C308*INDEX(SPPR!$E:$Z,MATCH($A308,SPPR!$A:$A,0),15),""),"")</f>
        <v/>
      </c>
      <c r="S308">
        <f>IFERROR(IF(ISNUMBER(INDEX(SPPR!$E:$Z,MATCH($A308,SPPR!$A:$A,0),16)),$C308*INDEX(SPPR!$E:$Z,MATCH($A308,SPPR!$A:$A,0),16),""),"")</f>
        <v/>
      </c>
      <c r="T308">
        <f>IFERROR(IF(ISNUMBER(INDEX(SPPR!$E:$Z,MATCH($A308,SPPR!$A:$A,0),17)),$C308*INDEX(SPPR!$E:$Z,MATCH($A308,SPPR!$A:$A,0),17),""),"")</f>
        <v/>
      </c>
      <c r="U308">
        <f>IFERROR(IF(ISNUMBER(INDEX(SPPR!$E:$Z,MATCH($A308,SPPR!$A:$A,0),18)),$C308*INDEX(SPPR!$E:$Z,MATCH($A308,SPPR!$A:$A,0),18),""),"")</f>
        <v/>
      </c>
      <c r="V308">
        <f>IFERROR(IF(ISNUMBER(INDEX(SPPR!$E:$Z,MATCH($A308,SPPR!$A:$A,0),19)),$C308*INDEX(SPPR!$E:$Z,MATCH($A308,SPPR!$A:$A,0),19),""),"")</f>
        <v/>
      </c>
      <c r="W308">
        <f>IFERROR(IF(ISNUMBER(INDEX(SPPR!$E:$Z,MATCH($A308,SPPR!$A:$A,0),20)),$C308*INDEX(SPPR!$E:$Z,MATCH($A308,SPPR!$A:$A,0),20),""),"")</f>
        <v/>
      </c>
      <c r="X308">
        <f>IFERROR(IF(ISNUMBER(INDEX(SPPR!$E:$Z,MATCH($A308,SPPR!$A:$A,0),21)),$C308*INDEX(SPPR!$E:$Z,MATCH($A308,SPPR!$A:$A,0),21),""),"")</f>
        <v/>
      </c>
      <c r="Y308">
        <f>IFERROR(IF(ISNUMBER(INDEX(SPPR!$E:$Z,MATCH($A308,SPPR!$A:$A,0),22)),$C308*INDEX(SPPR!$E:$Z,MATCH($A308,SPPR!$A:$A,0),22),""),"")</f>
        <v/>
      </c>
    </row>
    <row r="309">
      <c r="A309" t="inlineStr">
        <is>
          <t>Aetobatus narinari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IFERROR(IF(ISNUMBER(INDEX(SPPR!$E:$Z,MATCH($A309,SPPR!$A:$A,0),1)),$C309*INDEX(SPPR!$E:$Z,MATCH($A309,SPPR!$A:$A,0),1),""),"")</f>
        <v/>
      </c>
      <c r="E309">
        <f>IFERROR(IF(ISNUMBER(INDEX(SPPR!$E:$Z,MATCH($A309,SPPR!$A:$A,0),2)),$C309*INDEX(SPPR!$E:$Z,MATCH($A309,SPPR!$A:$A,0),2),""),"")</f>
        <v/>
      </c>
      <c r="F309">
        <f>IFERROR(IF(ISNUMBER(INDEX(SPPR!$E:$Z,MATCH($A309,SPPR!$A:$A,0),3)),$C309*INDEX(SPPR!$E:$Z,MATCH($A309,SPPR!$A:$A,0),3),""),"")</f>
        <v/>
      </c>
      <c r="G309">
        <f>IFERROR(IF(ISNUMBER(INDEX(SPPR!$E:$Z,MATCH($A309,SPPR!$A:$A,0),4)),$C309*INDEX(SPPR!$E:$Z,MATCH($A309,SPPR!$A:$A,0),4),""),"")</f>
        <v/>
      </c>
      <c r="H309">
        <f>IFERROR(IF(ISNUMBER(INDEX(SPPR!$E:$Z,MATCH($A309,SPPR!$A:$A,0),5)),$C309*INDEX(SPPR!$E:$Z,MATCH($A309,SPPR!$A:$A,0),5),""),"")</f>
        <v/>
      </c>
      <c r="I309">
        <f>IFERROR(IF(ISNUMBER(INDEX(SPPR!$E:$Z,MATCH($A309,SPPR!$A:$A,0),6)),$C309*INDEX(SPPR!$E:$Z,MATCH($A309,SPPR!$A:$A,0),6),""),"")</f>
        <v/>
      </c>
      <c r="J309">
        <f>IFERROR(IF(ISNUMBER(INDEX(SPPR!$E:$Z,MATCH($A309,SPPR!$A:$A,0),7)),$C309*INDEX(SPPR!$E:$Z,MATCH($A309,SPPR!$A:$A,0),7),""),"")</f>
        <v/>
      </c>
      <c r="K309">
        <f>IFERROR(IF(ISNUMBER(INDEX(SPPR!$E:$Z,MATCH($A309,SPPR!$A:$A,0),8)),$C309*INDEX(SPPR!$E:$Z,MATCH($A309,SPPR!$A:$A,0),8),""),"")</f>
        <v/>
      </c>
      <c r="L309">
        <f>IFERROR(IF(ISNUMBER(INDEX(SPPR!$E:$Z,MATCH($A309,SPPR!$A:$A,0),9)),$C309*INDEX(SPPR!$E:$Z,MATCH($A309,SPPR!$A:$A,0),9),""),"")</f>
        <v/>
      </c>
      <c r="M309">
        <f>IFERROR(IF(ISNUMBER(INDEX(SPPR!$E:$Z,MATCH($A309,SPPR!$A:$A,0),10)),$C309*INDEX(SPPR!$E:$Z,MATCH($A309,SPPR!$A:$A,0),10),""),"")</f>
        <v/>
      </c>
      <c r="N309">
        <f>IFERROR(IF(ISNUMBER(INDEX(SPPR!$E:$Z,MATCH($A309,SPPR!$A:$A,0),11)),$C309*INDEX(SPPR!$E:$Z,MATCH($A309,SPPR!$A:$A,0),11),""),"")</f>
        <v/>
      </c>
      <c r="O309">
        <f>IFERROR(IF(ISNUMBER(INDEX(SPPR!$E:$Z,MATCH($A309,SPPR!$A:$A,0),12)),$C309*INDEX(SPPR!$E:$Z,MATCH($A309,SPPR!$A:$A,0),12),""),"")</f>
        <v/>
      </c>
      <c r="P309">
        <f>IFERROR(IF(ISNUMBER(INDEX(SPPR!$E:$Z,MATCH($A309,SPPR!$A:$A,0),13)),$C309*INDEX(SPPR!$E:$Z,MATCH($A309,SPPR!$A:$A,0),13),""),"")</f>
        <v/>
      </c>
      <c r="Q309">
        <f>IFERROR(IF(ISNUMBER(INDEX(SPPR!$E:$Z,MATCH($A309,SPPR!$A:$A,0),14)),$C309*INDEX(SPPR!$E:$Z,MATCH($A309,SPPR!$A:$A,0),14),""),"")</f>
        <v/>
      </c>
      <c r="R309">
        <f>IFERROR(IF(ISNUMBER(INDEX(SPPR!$E:$Z,MATCH($A309,SPPR!$A:$A,0),15)),$C309*INDEX(SPPR!$E:$Z,MATCH($A309,SPPR!$A:$A,0),15),""),"")</f>
        <v/>
      </c>
      <c r="S309">
        <f>IFERROR(IF(ISNUMBER(INDEX(SPPR!$E:$Z,MATCH($A309,SPPR!$A:$A,0),16)),$C309*INDEX(SPPR!$E:$Z,MATCH($A309,SPPR!$A:$A,0),16),""),"")</f>
        <v/>
      </c>
      <c r="T309">
        <f>IFERROR(IF(ISNUMBER(INDEX(SPPR!$E:$Z,MATCH($A309,SPPR!$A:$A,0),17)),$C309*INDEX(SPPR!$E:$Z,MATCH($A309,SPPR!$A:$A,0),17),""),"")</f>
        <v/>
      </c>
      <c r="U309">
        <f>IFERROR(IF(ISNUMBER(INDEX(SPPR!$E:$Z,MATCH($A309,SPPR!$A:$A,0),18)),$C309*INDEX(SPPR!$E:$Z,MATCH($A309,SPPR!$A:$A,0),18),""),"")</f>
        <v/>
      </c>
      <c r="V309">
        <f>IFERROR(IF(ISNUMBER(INDEX(SPPR!$E:$Z,MATCH($A309,SPPR!$A:$A,0),19)),$C309*INDEX(SPPR!$E:$Z,MATCH($A309,SPPR!$A:$A,0),19),""),"")</f>
        <v/>
      </c>
      <c r="W309">
        <f>IFERROR(IF(ISNUMBER(INDEX(SPPR!$E:$Z,MATCH($A309,SPPR!$A:$A,0),20)),$C309*INDEX(SPPR!$E:$Z,MATCH($A309,SPPR!$A:$A,0),20),""),"")</f>
        <v/>
      </c>
      <c r="X309">
        <f>IFERROR(IF(ISNUMBER(INDEX(SPPR!$E:$Z,MATCH($A309,SPPR!$A:$A,0),21)),$C309*INDEX(SPPR!$E:$Z,MATCH($A309,SPPR!$A:$A,0),21),""),"")</f>
        <v/>
      </c>
      <c r="Y309">
        <f>IFERROR(IF(ISNUMBER(INDEX(SPPR!$E:$Z,MATCH($A309,SPPR!$A:$A,0),22)),$C309*INDEX(SPPR!$E:$Z,MATCH($A309,SPPR!$A:$A,0),22),""),"")</f>
        <v/>
      </c>
    </row>
    <row r="310">
      <c r="A310" t="inlineStr">
        <is>
          <t>Alloteuthis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IFERROR(IF(ISNUMBER(INDEX(SPPR!$E:$Z,MATCH($A310,SPPR!$A:$A,0),1)),$C310*INDEX(SPPR!$E:$Z,MATCH($A310,SPPR!$A:$A,0),1),""),"")</f>
        <v/>
      </c>
      <c r="E310">
        <f>IFERROR(IF(ISNUMBER(INDEX(SPPR!$E:$Z,MATCH($A310,SPPR!$A:$A,0),2)),$C310*INDEX(SPPR!$E:$Z,MATCH($A310,SPPR!$A:$A,0),2),""),"")</f>
        <v/>
      </c>
      <c r="F310">
        <f>IFERROR(IF(ISNUMBER(INDEX(SPPR!$E:$Z,MATCH($A310,SPPR!$A:$A,0),3)),$C310*INDEX(SPPR!$E:$Z,MATCH($A310,SPPR!$A:$A,0),3),""),"")</f>
        <v/>
      </c>
      <c r="G310">
        <f>IFERROR(IF(ISNUMBER(INDEX(SPPR!$E:$Z,MATCH($A310,SPPR!$A:$A,0),4)),$C310*INDEX(SPPR!$E:$Z,MATCH($A310,SPPR!$A:$A,0),4),""),"")</f>
        <v/>
      </c>
      <c r="H310">
        <f>IFERROR(IF(ISNUMBER(INDEX(SPPR!$E:$Z,MATCH($A310,SPPR!$A:$A,0),5)),$C310*INDEX(SPPR!$E:$Z,MATCH($A310,SPPR!$A:$A,0),5),""),"")</f>
        <v/>
      </c>
      <c r="I310">
        <f>IFERROR(IF(ISNUMBER(INDEX(SPPR!$E:$Z,MATCH($A310,SPPR!$A:$A,0),6)),$C310*INDEX(SPPR!$E:$Z,MATCH($A310,SPPR!$A:$A,0),6),""),"")</f>
        <v/>
      </c>
      <c r="J310">
        <f>IFERROR(IF(ISNUMBER(INDEX(SPPR!$E:$Z,MATCH($A310,SPPR!$A:$A,0),7)),$C310*INDEX(SPPR!$E:$Z,MATCH($A310,SPPR!$A:$A,0),7),""),"")</f>
        <v/>
      </c>
      <c r="K310">
        <f>IFERROR(IF(ISNUMBER(INDEX(SPPR!$E:$Z,MATCH($A310,SPPR!$A:$A,0),8)),$C310*INDEX(SPPR!$E:$Z,MATCH($A310,SPPR!$A:$A,0),8),""),"")</f>
        <v/>
      </c>
      <c r="L310">
        <f>IFERROR(IF(ISNUMBER(INDEX(SPPR!$E:$Z,MATCH($A310,SPPR!$A:$A,0),9)),$C310*INDEX(SPPR!$E:$Z,MATCH($A310,SPPR!$A:$A,0),9),""),"")</f>
        <v/>
      </c>
      <c r="M310">
        <f>IFERROR(IF(ISNUMBER(INDEX(SPPR!$E:$Z,MATCH($A310,SPPR!$A:$A,0),10)),$C310*INDEX(SPPR!$E:$Z,MATCH($A310,SPPR!$A:$A,0),10),""),"")</f>
        <v/>
      </c>
      <c r="N310">
        <f>IFERROR(IF(ISNUMBER(INDEX(SPPR!$E:$Z,MATCH($A310,SPPR!$A:$A,0),11)),$C310*INDEX(SPPR!$E:$Z,MATCH($A310,SPPR!$A:$A,0),11),""),"")</f>
        <v/>
      </c>
      <c r="O310">
        <f>IFERROR(IF(ISNUMBER(INDEX(SPPR!$E:$Z,MATCH($A310,SPPR!$A:$A,0),12)),$C310*INDEX(SPPR!$E:$Z,MATCH($A310,SPPR!$A:$A,0),12),""),"")</f>
        <v/>
      </c>
      <c r="P310">
        <f>IFERROR(IF(ISNUMBER(INDEX(SPPR!$E:$Z,MATCH($A310,SPPR!$A:$A,0),13)),$C310*INDEX(SPPR!$E:$Z,MATCH($A310,SPPR!$A:$A,0),13),""),"")</f>
        <v/>
      </c>
      <c r="Q310">
        <f>IFERROR(IF(ISNUMBER(INDEX(SPPR!$E:$Z,MATCH($A310,SPPR!$A:$A,0),14)),$C310*INDEX(SPPR!$E:$Z,MATCH($A310,SPPR!$A:$A,0),14),""),"")</f>
        <v/>
      </c>
      <c r="R310">
        <f>IFERROR(IF(ISNUMBER(INDEX(SPPR!$E:$Z,MATCH($A310,SPPR!$A:$A,0),15)),$C310*INDEX(SPPR!$E:$Z,MATCH($A310,SPPR!$A:$A,0),15),""),"")</f>
        <v/>
      </c>
      <c r="S310">
        <f>IFERROR(IF(ISNUMBER(INDEX(SPPR!$E:$Z,MATCH($A310,SPPR!$A:$A,0),16)),$C310*INDEX(SPPR!$E:$Z,MATCH($A310,SPPR!$A:$A,0),16),""),"")</f>
        <v/>
      </c>
      <c r="T310">
        <f>IFERROR(IF(ISNUMBER(INDEX(SPPR!$E:$Z,MATCH($A310,SPPR!$A:$A,0),17)),$C310*INDEX(SPPR!$E:$Z,MATCH($A310,SPPR!$A:$A,0),17),""),"")</f>
        <v/>
      </c>
      <c r="U310">
        <f>IFERROR(IF(ISNUMBER(INDEX(SPPR!$E:$Z,MATCH($A310,SPPR!$A:$A,0),18)),$C310*INDEX(SPPR!$E:$Z,MATCH($A310,SPPR!$A:$A,0),18),""),"")</f>
        <v/>
      </c>
      <c r="V310">
        <f>IFERROR(IF(ISNUMBER(INDEX(SPPR!$E:$Z,MATCH($A310,SPPR!$A:$A,0),19)),$C310*INDEX(SPPR!$E:$Z,MATCH($A310,SPPR!$A:$A,0),19),""),"")</f>
        <v/>
      </c>
      <c r="W310">
        <f>IFERROR(IF(ISNUMBER(INDEX(SPPR!$E:$Z,MATCH($A310,SPPR!$A:$A,0),20)),$C310*INDEX(SPPR!$E:$Z,MATCH($A310,SPPR!$A:$A,0),20),""),"")</f>
        <v/>
      </c>
      <c r="X310">
        <f>IFERROR(IF(ISNUMBER(INDEX(SPPR!$E:$Z,MATCH($A310,SPPR!$A:$A,0),21)),$C310*INDEX(SPPR!$E:$Z,MATCH($A310,SPPR!$A:$A,0),21),""),"")</f>
        <v/>
      </c>
      <c r="Y310">
        <f>IFERROR(IF(ISNUMBER(INDEX(SPPR!$E:$Z,MATCH($A310,SPPR!$A:$A,0),22)),$C310*INDEX(SPPR!$E:$Z,MATCH($A310,SPPR!$A:$A,0),22),""),"")</f>
        <v/>
      </c>
    </row>
    <row r="311">
      <c r="A311" t="inlineStr">
        <is>
          <t>Schedophilus pemarco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IFERROR(IF(ISNUMBER(INDEX(SPPR!$E:$Z,MATCH($A311,SPPR!$A:$A,0),1)),$C311*INDEX(SPPR!$E:$Z,MATCH($A311,SPPR!$A:$A,0),1),""),"")</f>
        <v/>
      </c>
      <c r="E311">
        <f>IFERROR(IF(ISNUMBER(INDEX(SPPR!$E:$Z,MATCH($A311,SPPR!$A:$A,0),2)),$C311*INDEX(SPPR!$E:$Z,MATCH($A311,SPPR!$A:$A,0),2),""),"")</f>
        <v/>
      </c>
      <c r="F311">
        <f>IFERROR(IF(ISNUMBER(INDEX(SPPR!$E:$Z,MATCH($A311,SPPR!$A:$A,0),3)),$C311*INDEX(SPPR!$E:$Z,MATCH($A311,SPPR!$A:$A,0),3),""),"")</f>
        <v/>
      </c>
      <c r="G311">
        <f>IFERROR(IF(ISNUMBER(INDEX(SPPR!$E:$Z,MATCH($A311,SPPR!$A:$A,0),4)),$C311*INDEX(SPPR!$E:$Z,MATCH($A311,SPPR!$A:$A,0),4),""),"")</f>
        <v/>
      </c>
      <c r="H311">
        <f>IFERROR(IF(ISNUMBER(INDEX(SPPR!$E:$Z,MATCH($A311,SPPR!$A:$A,0),5)),$C311*INDEX(SPPR!$E:$Z,MATCH($A311,SPPR!$A:$A,0),5),""),"")</f>
        <v/>
      </c>
      <c r="I311">
        <f>IFERROR(IF(ISNUMBER(INDEX(SPPR!$E:$Z,MATCH($A311,SPPR!$A:$A,0),6)),$C311*INDEX(SPPR!$E:$Z,MATCH($A311,SPPR!$A:$A,0),6),""),"")</f>
        <v/>
      </c>
      <c r="J311">
        <f>IFERROR(IF(ISNUMBER(INDEX(SPPR!$E:$Z,MATCH($A311,SPPR!$A:$A,0),7)),$C311*INDEX(SPPR!$E:$Z,MATCH($A311,SPPR!$A:$A,0),7),""),"")</f>
        <v/>
      </c>
      <c r="K311">
        <f>IFERROR(IF(ISNUMBER(INDEX(SPPR!$E:$Z,MATCH($A311,SPPR!$A:$A,0),8)),$C311*INDEX(SPPR!$E:$Z,MATCH($A311,SPPR!$A:$A,0),8),""),"")</f>
        <v/>
      </c>
      <c r="L311">
        <f>IFERROR(IF(ISNUMBER(INDEX(SPPR!$E:$Z,MATCH($A311,SPPR!$A:$A,0),9)),$C311*INDEX(SPPR!$E:$Z,MATCH($A311,SPPR!$A:$A,0),9),""),"")</f>
        <v/>
      </c>
      <c r="M311">
        <f>IFERROR(IF(ISNUMBER(INDEX(SPPR!$E:$Z,MATCH($A311,SPPR!$A:$A,0),10)),$C311*INDEX(SPPR!$E:$Z,MATCH($A311,SPPR!$A:$A,0),10),""),"")</f>
        <v/>
      </c>
      <c r="N311">
        <f>IFERROR(IF(ISNUMBER(INDEX(SPPR!$E:$Z,MATCH($A311,SPPR!$A:$A,0),11)),$C311*INDEX(SPPR!$E:$Z,MATCH($A311,SPPR!$A:$A,0),11),""),"")</f>
        <v/>
      </c>
      <c r="O311">
        <f>IFERROR(IF(ISNUMBER(INDEX(SPPR!$E:$Z,MATCH($A311,SPPR!$A:$A,0),12)),$C311*INDEX(SPPR!$E:$Z,MATCH($A311,SPPR!$A:$A,0),12),""),"")</f>
        <v/>
      </c>
      <c r="P311">
        <f>IFERROR(IF(ISNUMBER(INDEX(SPPR!$E:$Z,MATCH($A311,SPPR!$A:$A,0),13)),$C311*INDEX(SPPR!$E:$Z,MATCH($A311,SPPR!$A:$A,0),13),""),"")</f>
        <v/>
      </c>
      <c r="Q311">
        <f>IFERROR(IF(ISNUMBER(INDEX(SPPR!$E:$Z,MATCH($A311,SPPR!$A:$A,0),14)),$C311*INDEX(SPPR!$E:$Z,MATCH($A311,SPPR!$A:$A,0),14),""),"")</f>
        <v/>
      </c>
      <c r="R311">
        <f>IFERROR(IF(ISNUMBER(INDEX(SPPR!$E:$Z,MATCH($A311,SPPR!$A:$A,0),15)),$C311*INDEX(SPPR!$E:$Z,MATCH($A311,SPPR!$A:$A,0),15),""),"")</f>
        <v/>
      </c>
      <c r="S311">
        <f>IFERROR(IF(ISNUMBER(INDEX(SPPR!$E:$Z,MATCH($A311,SPPR!$A:$A,0),16)),$C311*INDEX(SPPR!$E:$Z,MATCH($A311,SPPR!$A:$A,0),16),""),"")</f>
        <v/>
      </c>
      <c r="T311">
        <f>IFERROR(IF(ISNUMBER(INDEX(SPPR!$E:$Z,MATCH($A311,SPPR!$A:$A,0),17)),$C311*INDEX(SPPR!$E:$Z,MATCH($A311,SPPR!$A:$A,0),17),""),"")</f>
        <v/>
      </c>
      <c r="U311">
        <f>IFERROR(IF(ISNUMBER(INDEX(SPPR!$E:$Z,MATCH($A311,SPPR!$A:$A,0),18)),$C311*INDEX(SPPR!$E:$Z,MATCH($A311,SPPR!$A:$A,0),18),""),"")</f>
        <v/>
      </c>
      <c r="V311">
        <f>IFERROR(IF(ISNUMBER(INDEX(SPPR!$E:$Z,MATCH($A311,SPPR!$A:$A,0),19)),$C311*INDEX(SPPR!$E:$Z,MATCH($A311,SPPR!$A:$A,0),19),""),"")</f>
        <v/>
      </c>
      <c r="W311">
        <f>IFERROR(IF(ISNUMBER(INDEX(SPPR!$E:$Z,MATCH($A311,SPPR!$A:$A,0),20)),$C311*INDEX(SPPR!$E:$Z,MATCH($A311,SPPR!$A:$A,0),20),""),"")</f>
        <v/>
      </c>
      <c r="X311">
        <f>IFERROR(IF(ISNUMBER(INDEX(SPPR!$E:$Z,MATCH($A311,SPPR!$A:$A,0),21)),$C311*INDEX(SPPR!$E:$Z,MATCH($A311,SPPR!$A:$A,0),21),""),"")</f>
        <v/>
      </c>
      <c r="Y311">
        <f>IFERROR(IF(ISNUMBER(INDEX(SPPR!$E:$Z,MATCH($A311,SPPR!$A:$A,0),22)),$C311*INDEX(SPPR!$E:$Z,MATCH($A311,SPPR!$A:$A,0),22),""),"")</f>
        <v/>
      </c>
    </row>
    <row r="312">
      <c r="A312" t="inlineStr">
        <is>
          <t>Pagrus auriga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IFERROR(IF(ISNUMBER(INDEX(SPPR!$E:$Z,MATCH($A312,SPPR!$A:$A,0),1)),$C312*INDEX(SPPR!$E:$Z,MATCH($A312,SPPR!$A:$A,0),1),""),"")</f>
        <v/>
      </c>
      <c r="E312">
        <f>IFERROR(IF(ISNUMBER(INDEX(SPPR!$E:$Z,MATCH($A312,SPPR!$A:$A,0),2)),$C312*INDEX(SPPR!$E:$Z,MATCH($A312,SPPR!$A:$A,0),2),""),"")</f>
        <v/>
      </c>
      <c r="F312">
        <f>IFERROR(IF(ISNUMBER(INDEX(SPPR!$E:$Z,MATCH($A312,SPPR!$A:$A,0),3)),$C312*INDEX(SPPR!$E:$Z,MATCH($A312,SPPR!$A:$A,0),3),""),"")</f>
        <v/>
      </c>
      <c r="G312">
        <f>IFERROR(IF(ISNUMBER(INDEX(SPPR!$E:$Z,MATCH($A312,SPPR!$A:$A,0),4)),$C312*INDEX(SPPR!$E:$Z,MATCH($A312,SPPR!$A:$A,0),4),""),"")</f>
        <v/>
      </c>
      <c r="H312">
        <f>IFERROR(IF(ISNUMBER(INDEX(SPPR!$E:$Z,MATCH($A312,SPPR!$A:$A,0),5)),$C312*INDEX(SPPR!$E:$Z,MATCH($A312,SPPR!$A:$A,0),5),""),"")</f>
        <v/>
      </c>
      <c r="I312">
        <f>IFERROR(IF(ISNUMBER(INDEX(SPPR!$E:$Z,MATCH($A312,SPPR!$A:$A,0),6)),$C312*INDEX(SPPR!$E:$Z,MATCH($A312,SPPR!$A:$A,0),6),""),"")</f>
        <v/>
      </c>
      <c r="J312">
        <f>IFERROR(IF(ISNUMBER(INDEX(SPPR!$E:$Z,MATCH($A312,SPPR!$A:$A,0),7)),$C312*INDEX(SPPR!$E:$Z,MATCH($A312,SPPR!$A:$A,0),7),""),"")</f>
        <v/>
      </c>
      <c r="K312">
        <f>IFERROR(IF(ISNUMBER(INDEX(SPPR!$E:$Z,MATCH($A312,SPPR!$A:$A,0),8)),$C312*INDEX(SPPR!$E:$Z,MATCH($A312,SPPR!$A:$A,0),8),""),"")</f>
        <v/>
      </c>
      <c r="L312">
        <f>IFERROR(IF(ISNUMBER(INDEX(SPPR!$E:$Z,MATCH($A312,SPPR!$A:$A,0),9)),$C312*INDEX(SPPR!$E:$Z,MATCH($A312,SPPR!$A:$A,0),9),""),"")</f>
        <v/>
      </c>
      <c r="M312">
        <f>IFERROR(IF(ISNUMBER(INDEX(SPPR!$E:$Z,MATCH($A312,SPPR!$A:$A,0),10)),$C312*INDEX(SPPR!$E:$Z,MATCH($A312,SPPR!$A:$A,0),10),""),"")</f>
        <v/>
      </c>
      <c r="N312">
        <f>IFERROR(IF(ISNUMBER(INDEX(SPPR!$E:$Z,MATCH($A312,SPPR!$A:$A,0),11)),$C312*INDEX(SPPR!$E:$Z,MATCH($A312,SPPR!$A:$A,0),11),""),"")</f>
        <v/>
      </c>
      <c r="O312">
        <f>IFERROR(IF(ISNUMBER(INDEX(SPPR!$E:$Z,MATCH($A312,SPPR!$A:$A,0),12)),$C312*INDEX(SPPR!$E:$Z,MATCH($A312,SPPR!$A:$A,0),12),""),"")</f>
        <v/>
      </c>
      <c r="P312">
        <f>IFERROR(IF(ISNUMBER(INDEX(SPPR!$E:$Z,MATCH($A312,SPPR!$A:$A,0),13)),$C312*INDEX(SPPR!$E:$Z,MATCH($A312,SPPR!$A:$A,0),13),""),"")</f>
        <v/>
      </c>
      <c r="Q312">
        <f>IFERROR(IF(ISNUMBER(INDEX(SPPR!$E:$Z,MATCH($A312,SPPR!$A:$A,0),14)),$C312*INDEX(SPPR!$E:$Z,MATCH($A312,SPPR!$A:$A,0),14),""),"")</f>
        <v/>
      </c>
      <c r="R312">
        <f>IFERROR(IF(ISNUMBER(INDEX(SPPR!$E:$Z,MATCH($A312,SPPR!$A:$A,0),15)),$C312*INDEX(SPPR!$E:$Z,MATCH($A312,SPPR!$A:$A,0),15),""),"")</f>
        <v/>
      </c>
      <c r="S312">
        <f>IFERROR(IF(ISNUMBER(INDEX(SPPR!$E:$Z,MATCH($A312,SPPR!$A:$A,0),16)),$C312*INDEX(SPPR!$E:$Z,MATCH($A312,SPPR!$A:$A,0),16),""),"")</f>
        <v/>
      </c>
      <c r="T312">
        <f>IFERROR(IF(ISNUMBER(INDEX(SPPR!$E:$Z,MATCH($A312,SPPR!$A:$A,0),17)),$C312*INDEX(SPPR!$E:$Z,MATCH($A312,SPPR!$A:$A,0),17),""),"")</f>
        <v/>
      </c>
      <c r="U312">
        <f>IFERROR(IF(ISNUMBER(INDEX(SPPR!$E:$Z,MATCH($A312,SPPR!$A:$A,0),18)),$C312*INDEX(SPPR!$E:$Z,MATCH($A312,SPPR!$A:$A,0),18),""),"")</f>
        <v/>
      </c>
      <c r="V312">
        <f>IFERROR(IF(ISNUMBER(INDEX(SPPR!$E:$Z,MATCH($A312,SPPR!$A:$A,0),19)),$C312*INDEX(SPPR!$E:$Z,MATCH($A312,SPPR!$A:$A,0),19),""),"")</f>
        <v/>
      </c>
      <c r="W312">
        <f>IFERROR(IF(ISNUMBER(INDEX(SPPR!$E:$Z,MATCH($A312,SPPR!$A:$A,0),20)),$C312*INDEX(SPPR!$E:$Z,MATCH($A312,SPPR!$A:$A,0),20),""),"")</f>
        <v/>
      </c>
      <c r="X312">
        <f>IFERROR(IF(ISNUMBER(INDEX(SPPR!$E:$Z,MATCH($A312,SPPR!$A:$A,0),21)),$C312*INDEX(SPPR!$E:$Z,MATCH($A312,SPPR!$A:$A,0),21),""),"")</f>
        <v/>
      </c>
      <c r="Y312">
        <f>IFERROR(IF(ISNUMBER(INDEX(SPPR!$E:$Z,MATCH($A312,SPPR!$A:$A,0),22)),$C312*INDEX(SPPR!$E:$Z,MATCH($A312,SPPR!$A:$A,0),22),""),"")</f>
        <v/>
      </c>
    </row>
    <row r="313">
      <c r="A313" t="inlineStr">
        <is>
          <t>Megalops atlanticus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IFERROR(IF(ISNUMBER(INDEX(SPPR!$E:$Z,MATCH($A313,SPPR!$A:$A,0),1)),$C313*INDEX(SPPR!$E:$Z,MATCH($A313,SPPR!$A:$A,0),1),""),"")</f>
        <v/>
      </c>
      <c r="E313">
        <f>IFERROR(IF(ISNUMBER(INDEX(SPPR!$E:$Z,MATCH($A313,SPPR!$A:$A,0),2)),$C313*INDEX(SPPR!$E:$Z,MATCH($A313,SPPR!$A:$A,0),2),""),"")</f>
        <v/>
      </c>
      <c r="F313">
        <f>IFERROR(IF(ISNUMBER(INDEX(SPPR!$E:$Z,MATCH($A313,SPPR!$A:$A,0),3)),$C313*INDEX(SPPR!$E:$Z,MATCH($A313,SPPR!$A:$A,0),3),""),"")</f>
        <v/>
      </c>
      <c r="G313">
        <f>IFERROR(IF(ISNUMBER(INDEX(SPPR!$E:$Z,MATCH($A313,SPPR!$A:$A,0),4)),$C313*INDEX(SPPR!$E:$Z,MATCH($A313,SPPR!$A:$A,0),4),""),"")</f>
        <v/>
      </c>
      <c r="H313">
        <f>IFERROR(IF(ISNUMBER(INDEX(SPPR!$E:$Z,MATCH($A313,SPPR!$A:$A,0),5)),$C313*INDEX(SPPR!$E:$Z,MATCH($A313,SPPR!$A:$A,0),5),""),"")</f>
        <v/>
      </c>
      <c r="I313">
        <f>IFERROR(IF(ISNUMBER(INDEX(SPPR!$E:$Z,MATCH($A313,SPPR!$A:$A,0),6)),$C313*INDEX(SPPR!$E:$Z,MATCH($A313,SPPR!$A:$A,0),6),""),"")</f>
        <v/>
      </c>
      <c r="J313">
        <f>IFERROR(IF(ISNUMBER(INDEX(SPPR!$E:$Z,MATCH($A313,SPPR!$A:$A,0),7)),$C313*INDEX(SPPR!$E:$Z,MATCH($A313,SPPR!$A:$A,0),7),""),"")</f>
        <v/>
      </c>
      <c r="K313">
        <f>IFERROR(IF(ISNUMBER(INDEX(SPPR!$E:$Z,MATCH($A313,SPPR!$A:$A,0),8)),$C313*INDEX(SPPR!$E:$Z,MATCH($A313,SPPR!$A:$A,0),8),""),"")</f>
        <v/>
      </c>
      <c r="L313">
        <f>IFERROR(IF(ISNUMBER(INDEX(SPPR!$E:$Z,MATCH($A313,SPPR!$A:$A,0),9)),$C313*INDEX(SPPR!$E:$Z,MATCH($A313,SPPR!$A:$A,0),9),""),"")</f>
        <v/>
      </c>
      <c r="M313">
        <f>IFERROR(IF(ISNUMBER(INDEX(SPPR!$E:$Z,MATCH($A313,SPPR!$A:$A,0),10)),$C313*INDEX(SPPR!$E:$Z,MATCH($A313,SPPR!$A:$A,0),10),""),"")</f>
        <v/>
      </c>
      <c r="N313">
        <f>IFERROR(IF(ISNUMBER(INDEX(SPPR!$E:$Z,MATCH($A313,SPPR!$A:$A,0),11)),$C313*INDEX(SPPR!$E:$Z,MATCH($A313,SPPR!$A:$A,0),11),""),"")</f>
        <v/>
      </c>
      <c r="O313">
        <f>IFERROR(IF(ISNUMBER(INDEX(SPPR!$E:$Z,MATCH($A313,SPPR!$A:$A,0),12)),$C313*INDEX(SPPR!$E:$Z,MATCH($A313,SPPR!$A:$A,0),12),""),"")</f>
        <v/>
      </c>
      <c r="P313">
        <f>IFERROR(IF(ISNUMBER(INDEX(SPPR!$E:$Z,MATCH($A313,SPPR!$A:$A,0),13)),$C313*INDEX(SPPR!$E:$Z,MATCH($A313,SPPR!$A:$A,0),13),""),"")</f>
        <v/>
      </c>
      <c r="Q313">
        <f>IFERROR(IF(ISNUMBER(INDEX(SPPR!$E:$Z,MATCH($A313,SPPR!$A:$A,0),14)),$C313*INDEX(SPPR!$E:$Z,MATCH($A313,SPPR!$A:$A,0),14),""),"")</f>
        <v/>
      </c>
      <c r="R313">
        <f>IFERROR(IF(ISNUMBER(INDEX(SPPR!$E:$Z,MATCH($A313,SPPR!$A:$A,0),15)),$C313*INDEX(SPPR!$E:$Z,MATCH($A313,SPPR!$A:$A,0),15),""),"")</f>
        <v/>
      </c>
      <c r="S313">
        <f>IFERROR(IF(ISNUMBER(INDEX(SPPR!$E:$Z,MATCH($A313,SPPR!$A:$A,0),16)),$C313*INDEX(SPPR!$E:$Z,MATCH($A313,SPPR!$A:$A,0),16),""),"")</f>
        <v/>
      </c>
      <c r="T313">
        <f>IFERROR(IF(ISNUMBER(INDEX(SPPR!$E:$Z,MATCH($A313,SPPR!$A:$A,0),17)),$C313*INDEX(SPPR!$E:$Z,MATCH($A313,SPPR!$A:$A,0),17),""),"")</f>
        <v/>
      </c>
      <c r="U313">
        <f>IFERROR(IF(ISNUMBER(INDEX(SPPR!$E:$Z,MATCH($A313,SPPR!$A:$A,0),18)),$C313*INDEX(SPPR!$E:$Z,MATCH($A313,SPPR!$A:$A,0),18),""),"")</f>
        <v/>
      </c>
      <c r="V313">
        <f>IFERROR(IF(ISNUMBER(INDEX(SPPR!$E:$Z,MATCH($A313,SPPR!$A:$A,0),19)),$C313*INDEX(SPPR!$E:$Z,MATCH($A313,SPPR!$A:$A,0),19),""),"")</f>
        <v/>
      </c>
      <c r="W313">
        <f>IFERROR(IF(ISNUMBER(INDEX(SPPR!$E:$Z,MATCH($A313,SPPR!$A:$A,0),20)),$C313*INDEX(SPPR!$E:$Z,MATCH($A313,SPPR!$A:$A,0),20),""),"")</f>
        <v/>
      </c>
      <c r="X313">
        <f>IFERROR(IF(ISNUMBER(INDEX(SPPR!$E:$Z,MATCH($A313,SPPR!$A:$A,0),21)),$C313*INDEX(SPPR!$E:$Z,MATCH($A313,SPPR!$A:$A,0),21),""),"")</f>
        <v/>
      </c>
      <c r="Y313">
        <f>IFERROR(IF(ISNUMBER(INDEX(SPPR!$E:$Z,MATCH($A313,SPPR!$A:$A,0),22)),$C313*INDEX(SPPR!$E:$Z,MATCH($A313,SPPR!$A:$A,0),22),""),"")</f>
        <v/>
      </c>
    </row>
    <row r="314">
      <c r="A314" t="inlineStr">
        <is>
          <t>Hexanchus griseus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IFERROR(IF(ISNUMBER(INDEX(SPPR!$E:$Z,MATCH($A314,SPPR!$A:$A,0),1)),$C314*INDEX(SPPR!$E:$Z,MATCH($A314,SPPR!$A:$A,0),1),""),"")</f>
        <v/>
      </c>
      <c r="E314">
        <f>IFERROR(IF(ISNUMBER(INDEX(SPPR!$E:$Z,MATCH($A314,SPPR!$A:$A,0),2)),$C314*INDEX(SPPR!$E:$Z,MATCH($A314,SPPR!$A:$A,0),2),""),"")</f>
        <v/>
      </c>
      <c r="F314">
        <f>IFERROR(IF(ISNUMBER(INDEX(SPPR!$E:$Z,MATCH($A314,SPPR!$A:$A,0),3)),$C314*INDEX(SPPR!$E:$Z,MATCH($A314,SPPR!$A:$A,0),3),""),"")</f>
        <v/>
      </c>
      <c r="G314">
        <f>IFERROR(IF(ISNUMBER(INDEX(SPPR!$E:$Z,MATCH($A314,SPPR!$A:$A,0),4)),$C314*INDEX(SPPR!$E:$Z,MATCH($A314,SPPR!$A:$A,0),4),""),"")</f>
        <v/>
      </c>
      <c r="H314">
        <f>IFERROR(IF(ISNUMBER(INDEX(SPPR!$E:$Z,MATCH($A314,SPPR!$A:$A,0),5)),$C314*INDEX(SPPR!$E:$Z,MATCH($A314,SPPR!$A:$A,0),5),""),"")</f>
        <v/>
      </c>
      <c r="I314">
        <f>IFERROR(IF(ISNUMBER(INDEX(SPPR!$E:$Z,MATCH($A314,SPPR!$A:$A,0),6)),$C314*INDEX(SPPR!$E:$Z,MATCH($A314,SPPR!$A:$A,0),6),""),"")</f>
        <v/>
      </c>
      <c r="J314">
        <f>IFERROR(IF(ISNUMBER(INDEX(SPPR!$E:$Z,MATCH($A314,SPPR!$A:$A,0),7)),$C314*INDEX(SPPR!$E:$Z,MATCH($A314,SPPR!$A:$A,0),7),""),"")</f>
        <v/>
      </c>
      <c r="K314">
        <f>IFERROR(IF(ISNUMBER(INDEX(SPPR!$E:$Z,MATCH($A314,SPPR!$A:$A,0),8)),$C314*INDEX(SPPR!$E:$Z,MATCH($A314,SPPR!$A:$A,0),8),""),"")</f>
        <v/>
      </c>
      <c r="L314">
        <f>IFERROR(IF(ISNUMBER(INDEX(SPPR!$E:$Z,MATCH($A314,SPPR!$A:$A,0),9)),$C314*INDEX(SPPR!$E:$Z,MATCH($A314,SPPR!$A:$A,0),9),""),"")</f>
        <v/>
      </c>
      <c r="M314">
        <f>IFERROR(IF(ISNUMBER(INDEX(SPPR!$E:$Z,MATCH($A314,SPPR!$A:$A,0),10)),$C314*INDEX(SPPR!$E:$Z,MATCH($A314,SPPR!$A:$A,0),10),""),"")</f>
        <v/>
      </c>
      <c r="N314">
        <f>IFERROR(IF(ISNUMBER(INDEX(SPPR!$E:$Z,MATCH($A314,SPPR!$A:$A,0),11)),$C314*INDEX(SPPR!$E:$Z,MATCH($A314,SPPR!$A:$A,0),11),""),"")</f>
        <v/>
      </c>
      <c r="O314">
        <f>IFERROR(IF(ISNUMBER(INDEX(SPPR!$E:$Z,MATCH($A314,SPPR!$A:$A,0),12)),$C314*INDEX(SPPR!$E:$Z,MATCH($A314,SPPR!$A:$A,0),12),""),"")</f>
        <v/>
      </c>
      <c r="P314">
        <f>IFERROR(IF(ISNUMBER(INDEX(SPPR!$E:$Z,MATCH($A314,SPPR!$A:$A,0),13)),$C314*INDEX(SPPR!$E:$Z,MATCH($A314,SPPR!$A:$A,0),13),""),"")</f>
        <v/>
      </c>
      <c r="Q314">
        <f>IFERROR(IF(ISNUMBER(INDEX(SPPR!$E:$Z,MATCH($A314,SPPR!$A:$A,0),14)),$C314*INDEX(SPPR!$E:$Z,MATCH($A314,SPPR!$A:$A,0),14),""),"")</f>
        <v/>
      </c>
      <c r="R314">
        <f>IFERROR(IF(ISNUMBER(INDEX(SPPR!$E:$Z,MATCH($A314,SPPR!$A:$A,0),15)),$C314*INDEX(SPPR!$E:$Z,MATCH($A314,SPPR!$A:$A,0),15),""),"")</f>
        <v/>
      </c>
      <c r="S314">
        <f>IFERROR(IF(ISNUMBER(INDEX(SPPR!$E:$Z,MATCH($A314,SPPR!$A:$A,0),16)),$C314*INDEX(SPPR!$E:$Z,MATCH($A314,SPPR!$A:$A,0),16),""),"")</f>
        <v/>
      </c>
      <c r="T314">
        <f>IFERROR(IF(ISNUMBER(INDEX(SPPR!$E:$Z,MATCH($A314,SPPR!$A:$A,0),17)),$C314*INDEX(SPPR!$E:$Z,MATCH($A314,SPPR!$A:$A,0),17),""),"")</f>
        <v/>
      </c>
      <c r="U314">
        <f>IFERROR(IF(ISNUMBER(INDEX(SPPR!$E:$Z,MATCH($A314,SPPR!$A:$A,0),18)),$C314*INDEX(SPPR!$E:$Z,MATCH($A314,SPPR!$A:$A,0),18),""),"")</f>
        <v/>
      </c>
      <c r="V314">
        <f>IFERROR(IF(ISNUMBER(INDEX(SPPR!$E:$Z,MATCH($A314,SPPR!$A:$A,0),19)),$C314*INDEX(SPPR!$E:$Z,MATCH($A314,SPPR!$A:$A,0),19),""),"")</f>
        <v/>
      </c>
      <c r="W314">
        <f>IFERROR(IF(ISNUMBER(INDEX(SPPR!$E:$Z,MATCH($A314,SPPR!$A:$A,0),20)),$C314*INDEX(SPPR!$E:$Z,MATCH($A314,SPPR!$A:$A,0),20),""),"")</f>
        <v/>
      </c>
      <c r="X314">
        <f>IFERROR(IF(ISNUMBER(INDEX(SPPR!$E:$Z,MATCH($A314,SPPR!$A:$A,0),21)),$C314*INDEX(SPPR!$E:$Z,MATCH($A314,SPPR!$A:$A,0),21),""),"")</f>
        <v/>
      </c>
      <c r="Y314">
        <f>IFERROR(IF(ISNUMBER(INDEX(SPPR!$E:$Z,MATCH($A314,SPPR!$A:$A,0),22)),$C314*INDEX(SPPR!$E:$Z,MATCH($A314,SPPR!$A:$A,0),22),""),"")</f>
        <v/>
      </c>
    </row>
    <row r="315">
      <c r="A315" t="inlineStr">
        <is>
          <t>Sphyrnidae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IFERROR(IF(ISNUMBER(INDEX(SPPR!$E:$Z,MATCH($A315,SPPR!$A:$A,0),1)),$C315*INDEX(SPPR!$E:$Z,MATCH($A315,SPPR!$A:$A,0),1),""),"")</f>
        <v/>
      </c>
      <c r="E315">
        <f>IFERROR(IF(ISNUMBER(INDEX(SPPR!$E:$Z,MATCH($A315,SPPR!$A:$A,0),2)),$C315*INDEX(SPPR!$E:$Z,MATCH($A315,SPPR!$A:$A,0),2),""),"")</f>
        <v/>
      </c>
      <c r="F315">
        <f>IFERROR(IF(ISNUMBER(INDEX(SPPR!$E:$Z,MATCH($A315,SPPR!$A:$A,0),3)),$C315*INDEX(SPPR!$E:$Z,MATCH($A315,SPPR!$A:$A,0),3),""),"")</f>
        <v/>
      </c>
      <c r="G315">
        <f>IFERROR(IF(ISNUMBER(INDEX(SPPR!$E:$Z,MATCH($A315,SPPR!$A:$A,0),4)),$C315*INDEX(SPPR!$E:$Z,MATCH($A315,SPPR!$A:$A,0),4),""),"")</f>
        <v/>
      </c>
      <c r="H315">
        <f>IFERROR(IF(ISNUMBER(INDEX(SPPR!$E:$Z,MATCH($A315,SPPR!$A:$A,0),5)),$C315*INDEX(SPPR!$E:$Z,MATCH($A315,SPPR!$A:$A,0),5),""),"")</f>
        <v/>
      </c>
      <c r="I315">
        <f>IFERROR(IF(ISNUMBER(INDEX(SPPR!$E:$Z,MATCH($A315,SPPR!$A:$A,0),6)),$C315*INDEX(SPPR!$E:$Z,MATCH($A315,SPPR!$A:$A,0),6),""),"")</f>
        <v/>
      </c>
      <c r="J315">
        <f>IFERROR(IF(ISNUMBER(INDEX(SPPR!$E:$Z,MATCH($A315,SPPR!$A:$A,0),7)),$C315*INDEX(SPPR!$E:$Z,MATCH($A315,SPPR!$A:$A,0),7),""),"")</f>
        <v/>
      </c>
      <c r="K315">
        <f>IFERROR(IF(ISNUMBER(INDEX(SPPR!$E:$Z,MATCH($A315,SPPR!$A:$A,0),8)),$C315*INDEX(SPPR!$E:$Z,MATCH($A315,SPPR!$A:$A,0),8),""),"")</f>
        <v/>
      </c>
      <c r="L315">
        <f>IFERROR(IF(ISNUMBER(INDEX(SPPR!$E:$Z,MATCH($A315,SPPR!$A:$A,0),9)),$C315*INDEX(SPPR!$E:$Z,MATCH($A315,SPPR!$A:$A,0),9),""),"")</f>
        <v/>
      </c>
      <c r="M315">
        <f>IFERROR(IF(ISNUMBER(INDEX(SPPR!$E:$Z,MATCH($A315,SPPR!$A:$A,0),10)),$C315*INDEX(SPPR!$E:$Z,MATCH($A315,SPPR!$A:$A,0),10),""),"")</f>
        <v/>
      </c>
      <c r="N315">
        <f>IFERROR(IF(ISNUMBER(INDEX(SPPR!$E:$Z,MATCH($A315,SPPR!$A:$A,0),11)),$C315*INDEX(SPPR!$E:$Z,MATCH($A315,SPPR!$A:$A,0),11),""),"")</f>
        <v/>
      </c>
      <c r="O315">
        <f>IFERROR(IF(ISNUMBER(INDEX(SPPR!$E:$Z,MATCH($A315,SPPR!$A:$A,0),12)),$C315*INDEX(SPPR!$E:$Z,MATCH($A315,SPPR!$A:$A,0),12),""),"")</f>
        <v/>
      </c>
      <c r="P315">
        <f>IFERROR(IF(ISNUMBER(INDEX(SPPR!$E:$Z,MATCH($A315,SPPR!$A:$A,0),13)),$C315*INDEX(SPPR!$E:$Z,MATCH($A315,SPPR!$A:$A,0),13),""),"")</f>
        <v/>
      </c>
      <c r="Q315">
        <f>IFERROR(IF(ISNUMBER(INDEX(SPPR!$E:$Z,MATCH($A315,SPPR!$A:$A,0),14)),$C315*INDEX(SPPR!$E:$Z,MATCH($A315,SPPR!$A:$A,0),14),""),"")</f>
        <v/>
      </c>
      <c r="R315">
        <f>IFERROR(IF(ISNUMBER(INDEX(SPPR!$E:$Z,MATCH($A315,SPPR!$A:$A,0),15)),$C315*INDEX(SPPR!$E:$Z,MATCH($A315,SPPR!$A:$A,0),15),""),"")</f>
        <v/>
      </c>
      <c r="S315">
        <f>IFERROR(IF(ISNUMBER(INDEX(SPPR!$E:$Z,MATCH($A315,SPPR!$A:$A,0),16)),$C315*INDEX(SPPR!$E:$Z,MATCH($A315,SPPR!$A:$A,0),16),""),"")</f>
        <v/>
      </c>
      <c r="T315">
        <f>IFERROR(IF(ISNUMBER(INDEX(SPPR!$E:$Z,MATCH($A315,SPPR!$A:$A,0),17)),$C315*INDEX(SPPR!$E:$Z,MATCH($A315,SPPR!$A:$A,0),17),""),"")</f>
        <v/>
      </c>
      <c r="U315">
        <f>IFERROR(IF(ISNUMBER(INDEX(SPPR!$E:$Z,MATCH($A315,SPPR!$A:$A,0),18)),$C315*INDEX(SPPR!$E:$Z,MATCH($A315,SPPR!$A:$A,0),18),""),"")</f>
        <v/>
      </c>
      <c r="V315">
        <f>IFERROR(IF(ISNUMBER(INDEX(SPPR!$E:$Z,MATCH($A315,SPPR!$A:$A,0),19)),$C315*INDEX(SPPR!$E:$Z,MATCH($A315,SPPR!$A:$A,0),19),""),"")</f>
        <v/>
      </c>
      <c r="W315">
        <f>IFERROR(IF(ISNUMBER(INDEX(SPPR!$E:$Z,MATCH($A315,SPPR!$A:$A,0),20)),$C315*INDEX(SPPR!$E:$Z,MATCH($A315,SPPR!$A:$A,0),20),""),"")</f>
        <v/>
      </c>
      <c r="X315">
        <f>IFERROR(IF(ISNUMBER(INDEX(SPPR!$E:$Z,MATCH($A315,SPPR!$A:$A,0),21)),$C315*INDEX(SPPR!$E:$Z,MATCH($A315,SPPR!$A:$A,0),21),""),"")</f>
        <v/>
      </c>
      <c r="Y315">
        <f>IFERROR(IF(ISNUMBER(INDEX(SPPR!$E:$Z,MATCH($A315,SPPR!$A:$A,0),22)),$C315*INDEX(SPPR!$E:$Z,MATCH($A315,SPPR!$A:$A,0),22),""),"")</f>
        <v/>
      </c>
    </row>
    <row r="316">
      <c r="A316" t="inlineStr">
        <is>
          <t>Lepidocybium flavobrunneum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IFERROR(IF(ISNUMBER(INDEX(SPPR!$E:$Z,MATCH($A316,SPPR!$A:$A,0),1)),$C316*INDEX(SPPR!$E:$Z,MATCH($A316,SPPR!$A:$A,0),1),""),"")</f>
        <v/>
      </c>
      <c r="E316">
        <f>IFERROR(IF(ISNUMBER(INDEX(SPPR!$E:$Z,MATCH($A316,SPPR!$A:$A,0),2)),$C316*INDEX(SPPR!$E:$Z,MATCH($A316,SPPR!$A:$A,0),2),""),"")</f>
        <v/>
      </c>
      <c r="F316">
        <f>IFERROR(IF(ISNUMBER(INDEX(SPPR!$E:$Z,MATCH($A316,SPPR!$A:$A,0),3)),$C316*INDEX(SPPR!$E:$Z,MATCH($A316,SPPR!$A:$A,0),3),""),"")</f>
        <v/>
      </c>
      <c r="G316">
        <f>IFERROR(IF(ISNUMBER(INDEX(SPPR!$E:$Z,MATCH($A316,SPPR!$A:$A,0),4)),$C316*INDEX(SPPR!$E:$Z,MATCH($A316,SPPR!$A:$A,0),4),""),"")</f>
        <v/>
      </c>
      <c r="H316">
        <f>IFERROR(IF(ISNUMBER(INDEX(SPPR!$E:$Z,MATCH($A316,SPPR!$A:$A,0),5)),$C316*INDEX(SPPR!$E:$Z,MATCH($A316,SPPR!$A:$A,0),5),""),"")</f>
        <v/>
      </c>
      <c r="I316">
        <f>IFERROR(IF(ISNUMBER(INDEX(SPPR!$E:$Z,MATCH($A316,SPPR!$A:$A,0),6)),$C316*INDEX(SPPR!$E:$Z,MATCH($A316,SPPR!$A:$A,0),6),""),"")</f>
        <v/>
      </c>
      <c r="J316">
        <f>IFERROR(IF(ISNUMBER(INDEX(SPPR!$E:$Z,MATCH($A316,SPPR!$A:$A,0),7)),$C316*INDEX(SPPR!$E:$Z,MATCH($A316,SPPR!$A:$A,0),7),""),"")</f>
        <v/>
      </c>
      <c r="K316">
        <f>IFERROR(IF(ISNUMBER(INDEX(SPPR!$E:$Z,MATCH($A316,SPPR!$A:$A,0),8)),$C316*INDEX(SPPR!$E:$Z,MATCH($A316,SPPR!$A:$A,0),8),""),"")</f>
        <v/>
      </c>
      <c r="L316">
        <f>IFERROR(IF(ISNUMBER(INDEX(SPPR!$E:$Z,MATCH($A316,SPPR!$A:$A,0),9)),$C316*INDEX(SPPR!$E:$Z,MATCH($A316,SPPR!$A:$A,0),9),""),"")</f>
        <v/>
      </c>
      <c r="M316">
        <f>IFERROR(IF(ISNUMBER(INDEX(SPPR!$E:$Z,MATCH($A316,SPPR!$A:$A,0),10)),$C316*INDEX(SPPR!$E:$Z,MATCH($A316,SPPR!$A:$A,0),10),""),"")</f>
        <v/>
      </c>
      <c r="N316">
        <f>IFERROR(IF(ISNUMBER(INDEX(SPPR!$E:$Z,MATCH($A316,SPPR!$A:$A,0),11)),$C316*INDEX(SPPR!$E:$Z,MATCH($A316,SPPR!$A:$A,0),11),""),"")</f>
        <v/>
      </c>
      <c r="O316">
        <f>IFERROR(IF(ISNUMBER(INDEX(SPPR!$E:$Z,MATCH($A316,SPPR!$A:$A,0),12)),$C316*INDEX(SPPR!$E:$Z,MATCH($A316,SPPR!$A:$A,0),12),""),"")</f>
        <v/>
      </c>
      <c r="P316">
        <f>IFERROR(IF(ISNUMBER(INDEX(SPPR!$E:$Z,MATCH($A316,SPPR!$A:$A,0),13)),$C316*INDEX(SPPR!$E:$Z,MATCH($A316,SPPR!$A:$A,0),13),""),"")</f>
        <v/>
      </c>
      <c r="Q316">
        <f>IFERROR(IF(ISNUMBER(INDEX(SPPR!$E:$Z,MATCH($A316,SPPR!$A:$A,0),14)),$C316*INDEX(SPPR!$E:$Z,MATCH($A316,SPPR!$A:$A,0),14),""),"")</f>
        <v/>
      </c>
      <c r="R316">
        <f>IFERROR(IF(ISNUMBER(INDEX(SPPR!$E:$Z,MATCH($A316,SPPR!$A:$A,0),15)),$C316*INDEX(SPPR!$E:$Z,MATCH($A316,SPPR!$A:$A,0),15),""),"")</f>
        <v/>
      </c>
      <c r="S316">
        <f>IFERROR(IF(ISNUMBER(INDEX(SPPR!$E:$Z,MATCH($A316,SPPR!$A:$A,0),16)),$C316*INDEX(SPPR!$E:$Z,MATCH($A316,SPPR!$A:$A,0),16),""),"")</f>
        <v/>
      </c>
      <c r="T316">
        <f>IFERROR(IF(ISNUMBER(INDEX(SPPR!$E:$Z,MATCH($A316,SPPR!$A:$A,0),17)),$C316*INDEX(SPPR!$E:$Z,MATCH($A316,SPPR!$A:$A,0),17),""),"")</f>
        <v/>
      </c>
      <c r="U316">
        <f>IFERROR(IF(ISNUMBER(INDEX(SPPR!$E:$Z,MATCH($A316,SPPR!$A:$A,0),18)),$C316*INDEX(SPPR!$E:$Z,MATCH($A316,SPPR!$A:$A,0),18),""),"")</f>
        <v/>
      </c>
      <c r="V316">
        <f>IFERROR(IF(ISNUMBER(INDEX(SPPR!$E:$Z,MATCH($A316,SPPR!$A:$A,0),19)),$C316*INDEX(SPPR!$E:$Z,MATCH($A316,SPPR!$A:$A,0),19),""),"")</f>
        <v/>
      </c>
      <c r="W316">
        <f>IFERROR(IF(ISNUMBER(INDEX(SPPR!$E:$Z,MATCH($A316,SPPR!$A:$A,0),20)),$C316*INDEX(SPPR!$E:$Z,MATCH($A316,SPPR!$A:$A,0),20),""),"")</f>
        <v/>
      </c>
      <c r="X316">
        <f>IFERROR(IF(ISNUMBER(INDEX(SPPR!$E:$Z,MATCH($A316,SPPR!$A:$A,0),21)),$C316*INDEX(SPPR!$E:$Z,MATCH($A316,SPPR!$A:$A,0),21),""),"")</f>
        <v/>
      </c>
      <c r="Y316">
        <f>IFERROR(IF(ISNUMBER(INDEX(SPPR!$E:$Z,MATCH($A316,SPPR!$A:$A,0),22)),$C316*INDEX(SPPR!$E:$Z,MATCH($A316,SPPR!$A:$A,0),22),""),"")</f>
        <v/>
      </c>
    </row>
    <row r="317">
      <c r="A317" t="inlineStr">
        <is>
          <t>Centrophorus lusitanicus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IFERROR(IF(ISNUMBER(INDEX(SPPR!$E:$Z,MATCH($A317,SPPR!$A:$A,0),1)),$C317*INDEX(SPPR!$E:$Z,MATCH($A317,SPPR!$A:$A,0),1),""),"")</f>
        <v/>
      </c>
      <c r="E317">
        <f>IFERROR(IF(ISNUMBER(INDEX(SPPR!$E:$Z,MATCH($A317,SPPR!$A:$A,0),2)),$C317*INDEX(SPPR!$E:$Z,MATCH($A317,SPPR!$A:$A,0),2),""),"")</f>
        <v/>
      </c>
      <c r="F317">
        <f>IFERROR(IF(ISNUMBER(INDEX(SPPR!$E:$Z,MATCH($A317,SPPR!$A:$A,0),3)),$C317*INDEX(SPPR!$E:$Z,MATCH($A317,SPPR!$A:$A,0),3),""),"")</f>
        <v/>
      </c>
      <c r="G317">
        <f>IFERROR(IF(ISNUMBER(INDEX(SPPR!$E:$Z,MATCH($A317,SPPR!$A:$A,0),4)),$C317*INDEX(SPPR!$E:$Z,MATCH($A317,SPPR!$A:$A,0),4),""),"")</f>
        <v/>
      </c>
      <c r="H317">
        <f>IFERROR(IF(ISNUMBER(INDEX(SPPR!$E:$Z,MATCH($A317,SPPR!$A:$A,0),5)),$C317*INDEX(SPPR!$E:$Z,MATCH($A317,SPPR!$A:$A,0),5),""),"")</f>
        <v/>
      </c>
      <c r="I317">
        <f>IFERROR(IF(ISNUMBER(INDEX(SPPR!$E:$Z,MATCH($A317,SPPR!$A:$A,0),6)),$C317*INDEX(SPPR!$E:$Z,MATCH($A317,SPPR!$A:$A,0),6),""),"")</f>
        <v/>
      </c>
      <c r="J317">
        <f>IFERROR(IF(ISNUMBER(INDEX(SPPR!$E:$Z,MATCH($A317,SPPR!$A:$A,0),7)),$C317*INDEX(SPPR!$E:$Z,MATCH($A317,SPPR!$A:$A,0),7),""),"")</f>
        <v/>
      </c>
      <c r="K317">
        <f>IFERROR(IF(ISNUMBER(INDEX(SPPR!$E:$Z,MATCH($A317,SPPR!$A:$A,0),8)),$C317*INDEX(SPPR!$E:$Z,MATCH($A317,SPPR!$A:$A,0),8),""),"")</f>
        <v/>
      </c>
      <c r="L317">
        <f>IFERROR(IF(ISNUMBER(INDEX(SPPR!$E:$Z,MATCH($A317,SPPR!$A:$A,0),9)),$C317*INDEX(SPPR!$E:$Z,MATCH($A317,SPPR!$A:$A,0),9),""),"")</f>
        <v/>
      </c>
      <c r="M317">
        <f>IFERROR(IF(ISNUMBER(INDEX(SPPR!$E:$Z,MATCH($A317,SPPR!$A:$A,0),10)),$C317*INDEX(SPPR!$E:$Z,MATCH($A317,SPPR!$A:$A,0),10),""),"")</f>
        <v/>
      </c>
      <c r="N317">
        <f>IFERROR(IF(ISNUMBER(INDEX(SPPR!$E:$Z,MATCH($A317,SPPR!$A:$A,0),11)),$C317*INDEX(SPPR!$E:$Z,MATCH($A317,SPPR!$A:$A,0),11),""),"")</f>
        <v/>
      </c>
      <c r="O317">
        <f>IFERROR(IF(ISNUMBER(INDEX(SPPR!$E:$Z,MATCH($A317,SPPR!$A:$A,0),12)),$C317*INDEX(SPPR!$E:$Z,MATCH($A317,SPPR!$A:$A,0),12),""),"")</f>
        <v/>
      </c>
      <c r="P317">
        <f>IFERROR(IF(ISNUMBER(INDEX(SPPR!$E:$Z,MATCH($A317,SPPR!$A:$A,0),13)),$C317*INDEX(SPPR!$E:$Z,MATCH($A317,SPPR!$A:$A,0),13),""),"")</f>
        <v/>
      </c>
      <c r="Q317">
        <f>IFERROR(IF(ISNUMBER(INDEX(SPPR!$E:$Z,MATCH($A317,SPPR!$A:$A,0),14)),$C317*INDEX(SPPR!$E:$Z,MATCH($A317,SPPR!$A:$A,0),14),""),"")</f>
        <v/>
      </c>
      <c r="R317">
        <f>IFERROR(IF(ISNUMBER(INDEX(SPPR!$E:$Z,MATCH($A317,SPPR!$A:$A,0),15)),$C317*INDEX(SPPR!$E:$Z,MATCH($A317,SPPR!$A:$A,0),15),""),"")</f>
        <v/>
      </c>
      <c r="S317">
        <f>IFERROR(IF(ISNUMBER(INDEX(SPPR!$E:$Z,MATCH($A317,SPPR!$A:$A,0),16)),$C317*INDEX(SPPR!$E:$Z,MATCH($A317,SPPR!$A:$A,0),16),""),"")</f>
        <v/>
      </c>
      <c r="T317">
        <f>IFERROR(IF(ISNUMBER(INDEX(SPPR!$E:$Z,MATCH($A317,SPPR!$A:$A,0),17)),$C317*INDEX(SPPR!$E:$Z,MATCH($A317,SPPR!$A:$A,0),17),""),"")</f>
        <v/>
      </c>
      <c r="U317">
        <f>IFERROR(IF(ISNUMBER(INDEX(SPPR!$E:$Z,MATCH($A317,SPPR!$A:$A,0),18)),$C317*INDEX(SPPR!$E:$Z,MATCH($A317,SPPR!$A:$A,0),18),""),"")</f>
        <v/>
      </c>
      <c r="V317">
        <f>IFERROR(IF(ISNUMBER(INDEX(SPPR!$E:$Z,MATCH($A317,SPPR!$A:$A,0),19)),$C317*INDEX(SPPR!$E:$Z,MATCH($A317,SPPR!$A:$A,0),19),""),"")</f>
        <v/>
      </c>
      <c r="W317">
        <f>IFERROR(IF(ISNUMBER(INDEX(SPPR!$E:$Z,MATCH($A317,SPPR!$A:$A,0),20)),$C317*INDEX(SPPR!$E:$Z,MATCH($A317,SPPR!$A:$A,0),20),""),"")</f>
        <v/>
      </c>
      <c r="X317">
        <f>IFERROR(IF(ISNUMBER(INDEX(SPPR!$E:$Z,MATCH($A317,SPPR!$A:$A,0),21)),$C317*INDEX(SPPR!$E:$Z,MATCH($A317,SPPR!$A:$A,0),21),""),"")</f>
        <v/>
      </c>
      <c r="Y317">
        <f>IFERROR(IF(ISNUMBER(INDEX(SPPR!$E:$Z,MATCH($A317,SPPR!$A:$A,0),22)),$C317*INDEX(SPPR!$E:$Z,MATCH($A317,SPPR!$A:$A,0),22),""),"")</f>
        <v/>
      </c>
    </row>
    <row r="318">
      <c r="A318" t="inlineStr">
        <is>
          <t>Branchiostegus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IFERROR(IF(ISNUMBER(INDEX(SPPR!$E:$Z,MATCH($A318,SPPR!$A:$A,0),1)),$C318*INDEX(SPPR!$E:$Z,MATCH($A318,SPPR!$A:$A,0),1),""),"")</f>
        <v/>
      </c>
      <c r="E318">
        <f>IFERROR(IF(ISNUMBER(INDEX(SPPR!$E:$Z,MATCH($A318,SPPR!$A:$A,0),2)),$C318*INDEX(SPPR!$E:$Z,MATCH($A318,SPPR!$A:$A,0),2),""),"")</f>
        <v/>
      </c>
      <c r="F318">
        <f>IFERROR(IF(ISNUMBER(INDEX(SPPR!$E:$Z,MATCH($A318,SPPR!$A:$A,0),3)),$C318*INDEX(SPPR!$E:$Z,MATCH($A318,SPPR!$A:$A,0),3),""),"")</f>
        <v/>
      </c>
      <c r="G318">
        <f>IFERROR(IF(ISNUMBER(INDEX(SPPR!$E:$Z,MATCH($A318,SPPR!$A:$A,0),4)),$C318*INDEX(SPPR!$E:$Z,MATCH($A318,SPPR!$A:$A,0),4),""),"")</f>
        <v/>
      </c>
      <c r="H318">
        <f>IFERROR(IF(ISNUMBER(INDEX(SPPR!$E:$Z,MATCH($A318,SPPR!$A:$A,0),5)),$C318*INDEX(SPPR!$E:$Z,MATCH($A318,SPPR!$A:$A,0),5),""),"")</f>
        <v/>
      </c>
      <c r="I318">
        <f>IFERROR(IF(ISNUMBER(INDEX(SPPR!$E:$Z,MATCH($A318,SPPR!$A:$A,0),6)),$C318*INDEX(SPPR!$E:$Z,MATCH($A318,SPPR!$A:$A,0),6),""),"")</f>
        <v/>
      </c>
      <c r="J318">
        <f>IFERROR(IF(ISNUMBER(INDEX(SPPR!$E:$Z,MATCH($A318,SPPR!$A:$A,0),7)),$C318*INDEX(SPPR!$E:$Z,MATCH($A318,SPPR!$A:$A,0),7),""),"")</f>
        <v/>
      </c>
      <c r="K318">
        <f>IFERROR(IF(ISNUMBER(INDEX(SPPR!$E:$Z,MATCH($A318,SPPR!$A:$A,0),8)),$C318*INDEX(SPPR!$E:$Z,MATCH($A318,SPPR!$A:$A,0),8),""),"")</f>
        <v/>
      </c>
      <c r="L318">
        <f>IFERROR(IF(ISNUMBER(INDEX(SPPR!$E:$Z,MATCH($A318,SPPR!$A:$A,0),9)),$C318*INDEX(SPPR!$E:$Z,MATCH($A318,SPPR!$A:$A,0),9),""),"")</f>
        <v/>
      </c>
      <c r="M318">
        <f>IFERROR(IF(ISNUMBER(INDEX(SPPR!$E:$Z,MATCH($A318,SPPR!$A:$A,0),10)),$C318*INDEX(SPPR!$E:$Z,MATCH($A318,SPPR!$A:$A,0),10),""),"")</f>
        <v/>
      </c>
      <c r="N318">
        <f>IFERROR(IF(ISNUMBER(INDEX(SPPR!$E:$Z,MATCH($A318,SPPR!$A:$A,0),11)),$C318*INDEX(SPPR!$E:$Z,MATCH($A318,SPPR!$A:$A,0),11),""),"")</f>
        <v/>
      </c>
      <c r="O318">
        <f>IFERROR(IF(ISNUMBER(INDEX(SPPR!$E:$Z,MATCH($A318,SPPR!$A:$A,0),12)),$C318*INDEX(SPPR!$E:$Z,MATCH($A318,SPPR!$A:$A,0),12),""),"")</f>
        <v/>
      </c>
      <c r="P318">
        <f>IFERROR(IF(ISNUMBER(INDEX(SPPR!$E:$Z,MATCH($A318,SPPR!$A:$A,0),13)),$C318*INDEX(SPPR!$E:$Z,MATCH($A318,SPPR!$A:$A,0),13),""),"")</f>
        <v/>
      </c>
      <c r="Q318">
        <f>IFERROR(IF(ISNUMBER(INDEX(SPPR!$E:$Z,MATCH($A318,SPPR!$A:$A,0),14)),$C318*INDEX(SPPR!$E:$Z,MATCH($A318,SPPR!$A:$A,0),14),""),"")</f>
        <v/>
      </c>
      <c r="R318">
        <f>IFERROR(IF(ISNUMBER(INDEX(SPPR!$E:$Z,MATCH($A318,SPPR!$A:$A,0),15)),$C318*INDEX(SPPR!$E:$Z,MATCH($A318,SPPR!$A:$A,0),15),""),"")</f>
        <v/>
      </c>
      <c r="S318">
        <f>IFERROR(IF(ISNUMBER(INDEX(SPPR!$E:$Z,MATCH($A318,SPPR!$A:$A,0),16)),$C318*INDEX(SPPR!$E:$Z,MATCH($A318,SPPR!$A:$A,0),16),""),"")</f>
        <v/>
      </c>
      <c r="T318">
        <f>IFERROR(IF(ISNUMBER(INDEX(SPPR!$E:$Z,MATCH($A318,SPPR!$A:$A,0),17)),$C318*INDEX(SPPR!$E:$Z,MATCH($A318,SPPR!$A:$A,0),17),""),"")</f>
        <v/>
      </c>
      <c r="U318">
        <f>IFERROR(IF(ISNUMBER(INDEX(SPPR!$E:$Z,MATCH($A318,SPPR!$A:$A,0),18)),$C318*INDEX(SPPR!$E:$Z,MATCH($A318,SPPR!$A:$A,0),18),""),"")</f>
        <v/>
      </c>
      <c r="V318">
        <f>IFERROR(IF(ISNUMBER(INDEX(SPPR!$E:$Z,MATCH($A318,SPPR!$A:$A,0),19)),$C318*INDEX(SPPR!$E:$Z,MATCH($A318,SPPR!$A:$A,0),19),""),"")</f>
        <v/>
      </c>
      <c r="W318">
        <f>IFERROR(IF(ISNUMBER(INDEX(SPPR!$E:$Z,MATCH($A318,SPPR!$A:$A,0),20)),$C318*INDEX(SPPR!$E:$Z,MATCH($A318,SPPR!$A:$A,0),20),""),"")</f>
        <v/>
      </c>
      <c r="X318">
        <f>IFERROR(IF(ISNUMBER(INDEX(SPPR!$E:$Z,MATCH($A318,SPPR!$A:$A,0),21)),$C318*INDEX(SPPR!$E:$Z,MATCH($A318,SPPR!$A:$A,0),21),""),"")</f>
        <v/>
      </c>
      <c r="Y318">
        <f>IFERROR(IF(ISNUMBER(INDEX(SPPR!$E:$Z,MATCH($A318,SPPR!$A:$A,0),22)),$C318*INDEX(SPPR!$E:$Z,MATCH($A318,SPPR!$A:$A,0),22),""),"")</f>
        <v/>
      </c>
    </row>
    <row r="319">
      <c r="A319" t="inlineStr">
        <is>
          <t>Dalatias licha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IFERROR(IF(ISNUMBER(INDEX(SPPR!$E:$Z,MATCH($A319,SPPR!$A:$A,0),1)),$C319*INDEX(SPPR!$E:$Z,MATCH($A319,SPPR!$A:$A,0),1),""),"")</f>
        <v/>
      </c>
      <c r="E319">
        <f>IFERROR(IF(ISNUMBER(INDEX(SPPR!$E:$Z,MATCH($A319,SPPR!$A:$A,0),2)),$C319*INDEX(SPPR!$E:$Z,MATCH($A319,SPPR!$A:$A,0),2),""),"")</f>
        <v/>
      </c>
      <c r="F319">
        <f>IFERROR(IF(ISNUMBER(INDEX(SPPR!$E:$Z,MATCH($A319,SPPR!$A:$A,0),3)),$C319*INDEX(SPPR!$E:$Z,MATCH($A319,SPPR!$A:$A,0),3),""),"")</f>
        <v/>
      </c>
      <c r="G319">
        <f>IFERROR(IF(ISNUMBER(INDEX(SPPR!$E:$Z,MATCH($A319,SPPR!$A:$A,0),4)),$C319*INDEX(SPPR!$E:$Z,MATCH($A319,SPPR!$A:$A,0),4),""),"")</f>
        <v/>
      </c>
      <c r="H319">
        <f>IFERROR(IF(ISNUMBER(INDEX(SPPR!$E:$Z,MATCH($A319,SPPR!$A:$A,0),5)),$C319*INDEX(SPPR!$E:$Z,MATCH($A319,SPPR!$A:$A,0),5),""),"")</f>
        <v/>
      </c>
      <c r="I319">
        <f>IFERROR(IF(ISNUMBER(INDEX(SPPR!$E:$Z,MATCH($A319,SPPR!$A:$A,0),6)),$C319*INDEX(SPPR!$E:$Z,MATCH($A319,SPPR!$A:$A,0),6),""),"")</f>
        <v/>
      </c>
      <c r="J319">
        <f>IFERROR(IF(ISNUMBER(INDEX(SPPR!$E:$Z,MATCH($A319,SPPR!$A:$A,0),7)),$C319*INDEX(SPPR!$E:$Z,MATCH($A319,SPPR!$A:$A,0),7),""),"")</f>
        <v/>
      </c>
      <c r="K319">
        <f>IFERROR(IF(ISNUMBER(INDEX(SPPR!$E:$Z,MATCH($A319,SPPR!$A:$A,0),8)),$C319*INDEX(SPPR!$E:$Z,MATCH($A319,SPPR!$A:$A,0),8),""),"")</f>
        <v/>
      </c>
      <c r="L319">
        <f>IFERROR(IF(ISNUMBER(INDEX(SPPR!$E:$Z,MATCH($A319,SPPR!$A:$A,0),9)),$C319*INDEX(SPPR!$E:$Z,MATCH($A319,SPPR!$A:$A,0),9),""),"")</f>
        <v/>
      </c>
      <c r="M319">
        <f>IFERROR(IF(ISNUMBER(INDEX(SPPR!$E:$Z,MATCH($A319,SPPR!$A:$A,0),10)),$C319*INDEX(SPPR!$E:$Z,MATCH($A319,SPPR!$A:$A,0),10),""),"")</f>
        <v/>
      </c>
      <c r="N319">
        <f>IFERROR(IF(ISNUMBER(INDEX(SPPR!$E:$Z,MATCH($A319,SPPR!$A:$A,0),11)),$C319*INDEX(SPPR!$E:$Z,MATCH($A319,SPPR!$A:$A,0),11),""),"")</f>
        <v/>
      </c>
      <c r="O319">
        <f>IFERROR(IF(ISNUMBER(INDEX(SPPR!$E:$Z,MATCH($A319,SPPR!$A:$A,0),12)),$C319*INDEX(SPPR!$E:$Z,MATCH($A319,SPPR!$A:$A,0),12),""),"")</f>
        <v/>
      </c>
      <c r="P319">
        <f>IFERROR(IF(ISNUMBER(INDEX(SPPR!$E:$Z,MATCH($A319,SPPR!$A:$A,0),13)),$C319*INDEX(SPPR!$E:$Z,MATCH($A319,SPPR!$A:$A,0),13),""),"")</f>
        <v/>
      </c>
      <c r="Q319">
        <f>IFERROR(IF(ISNUMBER(INDEX(SPPR!$E:$Z,MATCH($A319,SPPR!$A:$A,0),14)),$C319*INDEX(SPPR!$E:$Z,MATCH($A319,SPPR!$A:$A,0),14),""),"")</f>
        <v/>
      </c>
      <c r="R319">
        <f>IFERROR(IF(ISNUMBER(INDEX(SPPR!$E:$Z,MATCH($A319,SPPR!$A:$A,0),15)),$C319*INDEX(SPPR!$E:$Z,MATCH($A319,SPPR!$A:$A,0),15),""),"")</f>
        <v/>
      </c>
      <c r="S319">
        <f>IFERROR(IF(ISNUMBER(INDEX(SPPR!$E:$Z,MATCH($A319,SPPR!$A:$A,0),16)),$C319*INDEX(SPPR!$E:$Z,MATCH($A319,SPPR!$A:$A,0),16),""),"")</f>
        <v/>
      </c>
      <c r="T319">
        <f>IFERROR(IF(ISNUMBER(INDEX(SPPR!$E:$Z,MATCH($A319,SPPR!$A:$A,0),17)),$C319*INDEX(SPPR!$E:$Z,MATCH($A319,SPPR!$A:$A,0),17),""),"")</f>
        <v/>
      </c>
      <c r="U319">
        <f>IFERROR(IF(ISNUMBER(INDEX(SPPR!$E:$Z,MATCH($A319,SPPR!$A:$A,0),18)),$C319*INDEX(SPPR!$E:$Z,MATCH($A319,SPPR!$A:$A,0),18),""),"")</f>
        <v/>
      </c>
      <c r="V319">
        <f>IFERROR(IF(ISNUMBER(INDEX(SPPR!$E:$Z,MATCH($A319,SPPR!$A:$A,0),19)),$C319*INDEX(SPPR!$E:$Z,MATCH($A319,SPPR!$A:$A,0),19),""),"")</f>
        <v/>
      </c>
      <c r="W319">
        <f>IFERROR(IF(ISNUMBER(INDEX(SPPR!$E:$Z,MATCH($A319,SPPR!$A:$A,0),20)),$C319*INDEX(SPPR!$E:$Z,MATCH($A319,SPPR!$A:$A,0),20),""),"")</f>
        <v/>
      </c>
      <c r="X319">
        <f>IFERROR(IF(ISNUMBER(INDEX(SPPR!$E:$Z,MATCH($A319,SPPR!$A:$A,0),21)),$C319*INDEX(SPPR!$E:$Z,MATCH($A319,SPPR!$A:$A,0),21),""),"")</f>
        <v/>
      </c>
      <c r="Y319">
        <f>IFERROR(IF(ISNUMBER(INDEX(SPPR!$E:$Z,MATCH($A319,SPPR!$A:$A,0),22)),$C319*INDEX(SPPR!$E:$Z,MATCH($A319,SPPR!$A:$A,0),22),""),"")</f>
        <v/>
      </c>
    </row>
    <row r="320">
      <c r="A320" t="inlineStr">
        <is>
          <t>Centrolophidae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IFERROR(IF(ISNUMBER(INDEX(SPPR!$E:$Z,MATCH($A320,SPPR!$A:$A,0),1)),$C320*INDEX(SPPR!$E:$Z,MATCH($A320,SPPR!$A:$A,0),1),""),"")</f>
        <v/>
      </c>
      <c r="E320">
        <f>IFERROR(IF(ISNUMBER(INDEX(SPPR!$E:$Z,MATCH($A320,SPPR!$A:$A,0),2)),$C320*INDEX(SPPR!$E:$Z,MATCH($A320,SPPR!$A:$A,0),2),""),"")</f>
        <v/>
      </c>
      <c r="F320">
        <f>IFERROR(IF(ISNUMBER(INDEX(SPPR!$E:$Z,MATCH($A320,SPPR!$A:$A,0),3)),$C320*INDEX(SPPR!$E:$Z,MATCH($A320,SPPR!$A:$A,0),3),""),"")</f>
        <v/>
      </c>
      <c r="G320">
        <f>IFERROR(IF(ISNUMBER(INDEX(SPPR!$E:$Z,MATCH($A320,SPPR!$A:$A,0),4)),$C320*INDEX(SPPR!$E:$Z,MATCH($A320,SPPR!$A:$A,0),4),""),"")</f>
        <v/>
      </c>
      <c r="H320">
        <f>IFERROR(IF(ISNUMBER(INDEX(SPPR!$E:$Z,MATCH($A320,SPPR!$A:$A,0),5)),$C320*INDEX(SPPR!$E:$Z,MATCH($A320,SPPR!$A:$A,0),5),""),"")</f>
        <v/>
      </c>
      <c r="I320">
        <f>IFERROR(IF(ISNUMBER(INDEX(SPPR!$E:$Z,MATCH($A320,SPPR!$A:$A,0),6)),$C320*INDEX(SPPR!$E:$Z,MATCH($A320,SPPR!$A:$A,0),6),""),"")</f>
        <v/>
      </c>
      <c r="J320">
        <f>IFERROR(IF(ISNUMBER(INDEX(SPPR!$E:$Z,MATCH($A320,SPPR!$A:$A,0),7)),$C320*INDEX(SPPR!$E:$Z,MATCH($A320,SPPR!$A:$A,0),7),""),"")</f>
        <v/>
      </c>
      <c r="K320">
        <f>IFERROR(IF(ISNUMBER(INDEX(SPPR!$E:$Z,MATCH($A320,SPPR!$A:$A,0),8)),$C320*INDEX(SPPR!$E:$Z,MATCH($A320,SPPR!$A:$A,0),8),""),"")</f>
        <v/>
      </c>
      <c r="L320">
        <f>IFERROR(IF(ISNUMBER(INDEX(SPPR!$E:$Z,MATCH($A320,SPPR!$A:$A,0),9)),$C320*INDEX(SPPR!$E:$Z,MATCH($A320,SPPR!$A:$A,0),9),""),"")</f>
        <v/>
      </c>
      <c r="M320">
        <f>IFERROR(IF(ISNUMBER(INDEX(SPPR!$E:$Z,MATCH($A320,SPPR!$A:$A,0),10)),$C320*INDEX(SPPR!$E:$Z,MATCH($A320,SPPR!$A:$A,0),10),""),"")</f>
        <v/>
      </c>
      <c r="N320">
        <f>IFERROR(IF(ISNUMBER(INDEX(SPPR!$E:$Z,MATCH($A320,SPPR!$A:$A,0),11)),$C320*INDEX(SPPR!$E:$Z,MATCH($A320,SPPR!$A:$A,0),11),""),"")</f>
        <v/>
      </c>
      <c r="O320">
        <f>IFERROR(IF(ISNUMBER(INDEX(SPPR!$E:$Z,MATCH($A320,SPPR!$A:$A,0),12)),$C320*INDEX(SPPR!$E:$Z,MATCH($A320,SPPR!$A:$A,0),12),""),"")</f>
        <v/>
      </c>
      <c r="P320">
        <f>IFERROR(IF(ISNUMBER(INDEX(SPPR!$E:$Z,MATCH($A320,SPPR!$A:$A,0),13)),$C320*INDEX(SPPR!$E:$Z,MATCH($A320,SPPR!$A:$A,0),13),""),"")</f>
        <v/>
      </c>
      <c r="Q320">
        <f>IFERROR(IF(ISNUMBER(INDEX(SPPR!$E:$Z,MATCH($A320,SPPR!$A:$A,0),14)),$C320*INDEX(SPPR!$E:$Z,MATCH($A320,SPPR!$A:$A,0),14),""),"")</f>
        <v/>
      </c>
      <c r="R320">
        <f>IFERROR(IF(ISNUMBER(INDEX(SPPR!$E:$Z,MATCH($A320,SPPR!$A:$A,0),15)),$C320*INDEX(SPPR!$E:$Z,MATCH($A320,SPPR!$A:$A,0),15),""),"")</f>
        <v/>
      </c>
      <c r="S320">
        <f>IFERROR(IF(ISNUMBER(INDEX(SPPR!$E:$Z,MATCH($A320,SPPR!$A:$A,0),16)),$C320*INDEX(SPPR!$E:$Z,MATCH($A320,SPPR!$A:$A,0),16),""),"")</f>
        <v/>
      </c>
      <c r="T320">
        <f>IFERROR(IF(ISNUMBER(INDEX(SPPR!$E:$Z,MATCH($A320,SPPR!$A:$A,0),17)),$C320*INDEX(SPPR!$E:$Z,MATCH($A320,SPPR!$A:$A,0),17),""),"")</f>
        <v/>
      </c>
      <c r="U320">
        <f>IFERROR(IF(ISNUMBER(INDEX(SPPR!$E:$Z,MATCH($A320,SPPR!$A:$A,0),18)),$C320*INDEX(SPPR!$E:$Z,MATCH($A320,SPPR!$A:$A,0),18),""),"")</f>
        <v/>
      </c>
      <c r="V320">
        <f>IFERROR(IF(ISNUMBER(INDEX(SPPR!$E:$Z,MATCH($A320,SPPR!$A:$A,0),19)),$C320*INDEX(SPPR!$E:$Z,MATCH($A320,SPPR!$A:$A,0),19),""),"")</f>
        <v/>
      </c>
      <c r="W320">
        <f>IFERROR(IF(ISNUMBER(INDEX(SPPR!$E:$Z,MATCH($A320,SPPR!$A:$A,0),20)),$C320*INDEX(SPPR!$E:$Z,MATCH($A320,SPPR!$A:$A,0),20),""),"")</f>
        <v/>
      </c>
      <c r="X320">
        <f>IFERROR(IF(ISNUMBER(INDEX(SPPR!$E:$Z,MATCH($A320,SPPR!$A:$A,0),21)),$C320*INDEX(SPPR!$E:$Z,MATCH($A320,SPPR!$A:$A,0),21),""),"")</f>
        <v/>
      </c>
      <c r="Y320">
        <f>IFERROR(IF(ISNUMBER(INDEX(SPPR!$E:$Z,MATCH($A320,SPPR!$A:$A,0),22)),$C320*INDEX(SPPR!$E:$Z,MATCH($A320,SPPR!$A:$A,0),22),""),"")</f>
        <v/>
      </c>
    </row>
    <row r="321">
      <c r="A321" t="inlineStr">
        <is>
          <t>Squalus blainville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IFERROR(IF(ISNUMBER(INDEX(SPPR!$E:$Z,MATCH($A321,SPPR!$A:$A,0),1)),$C321*INDEX(SPPR!$E:$Z,MATCH($A321,SPPR!$A:$A,0),1),""),"")</f>
        <v/>
      </c>
      <c r="E321">
        <f>IFERROR(IF(ISNUMBER(INDEX(SPPR!$E:$Z,MATCH($A321,SPPR!$A:$A,0),2)),$C321*INDEX(SPPR!$E:$Z,MATCH($A321,SPPR!$A:$A,0),2),""),"")</f>
        <v/>
      </c>
      <c r="F321">
        <f>IFERROR(IF(ISNUMBER(INDEX(SPPR!$E:$Z,MATCH($A321,SPPR!$A:$A,0),3)),$C321*INDEX(SPPR!$E:$Z,MATCH($A321,SPPR!$A:$A,0),3),""),"")</f>
        <v/>
      </c>
      <c r="G321">
        <f>IFERROR(IF(ISNUMBER(INDEX(SPPR!$E:$Z,MATCH($A321,SPPR!$A:$A,0),4)),$C321*INDEX(SPPR!$E:$Z,MATCH($A321,SPPR!$A:$A,0),4),""),"")</f>
        <v/>
      </c>
      <c r="H321">
        <f>IFERROR(IF(ISNUMBER(INDEX(SPPR!$E:$Z,MATCH($A321,SPPR!$A:$A,0),5)),$C321*INDEX(SPPR!$E:$Z,MATCH($A321,SPPR!$A:$A,0),5),""),"")</f>
        <v/>
      </c>
      <c r="I321">
        <f>IFERROR(IF(ISNUMBER(INDEX(SPPR!$E:$Z,MATCH($A321,SPPR!$A:$A,0),6)),$C321*INDEX(SPPR!$E:$Z,MATCH($A321,SPPR!$A:$A,0),6),""),"")</f>
        <v/>
      </c>
      <c r="J321">
        <f>IFERROR(IF(ISNUMBER(INDEX(SPPR!$E:$Z,MATCH($A321,SPPR!$A:$A,0),7)),$C321*INDEX(SPPR!$E:$Z,MATCH($A321,SPPR!$A:$A,0),7),""),"")</f>
        <v/>
      </c>
      <c r="K321">
        <f>IFERROR(IF(ISNUMBER(INDEX(SPPR!$E:$Z,MATCH($A321,SPPR!$A:$A,0),8)),$C321*INDEX(SPPR!$E:$Z,MATCH($A321,SPPR!$A:$A,0),8),""),"")</f>
        <v/>
      </c>
      <c r="L321">
        <f>IFERROR(IF(ISNUMBER(INDEX(SPPR!$E:$Z,MATCH($A321,SPPR!$A:$A,0),9)),$C321*INDEX(SPPR!$E:$Z,MATCH($A321,SPPR!$A:$A,0),9),""),"")</f>
        <v/>
      </c>
      <c r="M321">
        <f>IFERROR(IF(ISNUMBER(INDEX(SPPR!$E:$Z,MATCH($A321,SPPR!$A:$A,0),10)),$C321*INDEX(SPPR!$E:$Z,MATCH($A321,SPPR!$A:$A,0),10),""),"")</f>
        <v/>
      </c>
      <c r="N321">
        <f>IFERROR(IF(ISNUMBER(INDEX(SPPR!$E:$Z,MATCH($A321,SPPR!$A:$A,0),11)),$C321*INDEX(SPPR!$E:$Z,MATCH($A321,SPPR!$A:$A,0),11),""),"")</f>
        <v/>
      </c>
      <c r="O321">
        <f>IFERROR(IF(ISNUMBER(INDEX(SPPR!$E:$Z,MATCH($A321,SPPR!$A:$A,0),12)),$C321*INDEX(SPPR!$E:$Z,MATCH($A321,SPPR!$A:$A,0),12),""),"")</f>
        <v/>
      </c>
      <c r="P321">
        <f>IFERROR(IF(ISNUMBER(INDEX(SPPR!$E:$Z,MATCH($A321,SPPR!$A:$A,0),13)),$C321*INDEX(SPPR!$E:$Z,MATCH($A321,SPPR!$A:$A,0),13),""),"")</f>
        <v/>
      </c>
      <c r="Q321">
        <f>IFERROR(IF(ISNUMBER(INDEX(SPPR!$E:$Z,MATCH($A321,SPPR!$A:$A,0),14)),$C321*INDEX(SPPR!$E:$Z,MATCH($A321,SPPR!$A:$A,0),14),""),"")</f>
        <v/>
      </c>
      <c r="R321">
        <f>IFERROR(IF(ISNUMBER(INDEX(SPPR!$E:$Z,MATCH($A321,SPPR!$A:$A,0),15)),$C321*INDEX(SPPR!$E:$Z,MATCH($A321,SPPR!$A:$A,0),15),""),"")</f>
        <v/>
      </c>
      <c r="S321">
        <f>IFERROR(IF(ISNUMBER(INDEX(SPPR!$E:$Z,MATCH($A321,SPPR!$A:$A,0),16)),$C321*INDEX(SPPR!$E:$Z,MATCH($A321,SPPR!$A:$A,0),16),""),"")</f>
        <v/>
      </c>
      <c r="T321">
        <f>IFERROR(IF(ISNUMBER(INDEX(SPPR!$E:$Z,MATCH($A321,SPPR!$A:$A,0),17)),$C321*INDEX(SPPR!$E:$Z,MATCH($A321,SPPR!$A:$A,0),17),""),"")</f>
        <v/>
      </c>
      <c r="U321">
        <f>IFERROR(IF(ISNUMBER(INDEX(SPPR!$E:$Z,MATCH($A321,SPPR!$A:$A,0),18)),$C321*INDEX(SPPR!$E:$Z,MATCH($A321,SPPR!$A:$A,0),18),""),"")</f>
        <v/>
      </c>
      <c r="V321">
        <f>IFERROR(IF(ISNUMBER(INDEX(SPPR!$E:$Z,MATCH($A321,SPPR!$A:$A,0),19)),$C321*INDEX(SPPR!$E:$Z,MATCH($A321,SPPR!$A:$A,0),19),""),"")</f>
        <v/>
      </c>
      <c r="W321">
        <f>IFERROR(IF(ISNUMBER(INDEX(SPPR!$E:$Z,MATCH($A321,SPPR!$A:$A,0),20)),$C321*INDEX(SPPR!$E:$Z,MATCH($A321,SPPR!$A:$A,0),20),""),"")</f>
        <v/>
      </c>
      <c r="X321">
        <f>IFERROR(IF(ISNUMBER(INDEX(SPPR!$E:$Z,MATCH($A321,SPPR!$A:$A,0),21)),$C321*INDEX(SPPR!$E:$Z,MATCH($A321,SPPR!$A:$A,0),21),""),"")</f>
        <v/>
      </c>
      <c r="Y321">
        <f>IFERROR(IF(ISNUMBER(INDEX(SPPR!$E:$Z,MATCH($A321,SPPR!$A:$A,0),22)),$C321*INDEX(SPPR!$E:$Z,MATCH($A321,SPPR!$A:$A,0),22),""),"")</f>
        <v/>
      </c>
    </row>
    <row r="322">
      <c r="A322" t="inlineStr">
        <is>
          <t>Bivalvia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IFERROR(IF(ISNUMBER(INDEX(SPPR!$E:$Z,MATCH($A322,SPPR!$A:$A,0),1)),$C322*INDEX(SPPR!$E:$Z,MATCH($A322,SPPR!$A:$A,0),1),""),"")</f>
        <v/>
      </c>
      <c r="E322">
        <f>IFERROR(IF(ISNUMBER(INDEX(SPPR!$E:$Z,MATCH($A322,SPPR!$A:$A,0),2)),$C322*INDEX(SPPR!$E:$Z,MATCH($A322,SPPR!$A:$A,0),2),""),"")</f>
        <v/>
      </c>
      <c r="F322">
        <f>IFERROR(IF(ISNUMBER(INDEX(SPPR!$E:$Z,MATCH($A322,SPPR!$A:$A,0),3)),$C322*INDEX(SPPR!$E:$Z,MATCH($A322,SPPR!$A:$A,0),3),""),"")</f>
        <v/>
      </c>
      <c r="G322">
        <f>IFERROR(IF(ISNUMBER(INDEX(SPPR!$E:$Z,MATCH($A322,SPPR!$A:$A,0),4)),$C322*INDEX(SPPR!$E:$Z,MATCH($A322,SPPR!$A:$A,0),4),""),"")</f>
        <v/>
      </c>
      <c r="H322">
        <f>IFERROR(IF(ISNUMBER(INDEX(SPPR!$E:$Z,MATCH($A322,SPPR!$A:$A,0),5)),$C322*INDEX(SPPR!$E:$Z,MATCH($A322,SPPR!$A:$A,0),5),""),"")</f>
        <v/>
      </c>
      <c r="I322">
        <f>IFERROR(IF(ISNUMBER(INDEX(SPPR!$E:$Z,MATCH($A322,SPPR!$A:$A,0),6)),$C322*INDEX(SPPR!$E:$Z,MATCH($A322,SPPR!$A:$A,0),6),""),"")</f>
        <v/>
      </c>
      <c r="J322">
        <f>IFERROR(IF(ISNUMBER(INDEX(SPPR!$E:$Z,MATCH($A322,SPPR!$A:$A,0),7)),$C322*INDEX(SPPR!$E:$Z,MATCH($A322,SPPR!$A:$A,0),7),""),"")</f>
        <v/>
      </c>
      <c r="K322">
        <f>IFERROR(IF(ISNUMBER(INDEX(SPPR!$E:$Z,MATCH($A322,SPPR!$A:$A,0),8)),$C322*INDEX(SPPR!$E:$Z,MATCH($A322,SPPR!$A:$A,0),8),""),"")</f>
        <v/>
      </c>
      <c r="L322">
        <f>IFERROR(IF(ISNUMBER(INDEX(SPPR!$E:$Z,MATCH($A322,SPPR!$A:$A,0),9)),$C322*INDEX(SPPR!$E:$Z,MATCH($A322,SPPR!$A:$A,0),9),""),"")</f>
        <v/>
      </c>
      <c r="M322">
        <f>IFERROR(IF(ISNUMBER(INDEX(SPPR!$E:$Z,MATCH($A322,SPPR!$A:$A,0),10)),$C322*INDEX(SPPR!$E:$Z,MATCH($A322,SPPR!$A:$A,0),10),""),"")</f>
        <v/>
      </c>
      <c r="N322">
        <f>IFERROR(IF(ISNUMBER(INDEX(SPPR!$E:$Z,MATCH($A322,SPPR!$A:$A,0),11)),$C322*INDEX(SPPR!$E:$Z,MATCH($A322,SPPR!$A:$A,0),11),""),"")</f>
        <v/>
      </c>
      <c r="O322">
        <f>IFERROR(IF(ISNUMBER(INDEX(SPPR!$E:$Z,MATCH($A322,SPPR!$A:$A,0),12)),$C322*INDEX(SPPR!$E:$Z,MATCH($A322,SPPR!$A:$A,0),12),""),"")</f>
        <v/>
      </c>
      <c r="P322">
        <f>IFERROR(IF(ISNUMBER(INDEX(SPPR!$E:$Z,MATCH($A322,SPPR!$A:$A,0),13)),$C322*INDEX(SPPR!$E:$Z,MATCH($A322,SPPR!$A:$A,0),13),""),"")</f>
        <v/>
      </c>
      <c r="Q322">
        <f>IFERROR(IF(ISNUMBER(INDEX(SPPR!$E:$Z,MATCH($A322,SPPR!$A:$A,0),14)),$C322*INDEX(SPPR!$E:$Z,MATCH($A322,SPPR!$A:$A,0),14),""),"")</f>
        <v/>
      </c>
      <c r="R322">
        <f>IFERROR(IF(ISNUMBER(INDEX(SPPR!$E:$Z,MATCH($A322,SPPR!$A:$A,0),15)),$C322*INDEX(SPPR!$E:$Z,MATCH($A322,SPPR!$A:$A,0),15),""),"")</f>
        <v/>
      </c>
      <c r="S322">
        <f>IFERROR(IF(ISNUMBER(INDEX(SPPR!$E:$Z,MATCH($A322,SPPR!$A:$A,0),16)),$C322*INDEX(SPPR!$E:$Z,MATCH($A322,SPPR!$A:$A,0),16),""),"")</f>
        <v/>
      </c>
      <c r="T322">
        <f>IFERROR(IF(ISNUMBER(INDEX(SPPR!$E:$Z,MATCH($A322,SPPR!$A:$A,0),17)),$C322*INDEX(SPPR!$E:$Z,MATCH($A322,SPPR!$A:$A,0),17),""),"")</f>
        <v/>
      </c>
      <c r="U322">
        <f>IFERROR(IF(ISNUMBER(INDEX(SPPR!$E:$Z,MATCH($A322,SPPR!$A:$A,0),18)),$C322*INDEX(SPPR!$E:$Z,MATCH($A322,SPPR!$A:$A,0),18),""),"")</f>
        <v/>
      </c>
      <c r="V322">
        <f>IFERROR(IF(ISNUMBER(INDEX(SPPR!$E:$Z,MATCH($A322,SPPR!$A:$A,0),19)),$C322*INDEX(SPPR!$E:$Z,MATCH($A322,SPPR!$A:$A,0),19),""),"")</f>
        <v/>
      </c>
      <c r="W322">
        <f>IFERROR(IF(ISNUMBER(INDEX(SPPR!$E:$Z,MATCH($A322,SPPR!$A:$A,0),20)),$C322*INDEX(SPPR!$E:$Z,MATCH($A322,SPPR!$A:$A,0),20),""),"")</f>
        <v/>
      </c>
      <c r="X322">
        <f>IFERROR(IF(ISNUMBER(INDEX(SPPR!$E:$Z,MATCH($A322,SPPR!$A:$A,0),21)),$C322*INDEX(SPPR!$E:$Z,MATCH($A322,SPPR!$A:$A,0),21),""),"")</f>
        <v/>
      </c>
      <c r="Y322">
        <f>IFERROR(IF(ISNUMBER(INDEX(SPPR!$E:$Z,MATCH($A322,SPPR!$A:$A,0),22)),$C322*INDEX(SPPR!$E:$Z,MATCH($A322,SPPR!$A:$A,0),22),""),"")</f>
        <v/>
      </c>
    </row>
    <row r="323">
      <c r="A323" t="inlineStr">
        <is>
          <t>Caranx bartholomaei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IFERROR(IF(ISNUMBER(INDEX(SPPR!$E:$Z,MATCH($A323,SPPR!$A:$A,0),1)),$C323*INDEX(SPPR!$E:$Z,MATCH($A323,SPPR!$A:$A,0),1),""),"")</f>
        <v/>
      </c>
      <c r="E323">
        <f>IFERROR(IF(ISNUMBER(INDEX(SPPR!$E:$Z,MATCH($A323,SPPR!$A:$A,0),2)),$C323*INDEX(SPPR!$E:$Z,MATCH($A323,SPPR!$A:$A,0),2),""),"")</f>
        <v/>
      </c>
      <c r="F323">
        <f>IFERROR(IF(ISNUMBER(INDEX(SPPR!$E:$Z,MATCH($A323,SPPR!$A:$A,0),3)),$C323*INDEX(SPPR!$E:$Z,MATCH($A323,SPPR!$A:$A,0),3),""),"")</f>
        <v/>
      </c>
      <c r="G323">
        <f>IFERROR(IF(ISNUMBER(INDEX(SPPR!$E:$Z,MATCH($A323,SPPR!$A:$A,0),4)),$C323*INDEX(SPPR!$E:$Z,MATCH($A323,SPPR!$A:$A,0),4),""),"")</f>
        <v/>
      </c>
      <c r="H323">
        <f>IFERROR(IF(ISNUMBER(INDEX(SPPR!$E:$Z,MATCH($A323,SPPR!$A:$A,0),5)),$C323*INDEX(SPPR!$E:$Z,MATCH($A323,SPPR!$A:$A,0),5),""),"")</f>
        <v/>
      </c>
      <c r="I323">
        <f>IFERROR(IF(ISNUMBER(INDEX(SPPR!$E:$Z,MATCH($A323,SPPR!$A:$A,0),6)),$C323*INDEX(SPPR!$E:$Z,MATCH($A323,SPPR!$A:$A,0),6),""),"")</f>
        <v/>
      </c>
      <c r="J323">
        <f>IFERROR(IF(ISNUMBER(INDEX(SPPR!$E:$Z,MATCH($A323,SPPR!$A:$A,0),7)),$C323*INDEX(SPPR!$E:$Z,MATCH($A323,SPPR!$A:$A,0),7),""),"")</f>
        <v/>
      </c>
      <c r="K323">
        <f>IFERROR(IF(ISNUMBER(INDEX(SPPR!$E:$Z,MATCH($A323,SPPR!$A:$A,0),8)),$C323*INDEX(SPPR!$E:$Z,MATCH($A323,SPPR!$A:$A,0),8),""),"")</f>
        <v/>
      </c>
      <c r="L323">
        <f>IFERROR(IF(ISNUMBER(INDEX(SPPR!$E:$Z,MATCH($A323,SPPR!$A:$A,0),9)),$C323*INDEX(SPPR!$E:$Z,MATCH($A323,SPPR!$A:$A,0),9),""),"")</f>
        <v/>
      </c>
      <c r="M323">
        <f>IFERROR(IF(ISNUMBER(INDEX(SPPR!$E:$Z,MATCH($A323,SPPR!$A:$A,0),10)),$C323*INDEX(SPPR!$E:$Z,MATCH($A323,SPPR!$A:$A,0),10),""),"")</f>
        <v/>
      </c>
      <c r="N323">
        <f>IFERROR(IF(ISNUMBER(INDEX(SPPR!$E:$Z,MATCH($A323,SPPR!$A:$A,0),11)),$C323*INDEX(SPPR!$E:$Z,MATCH($A323,SPPR!$A:$A,0),11),""),"")</f>
        <v/>
      </c>
      <c r="O323">
        <f>IFERROR(IF(ISNUMBER(INDEX(SPPR!$E:$Z,MATCH($A323,SPPR!$A:$A,0),12)),$C323*INDEX(SPPR!$E:$Z,MATCH($A323,SPPR!$A:$A,0),12),""),"")</f>
        <v/>
      </c>
      <c r="P323">
        <f>IFERROR(IF(ISNUMBER(INDEX(SPPR!$E:$Z,MATCH($A323,SPPR!$A:$A,0),13)),$C323*INDEX(SPPR!$E:$Z,MATCH($A323,SPPR!$A:$A,0),13),""),"")</f>
        <v/>
      </c>
      <c r="Q323">
        <f>IFERROR(IF(ISNUMBER(INDEX(SPPR!$E:$Z,MATCH($A323,SPPR!$A:$A,0),14)),$C323*INDEX(SPPR!$E:$Z,MATCH($A323,SPPR!$A:$A,0),14),""),"")</f>
        <v/>
      </c>
      <c r="R323">
        <f>IFERROR(IF(ISNUMBER(INDEX(SPPR!$E:$Z,MATCH($A323,SPPR!$A:$A,0),15)),$C323*INDEX(SPPR!$E:$Z,MATCH($A323,SPPR!$A:$A,0),15),""),"")</f>
        <v/>
      </c>
      <c r="S323">
        <f>IFERROR(IF(ISNUMBER(INDEX(SPPR!$E:$Z,MATCH($A323,SPPR!$A:$A,0),16)),$C323*INDEX(SPPR!$E:$Z,MATCH($A323,SPPR!$A:$A,0),16),""),"")</f>
        <v/>
      </c>
      <c r="T323">
        <f>IFERROR(IF(ISNUMBER(INDEX(SPPR!$E:$Z,MATCH($A323,SPPR!$A:$A,0),17)),$C323*INDEX(SPPR!$E:$Z,MATCH($A323,SPPR!$A:$A,0),17),""),"")</f>
        <v/>
      </c>
      <c r="U323">
        <f>IFERROR(IF(ISNUMBER(INDEX(SPPR!$E:$Z,MATCH($A323,SPPR!$A:$A,0),18)),$C323*INDEX(SPPR!$E:$Z,MATCH($A323,SPPR!$A:$A,0),18),""),"")</f>
        <v/>
      </c>
      <c r="V323">
        <f>IFERROR(IF(ISNUMBER(INDEX(SPPR!$E:$Z,MATCH($A323,SPPR!$A:$A,0),19)),$C323*INDEX(SPPR!$E:$Z,MATCH($A323,SPPR!$A:$A,0),19),""),"")</f>
        <v/>
      </c>
      <c r="W323">
        <f>IFERROR(IF(ISNUMBER(INDEX(SPPR!$E:$Z,MATCH($A323,SPPR!$A:$A,0),20)),$C323*INDEX(SPPR!$E:$Z,MATCH($A323,SPPR!$A:$A,0),20),""),"")</f>
        <v/>
      </c>
      <c r="X323">
        <f>IFERROR(IF(ISNUMBER(INDEX(SPPR!$E:$Z,MATCH($A323,SPPR!$A:$A,0),21)),$C323*INDEX(SPPR!$E:$Z,MATCH($A323,SPPR!$A:$A,0),21),""),"")</f>
        <v/>
      </c>
      <c r="Y323">
        <f>IFERROR(IF(ISNUMBER(INDEX(SPPR!$E:$Z,MATCH($A323,SPPR!$A:$A,0),22)),$C323*INDEX(SPPR!$E:$Z,MATCH($A323,SPPR!$A:$A,0),22),""),"")</f>
        <v/>
      </c>
    </row>
    <row r="324">
      <c r="A324" t="inlineStr">
        <is>
          <t>Dasyatis marmorata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IFERROR(IF(ISNUMBER(INDEX(SPPR!$E:$Z,MATCH($A324,SPPR!$A:$A,0),1)),$C324*INDEX(SPPR!$E:$Z,MATCH($A324,SPPR!$A:$A,0),1),""),"")</f>
        <v/>
      </c>
      <c r="E324">
        <f>IFERROR(IF(ISNUMBER(INDEX(SPPR!$E:$Z,MATCH($A324,SPPR!$A:$A,0),2)),$C324*INDEX(SPPR!$E:$Z,MATCH($A324,SPPR!$A:$A,0),2),""),"")</f>
        <v/>
      </c>
      <c r="F324">
        <f>IFERROR(IF(ISNUMBER(INDEX(SPPR!$E:$Z,MATCH($A324,SPPR!$A:$A,0),3)),$C324*INDEX(SPPR!$E:$Z,MATCH($A324,SPPR!$A:$A,0),3),""),"")</f>
        <v/>
      </c>
      <c r="G324">
        <f>IFERROR(IF(ISNUMBER(INDEX(SPPR!$E:$Z,MATCH($A324,SPPR!$A:$A,0),4)),$C324*INDEX(SPPR!$E:$Z,MATCH($A324,SPPR!$A:$A,0),4),""),"")</f>
        <v/>
      </c>
      <c r="H324">
        <f>IFERROR(IF(ISNUMBER(INDEX(SPPR!$E:$Z,MATCH($A324,SPPR!$A:$A,0),5)),$C324*INDEX(SPPR!$E:$Z,MATCH($A324,SPPR!$A:$A,0),5),""),"")</f>
        <v/>
      </c>
      <c r="I324">
        <f>IFERROR(IF(ISNUMBER(INDEX(SPPR!$E:$Z,MATCH($A324,SPPR!$A:$A,0),6)),$C324*INDEX(SPPR!$E:$Z,MATCH($A324,SPPR!$A:$A,0),6),""),"")</f>
        <v/>
      </c>
      <c r="J324">
        <f>IFERROR(IF(ISNUMBER(INDEX(SPPR!$E:$Z,MATCH($A324,SPPR!$A:$A,0),7)),$C324*INDEX(SPPR!$E:$Z,MATCH($A324,SPPR!$A:$A,0),7),""),"")</f>
        <v/>
      </c>
      <c r="K324">
        <f>IFERROR(IF(ISNUMBER(INDEX(SPPR!$E:$Z,MATCH($A324,SPPR!$A:$A,0),8)),$C324*INDEX(SPPR!$E:$Z,MATCH($A324,SPPR!$A:$A,0),8),""),"")</f>
        <v/>
      </c>
      <c r="L324">
        <f>IFERROR(IF(ISNUMBER(INDEX(SPPR!$E:$Z,MATCH($A324,SPPR!$A:$A,0),9)),$C324*INDEX(SPPR!$E:$Z,MATCH($A324,SPPR!$A:$A,0),9),""),"")</f>
        <v/>
      </c>
      <c r="M324">
        <f>IFERROR(IF(ISNUMBER(INDEX(SPPR!$E:$Z,MATCH($A324,SPPR!$A:$A,0),10)),$C324*INDEX(SPPR!$E:$Z,MATCH($A324,SPPR!$A:$A,0),10),""),"")</f>
        <v/>
      </c>
      <c r="N324">
        <f>IFERROR(IF(ISNUMBER(INDEX(SPPR!$E:$Z,MATCH($A324,SPPR!$A:$A,0),11)),$C324*INDEX(SPPR!$E:$Z,MATCH($A324,SPPR!$A:$A,0),11),""),"")</f>
        <v/>
      </c>
      <c r="O324">
        <f>IFERROR(IF(ISNUMBER(INDEX(SPPR!$E:$Z,MATCH($A324,SPPR!$A:$A,0),12)),$C324*INDEX(SPPR!$E:$Z,MATCH($A324,SPPR!$A:$A,0),12),""),"")</f>
        <v/>
      </c>
      <c r="P324">
        <f>IFERROR(IF(ISNUMBER(INDEX(SPPR!$E:$Z,MATCH($A324,SPPR!$A:$A,0),13)),$C324*INDEX(SPPR!$E:$Z,MATCH($A324,SPPR!$A:$A,0),13),""),"")</f>
        <v/>
      </c>
      <c r="Q324">
        <f>IFERROR(IF(ISNUMBER(INDEX(SPPR!$E:$Z,MATCH($A324,SPPR!$A:$A,0),14)),$C324*INDEX(SPPR!$E:$Z,MATCH($A324,SPPR!$A:$A,0),14),""),"")</f>
        <v/>
      </c>
      <c r="R324">
        <f>IFERROR(IF(ISNUMBER(INDEX(SPPR!$E:$Z,MATCH($A324,SPPR!$A:$A,0),15)),$C324*INDEX(SPPR!$E:$Z,MATCH($A324,SPPR!$A:$A,0),15),""),"")</f>
        <v/>
      </c>
      <c r="S324">
        <f>IFERROR(IF(ISNUMBER(INDEX(SPPR!$E:$Z,MATCH($A324,SPPR!$A:$A,0),16)),$C324*INDEX(SPPR!$E:$Z,MATCH($A324,SPPR!$A:$A,0),16),""),"")</f>
        <v/>
      </c>
      <c r="T324">
        <f>IFERROR(IF(ISNUMBER(INDEX(SPPR!$E:$Z,MATCH($A324,SPPR!$A:$A,0),17)),$C324*INDEX(SPPR!$E:$Z,MATCH($A324,SPPR!$A:$A,0),17),""),"")</f>
        <v/>
      </c>
      <c r="U324">
        <f>IFERROR(IF(ISNUMBER(INDEX(SPPR!$E:$Z,MATCH($A324,SPPR!$A:$A,0),18)),$C324*INDEX(SPPR!$E:$Z,MATCH($A324,SPPR!$A:$A,0),18),""),"")</f>
        <v/>
      </c>
      <c r="V324">
        <f>IFERROR(IF(ISNUMBER(INDEX(SPPR!$E:$Z,MATCH($A324,SPPR!$A:$A,0),19)),$C324*INDEX(SPPR!$E:$Z,MATCH($A324,SPPR!$A:$A,0),19),""),"")</f>
        <v/>
      </c>
      <c r="W324">
        <f>IFERROR(IF(ISNUMBER(INDEX(SPPR!$E:$Z,MATCH($A324,SPPR!$A:$A,0),20)),$C324*INDEX(SPPR!$E:$Z,MATCH($A324,SPPR!$A:$A,0),20),""),"")</f>
        <v/>
      </c>
      <c r="X324">
        <f>IFERROR(IF(ISNUMBER(INDEX(SPPR!$E:$Z,MATCH($A324,SPPR!$A:$A,0),21)),$C324*INDEX(SPPR!$E:$Z,MATCH($A324,SPPR!$A:$A,0),21),""),"")</f>
        <v/>
      </c>
      <c r="Y324">
        <f>IFERROR(IF(ISNUMBER(INDEX(SPPR!$E:$Z,MATCH($A324,SPPR!$A:$A,0),22)),$C324*INDEX(SPPR!$E:$Z,MATCH($A324,SPPR!$A:$A,0),22),""),"")</f>
        <v/>
      </c>
    </row>
    <row r="325">
      <c r="A325" t="inlineStr">
        <is>
          <t>Seriola rivoliana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IFERROR(IF(ISNUMBER(INDEX(SPPR!$E:$Z,MATCH($A325,SPPR!$A:$A,0),1)),$C325*INDEX(SPPR!$E:$Z,MATCH($A325,SPPR!$A:$A,0),1),""),"")</f>
        <v/>
      </c>
      <c r="E325">
        <f>IFERROR(IF(ISNUMBER(INDEX(SPPR!$E:$Z,MATCH($A325,SPPR!$A:$A,0),2)),$C325*INDEX(SPPR!$E:$Z,MATCH($A325,SPPR!$A:$A,0),2),""),"")</f>
        <v/>
      </c>
      <c r="F325">
        <f>IFERROR(IF(ISNUMBER(INDEX(SPPR!$E:$Z,MATCH($A325,SPPR!$A:$A,0),3)),$C325*INDEX(SPPR!$E:$Z,MATCH($A325,SPPR!$A:$A,0),3),""),"")</f>
        <v/>
      </c>
      <c r="G325">
        <f>IFERROR(IF(ISNUMBER(INDEX(SPPR!$E:$Z,MATCH($A325,SPPR!$A:$A,0),4)),$C325*INDEX(SPPR!$E:$Z,MATCH($A325,SPPR!$A:$A,0),4),""),"")</f>
        <v/>
      </c>
      <c r="H325">
        <f>IFERROR(IF(ISNUMBER(INDEX(SPPR!$E:$Z,MATCH($A325,SPPR!$A:$A,0),5)),$C325*INDEX(SPPR!$E:$Z,MATCH($A325,SPPR!$A:$A,0),5),""),"")</f>
        <v/>
      </c>
      <c r="I325">
        <f>IFERROR(IF(ISNUMBER(INDEX(SPPR!$E:$Z,MATCH($A325,SPPR!$A:$A,0),6)),$C325*INDEX(SPPR!$E:$Z,MATCH($A325,SPPR!$A:$A,0),6),""),"")</f>
        <v/>
      </c>
      <c r="J325">
        <f>IFERROR(IF(ISNUMBER(INDEX(SPPR!$E:$Z,MATCH($A325,SPPR!$A:$A,0),7)),$C325*INDEX(SPPR!$E:$Z,MATCH($A325,SPPR!$A:$A,0),7),""),"")</f>
        <v/>
      </c>
      <c r="K325">
        <f>IFERROR(IF(ISNUMBER(INDEX(SPPR!$E:$Z,MATCH($A325,SPPR!$A:$A,0),8)),$C325*INDEX(SPPR!$E:$Z,MATCH($A325,SPPR!$A:$A,0),8),""),"")</f>
        <v/>
      </c>
      <c r="L325">
        <f>IFERROR(IF(ISNUMBER(INDEX(SPPR!$E:$Z,MATCH($A325,SPPR!$A:$A,0),9)),$C325*INDEX(SPPR!$E:$Z,MATCH($A325,SPPR!$A:$A,0),9),""),"")</f>
        <v/>
      </c>
      <c r="M325">
        <f>IFERROR(IF(ISNUMBER(INDEX(SPPR!$E:$Z,MATCH($A325,SPPR!$A:$A,0),10)),$C325*INDEX(SPPR!$E:$Z,MATCH($A325,SPPR!$A:$A,0),10),""),"")</f>
        <v/>
      </c>
      <c r="N325">
        <f>IFERROR(IF(ISNUMBER(INDEX(SPPR!$E:$Z,MATCH($A325,SPPR!$A:$A,0),11)),$C325*INDEX(SPPR!$E:$Z,MATCH($A325,SPPR!$A:$A,0),11),""),"")</f>
        <v/>
      </c>
      <c r="O325">
        <f>IFERROR(IF(ISNUMBER(INDEX(SPPR!$E:$Z,MATCH($A325,SPPR!$A:$A,0),12)),$C325*INDEX(SPPR!$E:$Z,MATCH($A325,SPPR!$A:$A,0),12),""),"")</f>
        <v/>
      </c>
      <c r="P325">
        <f>IFERROR(IF(ISNUMBER(INDEX(SPPR!$E:$Z,MATCH($A325,SPPR!$A:$A,0),13)),$C325*INDEX(SPPR!$E:$Z,MATCH($A325,SPPR!$A:$A,0),13),""),"")</f>
        <v/>
      </c>
      <c r="Q325">
        <f>IFERROR(IF(ISNUMBER(INDEX(SPPR!$E:$Z,MATCH($A325,SPPR!$A:$A,0),14)),$C325*INDEX(SPPR!$E:$Z,MATCH($A325,SPPR!$A:$A,0),14),""),"")</f>
        <v/>
      </c>
      <c r="R325">
        <f>IFERROR(IF(ISNUMBER(INDEX(SPPR!$E:$Z,MATCH($A325,SPPR!$A:$A,0),15)),$C325*INDEX(SPPR!$E:$Z,MATCH($A325,SPPR!$A:$A,0),15),""),"")</f>
        <v/>
      </c>
      <c r="S325">
        <f>IFERROR(IF(ISNUMBER(INDEX(SPPR!$E:$Z,MATCH($A325,SPPR!$A:$A,0),16)),$C325*INDEX(SPPR!$E:$Z,MATCH($A325,SPPR!$A:$A,0),16),""),"")</f>
        <v/>
      </c>
      <c r="T325">
        <f>IFERROR(IF(ISNUMBER(INDEX(SPPR!$E:$Z,MATCH($A325,SPPR!$A:$A,0),17)),$C325*INDEX(SPPR!$E:$Z,MATCH($A325,SPPR!$A:$A,0),17),""),"")</f>
        <v/>
      </c>
      <c r="U325">
        <f>IFERROR(IF(ISNUMBER(INDEX(SPPR!$E:$Z,MATCH($A325,SPPR!$A:$A,0),18)),$C325*INDEX(SPPR!$E:$Z,MATCH($A325,SPPR!$A:$A,0),18),""),"")</f>
        <v/>
      </c>
      <c r="V325">
        <f>IFERROR(IF(ISNUMBER(INDEX(SPPR!$E:$Z,MATCH($A325,SPPR!$A:$A,0),19)),$C325*INDEX(SPPR!$E:$Z,MATCH($A325,SPPR!$A:$A,0),19),""),"")</f>
        <v/>
      </c>
      <c r="W325">
        <f>IFERROR(IF(ISNUMBER(INDEX(SPPR!$E:$Z,MATCH($A325,SPPR!$A:$A,0),20)),$C325*INDEX(SPPR!$E:$Z,MATCH($A325,SPPR!$A:$A,0),20),""),"")</f>
        <v/>
      </c>
      <c r="X325">
        <f>IFERROR(IF(ISNUMBER(INDEX(SPPR!$E:$Z,MATCH($A325,SPPR!$A:$A,0),21)),$C325*INDEX(SPPR!$E:$Z,MATCH($A325,SPPR!$A:$A,0),21),""),"")</f>
        <v/>
      </c>
      <c r="Y325">
        <f>IFERROR(IF(ISNUMBER(INDEX(SPPR!$E:$Z,MATCH($A325,SPPR!$A:$A,0),22)),$C325*INDEX(SPPR!$E:$Z,MATCH($A325,SPPR!$A:$A,0),22),""),"")</f>
        <v/>
      </c>
    </row>
    <row r="326">
      <c r="A326" t="inlineStr">
        <is>
          <t>Oblada melanurus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IFERROR(IF(ISNUMBER(INDEX(SPPR!$E:$Z,MATCH($A326,SPPR!$A:$A,0),1)),$C326*INDEX(SPPR!$E:$Z,MATCH($A326,SPPR!$A:$A,0),1),""),"")</f>
        <v/>
      </c>
      <c r="E326">
        <f>IFERROR(IF(ISNUMBER(INDEX(SPPR!$E:$Z,MATCH($A326,SPPR!$A:$A,0),2)),$C326*INDEX(SPPR!$E:$Z,MATCH($A326,SPPR!$A:$A,0),2),""),"")</f>
        <v/>
      </c>
      <c r="F326">
        <f>IFERROR(IF(ISNUMBER(INDEX(SPPR!$E:$Z,MATCH($A326,SPPR!$A:$A,0),3)),$C326*INDEX(SPPR!$E:$Z,MATCH($A326,SPPR!$A:$A,0),3),""),"")</f>
        <v/>
      </c>
      <c r="G326">
        <f>IFERROR(IF(ISNUMBER(INDEX(SPPR!$E:$Z,MATCH($A326,SPPR!$A:$A,0),4)),$C326*INDEX(SPPR!$E:$Z,MATCH($A326,SPPR!$A:$A,0),4),""),"")</f>
        <v/>
      </c>
      <c r="H326">
        <f>IFERROR(IF(ISNUMBER(INDEX(SPPR!$E:$Z,MATCH($A326,SPPR!$A:$A,0),5)),$C326*INDEX(SPPR!$E:$Z,MATCH($A326,SPPR!$A:$A,0),5),""),"")</f>
        <v/>
      </c>
      <c r="I326">
        <f>IFERROR(IF(ISNUMBER(INDEX(SPPR!$E:$Z,MATCH($A326,SPPR!$A:$A,0),6)),$C326*INDEX(SPPR!$E:$Z,MATCH($A326,SPPR!$A:$A,0),6),""),"")</f>
        <v/>
      </c>
      <c r="J326">
        <f>IFERROR(IF(ISNUMBER(INDEX(SPPR!$E:$Z,MATCH($A326,SPPR!$A:$A,0),7)),$C326*INDEX(SPPR!$E:$Z,MATCH($A326,SPPR!$A:$A,0),7),""),"")</f>
        <v/>
      </c>
      <c r="K326">
        <f>IFERROR(IF(ISNUMBER(INDEX(SPPR!$E:$Z,MATCH($A326,SPPR!$A:$A,0),8)),$C326*INDEX(SPPR!$E:$Z,MATCH($A326,SPPR!$A:$A,0),8),""),"")</f>
        <v/>
      </c>
      <c r="L326">
        <f>IFERROR(IF(ISNUMBER(INDEX(SPPR!$E:$Z,MATCH($A326,SPPR!$A:$A,0),9)),$C326*INDEX(SPPR!$E:$Z,MATCH($A326,SPPR!$A:$A,0),9),""),"")</f>
        <v/>
      </c>
      <c r="M326">
        <f>IFERROR(IF(ISNUMBER(INDEX(SPPR!$E:$Z,MATCH($A326,SPPR!$A:$A,0),10)),$C326*INDEX(SPPR!$E:$Z,MATCH($A326,SPPR!$A:$A,0),10),""),"")</f>
        <v/>
      </c>
      <c r="N326">
        <f>IFERROR(IF(ISNUMBER(INDEX(SPPR!$E:$Z,MATCH($A326,SPPR!$A:$A,0),11)),$C326*INDEX(SPPR!$E:$Z,MATCH($A326,SPPR!$A:$A,0),11),""),"")</f>
        <v/>
      </c>
      <c r="O326">
        <f>IFERROR(IF(ISNUMBER(INDEX(SPPR!$E:$Z,MATCH($A326,SPPR!$A:$A,0),12)),$C326*INDEX(SPPR!$E:$Z,MATCH($A326,SPPR!$A:$A,0),12),""),"")</f>
        <v/>
      </c>
      <c r="P326">
        <f>IFERROR(IF(ISNUMBER(INDEX(SPPR!$E:$Z,MATCH($A326,SPPR!$A:$A,0),13)),$C326*INDEX(SPPR!$E:$Z,MATCH($A326,SPPR!$A:$A,0),13),""),"")</f>
        <v/>
      </c>
      <c r="Q326">
        <f>IFERROR(IF(ISNUMBER(INDEX(SPPR!$E:$Z,MATCH($A326,SPPR!$A:$A,0),14)),$C326*INDEX(SPPR!$E:$Z,MATCH($A326,SPPR!$A:$A,0),14),""),"")</f>
        <v/>
      </c>
      <c r="R326">
        <f>IFERROR(IF(ISNUMBER(INDEX(SPPR!$E:$Z,MATCH($A326,SPPR!$A:$A,0),15)),$C326*INDEX(SPPR!$E:$Z,MATCH($A326,SPPR!$A:$A,0),15),""),"")</f>
        <v/>
      </c>
      <c r="S326">
        <f>IFERROR(IF(ISNUMBER(INDEX(SPPR!$E:$Z,MATCH($A326,SPPR!$A:$A,0),16)),$C326*INDEX(SPPR!$E:$Z,MATCH($A326,SPPR!$A:$A,0),16),""),"")</f>
        <v/>
      </c>
      <c r="T326">
        <f>IFERROR(IF(ISNUMBER(INDEX(SPPR!$E:$Z,MATCH($A326,SPPR!$A:$A,0),17)),$C326*INDEX(SPPR!$E:$Z,MATCH($A326,SPPR!$A:$A,0),17),""),"")</f>
        <v/>
      </c>
      <c r="U326">
        <f>IFERROR(IF(ISNUMBER(INDEX(SPPR!$E:$Z,MATCH($A326,SPPR!$A:$A,0),18)),$C326*INDEX(SPPR!$E:$Z,MATCH($A326,SPPR!$A:$A,0),18),""),"")</f>
        <v/>
      </c>
      <c r="V326">
        <f>IFERROR(IF(ISNUMBER(INDEX(SPPR!$E:$Z,MATCH($A326,SPPR!$A:$A,0),19)),$C326*INDEX(SPPR!$E:$Z,MATCH($A326,SPPR!$A:$A,0),19),""),"")</f>
        <v/>
      </c>
      <c r="W326">
        <f>IFERROR(IF(ISNUMBER(INDEX(SPPR!$E:$Z,MATCH($A326,SPPR!$A:$A,0),20)),$C326*INDEX(SPPR!$E:$Z,MATCH($A326,SPPR!$A:$A,0),20),""),"")</f>
        <v/>
      </c>
      <c r="X326">
        <f>IFERROR(IF(ISNUMBER(INDEX(SPPR!$E:$Z,MATCH($A326,SPPR!$A:$A,0),21)),$C326*INDEX(SPPR!$E:$Z,MATCH($A326,SPPR!$A:$A,0),21),""),"")</f>
        <v/>
      </c>
      <c r="Y326">
        <f>IFERROR(IF(ISNUMBER(INDEX(SPPR!$E:$Z,MATCH($A326,SPPR!$A:$A,0),22)),$C326*INDEX(SPPR!$E:$Z,MATCH($A326,SPPR!$A:$A,0),22),""),"")</f>
        <v/>
      </c>
    </row>
    <row r="327">
      <c r="A327" t="inlineStr">
        <is>
          <t>Carcharhiniformes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IFERROR(IF(ISNUMBER(INDEX(SPPR!$E:$Z,MATCH($A327,SPPR!$A:$A,0),1)),$C327*INDEX(SPPR!$E:$Z,MATCH($A327,SPPR!$A:$A,0),1),""),"")</f>
        <v/>
      </c>
      <c r="E327">
        <f>IFERROR(IF(ISNUMBER(INDEX(SPPR!$E:$Z,MATCH($A327,SPPR!$A:$A,0),2)),$C327*INDEX(SPPR!$E:$Z,MATCH($A327,SPPR!$A:$A,0),2),""),"")</f>
        <v/>
      </c>
      <c r="F327">
        <f>IFERROR(IF(ISNUMBER(INDEX(SPPR!$E:$Z,MATCH($A327,SPPR!$A:$A,0),3)),$C327*INDEX(SPPR!$E:$Z,MATCH($A327,SPPR!$A:$A,0),3),""),"")</f>
        <v/>
      </c>
      <c r="G327">
        <f>IFERROR(IF(ISNUMBER(INDEX(SPPR!$E:$Z,MATCH($A327,SPPR!$A:$A,0),4)),$C327*INDEX(SPPR!$E:$Z,MATCH($A327,SPPR!$A:$A,0),4),""),"")</f>
        <v/>
      </c>
      <c r="H327">
        <f>IFERROR(IF(ISNUMBER(INDEX(SPPR!$E:$Z,MATCH($A327,SPPR!$A:$A,0),5)),$C327*INDEX(SPPR!$E:$Z,MATCH($A327,SPPR!$A:$A,0),5),""),"")</f>
        <v/>
      </c>
      <c r="I327">
        <f>IFERROR(IF(ISNUMBER(INDEX(SPPR!$E:$Z,MATCH($A327,SPPR!$A:$A,0),6)),$C327*INDEX(SPPR!$E:$Z,MATCH($A327,SPPR!$A:$A,0),6),""),"")</f>
        <v/>
      </c>
      <c r="J327">
        <f>IFERROR(IF(ISNUMBER(INDEX(SPPR!$E:$Z,MATCH($A327,SPPR!$A:$A,0),7)),$C327*INDEX(SPPR!$E:$Z,MATCH($A327,SPPR!$A:$A,0),7),""),"")</f>
        <v/>
      </c>
      <c r="K327">
        <f>IFERROR(IF(ISNUMBER(INDEX(SPPR!$E:$Z,MATCH($A327,SPPR!$A:$A,0),8)),$C327*INDEX(SPPR!$E:$Z,MATCH($A327,SPPR!$A:$A,0),8),""),"")</f>
        <v/>
      </c>
      <c r="L327">
        <f>IFERROR(IF(ISNUMBER(INDEX(SPPR!$E:$Z,MATCH($A327,SPPR!$A:$A,0),9)),$C327*INDEX(SPPR!$E:$Z,MATCH($A327,SPPR!$A:$A,0),9),""),"")</f>
        <v/>
      </c>
      <c r="M327">
        <f>IFERROR(IF(ISNUMBER(INDEX(SPPR!$E:$Z,MATCH($A327,SPPR!$A:$A,0),10)),$C327*INDEX(SPPR!$E:$Z,MATCH($A327,SPPR!$A:$A,0),10),""),"")</f>
        <v/>
      </c>
      <c r="N327">
        <f>IFERROR(IF(ISNUMBER(INDEX(SPPR!$E:$Z,MATCH($A327,SPPR!$A:$A,0),11)),$C327*INDEX(SPPR!$E:$Z,MATCH($A327,SPPR!$A:$A,0),11),""),"")</f>
        <v/>
      </c>
      <c r="O327">
        <f>IFERROR(IF(ISNUMBER(INDEX(SPPR!$E:$Z,MATCH($A327,SPPR!$A:$A,0),12)),$C327*INDEX(SPPR!$E:$Z,MATCH($A327,SPPR!$A:$A,0),12),""),"")</f>
        <v/>
      </c>
      <c r="P327">
        <f>IFERROR(IF(ISNUMBER(INDEX(SPPR!$E:$Z,MATCH($A327,SPPR!$A:$A,0),13)),$C327*INDEX(SPPR!$E:$Z,MATCH($A327,SPPR!$A:$A,0),13),""),"")</f>
        <v/>
      </c>
      <c r="Q327">
        <f>IFERROR(IF(ISNUMBER(INDEX(SPPR!$E:$Z,MATCH($A327,SPPR!$A:$A,0),14)),$C327*INDEX(SPPR!$E:$Z,MATCH($A327,SPPR!$A:$A,0),14),""),"")</f>
        <v/>
      </c>
      <c r="R327">
        <f>IFERROR(IF(ISNUMBER(INDEX(SPPR!$E:$Z,MATCH($A327,SPPR!$A:$A,0),15)),$C327*INDEX(SPPR!$E:$Z,MATCH($A327,SPPR!$A:$A,0),15),""),"")</f>
        <v/>
      </c>
      <c r="S327">
        <f>IFERROR(IF(ISNUMBER(INDEX(SPPR!$E:$Z,MATCH($A327,SPPR!$A:$A,0),16)),$C327*INDEX(SPPR!$E:$Z,MATCH($A327,SPPR!$A:$A,0),16),""),"")</f>
        <v/>
      </c>
      <c r="T327">
        <f>IFERROR(IF(ISNUMBER(INDEX(SPPR!$E:$Z,MATCH($A327,SPPR!$A:$A,0),17)),$C327*INDEX(SPPR!$E:$Z,MATCH($A327,SPPR!$A:$A,0),17),""),"")</f>
        <v/>
      </c>
      <c r="U327">
        <f>IFERROR(IF(ISNUMBER(INDEX(SPPR!$E:$Z,MATCH($A327,SPPR!$A:$A,0),18)),$C327*INDEX(SPPR!$E:$Z,MATCH($A327,SPPR!$A:$A,0),18),""),"")</f>
        <v/>
      </c>
      <c r="V327">
        <f>IFERROR(IF(ISNUMBER(INDEX(SPPR!$E:$Z,MATCH($A327,SPPR!$A:$A,0),19)),$C327*INDEX(SPPR!$E:$Z,MATCH($A327,SPPR!$A:$A,0),19),""),"")</f>
        <v/>
      </c>
      <c r="W327">
        <f>IFERROR(IF(ISNUMBER(INDEX(SPPR!$E:$Z,MATCH($A327,SPPR!$A:$A,0),20)),$C327*INDEX(SPPR!$E:$Z,MATCH($A327,SPPR!$A:$A,0),20),""),"")</f>
        <v/>
      </c>
      <c r="X327">
        <f>IFERROR(IF(ISNUMBER(INDEX(SPPR!$E:$Z,MATCH($A327,SPPR!$A:$A,0),21)),$C327*INDEX(SPPR!$E:$Z,MATCH($A327,SPPR!$A:$A,0),21),""),"")</f>
        <v/>
      </c>
      <c r="Y327">
        <f>IFERROR(IF(ISNUMBER(INDEX(SPPR!$E:$Z,MATCH($A327,SPPR!$A:$A,0),22)),$C327*INDEX(SPPR!$E:$Z,MATCH($A327,SPPR!$A:$A,0),22),""),"")</f>
        <v/>
      </c>
    </row>
    <row r="328">
      <c r="A328" t="inlineStr">
        <is>
          <t>Promethichthys prometheus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IFERROR(IF(ISNUMBER(INDEX(SPPR!$E:$Z,MATCH($A328,SPPR!$A:$A,0),1)),$C328*INDEX(SPPR!$E:$Z,MATCH($A328,SPPR!$A:$A,0),1),""),"")</f>
        <v/>
      </c>
      <c r="E328">
        <f>IFERROR(IF(ISNUMBER(INDEX(SPPR!$E:$Z,MATCH($A328,SPPR!$A:$A,0),2)),$C328*INDEX(SPPR!$E:$Z,MATCH($A328,SPPR!$A:$A,0),2),""),"")</f>
        <v/>
      </c>
      <c r="F328">
        <f>IFERROR(IF(ISNUMBER(INDEX(SPPR!$E:$Z,MATCH($A328,SPPR!$A:$A,0),3)),$C328*INDEX(SPPR!$E:$Z,MATCH($A328,SPPR!$A:$A,0),3),""),"")</f>
        <v/>
      </c>
      <c r="G328">
        <f>IFERROR(IF(ISNUMBER(INDEX(SPPR!$E:$Z,MATCH($A328,SPPR!$A:$A,0),4)),$C328*INDEX(SPPR!$E:$Z,MATCH($A328,SPPR!$A:$A,0),4),""),"")</f>
        <v/>
      </c>
      <c r="H328">
        <f>IFERROR(IF(ISNUMBER(INDEX(SPPR!$E:$Z,MATCH($A328,SPPR!$A:$A,0),5)),$C328*INDEX(SPPR!$E:$Z,MATCH($A328,SPPR!$A:$A,0),5),""),"")</f>
        <v/>
      </c>
      <c r="I328">
        <f>IFERROR(IF(ISNUMBER(INDEX(SPPR!$E:$Z,MATCH($A328,SPPR!$A:$A,0),6)),$C328*INDEX(SPPR!$E:$Z,MATCH($A328,SPPR!$A:$A,0),6),""),"")</f>
        <v/>
      </c>
      <c r="J328">
        <f>IFERROR(IF(ISNUMBER(INDEX(SPPR!$E:$Z,MATCH($A328,SPPR!$A:$A,0),7)),$C328*INDEX(SPPR!$E:$Z,MATCH($A328,SPPR!$A:$A,0),7),""),"")</f>
        <v/>
      </c>
      <c r="K328">
        <f>IFERROR(IF(ISNUMBER(INDEX(SPPR!$E:$Z,MATCH($A328,SPPR!$A:$A,0),8)),$C328*INDEX(SPPR!$E:$Z,MATCH($A328,SPPR!$A:$A,0),8),""),"")</f>
        <v/>
      </c>
      <c r="L328">
        <f>IFERROR(IF(ISNUMBER(INDEX(SPPR!$E:$Z,MATCH($A328,SPPR!$A:$A,0),9)),$C328*INDEX(SPPR!$E:$Z,MATCH($A328,SPPR!$A:$A,0),9),""),"")</f>
        <v/>
      </c>
      <c r="M328">
        <f>IFERROR(IF(ISNUMBER(INDEX(SPPR!$E:$Z,MATCH($A328,SPPR!$A:$A,0),10)),$C328*INDEX(SPPR!$E:$Z,MATCH($A328,SPPR!$A:$A,0),10),""),"")</f>
        <v/>
      </c>
      <c r="N328">
        <f>IFERROR(IF(ISNUMBER(INDEX(SPPR!$E:$Z,MATCH($A328,SPPR!$A:$A,0),11)),$C328*INDEX(SPPR!$E:$Z,MATCH($A328,SPPR!$A:$A,0),11),""),"")</f>
        <v/>
      </c>
      <c r="O328">
        <f>IFERROR(IF(ISNUMBER(INDEX(SPPR!$E:$Z,MATCH($A328,SPPR!$A:$A,0),12)),$C328*INDEX(SPPR!$E:$Z,MATCH($A328,SPPR!$A:$A,0),12),""),"")</f>
        <v/>
      </c>
      <c r="P328">
        <f>IFERROR(IF(ISNUMBER(INDEX(SPPR!$E:$Z,MATCH($A328,SPPR!$A:$A,0),13)),$C328*INDEX(SPPR!$E:$Z,MATCH($A328,SPPR!$A:$A,0),13),""),"")</f>
        <v/>
      </c>
      <c r="Q328">
        <f>IFERROR(IF(ISNUMBER(INDEX(SPPR!$E:$Z,MATCH($A328,SPPR!$A:$A,0),14)),$C328*INDEX(SPPR!$E:$Z,MATCH($A328,SPPR!$A:$A,0),14),""),"")</f>
        <v/>
      </c>
      <c r="R328">
        <f>IFERROR(IF(ISNUMBER(INDEX(SPPR!$E:$Z,MATCH($A328,SPPR!$A:$A,0),15)),$C328*INDEX(SPPR!$E:$Z,MATCH($A328,SPPR!$A:$A,0),15),""),"")</f>
        <v/>
      </c>
      <c r="S328">
        <f>IFERROR(IF(ISNUMBER(INDEX(SPPR!$E:$Z,MATCH($A328,SPPR!$A:$A,0),16)),$C328*INDEX(SPPR!$E:$Z,MATCH($A328,SPPR!$A:$A,0),16),""),"")</f>
        <v/>
      </c>
      <c r="T328">
        <f>IFERROR(IF(ISNUMBER(INDEX(SPPR!$E:$Z,MATCH($A328,SPPR!$A:$A,0),17)),$C328*INDEX(SPPR!$E:$Z,MATCH($A328,SPPR!$A:$A,0),17),""),"")</f>
        <v/>
      </c>
      <c r="U328">
        <f>IFERROR(IF(ISNUMBER(INDEX(SPPR!$E:$Z,MATCH($A328,SPPR!$A:$A,0),18)),$C328*INDEX(SPPR!$E:$Z,MATCH($A328,SPPR!$A:$A,0),18),""),"")</f>
        <v/>
      </c>
      <c r="V328">
        <f>IFERROR(IF(ISNUMBER(INDEX(SPPR!$E:$Z,MATCH($A328,SPPR!$A:$A,0),19)),$C328*INDEX(SPPR!$E:$Z,MATCH($A328,SPPR!$A:$A,0),19),""),"")</f>
        <v/>
      </c>
      <c r="W328">
        <f>IFERROR(IF(ISNUMBER(INDEX(SPPR!$E:$Z,MATCH($A328,SPPR!$A:$A,0),20)),$C328*INDEX(SPPR!$E:$Z,MATCH($A328,SPPR!$A:$A,0),20),""),"")</f>
        <v/>
      </c>
      <c r="X328">
        <f>IFERROR(IF(ISNUMBER(INDEX(SPPR!$E:$Z,MATCH($A328,SPPR!$A:$A,0),21)),$C328*INDEX(SPPR!$E:$Z,MATCH($A328,SPPR!$A:$A,0),21),""),"")</f>
        <v/>
      </c>
      <c r="Y328">
        <f>IFERROR(IF(ISNUMBER(INDEX(SPPR!$E:$Z,MATCH($A328,SPPR!$A:$A,0),22)),$C328*INDEX(SPPR!$E:$Z,MATCH($A328,SPPR!$A:$A,0),22),""),"")</f>
        <v/>
      </c>
    </row>
    <row r="329">
      <c r="A329" t="inlineStr">
        <is>
          <t>Miscellaneous aquatic invertebrates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IFERROR(IF(ISNUMBER(INDEX(SPPR!$E:$Z,MATCH($A329,SPPR!$A:$A,0),1)),$C329*INDEX(SPPR!$E:$Z,MATCH($A329,SPPR!$A:$A,0),1),""),"")</f>
        <v/>
      </c>
      <c r="E329">
        <f>IFERROR(IF(ISNUMBER(INDEX(SPPR!$E:$Z,MATCH($A329,SPPR!$A:$A,0),2)),$C329*INDEX(SPPR!$E:$Z,MATCH($A329,SPPR!$A:$A,0),2),""),"")</f>
        <v/>
      </c>
      <c r="F329">
        <f>IFERROR(IF(ISNUMBER(INDEX(SPPR!$E:$Z,MATCH($A329,SPPR!$A:$A,0),3)),$C329*INDEX(SPPR!$E:$Z,MATCH($A329,SPPR!$A:$A,0),3),""),"")</f>
        <v/>
      </c>
      <c r="G329">
        <f>IFERROR(IF(ISNUMBER(INDEX(SPPR!$E:$Z,MATCH($A329,SPPR!$A:$A,0),4)),$C329*INDEX(SPPR!$E:$Z,MATCH($A329,SPPR!$A:$A,0),4),""),"")</f>
        <v/>
      </c>
      <c r="H329">
        <f>IFERROR(IF(ISNUMBER(INDEX(SPPR!$E:$Z,MATCH($A329,SPPR!$A:$A,0),5)),$C329*INDEX(SPPR!$E:$Z,MATCH($A329,SPPR!$A:$A,0),5),""),"")</f>
        <v/>
      </c>
      <c r="I329">
        <f>IFERROR(IF(ISNUMBER(INDEX(SPPR!$E:$Z,MATCH($A329,SPPR!$A:$A,0),6)),$C329*INDEX(SPPR!$E:$Z,MATCH($A329,SPPR!$A:$A,0),6),""),"")</f>
        <v/>
      </c>
      <c r="J329">
        <f>IFERROR(IF(ISNUMBER(INDEX(SPPR!$E:$Z,MATCH($A329,SPPR!$A:$A,0),7)),$C329*INDEX(SPPR!$E:$Z,MATCH($A329,SPPR!$A:$A,0),7),""),"")</f>
        <v/>
      </c>
      <c r="K329">
        <f>IFERROR(IF(ISNUMBER(INDEX(SPPR!$E:$Z,MATCH($A329,SPPR!$A:$A,0),8)),$C329*INDEX(SPPR!$E:$Z,MATCH($A329,SPPR!$A:$A,0),8),""),"")</f>
        <v/>
      </c>
      <c r="L329">
        <f>IFERROR(IF(ISNUMBER(INDEX(SPPR!$E:$Z,MATCH($A329,SPPR!$A:$A,0),9)),$C329*INDEX(SPPR!$E:$Z,MATCH($A329,SPPR!$A:$A,0),9),""),"")</f>
        <v/>
      </c>
      <c r="M329">
        <f>IFERROR(IF(ISNUMBER(INDEX(SPPR!$E:$Z,MATCH($A329,SPPR!$A:$A,0),10)),$C329*INDEX(SPPR!$E:$Z,MATCH($A329,SPPR!$A:$A,0),10),""),"")</f>
        <v/>
      </c>
      <c r="N329">
        <f>IFERROR(IF(ISNUMBER(INDEX(SPPR!$E:$Z,MATCH($A329,SPPR!$A:$A,0),11)),$C329*INDEX(SPPR!$E:$Z,MATCH($A329,SPPR!$A:$A,0),11),""),"")</f>
        <v/>
      </c>
      <c r="O329">
        <f>IFERROR(IF(ISNUMBER(INDEX(SPPR!$E:$Z,MATCH($A329,SPPR!$A:$A,0),12)),$C329*INDEX(SPPR!$E:$Z,MATCH($A329,SPPR!$A:$A,0),12),""),"")</f>
        <v/>
      </c>
      <c r="P329">
        <f>IFERROR(IF(ISNUMBER(INDEX(SPPR!$E:$Z,MATCH($A329,SPPR!$A:$A,0),13)),$C329*INDEX(SPPR!$E:$Z,MATCH($A329,SPPR!$A:$A,0),13),""),"")</f>
        <v/>
      </c>
      <c r="Q329">
        <f>IFERROR(IF(ISNUMBER(INDEX(SPPR!$E:$Z,MATCH($A329,SPPR!$A:$A,0),14)),$C329*INDEX(SPPR!$E:$Z,MATCH($A329,SPPR!$A:$A,0),14),""),"")</f>
        <v/>
      </c>
      <c r="R329">
        <f>IFERROR(IF(ISNUMBER(INDEX(SPPR!$E:$Z,MATCH($A329,SPPR!$A:$A,0),15)),$C329*INDEX(SPPR!$E:$Z,MATCH($A329,SPPR!$A:$A,0),15),""),"")</f>
        <v/>
      </c>
      <c r="S329">
        <f>IFERROR(IF(ISNUMBER(INDEX(SPPR!$E:$Z,MATCH($A329,SPPR!$A:$A,0),16)),$C329*INDEX(SPPR!$E:$Z,MATCH($A329,SPPR!$A:$A,0),16),""),"")</f>
        <v/>
      </c>
      <c r="T329">
        <f>IFERROR(IF(ISNUMBER(INDEX(SPPR!$E:$Z,MATCH($A329,SPPR!$A:$A,0),17)),$C329*INDEX(SPPR!$E:$Z,MATCH($A329,SPPR!$A:$A,0),17),""),"")</f>
        <v/>
      </c>
      <c r="U329">
        <f>IFERROR(IF(ISNUMBER(INDEX(SPPR!$E:$Z,MATCH($A329,SPPR!$A:$A,0),18)),$C329*INDEX(SPPR!$E:$Z,MATCH($A329,SPPR!$A:$A,0),18),""),"")</f>
        <v/>
      </c>
      <c r="V329">
        <f>IFERROR(IF(ISNUMBER(INDEX(SPPR!$E:$Z,MATCH($A329,SPPR!$A:$A,0),19)),$C329*INDEX(SPPR!$E:$Z,MATCH($A329,SPPR!$A:$A,0),19),""),"")</f>
        <v/>
      </c>
      <c r="W329">
        <f>IFERROR(IF(ISNUMBER(INDEX(SPPR!$E:$Z,MATCH($A329,SPPR!$A:$A,0),20)),$C329*INDEX(SPPR!$E:$Z,MATCH($A329,SPPR!$A:$A,0),20),""),"")</f>
        <v/>
      </c>
      <c r="X329">
        <f>IFERROR(IF(ISNUMBER(INDEX(SPPR!$E:$Z,MATCH($A329,SPPR!$A:$A,0),21)),$C329*INDEX(SPPR!$E:$Z,MATCH($A329,SPPR!$A:$A,0),21),""),"")</f>
        <v/>
      </c>
      <c r="Y329">
        <f>IFERROR(IF(ISNUMBER(INDEX(SPPR!$E:$Z,MATCH($A329,SPPR!$A:$A,0),22)),$C329*INDEX(SPPR!$E:$Z,MATCH($A329,SPPR!$A:$A,0),22),""),"")</f>
        <v/>
      </c>
    </row>
    <row r="330">
      <c r="A330" t="inlineStr">
        <is>
          <t>Schedophilus ovalis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IFERROR(IF(ISNUMBER(INDEX(SPPR!$E:$Z,MATCH($A330,SPPR!$A:$A,0),1)),$C330*INDEX(SPPR!$E:$Z,MATCH($A330,SPPR!$A:$A,0),1),""),"")</f>
        <v/>
      </c>
      <c r="E330">
        <f>IFERROR(IF(ISNUMBER(INDEX(SPPR!$E:$Z,MATCH($A330,SPPR!$A:$A,0),2)),$C330*INDEX(SPPR!$E:$Z,MATCH($A330,SPPR!$A:$A,0),2),""),"")</f>
        <v/>
      </c>
      <c r="F330">
        <f>IFERROR(IF(ISNUMBER(INDEX(SPPR!$E:$Z,MATCH($A330,SPPR!$A:$A,0),3)),$C330*INDEX(SPPR!$E:$Z,MATCH($A330,SPPR!$A:$A,0),3),""),"")</f>
        <v/>
      </c>
      <c r="G330">
        <f>IFERROR(IF(ISNUMBER(INDEX(SPPR!$E:$Z,MATCH($A330,SPPR!$A:$A,0),4)),$C330*INDEX(SPPR!$E:$Z,MATCH($A330,SPPR!$A:$A,0),4),""),"")</f>
        <v/>
      </c>
      <c r="H330">
        <f>IFERROR(IF(ISNUMBER(INDEX(SPPR!$E:$Z,MATCH($A330,SPPR!$A:$A,0),5)),$C330*INDEX(SPPR!$E:$Z,MATCH($A330,SPPR!$A:$A,0),5),""),"")</f>
        <v/>
      </c>
      <c r="I330">
        <f>IFERROR(IF(ISNUMBER(INDEX(SPPR!$E:$Z,MATCH($A330,SPPR!$A:$A,0),6)),$C330*INDEX(SPPR!$E:$Z,MATCH($A330,SPPR!$A:$A,0),6),""),"")</f>
        <v/>
      </c>
      <c r="J330">
        <f>IFERROR(IF(ISNUMBER(INDEX(SPPR!$E:$Z,MATCH($A330,SPPR!$A:$A,0),7)),$C330*INDEX(SPPR!$E:$Z,MATCH($A330,SPPR!$A:$A,0),7),""),"")</f>
        <v/>
      </c>
      <c r="K330">
        <f>IFERROR(IF(ISNUMBER(INDEX(SPPR!$E:$Z,MATCH($A330,SPPR!$A:$A,0),8)),$C330*INDEX(SPPR!$E:$Z,MATCH($A330,SPPR!$A:$A,0),8),""),"")</f>
        <v/>
      </c>
      <c r="L330">
        <f>IFERROR(IF(ISNUMBER(INDEX(SPPR!$E:$Z,MATCH($A330,SPPR!$A:$A,0),9)),$C330*INDEX(SPPR!$E:$Z,MATCH($A330,SPPR!$A:$A,0),9),""),"")</f>
        <v/>
      </c>
      <c r="M330">
        <f>IFERROR(IF(ISNUMBER(INDEX(SPPR!$E:$Z,MATCH($A330,SPPR!$A:$A,0),10)),$C330*INDEX(SPPR!$E:$Z,MATCH($A330,SPPR!$A:$A,0),10),""),"")</f>
        <v/>
      </c>
      <c r="N330">
        <f>IFERROR(IF(ISNUMBER(INDEX(SPPR!$E:$Z,MATCH($A330,SPPR!$A:$A,0),11)),$C330*INDEX(SPPR!$E:$Z,MATCH($A330,SPPR!$A:$A,0),11),""),"")</f>
        <v/>
      </c>
      <c r="O330">
        <f>IFERROR(IF(ISNUMBER(INDEX(SPPR!$E:$Z,MATCH($A330,SPPR!$A:$A,0),12)),$C330*INDEX(SPPR!$E:$Z,MATCH($A330,SPPR!$A:$A,0),12),""),"")</f>
        <v/>
      </c>
      <c r="P330">
        <f>IFERROR(IF(ISNUMBER(INDEX(SPPR!$E:$Z,MATCH($A330,SPPR!$A:$A,0),13)),$C330*INDEX(SPPR!$E:$Z,MATCH($A330,SPPR!$A:$A,0),13),""),"")</f>
        <v/>
      </c>
      <c r="Q330">
        <f>IFERROR(IF(ISNUMBER(INDEX(SPPR!$E:$Z,MATCH($A330,SPPR!$A:$A,0),14)),$C330*INDEX(SPPR!$E:$Z,MATCH($A330,SPPR!$A:$A,0),14),""),"")</f>
        <v/>
      </c>
      <c r="R330">
        <f>IFERROR(IF(ISNUMBER(INDEX(SPPR!$E:$Z,MATCH($A330,SPPR!$A:$A,0),15)),$C330*INDEX(SPPR!$E:$Z,MATCH($A330,SPPR!$A:$A,0),15),""),"")</f>
        <v/>
      </c>
      <c r="S330">
        <f>IFERROR(IF(ISNUMBER(INDEX(SPPR!$E:$Z,MATCH($A330,SPPR!$A:$A,0),16)),$C330*INDEX(SPPR!$E:$Z,MATCH($A330,SPPR!$A:$A,0),16),""),"")</f>
        <v/>
      </c>
      <c r="T330">
        <f>IFERROR(IF(ISNUMBER(INDEX(SPPR!$E:$Z,MATCH($A330,SPPR!$A:$A,0),17)),$C330*INDEX(SPPR!$E:$Z,MATCH($A330,SPPR!$A:$A,0),17),""),"")</f>
        <v/>
      </c>
      <c r="U330">
        <f>IFERROR(IF(ISNUMBER(INDEX(SPPR!$E:$Z,MATCH($A330,SPPR!$A:$A,0),18)),$C330*INDEX(SPPR!$E:$Z,MATCH($A330,SPPR!$A:$A,0),18),""),"")</f>
        <v/>
      </c>
      <c r="V330">
        <f>IFERROR(IF(ISNUMBER(INDEX(SPPR!$E:$Z,MATCH($A330,SPPR!$A:$A,0),19)),$C330*INDEX(SPPR!$E:$Z,MATCH($A330,SPPR!$A:$A,0),19),""),"")</f>
        <v/>
      </c>
      <c r="W330">
        <f>IFERROR(IF(ISNUMBER(INDEX(SPPR!$E:$Z,MATCH($A330,SPPR!$A:$A,0),20)),$C330*INDEX(SPPR!$E:$Z,MATCH($A330,SPPR!$A:$A,0),20),""),"")</f>
        <v/>
      </c>
      <c r="X330">
        <f>IFERROR(IF(ISNUMBER(INDEX(SPPR!$E:$Z,MATCH($A330,SPPR!$A:$A,0),21)),$C330*INDEX(SPPR!$E:$Z,MATCH($A330,SPPR!$A:$A,0),21),""),"")</f>
        <v/>
      </c>
      <c r="Y330">
        <f>IFERROR(IF(ISNUMBER(INDEX(SPPR!$E:$Z,MATCH($A330,SPPR!$A:$A,0),22)),$C330*INDEX(SPPR!$E:$Z,MATCH($A330,SPPR!$A:$A,0),22),""),"")</f>
        <v/>
      </c>
    </row>
    <row r="331">
      <c r="A331" t="inlineStr">
        <is>
          <t>Pseudocaranx dentex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IFERROR(IF(ISNUMBER(INDEX(SPPR!$E:$Z,MATCH($A331,SPPR!$A:$A,0),1)),$C331*INDEX(SPPR!$E:$Z,MATCH($A331,SPPR!$A:$A,0),1),""),"")</f>
        <v/>
      </c>
      <c r="E331">
        <f>IFERROR(IF(ISNUMBER(INDEX(SPPR!$E:$Z,MATCH($A331,SPPR!$A:$A,0),2)),$C331*INDEX(SPPR!$E:$Z,MATCH($A331,SPPR!$A:$A,0),2),""),"")</f>
        <v/>
      </c>
      <c r="F331">
        <f>IFERROR(IF(ISNUMBER(INDEX(SPPR!$E:$Z,MATCH($A331,SPPR!$A:$A,0),3)),$C331*INDEX(SPPR!$E:$Z,MATCH($A331,SPPR!$A:$A,0),3),""),"")</f>
        <v/>
      </c>
      <c r="G331">
        <f>IFERROR(IF(ISNUMBER(INDEX(SPPR!$E:$Z,MATCH($A331,SPPR!$A:$A,0),4)),$C331*INDEX(SPPR!$E:$Z,MATCH($A331,SPPR!$A:$A,0),4),""),"")</f>
        <v/>
      </c>
      <c r="H331">
        <f>IFERROR(IF(ISNUMBER(INDEX(SPPR!$E:$Z,MATCH($A331,SPPR!$A:$A,0),5)),$C331*INDEX(SPPR!$E:$Z,MATCH($A331,SPPR!$A:$A,0),5),""),"")</f>
        <v/>
      </c>
      <c r="I331">
        <f>IFERROR(IF(ISNUMBER(INDEX(SPPR!$E:$Z,MATCH($A331,SPPR!$A:$A,0),6)),$C331*INDEX(SPPR!$E:$Z,MATCH($A331,SPPR!$A:$A,0),6),""),"")</f>
        <v/>
      </c>
      <c r="J331">
        <f>IFERROR(IF(ISNUMBER(INDEX(SPPR!$E:$Z,MATCH($A331,SPPR!$A:$A,0),7)),$C331*INDEX(SPPR!$E:$Z,MATCH($A331,SPPR!$A:$A,0),7),""),"")</f>
        <v/>
      </c>
      <c r="K331">
        <f>IFERROR(IF(ISNUMBER(INDEX(SPPR!$E:$Z,MATCH($A331,SPPR!$A:$A,0),8)),$C331*INDEX(SPPR!$E:$Z,MATCH($A331,SPPR!$A:$A,0),8),""),"")</f>
        <v/>
      </c>
      <c r="L331">
        <f>IFERROR(IF(ISNUMBER(INDEX(SPPR!$E:$Z,MATCH($A331,SPPR!$A:$A,0),9)),$C331*INDEX(SPPR!$E:$Z,MATCH($A331,SPPR!$A:$A,0),9),""),"")</f>
        <v/>
      </c>
      <c r="M331">
        <f>IFERROR(IF(ISNUMBER(INDEX(SPPR!$E:$Z,MATCH($A331,SPPR!$A:$A,0),10)),$C331*INDEX(SPPR!$E:$Z,MATCH($A331,SPPR!$A:$A,0),10),""),"")</f>
        <v/>
      </c>
      <c r="N331">
        <f>IFERROR(IF(ISNUMBER(INDEX(SPPR!$E:$Z,MATCH($A331,SPPR!$A:$A,0),11)),$C331*INDEX(SPPR!$E:$Z,MATCH($A331,SPPR!$A:$A,0),11),""),"")</f>
        <v/>
      </c>
      <c r="O331">
        <f>IFERROR(IF(ISNUMBER(INDEX(SPPR!$E:$Z,MATCH($A331,SPPR!$A:$A,0),12)),$C331*INDEX(SPPR!$E:$Z,MATCH($A331,SPPR!$A:$A,0),12),""),"")</f>
        <v/>
      </c>
      <c r="P331">
        <f>IFERROR(IF(ISNUMBER(INDEX(SPPR!$E:$Z,MATCH($A331,SPPR!$A:$A,0),13)),$C331*INDEX(SPPR!$E:$Z,MATCH($A331,SPPR!$A:$A,0),13),""),"")</f>
        <v/>
      </c>
      <c r="Q331">
        <f>IFERROR(IF(ISNUMBER(INDEX(SPPR!$E:$Z,MATCH($A331,SPPR!$A:$A,0),14)),$C331*INDEX(SPPR!$E:$Z,MATCH($A331,SPPR!$A:$A,0),14),""),"")</f>
        <v/>
      </c>
      <c r="R331">
        <f>IFERROR(IF(ISNUMBER(INDEX(SPPR!$E:$Z,MATCH($A331,SPPR!$A:$A,0),15)),$C331*INDEX(SPPR!$E:$Z,MATCH($A331,SPPR!$A:$A,0),15),""),"")</f>
        <v/>
      </c>
      <c r="S331">
        <f>IFERROR(IF(ISNUMBER(INDEX(SPPR!$E:$Z,MATCH($A331,SPPR!$A:$A,0),16)),$C331*INDEX(SPPR!$E:$Z,MATCH($A331,SPPR!$A:$A,0),16),""),"")</f>
        <v/>
      </c>
      <c r="T331">
        <f>IFERROR(IF(ISNUMBER(INDEX(SPPR!$E:$Z,MATCH($A331,SPPR!$A:$A,0),17)),$C331*INDEX(SPPR!$E:$Z,MATCH($A331,SPPR!$A:$A,0),17),""),"")</f>
        <v/>
      </c>
      <c r="U331">
        <f>IFERROR(IF(ISNUMBER(INDEX(SPPR!$E:$Z,MATCH($A331,SPPR!$A:$A,0),18)),$C331*INDEX(SPPR!$E:$Z,MATCH($A331,SPPR!$A:$A,0),18),""),"")</f>
        <v/>
      </c>
      <c r="V331">
        <f>IFERROR(IF(ISNUMBER(INDEX(SPPR!$E:$Z,MATCH($A331,SPPR!$A:$A,0),19)),$C331*INDEX(SPPR!$E:$Z,MATCH($A331,SPPR!$A:$A,0),19),""),"")</f>
        <v/>
      </c>
      <c r="W331">
        <f>IFERROR(IF(ISNUMBER(INDEX(SPPR!$E:$Z,MATCH($A331,SPPR!$A:$A,0),20)),$C331*INDEX(SPPR!$E:$Z,MATCH($A331,SPPR!$A:$A,0),20),""),"")</f>
        <v/>
      </c>
      <c r="X331">
        <f>IFERROR(IF(ISNUMBER(INDEX(SPPR!$E:$Z,MATCH($A331,SPPR!$A:$A,0),21)),$C331*INDEX(SPPR!$E:$Z,MATCH($A331,SPPR!$A:$A,0),21),""),"")</f>
        <v/>
      </c>
      <c r="Y331">
        <f>IFERROR(IF(ISNUMBER(INDEX(SPPR!$E:$Z,MATCH($A331,SPPR!$A:$A,0),22)),$C331*INDEX(SPPR!$E:$Z,MATCH($A331,SPPR!$A:$A,0),22),""),"")</f>
        <v/>
      </c>
    </row>
    <row r="332">
      <c r="A332" t="inlineStr">
        <is>
          <t>Dentex maroccanus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IFERROR(IF(ISNUMBER(INDEX(SPPR!$E:$Z,MATCH($A332,SPPR!$A:$A,0),1)),$C332*INDEX(SPPR!$E:$Z,MATCH($A332,SPPR!$A:$A,0),1),""),"")</f>
        <v/>
      </c>
      <c r="E332">
        <f>IFERROR(IF(ISNUMBER(INDEX(SPPR!$E:$Z,MATCH($A332,SPPR!$A:$A,0),2)),$C332*INDEX(SPPR!$E:$Z,MATCH($A332,SPPR!$A:$A,0),2),""),"")</f>
        <v/>
      </c>
      <c r="F332">
        <f>IFERROR(IF(ISNUMBER(INDEX(SPPR!$E:$Z,MATCH($A332,SPPR!$A:$A,0),3)),$C332*INDEX(SPPR!$E:$Z,MATCH($A332,SPPR!$A:$A,0),3),""),"")</f>
        <v/>
      </c>
      <c r="G332">
        <f>IFERROR(IF(ISNUMBER(INDEX(SPPR!$E:$Z,MATCH($A332,SPPR!$A:$A,0),4)),$C332*INDEX(SPPR!$E:$Z,MATCH($A332,SPPR!$A:$A,0),4),""),"")</f>
        <v/>
      </c>
      <c r="H332">
        <f>IFERROR(IF(ISNUMBER(INDEX(SPPR!$E:$Z,MATCH($A332,SPPR!$A:$A,0),5)),$C332*INDEX(SPPR!$E:$Z,MATCH($A332,SPPR!$A:$A,0),5),""),"")</f>
        <v/>
      </c>
      <c r="I332">
        <f>IFERROR(IF(ISNUMBER(INDEX(SPPR!$E:$Z,MATCH($A332,SPPR!$A:$A,0),6)),$C332*INDEX(SPPR!$E:$Z,MATCH($A332,SPPR!$A:$A,0),6),""),"")</f>
        <v/>
      </c>
      <c r="J332">
        <f>IFERROR(IF(ISNUMBER(INDEX(SPPR!$E:$Z,MATCH($A332,SPPR!$A:$A,0),7)),$C332*INDEX(SPPR!$E:$Z,MATCH($A332,SPPR!$A:$A,0),7),""),"")</f>
        <v/>
      </c>
      <c r="K332">
        <f>IFERROR(IF(ISNUMBER(INDEX(SPPR!$E:$Z,MATCH($A332,SPPR!$A:$A,0),8)),$C332*INDEX(SPPR!$E:$Z,MATCH($A332,SPPR!$A:$A,0),8),""),"")</f>
        <v/>
      </c>
      <c r="L332">
        <f>IFERROR(IF(ISNUMBER(INDEX(SPPR!$E:$Z,MATCH($A332,SPPR!$A:$A,0),9)),$C332*INDEX(SPPR!$E:$Z,MATCH($A332,SPPR!$A:$A,0),9),""),"")</f>
        <v/>
      </c>
      <c r="M332">
        <f>IFERROR(IF(ISNUMBER(INDEX(SPPR!$E:$Z,MATCH($A332,SPPR!$A:$A,0),10)),$C332*INDEX(SPPR!$E:$Z,MATCH($A332,SPPR!$A:$A,0),10),""),"")</f>
        <v/>
      </c>
      <c r="N332">
        <f>IFERROR(IF(ISNUMBER(INDEX(SPPR!$E:$Z,MATCH($A332,SPPR!$A:$A,0),11)),$C332*INDEX(SPPR!$E:$Z,MATCH($A332,SPPR!$A:$A,0),11),""),"")</f>
        <v/>
      </c>
      <c r="O332">
        <f>IFERROR(IF(ISNUMBER(INDEX(SPPR!$E:$Z,MATCH($A332,SPPR!$A:$A,0),12)),$C332*INDEX(SPPR!$E:$Z,MATCH($A332,SPPR!$A:$A,0),12),""),"")</f>
        <v/>
      </c>
      <c r="P332">
        <f>IFERROR(IF(ISNUMBER(INDEX(SPPR!$E:$Z,MATCH($A332,SPPR!$A:$A,0),13)),$C332*INDEX(SPPR!$E:$Z,MATCH($A332,SPPR!$A:$A,0),13),""),"")</f>
        <v/>
      </c>
      <c r="Q332">
        <f>IFERROR(IF(ISNUMBER(INDEX(SPPR!$E:$Z,MATCH($A332,SPPR!$A:$A,0),14)),$C332*INDEX(SPPR!$E:$Z,MATCH($A332,SPPR!$A:$A,0),14),""),"")</f>
        <v/>
      </c>
      <c r="R332">
        <f>IFERROR(IF(ISNUMBER(INDEX(SPPR!$E:$Z,MATCH($A332,SPPR!$A:$A,0),15)),$C332*INDEX(SPPR!$E:$Z,MATCH($A332,SPPR!$A:$A,0),15),""),"")</f>
        <v/>
      </c>
      <c r="S332">
        <f>IFERROR(IF(ISNUMBER(INDEX(SPPR!$E:$Z,MATCH($A332,SPPR!$A:$A,0),16)),$C332*INDEX(SPPR!$E:$Z,MATCH($A332,SPPR!$A:$A,0),16),""),"")</f>
        <v/>
      </c>
      <c r="T332">
        <f>IFERROR(IF(ISNUMBER(INDEX(SPPR!$E:$Z,MATCH($A332,SPPR!$A:$A,0),17)),$C332*INDEX(SPPR!$E:$Z,MATCH($A332,SPPR!$A:$A,0),17),""),"")</f>
        <v/>
      </c>
      <c r="U332">
        <f>IFERROR(IF(ISNUMBER(INDEX(SPPR!$E:$Z,MATCH($A332,SPPR!$A:$A,0),18)),$C332*INDEX(SPPR!$E:$Z,MATCH($A332,SPPR!$A:$A,0),18),""),"")</f>
        <v/>
      </c>
      <c r="V332">
        <f>IFERROR(IF(ISNUMBER(INDEX(SPPR!$E:$Z,MATCH($A332,SPPR!$A:$A,0),19)),$C332*INDEX(SPPR!$E:$Z,MATCH($A332,SPPR!$A:$A,0),19),""),"")</f>
        <v/>
      </c>
      <c r="W332">
        <f>IFERROR(IF(ISNUMBER(INDEX(SPPR!$E:$Z,MATCH($A332,SPPR!$A:$A,0),20)),$C332*INDEX(SPPR!$E:$Z,MATCH($A332,SPPR!$A:$A,0),20),""),"")</f>
        <v/>
      </c>
      <c r="X332">
        <f>IFERROR(IF(ISNUMBER(INDEX(SPPR!$E:$Z,MATCH($A332,SPPR!$A:$A,0),21)),$C332*INDEX(SPPR!$E:$Z,MATCH($A332,SPPR!$A:$A,0),21),""),"")</f>
        <v/>
      </c>
      <c r="Y332">
        <f>IFERROR(IF(ISNUMBER(INDEX(SPPR!$E:$Z,MATCH($A332,SPPR!$A:$A,0),22)),$C332*INDEX(SPPR!$E:$Z,MATCH($A332,SPPR!$A:$A,0),22),""),"")</f>
        <v/>
      </c>
    </row>
    <row r="333">
      <c r="A333" t="inlineStr">
        <is>
          <t>Rachycentridae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IFERROR(IF(ISNUMBER(INDEX(SPPR!$E:$Z,MATCH($A333,SPPR!$A:$A,0),1)),$C333*INDEX(SPPR!$E:$Z,MATCH($A333,SPPR!$A:$A,0),1),""),"")</f>
        <v/>
      </c>
      <c r="E333">
        <f>IFERROR(IF(ISNUMBER(INDEX(SPPR!$E:$Z,MATCH($A333,SPPR!$A:$A,0),2)),$C333*INDEX(SPPR!$E:$Z,MATCH($A333,SPPR!$A:$A,0),2),""),"")</f>
        <v/>
      </c>
      <c r="F333">
        <f>IFERROR(IF(ISNUMBER(INDEX(SPPR!$E:$Z,MATCH($A333,SPPR!$A:$A,0),3)),$C333*INDEX(SPPR!$E:$Z,MATCH($A333,SPPR!$A:$A,0),3),""),"")</f>
        <v/>
      </c>
      <c r="G333">
        <f>IFERROR(IF(ISNUMBER(INDEX(SPPR!$E:$Z,MATCH($A333,SPPR!$A:$A,0),4)),$C333*INDEX(SPPR!$E:$Z,MATCH($A333,SPPR!$A:$A,0),4),""),"")</f>
        <v/>
      </c>
      <c r="H333">
        <f>IFERROR(IF(ISNUMBER(INDEX(SPPR!$E:$Z,MATCH($A333,SPPR!$A:$A,0),5)),$C333*INDEX(SPPR!$E:$Z,MATCH($A333,SPPR!$A:$A,0),5),""),"")</f>
        <v/>
      </c>
      <c r="I333">
        <f>IFERROR(IF(ISNUMBER(INDEX(SPPR!$E:$Z,MATCH($A333,SPPR!$A:$A,0),6)),$C333*INDEX(SPPR!$E:$Z,MATCH($A333,SPPR!$A:$A,0),6),""),"")</f>
        <v/>
      </c>
      <c r="J333">
        <f>IFERROR(IF(ISNUMBER(INDEX(SPPR!$E:$Z,MATCH($A333,SPPR!$A:$A,0),7)),$C333*INDEX(SPPR!$E:$Z,MATCH($A333,SPPR!$A:$A,0),7),""),"")</f>
        <v/>
      </c>
      <c r="K333">
        <f>IFERROR(IF(ISNUMBER(INDEX(SPPR!$E:$Z,MATCH($A333,SPPR!$A:$A,0),8)),$C333*INDEX(SPPR!$E:$Z,MATCH($A333,SPPR!$A:$A,0),8),""),"")</f>
        <v/>
      </c>
      <c r="L333">
        <f>IFERROR(IF(ISNUMBER(INDEX(SPPR!$E:$Z,MATCH($A333,SPPR!$A:$A,0),9)),$C333*INDEX(SPPR!$E:$Z,MATCH($A333,SPPR!$A:$A,0),9),""),"")</f>
        <v/>
      </c>
      <c r="M333">
        <f>IFERROR(IF(ISNUMBER(INDEX(SPPR!$E:$Z,MATCH($A333,SPPR!$A:$A,0),10)),$C333*INDEX(SPPR!$E:$Z,MATCH($A333,SPPR!$A:$A,0),10),""),"")</f>
        <v/>
      </c>
      <c r="N333">
        <f>IFERROR(IF(ISNUMBER(INDEX(SPPR!$E:$Z,MATCH($A333,SPPR!$A:$A,0),11)),$C333*INDEX(SPPR!$E:$Z,MATCH($A333,SPPR!$A:$A,0),11),""),"")</f>
        <v/>
      </c>
      <c r="O333">
        <f>IFERROR(IF(ISNUMBER(INDEX(SPPR!$E:$Z,MATCH($A333,SPPR!$A:$A,0),12)),$C333*INDEX(SPPR!$E:$Z,MATCH($A333,SPPR!$A:$A,0),12),""),"")</f>
        <v/>
      </c>
      <c r="P333">
        <f>IFERROR(IF(ISNUMBER(INDEX(SPPR!$E:$Z,MATCH($A333,SPPR!$A:$A,0),13)),$C333*INDEX(SPPR!$E:$Z,MATCH($A333,SPPR!$A:$A,0),13),""),"")</f>
        <v/>
      </c>
      <c r="Q333">
        <f>IFERROR(IF(ISNUMBER(INDEX(SPPR!$E:$Z,MATCH($A333,SPPR!$A:$A,0),14)),$C333*INDEX(SPPR!$E:$Z,MATCH($A333,SPPR!$A:$A,0),14),""),"")</f>
        <v/>
      </c>
      <c r="R333">
        <f>IFERROR(IF(ISNUMBER(INDEX(SPPR!$E:$Z,MATCH($A333,SPPR!$A:$A,0),15)),$C333*INDEX(SPPR!$E:$Z,MATCH($A333,SPPR!$A:$A,0),15),""),"")</f>
        <v/>
      </c>
      <c r="S333">
        <f>IFERROR(IF(ISNUMBER(INDEX(SPPR!$E:$Z,MATCH($A333,SPPR!$A:$A,0),16)),$C333*INDEX(SPPR!$E:$Z,MATCH($A333,SPPR!$A:$A,0),16),""),"")</f>
        <v/>
      </c>
      <c r="T333">
        <f>IFERROR(IF(ISNUMBER(INDEX(SPPR!$E:$Z,MATCH($A333,SPPR!$A:$A,0),17)),$C333*INDEX(SPPR!$E:$Z,MATCH($A333,SPPR!$A:$A,0),17),""),"")</f>
        <v/>
      </c>
      <c r="U333">
        <f>IFERROR(IF(ISNUMBER(INDEX(SPPR!$E:$Z,MATCH($A333,SPPR!$A:$A,0),18)),$C333*INDEX(SPPR!$E:$Z,MATCH($A333,SPPR!$A:$A,0),18),""),"")</f>
        <v/>
      </c>
      <c r="V333">
        <f>IFERROR(IF(ISNUMBER(INDEX(SPPR!$E:$Z,MATCH($A333,SPPR!$A:$A,0),19)),$C333*INDEX(SPPR!$E:$Z,MATCH($A333,SPPR!$A:$A,0),19),""),"")</f>
        <v/>
      </c>
      <c r="W333">
        <f>IFERROR(IF(ISNUMBER(INDEX(SPPR!$E:$Z,MATCH($A333,SPPR!$A:$A,0),20)),$C333*INDEX(SPPR!$E:$Z,MATCH($A333,SPPR!$A:$A,0),20),""),"")</f>
        <v/>
      </c>
      <c r="X333">
        <f>IFERROR(IF(ISNUMBER(INDEX(SPPR!$E:$Z,MATCH($A333,SPPR!$A:$A,0),21)),$C333*INDEX(SPPR!$E:$Z,MATCH($A333,SPPR!$A:$A,0),21),""),"")</f>
        <v/>
      </c>
      <c r="Y333">
        <f>IFERROR(IF(ISNUMBER(INDEX(SPPR!$E:$Z,MATCH($A333,SPPR!$A:$A,0),22)),$C333*INDEX(SPPR!$E:$Z,MATCH($A333,SPPR!$A:$A,0),22),""),"")</f>
        <v/>
      </c>
    </row>
    <row r="334">
      <c r="A334" t="inlineStr">
        <is>
          <t>Lamnidae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IFERROR(IF(ISNUMBER(INDEX(SPPR!$E:$Z,MATCH($A334,SPPR!$A:$A,0),1)),$C334*INDEX(SPPR!$E:$Z,MATCH($A334,SPPR!$A:$A,0),1),""),"")</f>
        <v/>
      </c>
      <c r="E334">
        <f>IFERROR(IF(ISNUMBER(INDEX(SPPR!$E:$Z,MATCH($A334,SPPR!$A:$A,0),2)),$C334*INDEX(SPPR!$E:$Z,MATCH($A334,SPPR!$A:$A,0),2),""),"")</f>
        <v/>
      </c>
      <c r="F334">
        <f>IFERROR(IF(ISNUMBER(INDEX(SPPR!$E:$Z,MATCH($A334,SPPR!$A:$A,0),3)),$C334*INDEX(SPPR!$E:$Z,MATCH($A334,SPPR!$A:$A,0),3),""),"")</f>
        <v/>
      </c>
      <c r="G334">
        <f>IFERROR(IF(ISNUMBER(INDEX(SPPR!$E:$Z,MATCH($A334,SPPR!$A:$A,0),4)),$C334*INDEX(SPPR!$E:$Z,MATCH($A334,SPPR!$A:$A,0),4),""),"")</f>
        <v/>
      </c>
      <c r="H334">
        <f>IFERROR(IF(ISNUMBER(INDEX(SPPR!$E:$Z,MATCH($A334,SPPR!$A:$A,0),5)),$C334*INDEX(SPPR!$E:$Z,MATCH($A334,SPPR!$A:$A,0),5),""),"")</f>
        <v/>
      </c>
      <c r="I334">
        <f>IFERROR(IF(ISNUMBER(INDEX(SPPR!$E:$Z,MATCH($A334,SPPR!$A:$A,0),6)),$C334*INDEX(SPPR!$E:$Z,MATCH($A334,SPPR!$A:$A,0),6),""),"")</f>
        <v/>
      </c>
      <c r="J334">
        <f>IFERROR(IF(ISNUMBER(INDEX(SPPR!$E:$Z,MATCH($A334,SPPR!$A:$A,0),7)),$C334*INDEX(SPPR!$E:$Z,MATCH($A334,SPPR!$A:$A,0),7),""),"")</f>
        <v/>
      </c>
      <c r="K334">
        <f>IFERROR(IF(ISNUMBER(INDEX(SPPR!$E:$Z,MATCH($A334,SPPR!$A:$A,0),8)),$C334*INDEX(SPPR!$E:$Z,MATCH($A334,SPPR!$A:$A,0),8),""),"")</f>
        <v/>
      </c>
      <c r="L334">
        <f>IFERROR(IF(ISNUMBER(INDEX(SPPR!$E:$Z,MATCH($A334,SPPR!$A:$A,0),9)),$C334*INDEX(SPPR!$E:$Z,MATCH($A334,SPPR!$A:$A,0),9),""),"")</f>
        <v/>
      </c>
      <c r="M334">
        <f>IFERROR(IF(ISNUMBER(INDEX(SPPR!$E:$Z,MATCH($A334,SPPR!$A:$A,0),10)),$C334*INDEX(SPPR!$E:$Z,MATCH($A334,SPPR!$A:$A,0),10),""),"")</f>
        <v/>
      </c>
      <c r="N334">
        <f>IFERROR(IF(ISNUMBER(INDEX(SPPR!$E:$Z,MATCH($A334,SPPR!$A:$A,0),11)),$C334*INDEX(SPPR!$E:$Z,MATCH($A334,SPPR!$A:$A,0),11),""),"")</f>
        <v/>
      </c>
      <c r="O334">
        <f>IFERROR(IF(ISNUMBER(INDEX(SPPR!$E:$Z,MATCH($A334,SPPR!$A:$A,0),12)),$C334*INDEX(SPPR!$E:$Z,MATCH($A334,SPPR!$A:$A,0),12),""),"")</f>
        <v/>
      </c>
      <c r="P334">
        <f>IFERROR(IF(ISNUMBER(INDEX(SPPR!$E:$Z,MATCH($A334,SPPR!$A:$A,0),13)),$C334*INDEX(SPPR!$E:$Z,MATCH($A334,SPPR!$A:$A,0),13),""),"")</f>
        <v/>
      </c>
      <c r="Q334">
        <f>IFERROR(IF(ISNUMBER(INDEX(SPPR!$E:$Z,MATCH($A334,SPPR!$A:$A,0),14)),$C334*INDEX(SPPR!$E:$Z,MATCH($A334,SPPR!$A:$A,0),14),""),"")</f>
        <v/>
      </c>
      <c r="R334">
        <f>IFERROR(IF(ISNUMBER(INDEX(SPPR!$E:$Z,MATCH($A334,SPPR!$A:$A,0),15)),$C334*INDEX(SPPR!$E:$Z,MATCH($A334,SPPR!$A:$A,0),15),""),"")</f>
        <v/>
      </c>
      <c r="S334">
        <f>IFERROR(IF(ISNUMBER(INDEX(SPPR!$E:$Z,MATCH($A334,SPPR!$A:$A,0),16)),$C334*INDEX(SPPR!$E:$Z,MATCH($A334,SPPR!$A:$A,0),16),""),"")</f>
        <v/>
      </c>
      <c r="T334">
        <f>IFERROR(IF(ISNUMBER(INDEX(SPPR!$E:$Z,MATCH($A334,SPPR!$A:$A,0),17)),$C334*INDEX(SPPR!$E:$Z,MATCH($A334,SPPR!$A:$A,0),17),""),"")</f>
        <v/>
      </c>
      <c r="U334">
        <f>IFERROR(IF(ISNUMBER(INDEX(SPPR!$E:$Z,MATCH($A334,SPPR!$A:$A,0),18)),$C334*INDEX(SPPR!$E:$Z,MATCH($A334,SPPR!$A:$A,0),18),""),"")</f>
        <v/>
      </c>
      <c r="V334">
        <f>IFERROR(IF(ISNUMBER(INDEX(SPPR!$E:$Z,MATCH($A334,SPPR!$A:$A,0),19)),$C334*INDEX(SPPR!$E:$Z,MATCH($A334,SPPR!$A:$A,0),19),""),"")</f>
        <v/>
      </c>
      <c r="W334">
        <f>IFERROR(IF(ISNUMBER(INDEX(SPPR!$E:$Z,MATCH($A334,SPPR!$A:$A,0),20)),$C334*INDEX(SPPR!$E:$Z,MATCH($A334,SPPR!$A:$A,0),20),""),"")</f>
        <v/>
      </c>
      <c r="X334">
        <f>IFERROR(IF(ISNUMBER(INDEX(SPPR!$E:$Z,MATCH($A334,SPPR!$A:$A,0),21)),$C334*INDEX(SPPR!$E:$Z,MATCH($A334,SPPR!$A:$A,0),21),""),"")</f>
        <v/>
      </c>
      <c r="Y334">
        <f>IFERROR(IF(ISNUMBER(INDEX(SPPR!$E:$Z,MATCH($A334,SPPR!$A:$A,0),22)),$C334*INDEX(SPPR!$E:$Z,MATCH($A334,SPPR!$A:$A,0),22),""),"")</f>
        <v/>
      </c>
    </row>
    <row r="335">
      <c r="A335" t="inlineStr">
        <is>
          <t>Sarda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IFERROR(IF(ISNUMBER(INDEX(SPPR!$E:$Z,MATCH($A335,SPPR!$A:$A,0),1)),$C335*INDEX(SPPR!$E:$Z,MATCH($A335,SPPR!$A:$A,0),1),""),"")</f>
        <v/>
      </c>
      <c r="E335">
        <f>IFERROR(IF(ISNUMBER(INDEX(SPPR!$E:$Z,MATCH($A335,SPPR!$A:$A,0),2)),$C335*INDEX(SPPR!$E:$Z,MATCH($A335,SPPR!$A:$A,0),2),""),"")</f>
        <v/>
      </c>
      <c r="F335">
        <f>IFERROR(IF(ISNUMBER(INDEX(SPPR!$E:$Z,MATCH($A335,SPPR!$A:$A,0),3)),$C335*INDEX(SPPR!$E:$Z,MATCH($A335,SPPR!$A:$A,0),3),""),"")</f>
        <v/>
      </c>
      <c r="G335">
        <f>IFERROR(IF(ISNUMBER(INDEX(SPPR!$E:$Z,MATCH($A335,SPPR!$A:$A,0),4)),$C335*INDEX(SPPR!$E:$Z,MATCH($A335,SPPR!$A:$A,0),4),""),"")</f>
        <v/>
      </c>
      <c r="H335">
        <f>IFERROR(IF(ISNUMBER(INDEX(SPPR!$E:$Z,MATCH($A335,SPPR!$A:$A,0),5)),$C335*INDEX(SPPR!$E:$Z,MATCH($A335,SPPR!$A:$A,0),5),""),"")</f>
        <v/>
      </c>
      <c r="I335">
        <f>IFERROR(IF(ISNUMBER(INDEX(SPPR!$E:$Z,MATCH($A335,SPPR!$A:$A,0),6)),$C335*INDEX(SPPR!$E:$Z,MATCH($A335,SPPR!$A:$A,0),6),""),"")</f>
        <v/>
      </c>
      <c r="J335">
        <f>IFERROR(IF(ISNUMBER(INDEX(SPPR!$E:$Z,MATCH($A335,SPPR!$A:$A,0),7)),$C335*INDEX(SPPR!$E:$Z,MATCH($A335,SPPR!$A:$A,0),7),""),"")</f>
        <v/>
      </c>
      <c r="K335">
        <f>IFERROR(IF(ISNUMBER(INDEX(SPPR!$E:$Z,MATCH($A335,SPPR!$A:$A,0),8)),$C335*INDEX(SPPR!$E:$Z,MATCH($A335,SPPR!$A:$A,0),8),""),"")</f>
        <v/>
      </c>
      <c r="L335">
        <f>IFERROR(IF(ISNUMBER(INDEX(SPPR!$E:$Z,MATCH($A335,SPPR!$A:$A,0),9)),$C335*INDEX(SPPR!$E:$Z,MATCH($A335,SPPR!$A:$A,0),9),""),"")</f>
        <v/>
      </c>
      <c r="M335">
        <f>IFERROR(IF(ISNUMBER(INDEX(SPPR!$E:$Z,MATCH($A335,SPPR!$A:$A,0),10)),$C335*INDEX(SPPR!$E:$Z,MATCH($A335,SPPR!$A:$A,0),10),""),"")</f>
        <v/>
      </c>
      <c r="N335">
        <f>IFERROR(IF(ISNUMBER(INDEX(SPPR!$E:$Z,MATCH($A335,SPPR!$A:$A,0),11)),$C335*INDEX(SPPR!$E:$Z,MATCH($A335,SPPR!$A:$A,0),11),""),"")</f>
        <v/>
      </c>
      <c r="O335">
        <f>IFERROR(IF(ISNUMBER(INDEX(SPPR!$E:$Z,MATCH($A335,SPPR!$A:$A,0),12)),$C335*INDEX(SPPR!$E:$Z,MATCH($A335,SPPR!$A:$A,0),12),""),"")</f>
        <v/>
      </c>
      <c r="P335">
        <f>IFERROR(IF(ISNUMBER(INDEX(SPPR!$E:$Z,MATCH($A335,SPPR!$A:$A,0),13)),$C335*INDEX(SPPR!$E:$Z,MATCH($A335,SPPR!$A:$A,0),13),""),"")</f>
        <v/>
      </c>
      <c r="Q335">
        <f>IFERROR(IF(ISNUMBER(INDEX(SPPR!$E:$Z,MATCH($A335,SPPR!$A:$A,0),14)),$C335*INDEX(SPPR!$E:$Z,MATCH($A335,SPPR!$A:$A,0),14),""),"")</f>
        <v/>
      </c>
      <c r="R335">
        <f>IFERROR(IF(ISNUMBER(INDEX(SPPR!$E:$Z,MATCH($A335,SPPR!$A:$A,0),15)),$C335*INDEX(SPPR!$E:$Z,MATCH($A335,SPPR!$A:$A,0),15),""),"")</f>
        <v/>
      </c>
      <c r="S335">
        <f>IFERROR(IF(ISNUMBER(INDEX(SPPR!$E:$Z,MATCH($A335,SPPR!$A:$A,0),16)),$C335*INDEX(SPPR!$E:$Z,MATCH($A335,SPPR!$A:$A,0),16),""),"")</f>
        <v/>
      </c>
      <c r="T335">
        <f>IFERROR(IF(ISNUMBER(INDEX(SPPR!$E:$Z,MATCH($A335,SPPR!$A:$A,0),17)),$C335*INDEX(SPPR!$E:$Z,MATCH($A335,SPPR!$A:$A,0),17),""),"")</f>
        <v/>
      </c>
      <c r="U335">
        <f>IFERROR(IF(ISNUMBER(INDEX(SPPR!$E:$Z,MATCH($A335,SPPR!$A:$A,0),18)),$C335*INDEX(SPPR!$E:$Z,MATCH($A335,SPPR!$A:$A,0),18),""),"")</f>
        <v/>
      </c>
      <c r="V335">
        <f>IFERROR(IF(ISNUMBER(INDEX(SPPR!$E:$Z,MATCH($A335,SPPR!$A:$A,0),19)),$C335*INDEX(SPPR!$E:$Z,MATCH($A335,SPPR!$A:$A,0),19),""),"")</f>
        <v/>
      </c>
      <c r="W335">
        <f>IFERROR(IF(ISNUMBER(INDEX(SPPR!$E:$Z,MATCH($A335,SPPR!$A:$A,0),20)),$C335*INDEX(SPPR!$E:$Z,MATCH($A335,SPPR!$A:$A,0),20),""),"")</f>
        <v/>
      </c>
      <c r="X335">
        <f>IFERROR(IF(ISNUMBER(INDEX(SPPR!$E:$Z,MATCH($A335,SPPR!$A:$A,0),21)),$C335*INDEX(SPPR!$E:$Z,MATCH($A335,SPPR!$A:$A,0),21),""),"")</f>
        <v/>
      </c>
      <c r="Y335">
        <f>IFERROR(IF(ISNUMBER(INDEX(SPPR!$E:$Z,MATCH($A335,SPPR!$A:$A,0),22)),$C335*INDEX(SPPR!$E:$Z,MATCH($A335,SPPR!$A:$A,0),22),""),"")</f>
        <v/>
      </c>
    </row>
    <row r="336">
      <c r="A336" t="inlineStr">
        <is>
          <t>Isurus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IFERROR(IF(ISNUMBER(INDEX(SPPR!$E:$Z,MATCH($A336,SPPR!$A:$A,0),1)),$C336*INDEX(SPPR!$E:$Z,MATCH($A336,SPPR!$A:$A,0),1),""),"")</f>
        <v/>
      </c>
      <c r="E336">
        <f>IFERROR(IF(ISNUMBER(INDEX(SPPR!$E:$Z,MATCH($A336,SPPR!$A:$A,0),2)),$C336*INDEX(SPPR!$E:$Z,MATCH($A336,SPPR!$A:$A,0),2),""),"")</f>
        <v/>
      </c>
      <c r="F336">
        <f>IFERROR(IF(ISNUMBER(INDEX(SPPR!$E:$Z,MATCH($A336,SPPR!$A:$A,0),3)),$C336*INDEX(SPPR!$E:$Z,MATCH($A336,SPPR!$A:$A,0),3),""),"")</f>
        <v/>
      </c>
      <c r="G336">
        <f>IFERROR(IF(ISNUMBER(INDEX(SPPR!$E:$Z,MATCH($A336,SPPR!$A:$A,0),4)),$C336*INDEX(SPPR!$E:$Z,MATCH($A336,SPPR!$A:$A,0),4),""),"")</f>
        <v/>
      </c>
      <c r="H336">
        <f>IFERROR(IF(ISNUMBER(INDEX(SPPR!$E:$Z,MATCH($A336,SPPR!$A:$A,0),5)),$C336*INDEX(SPPR!$E:$Z,MATCH($A336,SPPR!$A:$A,0),5),""),"")</f>
        <v/>
      </c>
      <c r="I336">
        <f>IFERROR(IF(ISNUMBER(INDEX(SPPR!$E:$Z,MATCH($A336,SPPR!$A:$A,0),6)),$C336*INDEX(SPPR!$E:$Z,MATCH($A336,SPPR!$A:$A,0),6),""),"")</f>
        <v/>
      </c>
      <c r="J336">
        <f>IFERROR(IF(ISNUMBER(INDEX(SPPR!$E:$Z,MATCH($A336,SPPR!$A:$A,0),7)),$C336*INDEX(SPPR!$E:$Z,MATCH($A336,SPPR!$A:$A,0),7),""),"")</f>
        <v/>
      </c>
      <c r="K336">
        <f>IFERROR(IF(ISNUMBER(INDEX(SPPR!$E:$Z,MATCH($A336,SPPR!$A:$A,0),8)),$C336*INDEX(SPPR!$E:$Z,MATCH($A336,SPPR!$A:$A,0),8),""),"")</f>
        <v/>
      </c>
      <c r="L336">
        <f>IFERROR(IF(ISNUMBER(INDEX(SPPR!$E:$Z,MATCH($A336,SPPR!$A:$A,0),9)),$C336*INDEX(SPPR!$E:$Z,MATCH($A336,SPPR!$A:$A,0),9),""),"")</f>
        <v/>
      </c>
      <c r="M336">
        <f>IFERROR(IF(ISNUMBER(INDEX(SPPR!$E:$Z,MATCH($A336,SPPR!$A:$A,0),10)),$C336*INDEX(SPPR!$E:$Z,MATCH($A336,SPPR!$A:$A,0),10),""),"")</f>
        <v/>
      </c>
      <c r="N336">
        <f>IFERROR(IF(ISNUMBER(INDEX(SPPR!$E:$Z,MATCH($A336,SPPR!$A:$A,0),11)),$C336*INDEX(SPPR!$E:$Z,MATCH($A336,SPPR!$A:$A,0),11),""),"")</f>
        <v/>
      </c>
      <c r="O336">
        <f>IFERROR(IF(ISNUMBER(INDEX(SPPR!$E:$Z,MATCH($A336,SPPR!$A:$A,0),12)),$C336*INDEX(SPPR!$E:$Z,MATCH($A336,SPPR!$A:$A,0),12),""),"")</f>
        <v/>
      </c>
      <c r="P336">
        <f>IFERROR(IF(ISNUMBER(INDEX(SPPR!$E:$Z,MATCH($A336,SPPR!$A:$A,0),13)),$C336*INDEX(SPPR!$E:$Z,MATCH($A336,SPPR!$A:$A,0),13),""),"")</f>
        <v/>
      </c>
      <c r="Q336">
        <f>IFERROR(IF(ISNUMBER(INDEX(SPPR!$E:$Z,MATCH($A336,SPPR!$A:$A,0),14)),$C336*INDEX(SPPR!$E:$Z,MATCH($A336,SPPR!$A:$A,0),14),""),"")</f>
        <v/>
      </c>
      <c r="R336">
        <f>IFERROR(IF(ISNUMBER(INDEX(SPPR!$E:$Z,MATCH($A336,SPPR!$A:$A,0),15)),$C336*INDEX(SPPR!$E:$Z,MATCH($A336,SPPR!$A:$A,0),15),""),"")</f>
        <v/>
      </c>
      <c r="S336">
        <f>IFERROR(IF(ISNUMBER(INDEX(SPPR!$E:$Z,MATCH($A336,SPPR!$A:$A,0),16)),$C336*INDEX(SPPR!$E:$Z,MATCH($A336,SPPR!$A:$A,0),16),""),"")</f>
        <v/>
      </c>
      <c r="T336">
        <f>IFERROR(IF(ISNUMBER(INDEX(SPPR!$E:$Z,MATCH($A336,SPPR!$A:$A,0),17)),$C336*INDEX(SPPR!$E:$Z,MATCH($A336,SPPR!$A:$A,0),17),""),"")</f>
        <v/>
      </c>
      <c r="U336">
        <f>IFERROR(IF(ISNUMBER(INDEX(SPPR!$E:$Z,MATCH($A336,SPPR!$A:$A,0),18)),$C336*INDEX(SPPR!$E:$Z,MATCH($A336,SPPR!$A:$A,0),18),""),"")</f>
        <v/>
      </c>
      <c r="V336">
        <f>IFERROR(IF(ISNUMBER(INDEX(SPPR!$E:$Z,MATCH($A336,SPPR!$A:$A,0),19)),$C336*INDEX(SPPR!$E:$Z,MATCH($A336,SPPR!$A:$A,0),19),""),"")</f>
        <v/>
      </c>
      <c r="W336">
        <f>IFERROR(IF(ISNUMBER(INDEX(SPPR!$E:$Z,MATCH($A336,SPPR!$A:$A,0),20)),$C336*INDEX(SPPR!$E:$Z,MATCH($A336,SPPR!$A:$A,0),20),""),"")</f>
        <v/>
      </c>
      <c r="X336">
        <f>IFERROR(IF(ISNUMBER(INDEX(SPPR!$E:$Z,MATCH($A336,SPPR!$A:$A,0),21)),$C336*INDEX(SPPR!$E:$Z,MATCH($A336,SPPR!$A:$A,0),21),""),"")</f>
        <v/>
      </c>
      <c r="Y336">
        <f>IFERROR(IF(ISNUMBER(INDEX(SPPR!$E:$Z,MATCH($A336,SPPR!$A:$A,0),22)),$C336*INDEX(SPPR!$E:$Z,MATCH($A336,SPPR!$A:$A,0),22),""),"")</f>
        <v/>
      </c>
    </row>
    <row r="337">
      <c r="A337" t="inlineStr">
        <is>
          <t>Lophius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IFERROR(IF(ISNUMBER(INDEX(SPPR!$E:$Z,MATCH($A337,SPPR!$A:$A,0),1)),$C337*INDEX(SPPR!$E:$Z,MATCH($A337,SPPR!$A:$A,0),1),""),"")</f>
        <v/>
      </c>
      <c r="E337">
        <f>IFERROR(IF(ISNUMBER(INDEX(SPPR!$E:$Z,MATCH($A337,SPPR!$A:$A,0),2)),$C337*INDEX(SPPR!$E:$Z,MATCH($A337,SPPR!$A:$A,0),2),""),"")</f>
        <v/>
      </c>
      <c r="F337">
        <f>IFERROR(IF(ISNUMBER(INDEX(SPPR!$E:$Z,MATCH($A337,SPPR!$A:$A,0),3)),$C337*INDEX(SPPR!$E:$Z,MATCH($A337,SPPR!$A:$A,0),3),""),"")</f>
        <v/>
      </c>
      <c r="G337">
        <f>IFERROR(IF(ISNUMBER(INDEX(SPPR!$E:$Z,MATCH($A337,SPPR!$A:$A,0),4)),$C337*INDEX(SPPR!$E:$Z,MATCH($A337,SPPR!$A:$A,0),4),""),"")</f>
        <v/>
      </c>
      <c r="H337">
        <f>IFERROR(IF(ISNUMBER(INDEX(SPPR!$E:$Z,MATCH($A337,SPPR!$A:$A,0),5)),$C337*INDEX(SPPR!$E:$Z,MATCH($A337,SPPR!$A:$A,0),5),""),"")</f>
        <v/>
      </c>
      <c r="I337">
        <f>IFERROR(IF(ISNUMBER(INDEX(SPPR!$E:$Z,MATCH($A337,SPPR!$A:$A,0),6)),$C337*INDEX(SPPR!$E:$Z,MATCH($A337,SPPR!$A:$A,0),6),""),"")</f>
        <v/>
      </c>
      <c r="J337">
        <f>IFERROR(IF(ISNUMBER(INDEX(SPPR!$E:$Z,MATCH($A337,SPPR!$A:$A,0),7)),$C337*INDEX(SPPR!$E:$Z,MATCH($A337,SPPR!$A:$A,0),7),""),"")</f>
        <v/>
      </c>
      <c r="K337">
        <f>IFERROR(IF(ISNUMBER(INDEX(SPPR!$E:$Z,MATCH($A337,SPPR!$A:$A,0),8)),$C337*INDEX(SPPR!$E:$Z,MATCH($A337,SPPR!$A:$A,0),8),""),"")</f>
        <v/>
      </c>
      <c r="L337">
        <f>IFERROR(IF(ISNUMBER(INDEX(SPPR!$E:$Z,MATCH($A337,SPPR!$A:$A,0),9)),$C337*INDEX(SPPR!$E:$Z,MATCH($A337,SPPR!$A:$A,0),9),""),"")</f>
        <v/>
      </c>
      <c r="M337">
        <f>IFERROR(IF(ISNUMBER(INDEX(SPPR!$E:$Z,MATCH($A337,SPPR!$A:$A,0),10)),$C337*INDEX(SPPR!$E:$Z,MATCH($A337,SPPR!$A:$A,0),10),""),"")</f>
        <v/>
      </c>
      <c r="N337">
        <f>IFERROR(IF(ISNUMBER(INDEX(SPPR!$E:$Z,MATCH($A337,SPPR!$A:$A,0),11)),$C337*INDEX(SPPR!$E:$Z,MATCH($A337,SPPR!$A:$A,0),11),""),"")</f>
        <v/>
      </c>
      <c r="O337">
        <f>IFERROR(IF(ISNUMBER(INDEX(SPPR!$E:$Z,MATCH($A337,SPPR!$A:$A,0),12)),$C337*INDEX(SPPR!$E:$Z,MATCH($A337,SPPR!$A:$A,0),12),""),"")</f>
        <v/>
      </c>
      <c r="P337">
        <f>IFERROR(IF(ISNUMBER(INDEX(SPPR!$E:$Z,MATCH($A337,SPPR!$A:$A,0),13)),$C337*INDEX(SPPR!$E:$Z,MATCH($A337,SPPR!$A:$A,0),13),""),"")</f>
        <v/>
      </c>
      <c r="Q337">
        <f>IFERROR(IF(ISNUMBER(INDEX(SPPR!$E:$Z,MATCH($A337,SPPR!$A:$A,0),14)),$C337*INDEX(SPPR!$E:$Z,MATCH($A337,SPPR!$A:$A,0),14),""),"")</f>
        <v/>
      </c>
      <c r="R337">
        <f>IFERROR(IF(ISNUMBER(INDEX(SPPR!$E:$Z,MATCH($A337,SPPR!$A:$A,0),15)),$C337*INDEX(SPPR!$E:$Z,MATCH($A337,SPPR!$A:$A,0),15),""),"")</f>
        <v/>
      </c>
      <c r="S337">
        <f>IFERROR(IF(ISNUMBER(INDEX(SPPR!$E:$Z,MATCH($A337,SPPR!$A:$A,0),16)),$C337*INDEX(SPPR!$E:$Z,MATCH($A337,SPPR!$A:$A,0),16),""),"")</f>
        <v/>
      </c>
      <c r="T337">
        <f>IFERROR(IF(ISNUMBER(INDEX(SPPR!$E:$Z,MATCH($A337,SPPR!$A:$A,0),17)),$C337*INDEX(SPPR!$E:$Z,MATCH($A337,SPPR!$A:$A,0),17),""),"")</f>
        <v/>
      </c>
      <c r="U337">
        <f>IFERROR(IF(ISNUMBER(INDEX(SPPR!$E:$Z,MATCH($A337,SPPR!$A:$A,0),18)),$C337*INDEX(SPPR!$E:$Z,MATCH($A337,SPPR!$A:$A,0),18),""),"")</f>
        <v/>
      </c>
      <c r="V337">
        <f>IFERROR(IF(ISNUMBER(INDEX(SPPR!$E:$Z,MATCH($A337,SPPR!$A:$A,0),19)),$C337*INDEX(SPPR!$E:$Z,MATCH($A337,SPPR!$A:$A,0),19),""),"")</f>
        <v/>
      </c>
      <c r="W337">
        <f>IFERROR(IF(ISNUMBER(INDEX(SPPR!$E:$Z,MATCH($A337,SPPR!$A:$A,0),20)),$C337*INDEX(SPPR!$E:$Z,MATCH($A337,SPPR!$A:$A,0),20),""),"")</f>
        <v/>
      </c>
      <c r="X337">
        <f>IFERROR(IF(ISNUMBER(INDEX(SPPR!$E:$Z,MATCH($A337,SPPR!$A:$A,0),21)),$C337*INDEX(SPPR!$E:$Z,MATCH($A337,SPPR!$A:$A,0),21),""),"")</f>
        <v/>
      </c>
      <c r="Y337">
        <f>IFERROR(IF(ISNUMBER(INDEX(SPPR!$E:$Z,MATCH($A337,SPPR!$A:$A,0),22)),$C337*INDEX(SPPR!$E:$Z,MATCH($A337,SPPR!$A:$A,0),22),""),"")</f>
        <v/>
      </c>
    </row>
    <row r="338">
      <c r="A338" t="inlineStr">
        <is>
          <t>Hoplostethus atlanticus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IFERROR(IF(ISNUMBER(INDEX(SPPR!$E:$Z,MATCH($A338,SPPR!$A:$A,0),1)),$C338*INDEX(SPPR!$E:$Z,MATCH($A338,SPPR!$A:$A,0),1),""),"")</f>
        <v/>
      </c>
      <c r="E338">
        <f>IFERROR(IF(ISNUMBER(INDEX(SPPR!$E:$Z,MATCH($A338,SPPR!$A:$A,0),2)),$C338*INDEX(SPPR!$E:$Z,MATCH($A338,SPPR!$A:$A,0),2),""),"")</f>
        <v/>
      </c>
      <c r="F338">
        <f>IFERROR(IF(ISNUMBER(INDEX(SPPR!$E:$Z,MATCH($A338,SPPR!$A:$A,0),3)),$C338*INDEX(SPPR!$E:$Z,MATCH($A338,SPPR!$A:$A,0),3),""),"")</f>
        <v/>
      </c>
      <c r="G338">
        <f>IFERROR(IF(ISNUMBER(INDEX(SPPR!$E:$Z,MATCH($A338,SPPR!$A:$A,0),4)),$C338*INDEX(SPPR!$E:$Z,MATCH($A338,SPPR!$A:$A,0),4),""),"")</f>
        <v/>
      </c>
      <c r="H338">
        <f>IFERROR(IF(ISNUMBER(INDEX(SPPR!$E:$Z,MATCH($A338,SPPR!$A:$A,0),5)),$C338*INDEX(SPPR!$E:$Z,MATCH($A338,SPPR!$A:$A,0),5),""),"")</f>
        <v/>
      </c>
      <c r="I338">
        <f>IFERROR(IF(ISNUMBER(INDEX(SPPR!$E:$Z,MATCH($A338,SPPR!$A:$A,0),6)),$C338*INDEX(SPPR!$E:$Z,MATCH($A338,SPPR!$A:$A,0),6),""),"")</f>
        <v/>
      </c>
      <c r="J338">
        <f>IFERROR(IF(ISNUMBER(INDEX(SPPR!$E:$Z,MATCH($A338,SPPR!$A:$A,0),7)),$C338*INDEX(SPPR!$E:$Z,MATCH($A338,SPPR!$A:$A,0),7),""),"")</f>
        <v/>
      </c>
      <c r="K338">
        <f>IFERROR(IF(ISNUMBER(INDEX(SPPR!$E:$Z,MATCH($A338,SPPR!$A:$A,0),8)),$C338*INDEX(SPPR!$E:$Z,MATCH($A338,SPPR!$A:$A,0),8),""),"")</f>
        <v/>
      </c>
      <c r="L338">
        <f>IFERROR(IF(ISNUMBER(INDEX(SPPR!$E:$Z,MATCH($A338,SPPR!$A:$A,0),9)),$C338*INDEX(SPPR!$E:$Z,MATCH($A338,SPPR!$A:$A,0),9),""),"")</f>
        <v/>
      </c>
      <c r="M338">
        <f>IFERROR(IF(ISNUMBER(INDEX(SPPR!$E:$Z,MATCH($A338,SPPR!$A:$A,0),10)),$C338*INDEX(SPPR!$E:$Z,MATCH($A338,SPPR!$A:$A,0),10),""),"")</f>
        <v/>
      </c>
      <c r="N338">
        <f>IFERROR(IF(ISNUMBER(INDEX(SPPR!$E:$Z,MATCH($A338,SPPR!$A:$A,0),11)),$C338*INDEX(SPPR!$E:$Z,MATCH($A338,SPPR!$A:$A,0),11),""),"")</f>
        <v/>
      </c>
      <c r="O338">
        <f>IFERROR(IF(ISNUMBER(INDEX(SPPR!$E:$Z,MATCH($A338,SPPR!$A:$A,0),12)),$C338*INDEX(SPPR!$E:$Z,MATCH($A338,SPPR!$A:$A,0),12),""),"")</f>
        <v/>
      </c>
      <c r="P338">
        <f>IFERROR(IF(ISNUMBER(INDEX(SPPR!$E:$Z,MATCH($A338,SPPR!$A:$A,0),13)),$C338*INDEX(SPPR!$E:$Z,MATCH($A338,SPPR!$A:$A,0),13),""),"")</f>
        <v/>
      </c>
      <c r="Q338">
        <f>IFERROR(IF(ISNUMBER(INDEX(SPPR!$E:$Z,MATCH($A338,SPPR!$A:$A,0),14)),$C338*INDEX(SPPR!$E:$Z,MATCH($A338,SPPR!$A:$A,0),14),""),"")</f>
        <v/>
      </c>
      <c r="R338">
        <f>IFERROR(IF(ISNUMBER(INDEX(SPPR!$E:$Z,MATCH($A338,SPPR!$A:$A,0),15)),$C338*INDEX(SPPR!$E:$Z,MATCH($A338,SPPR!$A:$A,0),15),""),"")</f>
        <v/>
      </c>
      <c r="S338">
        <f>IFERROR(IF(ISNUMBER(INDEX(SPPR!$E:$Z,MATCH($A338,SPPR!$A:$A,0),16)),$C338*INDEX(SPPR!$E:$Z,MATCH($A338,SPPR!$A:$A,0),16),""),"")</f>
        <v/>
      </c>
      <c r="T338">
        <f>IFERROR(IF(ISNUMBER(INDEX(SPPR!$E:$Z,MATCH($A338,SPPR!$A:$A,0),17)),$C338*INDEX(SPPR!$E:$Z,MATCH($A338,SPPR!$A:$A,0),17),""),"")</f>
        <v/>
      </c>
      <c r="U338">
        <f>IFERROR(IF(ISNUMBER(INDEX(SPPR!$E:$Z,MATCH($A338,SPPR!$A:$A,0),18)),$C338*INDEX(SPPR!$E:$Z,MATCH($A338,SPPR!$A:$A,0),18),""),"")</f>
        <v/>
      </c>
      <c r="V338">
        <f>IFERROR(IF(ISNUMBER(INDEX(SPPR!$E:$Z,MATCH($A338,SPPR!$A:$A,0),19)),$C338*INDEX(SPPR!$E:$Z,MATCH($A338,SPPR!$A:$A,0),19),""),"")</f>
        <v/>
      </c>
      <c r="W338">
        <f>IFERROR(IF(ISNUMBER(INDEX(SPPR!$E:$Z,MATCH($A338,SPPR!$A:$A,0),20)),$C338*INDEX(SPPR!$E:$Z,MATCH($A338,SPPR!$A:$A,0),20),""),"")</f>
        <v/>
      </c>
      <c r="X338">
        <f>IFERROR(IF(ISNUMBER(INDEX(SPPR!$E:$Z,MATCH($A338,SPPR!$A:$A,0),21)),$C338*INDEX(SPPR!$E:$Z,MATCH($A338,SPPR!$A:$A,0),21),""),"")</f>
        <v/>
      </c>
      <c r="Y338">
        <f>IFERROR(IF(ISNUMBER(INDEX(SPPR!$E:$Z,MATCH($A338,SPPR!$A:$A,0),22)),$C338*INDEX(SPPR!$E:$Z,MATCH($A338,SPPR!$A:$A,0),22),""),"")</f>
        <v/>
      </c>
    </row>
    <row r="339">
      <c r="A339" t="inlineStr">
        <is>
          <t>Serranus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IFERROR(IF(ISNUMBER(INDEX(SPPR!$E:$Z,MATCH($A339,SPPR!$A:$A,0),1)),$C339*INDEX(SPPR!$E:$Z,MATCH($A339,SPPR!$A:$A,0),1),""),"")</f>
        <v/>
      </c>
      <c r="E339">
        <f>IFERROR(IF(ISNUMBER(INDEX(SPPR!$E:$Z,MATCH($A339,SPPR!$A:$A,0),2)),$C339*INDEX(SPPR!$E:$Z,MATCH($A339,SPPR!$A:$A,0),2),""),"")</f>
        <v/>
      </c>
      <c r="F339">
        <f>IFERROR(IF(ISNUMBER(INDEX(SPPR!$E:$Z,MATCH($A339,SPPR!$A:$A,0),3)),$C339*INDEX(SPPR!$E:$Z,MATCH($A339,SPPR!$A:$A,0),3),""),"")</f>
        <v/>
      </c>
      <c r="G339">
        <f>IFERROR(IF(ISNUMBER(INDEX(SPPR!$E:$Z,MATCH($A339,SPPR!$A:$A,0),4)),$C339*INDEX(SPPR!$E:$Z,MATCH($A339,SPPR!$A:$A,0),4),""),"")</f>
        <v/>
      </c>
      <c r="H339">
        <f>IFERROR(IF(ISNUMBER(INDEX(SPPR!$E:$Z,MATCH($A339,SPPR!$A:$A,0),5)),$C339*INDEX(SPPR!$E:$Z,MATCH($A339,SPPR!$A:$A,0),5),""),"")</f>
        <v/>
      </c>
      <c r="I339">
        <f>IFERROR(IF(ISNUMBER(INDEX(SPPR!$E:$Z,MATCH($A339,SPPR!$A:$A,0),6)),$C339*INDEX(SPPR!$E:$Z,MATCH($A339,SPPR!$A:$A,0),6),""),"")</f>
        <v/>
      </c>
      <c r="J339">
        <f>IFERROR(IF(ISNUMBER(INDEX(SPPR!$E:$Z,MATCH($A339,SPPR!$A:$A,0),7)),$C339*INDEX(SPPR!$E:$Z,MATCH($A339,SPPR!$A:$A,0),7),""),"")</f>
        <v/>
      </c>
      <c r="K339">
        <f>IFERROR(IF(ISNUMBER(INDEX(SPPR!$E:$Z,MATCH($A339,SPPR!$A:$A,0),8)),$C339*INDEX(SPPR!$E:$Z,MATCH($A339,SPPR!$A:$A,0),8),""),"")</f>
        <v/>
      </c>
      <c r="L339">
        <f>IFERROR(IF(ISNUMBER(INDEX(SPPR!$E:$Z,MATCH($A339,SPPR!$A:$A,0),9)),$C339*INDEX(SPPR!$E:$Z,MATCH($A339,SPPR!$A:$A,0),9),""),"")</f>
        <v/>
      </c>
      <c r="M339">
        <f>IFERROR(IF(ISNUMBER(INDEX(SPPR!$E:$Z,MATCH($A339,SPPR!$A:$A,0),10)),$C339*INDEX(SPPR!$E:$Z,MATCH($A339,SPPR!$A:$A,0),10),""),"")</f>
        <v/>
      </c>
      <c r="N339">
        <f>IFERROR(IF(ISNUMBER(INDEX(SPPR!$E:$Z,MATCH($A339,SPPR!$A:$A,0),11)),$C339*INDEX(SPPR!$E:$Z,MATCH($A339,SPPR!$A:$A,0),11),""),"")</f>
        <v/>
      </c>
      <c r="O339">
        <f>IFERROR(IF(ISNUMBER(INDEX(SPPR!$E:$Z,MATCH($A339,SPPR!$A:$A,0),12)),$C339*INDEX(SPPR!$E:$Z,MATCH($A339,SPPR!$A:$A,0),12),""),"")</f>
        <v/>
      </c>
      <c r="P339">
        <f>IFERROR(IF(ISNUMBER(INDEX(SPPR!$E:$Z,MATCH($A339,SPPR!$A:$A,0),13)),$C339*INDEX(SPPR!$E:$Z,MATCH($A339,SPPR!$A:$A,0),13),""),"")</f>
        <v/>
      </c>
      <c r="Q339">
        <f>IFERROR(IF(ISNUMBER(INDEX(SPPR!$E:$Z,MATCH($A339,SPPR!$A:$A,0),14)),$C339*INDEX(SPPR!$E:$Z,MATCH($A339,SPPR!$A:$A,0),14),""),"")</f>
        <v/>
      </c>
      <c r="R339">
        <f>IFERROR(IF(ISNUMBER(INDEX(SPPR!$E:$Z,MATCH($A339,SPPR!$A:$A,0),15)),$C339*INDEX(SPPR!$E:$Z,MATCH($A339,SPPR!$A:$A,0),15),""),"")</f>
        <v/>
      </c>
      <c r="S339">
        <f>IFERROR(IF(ISNUMBER(INDEX(SPPR!$E:$Z,MATCH($A339,SPPR!$A:$A,0),16)),$C339*INDEX(SPPR!$E:$Z,MATCH($A339,SPPR!$A:$A,0),16),""),"")</f>
        <v/>
      </c>
      <c r="T339">
        <f>IFERROR(IF(ISNUMBER(INDEX(SPPR!$E:$Z,MATCH($A339,SPPR!$A:$A,0),17)),$C339*INDEX(SPPR!$E:$Z,MATCH($A339,SPPR!$A:$A,0),17),""),"")</f>
        <v/>
      </c>
      <c r="U339">
        <f>IFERROR(IF(ISNUMBER(INDEX(SPPR!$E:$Z,MATCH($A339,SPPR!$A:$A,0),18)),$C339*INDEX(SPPR!$E:$Z,MATCH($A339,SPPR!$A:$A,0),18),""),"")</f>
        <v/>
      </c>
      <c r="V339">
        <f>IFERROR(IF(ISNUMBER(INDEX(SPPR!$E:$Z,MATCH($A339,SPPR!$A:$A,0),19)),$C339*INDEX(SPPR!$E:$Z,MATCH($A339,SPPR!$A:$A,0),19),""),"")</f>
        <v/>
      </c>
      <c r="W339">
        <f>IFERROR(IF(ISNUMBER(INDEX(SPPR!$E:$Z,MATCH($A339,SPPR!$A:$A,0),20)),$C339*INDEX(SPPR!$E:$Z,MATCH($A339,SPPR!$A:$A,0),20),""),"")</f>
        <v/>
      </c>
      <c r="X339">
        <f>IFERROR(IF(ISNUMBER(INDEX(SPPR!$E:$Z,MATCH($A339,SPPR!$A:$A,0),21)),$C339*INDEX(SPPR!$E:$Z,MATCH($A339,SPPR!$A:$A,0),21),""),"")</f>
        <v/>
      </c>
      <c r="Y339">
        <f>IFERROR(IF(ISNUMBER(INDEX(SPPR!$E:$Z,MATCH($A339,SPPR!$A:$A,0),22)),$C339*INDEX(SPPR!$E:$Z,MATCH($A339,SPPR!$A:$A,0),22),""),"")</f>
        <v/>
      </c>
    </row>
    <row r="340">
      <c r="A340" t="inlineStr">
        <is>
          <t>Sebastidae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IFERROR(IF(ISNUMBER(INDEX(SPPR!$E:$Z,MATCH($A340,SPPR!$A:$A,0),1)),$C340*INDEX(SPPR!$E:$Z,MATCH($A340,SPPR!$A:$A,0),1),""),"")</f>
        <v/>
      </c>
      <c r="E340">
        <f>IFERROR(IF(ISNUMBER(INDEX(SPPR!$E:$Z,MATCH($A340,SPPR!$A:$A,0),2)),$C340*INDEX(SPPR!$E:$Z,MATCH($A340,SPPR!$A:$A,0),2),""),"")</f>
        <v/>
      </c>
      <c r="F340">
        <f>IFERROR(IF(ISNUMBER(INDEX(SPPR!$E:$Z,MATCH($A340,SPPR!$A:$A,0),3)),$C340*INDEX(SPPR!$E:$Z,MATCH($A340,SPPR!$A:$A,0),3),""),"")</f>
        <v/>
      </c>
      <c r="G340">
        <f>IFERROR(IF(ISNUMBER(INDEX(SPPR!$E:$Z,MATCH($A340,SPPR!$A:$A,0),4)),$C340*INDEX(SPPR!$E:$Z,MATCH($A340,SPPR!$A:$A,0),4),""),"")</f>
        <v/>
      </c>
      <c r="H340">
        <f>IFERROR(IF(ISNUMBER(INDEX(SPPR!$E:$Z,MATCH($A340,SPPR!$A:$A,0),5)),$C340*INDEX(SPPR!$E:$Z,MATCH($A340,SPPR!$A:$A,0),5),""),"")</f>
        <v/>
      </c>
      <c r="I340">
        <f>IFERROR(IF(ISNUMBER(INDEX(SPPR!$E:$Z,MATCH($A340,SPPR!$A:$A,0),6)),$C340*INDEX(SPPR!$E:$Z,MATCH($A340,SPPR!$A:$A,0),6),""),"")</f>
        <v/>
      </c>
      <c r="J340">
        <f>IFERROR(IF(ISNUMBER(INDEX(SPPR!$E:$Z,MATCH($A340,SPPR!$A:$A,0),7)),$C340*INDEX(SPPR!$E:$Z,MATCH($A340,SPPR!$A:$A,0),7),""),"")</f>
        <v/>
      </c>
      <c r="K340">
        <f>IFERROR(IF(ISNUMBER(INDEX(SPPR!$E:$Z,MATCH($A340,SPPR!$A:$A,0),8)),$C340*INDEX(SPPR!$E:$Z,MATCH($A340,SPPR!$A:$A,0),8),""),"")</f>
        <v/>
      </c>
      <c r="L340">
        <f>IFERROR(IF(ISNUMBER(INDEX(SPPR!$E:$Z,MATCH($A340,SPPR!$A:$A,0),9)),$C340*INDEX(SPPR!$E:$Z,MATCH($A340,SPPR!$A:$A,0),9),""),"")</f>
        <v/>
      </c>
      <c r="M340">
        <f>IFERROR(IF(ISNUMBER(INDEX(SPPR!$E:$Z,MATCH($A340,SPPR!$A:$A,0),10)),$C340*INDEX(SPPR!$E:$Z,MATCH($A340,SPPR!$A:$A,0),10),""),"")</f>
        <v/>
      </c>
      <c r="N340">
        <f>IFERROR(IF(ISNUMBER(INDEX(SPPR!$E:$Z,MATCH($A340,SPPR!$A:$A,0),11)),$C340*INDEX(SPPR!$E:$Z,MATCH($A340,SPPR!$A:$A,0),11),""),"")</f>
        <v/>
      </c>
      <c r="O340">
        <f>IFERROR(IF(ISNUMBER(INDEX(SPPR!$E:$Z,MATCH($A340,SPPR!$A:$A,0),12)),$C340*INDEX(SPPR!$E:$Z,MATCH($A340,SPPR!$A:$A,0),12),""),"")</f>
        <v/>
      </c>
      <c r="P340">
        <f>IFERROR(IF(ISNUMBER(INDEX(SPPR!$E:$Z,MATCH($A340,SPPR!$A:$A,0),13)),$C340*INDEX(SPPR!$E:$Z,MATCH($A340,SPPR!$A:$A,0),13),""),"")</f>
        <v/>
      </c>
      <c r="Q340">
        <f>IFERROR(IF(ISNUMBER(INDEX(SPPR!$E:$Z,MATCH($A340,SPPR!$A:$A,0),14)),$C340*INDEX(SPPR!$E:$Z,MATCH($A340,SPPR!$A:$A,0),14),""),"")</f>
        <v/>
      </c>
      <c r="R340">
        <f>IFERROR(IF(ISNUMBER(INDEX(SPPR!$E:$Z,MATCH($A340,SPPR!$A:$A,0),15)),$C340*INDEX(SPPR!$E:$Z,MATCH($A340,SPPR!$A:$A,0),15),""),"")</f>
        <v/>
      </c>
      <c r="S340">
        <f>IFERROR(IF(ISNUMBER(INDEX(SPPR!$E:$Z,MATCH($A340,SPPR!$A:$A,0),16)),$C340*INDEX(SPPR!$E:$Z,MATCH($A340,SPPR!$A:$A,0),16),""),"")</f>
        <v/>
      </c>
      <c r="T340">
        <f>IFERROR(IF(ISNUMBER(INDEX(SPPR!$E:$Z,MATCH($A340,SPPR!$A:$A,0),17)),$C340*INDEX(SPPR!$E:$Z,MATCH($A340,SPPR!$A:$A,0),17),""),"")</f>
        <v/>
      </c>
      <c r="U340">
        <f>IFERROR(IF(ISNUMBER(INDEX(SPPR!$E:$Z,MATCH($A340,SPPR!$A:$A,0),18)),$C340*INDEX(SPPR!$E:$Z,MATCH($A340,SPPR!$A:$A,0),18),""),"")</f>
        <v/>
      </c>
      <c r="V340">
        <f>IFERROR(IF(ISNUMBER(INDEX(SPPR!$E:$Z,MATCH($A340,SPPR!$A:$A,0),19)),$C340*INDEX(SPPR!$E:$Z,MATCH($A340,SPPR!$A:$A,0),19),""),"")</f>
        <v/>
      </c>
      <c r="W340">
        <f>IFERROR(IF(ISNUMBER(INDEX(SPPR!$E:$Z,MATCH($A340,SPPR!$A:$A,0),20)),$C340*INDEX(SPPR!$E:$Z,MATCH($A340,SPPR!$A:$A,0),20),""),"")</f>
        <v/>
      </c>
      <c r="X340">
        <f>IFERROR(IF(ISNUMBER(INDEX(SPPR!$E:$Z,MATCH($A340,SPPR!$A:$A,0),21)),$C340*INDEX(SPPR!$E:$Z,MATCH($A340,SPPR!$A:$A,0),21),""),"")</f>
        <v/>
      </c>
      <c r="Y340">
        <f>IFERROR(IF(ISNUMBER(INDEX(SPPR!$E:$Z,MATCH($A340,SPPR!$A:$A,0),22)),$C340*INDEX(SPPR!$E:$Z,MATCH($A340,SPPR!$A:$A,0),22),""),"")</f>
        <v/>
      </c>
    </row>
    <row r="341">
      <c r="A341" t="inlineStr">
        <is>
          <t>Serranus cabrilla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IFERROR(IF(ISNUMBER(INDEX(SPPR!$E:$Z,MATCH($A341,SPPR!$A:$A,0),1)),$C341*INDEX(SPPR!$E:$Z,MATCH($A341,SPPR!$A:$A,0),1),""),"")</f>
        <v/>
      </c>
      <c r="E341">
        <f>IFERROR(IF(ISNUMBER(INDEX(SPPR!$E:$Z,MATCH($A341,SPPR!$A:$A,0),2)),$C341*INDEX(SPPR!$E:$Z,MATCH($A341,SPPR!$A:$A,0),2),""),"")</f>
        <v/>
      </c>
      <c r="F341">
        <f>IFERROR(IF(ISNUMBER(INDEX(SPPR!$E:$Z,MATCH($A341,SPPR!$A:$A,0),3)),$C341*INDEX(SPPR!$E:$Z,MATCH($A341,SPPR!$A:$A,0),3),""),"")</f>
        <v/>
      </c>
      <c r="G341">
        <f>IFERROR(IF(ISNUMBER(INDEX(SPPR!$E:$Z,MATCH($A341,SPPR!$A:$A,0),4)),$C341*INDEX(SPPR!$E:$Z,MATCH($A341,SPPR!$A:$A,0),4),""),"")</f>
        <v/>
      </c>
      <c r="H341">
        <f>IFERROR(IF(ISNUMBER(INDEX(SPPR!$E:$Z,MATCH($A341,SPPR!$A:$A,0),5)),$C341*INDEX(SPPR!$E:$Z,MATCH($A341,SPPR!$A:$A,0),5),""),"")</f>
        <v/>
      </c>
      <c r="I341">
        <f>IFERROR(IF(ISNUMBER(INDEX(SPPR!$E:$Z,MATCH($A341,SPPR!$A:$A,0),6)),$C341*INDEX(SPPR!$E:$Z,MATCH($A341,SPPR!$A:$A,0),6),""),"")</f>
        <v/>
      </c>
      <c r="J341">
        <f>IFERROR(IF(ISNUMBER(INDEX(SPPR!$E:$Z,MATCH($A341,SPPR!$A:$A,0),7)),$C341*INDEX(SPPR!$E:$Z,MATCH($A341,SPPR!$A:$A,0),7),""),"")</f>
        <v/>
      </c>
      <c r="K341">
        <f>IFERROR(IF(ISNUMBER(INDEX(SPPR!$E:$Z,MATCH($A341,SPPR!$A:$A,0),8)),$C341*INDEX(SPPR!$E:$Z,MATCH($A341,SPPR!$A:$A,0),8),""),"")</f>
        <v/>
      </c>
      <c r="L341">
        <f>IFERROR(IF(ISNUMBER(INDEX(SPPR!$E:$Z,MATCH($A341,SPPR!$A:$A,0),9)),$C341*INDEX(SPPR!$E:$Z,MATCH($A341,SPPR!$A:$A,0),9),""),"")</f>
        <v/>
      </c>
      <c r="M341">
        <f>IFERROR(IF(ISNUMBER(INDEX(SPPR!$E:$Z,MATCH($A341,SPPR!$A:$A,0),10)),$C341*INDEX(SPPR!$E:$Z,MATCH($A341,SPPR!$A:$A,0),10),""),"")</f>
        <v/>
      </c>
      <c r="N341">
        <f>IFERROR(IF(ISNUMBER(INDEX(SPPR!$E:$Z,MATCH($A341,SPPR!$A:$A,0),11)),$C341*INDEX(SPPR!$E:$Z,MATCH($A341,SPPR!$A:$A,0),11),""),"")</f>
        <v/>
      </c>
      <c r="O341">
        <f>IFERROR(IF(ISNUMBER(INDEX(SPPR!$E:$Z,MATCH($A341,SPPR!$A:$A,0),12)),$C341*INDEX(SPPR!$E:$Z,MATCH($A341,SPPR!$A:$A,0),12),""),"")</f>
        <v/>
      </c>
      <c r="P341">
        <f>IFERROR(IF(ISNUMBER(INDEX(SPPR!$E:$Z,MATCH($A341,SPPR!$A:$A,0),13)),$C341*INDEX(SPPR!$E:$Z,MATCH($A341,SPPR!$A:$A,0),13),""),"")</f>
        <v/>
      </c>
      <c r="Q341">
        <f>IFERROR(IF(ISNUMBER(INDEX(SPPR!$E:$Z,MATCH($A341,SPPR!$A:$A,0),14)),$C341*INDEX(SPPR!$E:$Z,MATCH($A341,SPPR!$A:$A,0),14),""),"")</f>
        <v/>
      </c>
      <c r="R341">
        <f>IFERROR(IF(ISNUMBER(INDEX(SPPR!$E:$Z,MATCH($A341,SPPR!$A:$A,0),15)),$C341*INDEX(SPPR!$E:$Z,MATCH($A341,SPPR!$A:$A,0),15),""),"")</f>
        <v/>
      </c>
      <c r="S341">
        <f>IFERROR(IF(ISNUMBER(INDEX(SPPR!$E:$Z,MATCH($A341,SPPR!$A:$A,0),16)),$C341*INDEX(SPPR!$E:$Z,MATCH($A341,SPPR!$A:$A,0),16),""),"")</f>
        <v/>
      </c>
      <c r="T341">
        <f>IFERROR(IF(ISNUMBER(INDEX(SPPR!$E:$Z,MATCH($A341,SPPR!$A:$A,0),17)),$C341*INDEX(SPPR!$E:$Z,MATCH($A341,SPPR!$A:$A,0),17),""),"")</f>
        <v/>
      </c>
      <c r="U341">
        <f>IFERROR(IF(ISNUMBER(INDEX(SPPR!$E:$Z,MATCH($A341,SPPR!$A:$A,0),18)),$C341*INDEX(SPPR!$E:$Z,MATCH($A341,SPPR!$A:$A,0),18),""),"")</f>
        <v/>
      </c>
      <c r="V341">
        <f>IFERROR(IF(ISNUMBER(INDEX(SPPR!$E:$Z,MATCH($A341,SPPR!$A:$A,0),19)),$C341*INDEX(SPPR!$E:$Z,MATCH($A341,SPPR!$A:$A,0),19),""),"")</f>
        <v/>
      </c>
      <c r="W341">
        <f>IFERROR(IF(ISNUMBER(INDEX(SPPR!$E:$Z,MATCH($A341,SPPR!$A:$A,0),20)),$C341*INDEX(SPPR!$E:$Z,MATCH($A341,SPPR!$A:$A,0),20),""),"")</f>
        <v/>
      </c>
      <c r="X341">
        <f>IFERROR(IF(ISNUMBER(INDEX(SPPR!$E:$Z,MATCH($A341,SPPR!$A:$A,0),21)),$C341*INDEX(SPPR!$E:$Z,MATCH($A341,SPPR!$A:$A,0),21),""),"")</f>
        <v/>
      </c>
      <c r="Y341">
        <f>IFERROR(IF(ISNUMBER(INDEX(SPPR!$E:$Z,MATCH($A341,SPPR!$A:$A,0),22)),$C341*INDEX(SPPR!$E:$Z,MATCH($A341,SPPR!$A:$A,0),22),""),"")</f>
        <v/>
      </c>
    </row>
    <row r="342">
      <c r="A342" t="inlineStr">
        <is>
          <t>Diplodus sargus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IFERROR(IF(ISNUMBER(INDEX(SPPR!$E:$Z,MATCH($A342,SPPR!$A:$A,0),1)),$C342*INDEX(SPPR!$E:$Z,MATCH($A342,SPPR!$A:$A,0),1),""),"")</f>
        <v/>
      </c>
      <c r="E342">
        <f>IFERROR(IF(ISNUMBER(INDEX(SPPR!$E:$Z,MATCH($A342,SPPR!$A:$A,0),2)),$C342*INDEX(SPPR!$E:$Z,MATCH($A342,SPPR!$A:$A,0),2),""),"")</f>
        <v/>
      </c>
      <c r="F342">
        <f>IFERROR(IF(ISNUMBER(INDEX(SPPR!$E:$Z,MATCH($A342,SPPR!$A:$A,0),3)),$C342*INDEX(SPPR!$E:$Z,MATCH($A342,SPPR!$A:$A,0),3),""),"")</f>
        <v/>
      </c>
      <c r="G342">
        <f>IFERROR(IF(ISNUMBER(INDEX(SPPR!$E:$Z,MATCH($A342,SPPR!$A:$A,0),4)),$C342*INDEX(SPPR!$E:$Z,MATCH($A342,SPPR!$A:$A,0),4),""),"")</f>
        <v/>
      </c>
      <c r="H342">
        <f>IFERROR(IF(ISNUMBER(INDEX(SPPR!$E:$Z,MATCH($A342,SPPR!$A:$A,0),5)),$C342*INDEX(SPPR!$E:$Z,MATCH($A342,SPPR!$A:$A,0),5),""),"")</f>
        <v/>
      </c>
      <c r="I342">
        <f>IFERROR(IF(ISNUMBER(INDEX(SPPR!$E:$Z,MATCH($A342,SPPR!$A:$A,0),6)),$C342*INDEX(SPPR!$E:$Z,MATCH($A342,SPPR!$A:$A,0),6),""),"")</f>
        <v/>
      </c>
      <c r="J342">
        <f>IFERROR(IF(ISNUMBER(INDEX(SPPR!$E:$Z,MATCH($A342,SPPR!$A:$A,0),7)),$C342*INDEX(SPPR!$E:$Z,MATCH($A342,SPPR!$A:$A,0),7),""),"")</f>
        <v/>
      </c>
      <c r="K342">
        <f>IFERROR(IF(ISNUMBER(INDEX(SPPR!$E:$Z,MATCH($A342,SPPR!$A:$A,0),8)),$C342*INDEX(SPPR!$E:$Z,MATCH($A342,SPPR!$A:$A,0),8),""),"")</f>
        <v/>
      </c>
      <c r="L342">
        <f>IFERROR(IF(ISNUMBER(INDEX(SPPR!$E:$Z,MATCH($A342,SPPR!$A:$A,0),9)),$C342*INDEX(SPPR!$E:$Z,MATCH($A342,SPPR!$A:$A,0),9),""),"")</f>
        <v/>
      </c>
      <c r="M342">
        <f>IFERROR(IF(ISNUMBER(INDEX(SPPR!$E:$Z,MATCH($A342,SPPR!$A:$A,0),10)),$C342*INDEX(SPPR!$E:$Z,MATCH($A342,SPPR!$A:$A,0),10),""),"")</f>
        <v/>
      </c>
      <c r="N342">
        <f>IFERROR(IF(ISNUMBER(INDEX(SPPR!$E:$Z,MATCH($A342,SPPR!$A:$A,0),11)),$C342*INDEX(SPPR!$E:$Z,MATCH($A342,SPPR!$A:$A,0),11),""),"")</f>
        <v/>
      </c>
      <c r="O342">
        <f>IFERROR(IF(ISNUMBER(INDEX(SPPR!$E:$Z,MATCH($A342,SPPR!$A:$A,0),12)),$C342*INDEX(SPPR!$E:$Z,MATCH($A342,SPPR!$A:$A,0),12),""),"")</f>
        <v/>
      </c>
      <c r="P342">
        <f>IFERROR(IF(ISNUMBER(INDEX(SPPR!$E:$Z,MATCH($A342,SPPR!$A:$A,0),13)),$C342*INDEX(SPPR!$E:$Z,MATCH($A342,SPPR!$A:$A,0),13),""),"")</f>
        <v/>
      </c>
      <c r="Q342">
        <f>IFERROR(IF(ISNUMBER(INDEX(SPPR!$E:$Z,MATCH($A342,SPPR!$A:$A,0),14)),$C342*INDEX(SPPR!$E:$Z,MATCH($A342,SPPR!$A:$A,0),14),""),"")</f>
        <v/>
      </c>
      <c r="R342">
        <f>IFERROR(IF(ISNUMBER(INDEX(SPPR!$E:$Z,MATCH($A342,SPPR!$A:$A,0),15)),$C342*INDEX(SPPR!$E:$Z,MATCH($A342,SPPR!$A:$A,0),15),""),"")</f>
        <v/>
      </c>
      <c r="S342">
        <f>IFERROR(IF(ISNUMBER(INDEX(SPPR!$E:$Z,MATCH($A342,SPPR!$A:$A,0),16)),$C342*INDEX(SPPR!$E:$Z,MATCH($A342,SPPR!$A:$A,0),16),""),"")</f>
        <v/>
      </c>
      <c r="T342">
        <f>IFERROR(IF(ISNUMBER(INDEX(SPPR!$E:$Z,MATCH($A342,SPPR!$A:$A,0),17)),$C342*INDEX(SPPR!$E:$Z,MATCH($A342,SPPR!$A:$A,0),17),""),"")</f>
        <v/>
      </c>
      <c r="U342">
        <f>IFERROR(IF(ISNUMBER(INDEX(SPPR!$E:$Z,MATCH($A342,SPPR!$A:$A,0),18)),$C342*INDEX(SPPR!$E:$Z,MATCH($A342,SPPR!$A:$A,0),18),""),"")</f>
        <v/>
      </c>
      <c r="V342">
        <f>IFERROR(IF(ISNUMBER(INDEX(SPPR!$E:$Z,MATCH($A342,SPPR!$A:$A,0),19)),$C342*INDEX(SPPR!$E:$Z,MATCH($A342,SPPR!$A:$A,0),19),""),"")</f>
        <v/>
      </c>
      <c r="W342">
        <f>IFERROR(IF(ISNUMBER(INDEX(SPPR!$E:$Z,MATCH($A342,SPPR!$A:$A,0),20)),$C342*INDEX(SPPR!$E:$Z,MATCH($A342,SPPR!$A:$A,0),20),""),"")</f>
        <v/>
      </c>
      <c r="X342">
        <f>IFERROR(IF(ISNUMBER(INDEX(SPPR!$E:$Z,MATCH($A342,SPPR!$A:$A,0),21)),$C342*INDEX(SPPR!$E:$Z,MATCH($A342,SPPR!$A:$A,0),21),""),"")</f>
        <v/>
      </c>
      <c r="Y342">
        <f>IFERROR(IF(ISNUMBER(INDEX(SPPR!$E:$Z,MATCH($A342,SPPR!$A:$A,0),22)),$C342*INDEX(SPPR!$E:$Z,MATCH($A342,SPPR!$A:$A,0),22),""),"")</f>
        <v/>
      </c>
    </row>
    <row r="343">
      <c r="A343" t="inlineStr">
        <is>
          <t>Deania calceus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IFERROR(IF(ISNUMBER(INDEX(SPPR!$E:$Z,MATCH($A343,SPPR!$A:$A,0),1)),$C343*INDEX(SPPR!$E:$Z,MATCH($A343,SPPR!$A:$A,0),1),""),"")</f>
        <v/>
      </c>
      <c r="E343">
        <f>IFERROR(IF(ISNUMBER(INDEX(SPPR!$E:$Z,MATCH($A343,SPPR!$A:$A,0),2)),$C343*INDEX(SPPR!$E:$Z,MATCH($A343,SPPR!$A:$A,0),2),""),"")</f>
        <v/>
      </c>
      <c r="F343">
        <f>IFERROR(IF(ISNUMBER(INDEX(SPPR!$E:$Z,MATCH($A343,SPPR!$A:$A,0),3)),$C343*INDEX(SPPR!$E:$Z,MATCH($A343,SPPR!$A:$A,0),3),""),"")</f>
        <v/>
      </c>
      <c r="G343">
        <f>IFERROR(IF(ISNUMBER(INDEX(SPPR!$E:$Z,MATCH($A343,SPPR!$A:$A,0),4)),$C343*INDEX(SPPR!$E:$Z,MATCH($A343,SPPR!$A:$A,0),4),""),"")</f>
        <v/>
      </c>
      <c r="H343">
        <f>IFERROR(IF(ISNUMBER(INDEX(SPPR!$E:$Z,MATCH($A343,SPPR!$A:$A,0),5)),$C343*INDEX(SPPR!$E:$Z,MATCH($A343,SPPR!$A:$A,0),5),""),"")</f>
        <v/>
      </c>
      <c r="I343">
        <f>IFERROR(IF(ISNUMBER(INDEX(SPPR!$E:$Z,MATCH($A343,SPPR!$A:$A,0),6)),$C343*INDEX(SPPR!$E:$Z,MATCH($A343,SPPR!$A:$A,0),6),""),"")</f>
        <v/>
      </c>
      <c r="J343">
        <f>IFERROR(IF(ISNUMBER(INDEX(SPPR!$E:$Z,MATCH($A343,SPPR!$A:$A,0),7)),$C343*INDEX(SPPR!$E:$Z,MATCH($A343,SPPR!$A:$A,0),7),""),"")</f>
        <v/>
      </c>
      <c r="K343">
        <f>IFERROR(IF(ISNUMBER(INDEX(SPPR!$E:$Z,MATCH($A343,SPPR!$A:$A,0),8)),$C343*INDEX(SPPR!$E:$Z,MATCH($A343,SPPR!$A:$A,0),8),""),"")</f>
        <v/>
      </c>
      <c r="L343">
        <f>IFERROR(IF(ISNUMBER(INDEX(SPPR!$E:$Z,MATCH($A343,SPPR!$A:$A,0),9)),$C343*INDEX(SPPR!$E:$Z,MATCH($A343,SPPR!$A:$A,0),9),""),"")</f>
        <v/>
      </c>
      <c r="M343">
        <f>IFERROR(IF(ISNUMBER(INDEX(SPPR!$E:$Z,MATCH($A343,SPPR!$A:$A,0),10)),$C343*INDEX(SPPR!$E:$Z,MATCH($A343,SPPR!$A:$A,0),10),""),"")</f>
        <v/>
      </c>
      <c r="N343">
        <f>IFERROR(IF(ISNUMBER(INDEX(SPPR!$E:$Z,MATCH($A343,SPPR!$A:$A,0),11)),$C343*INDEX(SPPR!$E:$Z,MATCH($A343,SPPR!$A:$A,0),11),""),"")</f>
        <v/>
      </c>
      <c r="O343">
        <f>IFERROR(IF(ISNUMBER(INDEX(SPPR!$E:$Z,MATCH($A343,SPPR!$A:$A,0),12)),$C343*INDEX(SPPR!$E:$Z,MATCH($A343,SPPR!$A:$A,0),12),""),"")</f>
        <v/>
      </c>
      <c r="P343">
        <f>IFERROR(IF(ISNUMBER(INDEX(SPPR!$E:$Z,MATCH($A343,SPPR!$A:$A,0),13)),$C343*INDEX(SPPR!$E:$Z,MATCH($A343,SPPR!$A:$A,0),13),""),"")</f>
        <v/>
      </c>
      <c r="Q343">
        <f>IFERROR(IF(ISNUMBER(INDEX(SPPR!$E:$Z,MATCH($A343,SPPR!$A:$A,0),14)),$C343*INDEX(SPPR!$E:$Z,MATCH($A343,SPPR!$A:$A,0),14),""),"")</f>
        <v/>
      </c>
      <c r="R343">
        <f>IFERROR(IF(ISNUMBER(INDEX(SPPR!$E:$Z,MATCH($A343,SPPR!$A:$A,0),15)),$C343*INDEX(SPPR!$E:$Z,MATCH($A343,SPPR!$A:$A,0),15),""),"")</f>
        <v/>
      </c>
      <c r="S343">
        <f>IFERROR(IF(ISNUMBER(INDEX(SPPR!$E:$Z,MATCH($A343,SPPR!$A:$A,0),16)),$C343*INDEX(SPPR!$E:$Z,MATCH($A343,SPPR!$A:$A,0),16),""),"")</f>
        <v/>
      </c>
      <c r="T343">
        <f>IFERROR(IF(ISNUMBER(INDEX(SPPR!$E:$Z,MATCH($A343,SPPR!$A:$A,0),17)),$C343*INDEX(SPPR!$E:$Z,MATCH($A343,SPPR!$A:$A,0),17),""),"")</f>
        <v/>
      </c>
      <c r="U343">
        <f>IFERROR(IF(ISNUMBER(INDEX(SPPR!$E:$Z,MATCH($A343,SPPR!$A:$A,0),18)),$C343*INDEX(SPPR!$E:$Z,MATCH($A343,SPPR!$A:$A,0),18),""),"")</f>
        <v/>
      </c>
      <c r="V343">
        <f>IFERROR(IF(ISNUMBER(INDEX(SPPR!$E:$Z,MATCH($A343,SPPR!$A:$A,0),19)),$C343*INDEX(SPPR!$E:$Z,MATCH($A343,SPPR!$A:$A,0),19),""),"")</f>
        <v/>
      </c>
      <c r="W343">
        <f>IFERROR(IF(ISNUMBER(INDEX(SPPR!$E:$Z,MATCH($A343,SPPR!$A:$A,0),20)),$C343*INDEX(SPPR!$E:$Z,MATCH($A343,SPPR!$A:$A,0),20),""),"")</f>
        <v/>
      </c>
      <c r="X343">
        <f>IFERROR(IF(ISNUMBER(INDEX(SPPR!$E:$Z,MATCH($A343,SPPR!$A:$A,0),21)),$C343*INDEX(SPPR!$E:$Z,MATCH($A343,SPPR!$A:$A,0),21),""),"")</f>
        <v/>
      </c>
      <c r="Y343">
        <f>IFERROR(IF(ISNUMBER(INDEX(SPPR!$E:$Z,MATCH($A343,SPPR!$A:$A,0),22)),$C343*INDEX(SPPR!$E:$Z,MATCH($A343,SPPR!$A:$A,0),22),""),"")</f>
        <v/>
      </c>
    </row>
    <row r="344">
      <c r="A344" t="inlineStr">
        <is>
          <t>Lamniformes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IFERROR(IF(ISNUMBER(INDEX(SPPR!$E:$Z,MATCH($A344,SPPR!$A:$A,0),1)),$C344*INDEX(SPPR!$E:$Z,MATCH($A344,SPPR!$A:$A,0),1),""),"")</f>
        <v/>
      </c>
      <c r="E344">
        <f>IFERROR(IF(ISNUMBER(INDEX(SPPR!$E:$Z,MATCH($A344,SPPR!$A:$A,0),2)),$C344*INDEX(SPPR!$E:$Z,MATCH($A344,SPPR!$A:$A,0),2),""),"")</f>
        <v/>
      </c>
      <c r="F344">
        <f>IFERROR(IF(ISNUMBER(INDEX(SPPR!$E:$Z,MATCH($A344,SPPR!$A:$A,0),3)),$C344*INDEX(SPPR!$E:$Z,MATCH($A344,SPPR!$A:$A,0),3),""),"")</f>
        <v/>
      </c>
      <c r="G344">
        <f>IFERROR(IF(ISNUMBER(INDEX(SPPR!$E:$Z,MATCH($A344,SPPR!$A:$A,0),4)),$C344*INDEX(SPPR!$E:$Z,MATCH($A344,SPPR!$A:$A,0),4),""),"")</f>
        <v/>
      </c>
      <c r="H344">
        <f>IFERROR(IF(ISNUMBER(INDEX(SPPR!$E:$Z,MATCH($A344,SPPR!$A:$A,0),5)),$C344*INDEX(SPPR!$E:$Z,MATCH($A344,SPPR!$A:$A,0),5),""),"")</f>
        <v/>
      </c>
      <c r="I344">
        <f>IFERROR(IF(ISNUMBER(INDEX(SPPR!$E:$Z,MATCH($A344,SPPR!$A:$A,0),6)),$C344*INDEX(SPPR!$E:$Z,MATCH($A344,SPPR!$A:$A,0),6),""),"")</f>
        <v/>
      </c>
      <c r="J344">
        <f>IFERROR(IF(ISNUMBER(INDEX(SPPR!$E:$Z,MATCH($A344,SPPR!$A:$A,0),7)),$C344*INDEX(SPPR!$E:$Z,MATCH($A344,SPPR!$A:$A,0),7),""),"")</f>
        <v/>
      </c>
      <c r="K344">
        <f>IFERROR(IF(ISNUMBER(INDEX(SPPR!$E:$Z,MATCH($A344,SPPR!$A:$A,0),8)),$C344*INDEX(SPPR!$E:$Z,MATCH($A344,SPPR!$A:$A,0),8),""),"")</f>
        <v/>
      </c>
      <c r="L344">
        <f>IFERROR(IF(ISNUMBER(INDEX(SPPR!$E:$Z,MATCH($A344,SPPR!$A:$A,0),9)),$C344*INDEX(SPPR!$E:$Z,MATCH($A344,SPPR!$A:$A,0),9),""),"")</f>
        <v/>
      </c>
      <c r="M344">
        <f>IFERROR(IF(ISNUMBER(INDEX(SPPR!$E:$Z,MATCH($A344,SPPR!$A:$A,0),10)),$C344*INDEX(SPPR!$E:$Z,MATCH($A344,SPPR!$A:$A,0),10),""),"")</f>
        <v/>
      </c>
      <c r="N344">
        <f>IFERROR(IF(ISNUMBER(INDEX(SPPR!$E:$Z,MATCH($A344,SPPR!$A:$A,0),11)),$C344*INDEX(SPPR!$E:$Z,MATCH($A344,SPPR!$A:$A,0),11),""),"")</f>
        <v/>
      </c>
      <c r="O344">
        <f>IFERROR(IF(ISNUMBER(INDEX(SPPR!$E:$Z,MATCH($A344,SPPR!$A:$A,0),12)),$C344*INDEX(SPPR!$E:$Z,MATCH($A344,SPPR!$A:$A,0),12),""),"")</f>
        <v/>
      </c>
      <c r="P344">
        <f>IFERROR(IF(ISNUMBER(INDEX(SPPR!$E:$Z,MATCH($A344,SPPR!$A:$A,0),13)),$C344*INDEX(SPPR!$E:$Z,MATCH($A344,SPPR!$A:$A,0),13),""),"")</f>
        <v/>
      </c>
      <c r="Q344">
        <f>IFERROR(IF(ISNUMBER(INDEX(SPPR!$E:$Z,MATCH($A344,SPPR!$A:$A,0),14)),$C344*INDEX(SPPR!$E:$Z,MATCH($A344,SPPR!$A:$A,0),14),""),"")</f>
        <v/>
      </c>
      <c r="R344">
        <f>IFERROR(IF(ISNUMBER(INDEX(SPPR!$E:$Z,MATCH($A344,SPPR!$A:$A,0),15)),$C344*INDEX(SPPR!$E:$Z,MATCH($A344,SPPR!$A:$A,0),15),""),"")</f>
        <v/>
      </c>
      <c r="S344">
        <f>IFERROR(IF(ISNUMBER(INDEX(SPPR!$E:$Z,MATCH($A344,SPPR!$A:$A,0),16)),$C344*INDEX(SPPR!$E:$Z,MATCH($A344,SPPR!$A:$A,0),16),""),"")</f>
        <v/>
      </c>
      <c r="T344">
        <f>IFERROR(IF(ISNUMBER(INDEX(SPPR!$E:$Z,MATCH($A344,SPPR!$A:$A,0),17)),$C344*INDEX(SPPR!$E:$Z,MATCH($A344,SPPR!$A:$A,0),17),""),"")</f>
        <v/>
      </c>
      <c r="U344">
        <f>IFERROR(IF(ISNUMBER(INDEX(SPPR!$E:$Z,MATCH($A344,SPPR!$A:$A,0),18)),$C344*INDEX(SPPR!$E:$Z,MATCH($A344,SPPR!$A:$A,0),18),""),"")</f>
        <v/>
      </c>
      <c r="V344">
        <f>IFERROR(IF(ISNUMBER(INDEX(SPPR!$E:$Z,MATCH($A344,SPPR!$A:$A,0),19)),$C344*INDEX(SPPR!$E:$Z,MATCH($A344,SPPR!$A:$A,0),19),""),"")</f>
        <v/>
      </c>
      <c r="W344">
        <f>IFERROR(IF(ISNUMBER(INDEX(SPPR!$E:$Z,MATCH($A344,SPPR!$A:$A,0),20)),$C344*INDEX(SPPR!$E:$Z,MATCH($A344,SPPR!$A:$A,0),20),""),"")</f>
        <v/>
      </c>
      <c r="X344">
        <f>IFERROR(IF(ISNUMBER(INDEX(SPPR!$E:$Z,MATCH($A344,SPPR!$A:$A,0),21)),$C344*INDEX(SPPR!$E:$Z,MATCH($A344,SPPR!$A:$A,0),21),""),"")</f>
        <v/>
      </c>
      <c r="Y344">
        <f>IFERROR(IF(ISNUMBER(INDEX(SPPR!$E:$Z,MATCH($A344,SPPR!$A:$A,0),22)),$C344*INDEX(SPPR!$E:$Z,MATCH($A344,SPPR!$A:$A,0),22),""),"")</f>
        <v/>
      </c>
    </row>
    <row r="345">
      <c r="A345" t="inlineStr">
        <is>
          <t>Dicologlossa hexophthalma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IFERROR(IF(ISNUMBER(INDEX(SPPR!$E:$Z,MATCH($A345,SPPR!$A:$A,0),1)),$C345*INDEX(SPPR!$E:$Z,MATCH($A345,SPPR!$A:$A,0),1),""),"")</f>
        <v/>
      </c>
      <c r="E345">
        <f>IFERROR(IF(ISNUMBER(INDEX(SPPR!$E:$Z,MATCH($A345,SPPR!$A:$A,0),2)),$C345*INDEX(SPPR!$E:$Z,MATCH($A345,SPPR!$A:$A,0),2),""),"")</f>
        <v/>
      </c>
      <c r="F345">
        <f>IFERROR(IF(ISNUMBER(INDEX(SPPR!$E:$Z,MATCH($A345,SPPR!$A:$A,0),3)),$C345*INDEX(SPPR!$E:$Z,MATCH($A345,SPPR!$A:$A,0),3),""),"")</f>
        <v/>
      </c>
      <c r="G345">
        <f>IFERROR(IF(ISNUMBER(INDEX(SPPR!$E:$Z,MATCH($A345,SPPR!$A:$A,0),4)),$C345*INDEX(SPPR!$E:$Z,MATCH($A345,SPPR!$A:$A,0),4),""),"")</f>
        <v/>
      </c>
      <c r="H345">
        <f>IFERROR(IF(ISNUMBER(INDEX(SPPR!$E:$Z,MATCH($A345,SPPR!$A:$A,0),5)),$C345*INDEX(SPPR!$E:$Z,MATCH($A345,SPPR!$A:$A,0),5),""),"")</f>
        <v/>
      </c>
      <c r="I345">
        <f>IFERROR(IF(ISNUMBER(INDEX(SPPR!$E:$Z,MATCH($A345,SPPR!$A:$A,0),6)),$C345*INDEX(SPPR!$E:$Z,MATCH($A345,SPPR!$A:$A,0),6),""),"")</f>
        <v/>
      </c>
      <c r="J345">
        <f>IFERROR(IF(ISNUMBER(INDEX(SPPR!$E:$Z,MATCH($A345,SPPR!$A:$A,0),7)),$C345*INDEX(SPPR!$E:$Z,MATCH($A345,SPPR!$A:$A,0),7),""),"")</f>
        <v/>
      </c>
      <c r="K345">
        <f>IFERROR(IF(ISNUMBER(INDEX(SPPR!$E:$Z,MATCH($A345,SPPR!$A:$A,0),8)),$C345*INDEX(SPPR!$E:$Z,MATCH($A345,SPPR!$A:$A,0),8),""),"")</f>
        <v/>
      </c>
      <c r="L345">
        <f>IFERROR(IF(ISNUMBER(INDEX(SPPR!$E:$Z,MATCH($A345,SPPR!$A:$A,0),9)),$C345*INDEX(SPPR!$E:$Z,MATCH($A345,SPPR!$A:$A,0),9),""),"")</f>
        <v/>
      </c>
      <c r="M345">
        <f>IFERROR(IF(ISNUMBER(INDEX(SPPR!$E:$Z,MATCH($A345,SPPR!$A:$A,0),10)),$C345*INDEX(SPPR!$E:$Z,MATCH($A345,SPPR!$A:$A,0),10),""),"")</f>
        <v/>
      </c>
      <c r="N345">
        <f>IFERROR(IF(ISNUMBER(INDEX(SPPR!$E:$Z,MATCH($A345,SPPR!$A:$A,0),11)),$C345*INDEX(SPPR!$E:$Z,MATCH($A345,SPPR!$A:$A,0),11),""),"")</f>
        <v/>
      </c>
      <c r="O345">
        <f>IFERROR(IF(ISNUMBER(INDEX(SPPR!$E:$Z,MATCH($A345,SPPR!$A:$A,0),12)),$C345*INDEX(SPPR!$E:$Z,MATCH($A345,SPPR!$A:$A,0),12),""),"")</f>
        <v/>
      </c>
      <c r="P345">
        <f>IFERROR(IF(ISNUMBER(INDEX(SPPR!$E:$Z,MATCH($A345,SPPR!$A:$A,0),13)),$C345*INDEX(SPPR!$E:$Z,MATCH($A345,SPPR!$A:$A,0),13),""),"")</f>
        <v/>
      </c>
      <c r="Q345">
        <f>IFERROR(IF(ISNUMBER(INDEX(SPPR!$E:$Z,MATCH($A345,SPPR!$A:$A,0),14)),$C345*INDEX(SPPR!$E:$Z,MATCH($A345,SPPR!$A:$A,0),14),""),"")</f>
        <v/>
      </c>
      <c r="R345">
        <f>IFERROR(IF(ISNUMBER(INDEX(SPPR!$E:$Z,MATCH($A345,SPPR!$A:$A,0),15)),$C345*INDEX(SPPR!$E:$Z,MATCH($A345,SPPR!$A:$A,0),15),""),"")</f>
        <v/>
      </c>
      <c r="S345">
        <f>IFERROR(IF(ISNUMBER(INDEX(SPPR!$E:$Z,MATCH($A345,SPPR!$A:$A,0),16)),$C345*INDEX(SPPR!$E:$Z,MATCH($A345,SPPR!$A:$A,0),16),""),"")</f>
        <v/>
      </c>
      <c r="T345">
        <f>IFERROR(IF(ISNUMBER(INDEX(SPPR!$E:$Z,MATCH($A345,SPPR!$A:$A,0),17)),$C345*INDEX(SPPR!$E:$Z,MATCH($A345,SPPR!$A:$A,0),17),""),"")</f>
        <v/>
      </c>
      <c r="U345">
        <f>IFERROR(IF(ISNUMBER(INDEX(SPPR!$E:$Z,MATCH($A345,SPPR!$A:$A,0),18)),$C345*INDEX(SPPR!$E:$Z,MATCH($A345,SPPR!$A:$A,0),18),""),"")</f>
        <v/>
      </c>
      <c r="V345">
        <f>IFERROR(IF(ISNUMBER(INDEX(SPPR!$E:$Z,MATCH($A345,SPPR!$A:$A,0),19)),$C345*INDEX(SPPR!$E:$Z,MATCH($A345,SPPR!$A:$A,0),19),""),"")</f>
        <v/>
      </c>
      <c r="W345">
        <f>IFERROR(IF(ISNUMBER(INDEX(SPPR!$E:$Z,MATCH($A345,SPPR!$A:$A,0),20)),$C345*INDEX(SPPR!$E:$Z,MATCH($A345,SPPR!$A:$A,0),20),""),"")</f>
        <v/>
      </c>
      <c r="X345">
        <f>IFERROR(IF(ISNUMBER(INDEX(SPPR!$E:$Z,MATCH($A345,SPPR!$A:$A,0),21)),$C345*INDEX(SPPR!$E:$Z,MATCH($A345,SPPR!$A:$A,0),21),""),"")</f>
        <v/>
      </c>
      <c r="Y345">
        <f>IFERROR(IF(ISNUMBER(INDEX(SPPR!$E:$Z,MATCH($A345,SPPR!$A:$A,0),22)),$C345*INDEX(SPPR!$E:$Z,MATCH($A345,SPPR!$A:$A,0),22),""),"")</f>
        <v/>
      </c>
    </row>
    <row r="346">
      <c r="A346" t="inlineStr">
        <is>
          <t>Carcharhinus longimanus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IFERROR(IF(ISNUMBER(INDEX(SPPR!$E:$Z,MATCH($A346,SPPR!$A:$A,0),1)),$C346*INDEX(SPPR!$E:$Z,MATCH($A346,SPPR!$A:$A,0),1),""),"")</f>
        <v/>
      </c>
      <c r="E346">
        <f>IFERROR(IF(ISNUMBER(INDEX(SPPR!$E:$Z,MATCH($A346,SPPR!$A:$A,0),2)),$C346*INDEX(SPPR!$E:$Z,MATCH($A346,SPPR!$A:$A,0),2),""),"")</f>
        <v/>
      </c>
      <c r="F346">
        <f>IFERROR(IF(ISNUMBER(INDEX(SPPR!$E:$Z,MATCH($A346,SPPR!$A:$A,0),3)),$C346*INDEX(SPPR!$E:$Z,MATCH($A346,SPPR!$A:$A,0),3),""),"")</f>
        <v/>
      </c>
      <c r="G346">
        <f>IFERROR(IF(ISNUMBER(INDEX(SPPR!$E:$Z,MATCH($A346,SPPR!$A:$A,0),4)),$C346*INDEX(SPPR!$E:$Z,MATCH($A346,SPPR!$A:$A,0),4),""),"")</f>
        <v/>
      </c>
      <c r="H346">
        <f>IFERROR(IF(ISNUMBER(INDEX(SPPR!$E:$Z,MATCH($A346,SPPR!$A:$A,0),5)),$C346*INDEX(SPPR!$E:$Z,MATCH($A346,SPPR!$A:$A,0),5),""),"")</f>
        <v/>
      </c>
      <c r="I346">
        <f>IFERROR(IF(ISNUMBER(INDEX(SPPR!$E:$Z,MATCH($A346,SPPR!$A:$A,0),6)),$C346*INDEX(SPPR!$E:$Z,MATCH($A346,SPPR!$A:$A,0),6),""),"")</f>
        <v/>
      </c>
      <c r="J346">
        <f>IFERROR(IF(ISNUMBER(INDEX(SPPR!$E:$Z,MATCH($A346,SPPR!$A:$A,0),7)),$C346*INDEX(SPPR!$E:$Z,MATCH($A346,SPPR!$A:$A,0),7),""),"")</f>
        <v/>
      </c>
      <c r="K346">
        <f>IFERROR(IF(ISNUMBER(INDEX(SPPR!$E:$Z,MATCH($A346,SPPR!$A:$A,0),8)),$C346*INDEX(SPPR!$E:$Z,MATCH($A346,SPPR!$A:$A,0),8),""),"")</f>
        <v/>
      </c>
      <c r="L346">
        <f>IFERROR(IF(ISNUMBER(INDEX(SPPR!$E:$Z,MATCH($A346,SPPR!$A:$A,0),9)),$C346*INDEX(SPPR!$E:$Z,MATCH($A346,SPPR!$A:$A,0),9),""),"")</f>
        <v/>
      </c>
      <c r="M346">
        <f>IFERROR(IF(ISNUMBER(INDEX(SPPR!$E:$Z,MATCH($A346,SPPR!$A:$A,0),10)),$C346*INDEX(SPPR!$E:$Z,MATCH($A346,SPPR!$A:$A,0),10),""),"")</f>
        <v/>
      </c>
      <c r="N346">
        <f>IFERROR(IF(ISNUMBER(INDEX(SPPR!$E:$Z,MATCH($A346,SPPR!$A:$A,0),11)),$C346*INDEX(SPPR!$E:$Z,MATCH($A346,SPPR!$A:$A,0),11),""),"")</f>
        <v/>
      </c>
      <c r="O346">
        <f>IFERROR(IF(ISNUMBER(INDEX(SPPR!$E:$Z,MATCH($A346,SPPR!$A:$A,0),12)),$C346*INDEX(SPPR!$E:$Z,MATCH($A346,SPPR!$A:$A,0),12),""),"")</f>
        <v/>
      </c>
      <c r="P346">
        <f>IFERROR(IF(ISNUMBER(INDEX(SPPR!$E:$Z,MATCH($A346,SPPR!$A:$A,0),13)),$C346*INDEX(SPPR!$E:$Z,MATCH($A346,SPPR!$A:$A,0),13),""),"")</f>
        <v/>
      </c>
      <c r="Q346">
        <f>IFERROR(IF(ISNUMBER(INDEX(SPPR!$E:$Z,MATCH($A346,SPPR!$A:$A,0),14)),$C346*INDEX(SPPR!$E:$Z,MATCH($A346,SPPR!$A:$A,0),14),""),"")</f>
        <v/>
      </c>
      <c r="R346">
        <f>IFERROR(IF(ISNUMBER(INDEX(SPPR!$E:$Z,MATCH($A346,SPPR!$A:$A,0),15)),$C346*INDEX(SPPR!$E:$Z,MATCH($A346,SPPR!$A:$A,0),15),""),"")</f>
        <v/>
      </c>
      <c r="S346">
        <f>IFERROR(IF(ISNUMBER(INDEX(SPPR!$E:$Z,MATCH($A346,SPPR!$A:$A,0),16)),$C346*INDEX(SPPR!$E:$Z,MATCH($A346,SPPR!$A:$A,0),16),""),"")</f>
        <v/>
      </c>
      <c r="T346">
        <f>IFERROR(IF(ISNUMBER(INDEX(SPPR!$E:$Z,MATCH($A346,SPPR!$A:$A,0),17)),$C346*INDEX(SPPR!$E:$Z,MATCH($A346,SPPR!$A:$A,0),17),""),"")</f>
        <v/>
      </c>
      <c r="U346">
        <f>IFERROR(IF(ISNUMBER(INDEX(SPPR!$E:$Z,MATCH($A346,SPPR!$A:$A,0),18)),$C346*INDEX(SPPR!$E:$Z,MATCH($A346,SPPR!$A:$A,0),18),""),"")</f>
        <v/>
      </c>
      <c r="V346">
        <f>IFERROR(IF(ISNUMBER(INDEX(SPPR!$E:$Z,MATCH($A346,SPPR!$A:$A,0),19)),$C346*INDEX(SPPR!$E:$Z,MATCH($A346,SPPR!$A:$A,0),19),""),"")</f>
        <v/>
      </c>
      <c r="W346">
        <f>IFERROR(IF(ISNUMBER(INDEX(SPPR!$E:$Z,MATCH($A346,SPPR!$A:$A,0),20)),$C346*INDEX(SPPR!$E:$Z,MATCH($A346,SPPR!$A:$A,0),20),""),"")</f>
        <v/>
      </c>
      <c r="X346">
        <f>IFERROR(IF(ISNUMBER(INDEX(SPPR!$E:$Z,MATCH($A346,SPPR!$A:$A,0),21)),$C346*INDEX(SPPR!$E:$Z,MATCH($A346,SPPR!$A:$A,0),21),""),"")</f>
        <v/>
      </c>
      <c r="Y346">
        <f>IFERROR(IF(ISNUMBER(INDEX(SPPR!$E:$Z,MATCH($A346,SPPR!$A:$A,0),22)),$C346*INDEX(SPPR!$E:$Z,MATCH($A346,SPPR!$A:$A,0),22),""),"")</f>
        <v/>
      </c>
    </row>
    <row r="347">
      <c r="A347" t="inlineStr">
        <is>
          <t>Centroscyllium fabricii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IFERROR(IF(ISNUMBER(INDEX(SPPR!$E:$Z,MATCH($A347,SPPR!$A:$A,0),1)),$C347*INDEX(SPPR!$E:$Z,MATCH($A347,SPPR!$A:$A,0),1),""),"")</f>
        <v/>
      </c>
      <c r="E347">
        <f>IFERROR(IF(ISNUMBER(INDEX(SPPR!$E:$Z,MATCH($A347,SPPR!$A:$A,0),2)),$C347*INDEX(SPPR!$E:$Z,MATCH($A347,SPPR!$A:$A,0),2),""),"")</f>
        <v/>
      </c>
      <c r="F347">
        <f>IFERROR(IF(ISNUMBER(INDEX(SPPR!$E:$Z,MATCH($A347,SPPR!$A:$A,0),3)),$C347*INDEX(SPPR!$E:$Z,MATCH($A347,SPPR!$A:$A,0),3),""),"")</f>
        <v/>
      </c>
      <c r="G347">
        <f>IFERROR(IF(ISNUMBER(INDEX(SPPR!$E:$Z,MATCH($A347,SPPR!$A:$A,0),4)),$C347*INDEX(SPPR!$E:$Z,MATCH($A347,SPPR!$A:$A,0),4),""),"")</f>
        <v/>
      </c>
      <c r="H347">
        <f>IFERROR(IF(ISNUMBER(INDEX(SPPR!$E:$Z,MATCH($A347,SPPR!$A:$A,0),5)),$C347*INDEX(SPPR!$E:$Z,MATCH($A347,SPPR!$A:$A,0),5),""),"")</f>
        <v/>
      </c>
      <c r="I347">
        <f>IFERROR(IF(ISNUMBER(INDEX(SPPR!$E:$Z,MATCH($A347,SPPR!$A:$A,0),6)),$C347*INDEX(SPPR!$E:$Z,MATCH($A347,SPPR!$A:$A,0),6),""),"")</f>
        <v/>
      </c>
      <c r="J347">
        <f>IFERROR(IF(ISNUMBER(INDEX(SPPR!$E:$Z,MATCH($A347,SPPR!$A:$A,0),7)),$C347*INDEX(SPPR!$E:$Z,MATCH($A347,SPPR!$A:$A,0),7),""),"")</f>
        <v/>
      </c>
      <c r="K347">
        <f>IFERROR(IF(ISNUMBER(INDEX(SPPR!$E:$Z,MATCH($A347,SPPR!$A:$A,0),8)),$C347*INDEX(SPPR!$E:$Z,MATCH($A347,SPPR!$A:$A,0),8),""),"")</f>
        <v/>
      </c>
      <c r="L347">
        <f>IFERROR(IF(ISNUMBER(INDEX(SPPR!$E:$Z,MATCH($A347,SPPR!$A:$A,0),9)),$C347*INDEX(SPPR!$E:$Z,MATCH($A347,SPPR!$A:$A,0),9),""),"")</f>
        <v/>
      </c>
      <c r="M347">
        <f>IFERROR(IF(ISNUMBER(INDEX(SPPR!$E:$Z,MATCH($A347,SPPR!$A:$A,0),10)),$C347*INDEX(SPPR!$E:$Z,MATCH($A347,SPPR!$A:$A,0),10),""),"")</f>
        <v/>
      </c>
      <c r="N347">
        <f>IFERROR(IF(ISNUMBER(INDEX(SPPR!$E:$Z,MATCH($A347,SPPR!$A:$A,0),11)),$C347*INDEX(SPPR!$E:$Z,MATCH($A347,SPPR!$A:$A,0),11),""),"")</f>
        <v/>
      </c>
      <c r="O347">
        <f>IFERROR(IF(ISNUMBER(INDEX(SPPR!$E:$Z,MATCH($A347,SPPR!$A:$A,0),12)),$C347*INDEX(SPPR!$E:$Z,MATCH($A347,SPPR!$A:$A,0),12),""),"")</f>
        <v/>
      </c>
      <c r="P347">
        <f>IFERROR(IF(ISNUMBER(INDEX(SPPR!$E:$Z,MATCH($A347,SPPR!$A:$A,0),13)),$C347*INDEX(SPPR!$E:$Z,MATCH($A347,SPPR!$A:$A,0),13),""),"")</f>
        <v/>
      </c>
      <c r="Q347">
        <f>IFERROR(IF(ISNUMBER(INDEX(SPPR!$E:$Z,MATCH($A347,SPPR!$A:$A,0),14)),$C347*INDEX(SPPR!$E:$Z,MATCH($A347,SPPR!$A:$A,0),14),""),"")</f>
        <v/>
      </c>
      <c r="R347">
        <f>IFERROR(IF(ISNUMBER(INDEX(SPPR!$E:$Z,MATCH($A347,SPPR!$A:$A,0),15)),$C347*INDEX(SPPR!$E:$Z,MATCH($A347,SPPR!$A:$A,0),15),""),"")</f>
        <v/>
      </c>
      <c r="S347">
        <f>IFERROR(IF(ISNUMBER(INDEX(SPPR!$E:$Z,MATCH($A347,SPPR!$A:$A,0),16)),$C347*INDEX(SPPR!$E:$Z,MATCH($A347,SPPR!$A:$A,0),16),""),"")</f>
        <v/>
      </c>
      <c r="T347">
        <f>IFERROR(IF(ISNUMBER(INDEX(SPPR!$E:$Z,MATCH($A347,SPPR!$A:$A,0),17)),$C347*INDEX(SPPR!$E:$Z,MATCH($A347,SPPR!$A:$A,0),17),""),"")</f>
        <v/>
      </c>
      <c r="U347">
        <f>IFERROR(IF(ISNUMBER(INDEX(SPPR!$E:$Z,MATCH($A347,SPPR!$A:$A,0),18)),$C347*INDEX(SPPR!$E:$Z,MATCH($A347,SPPR!$A:$A,0),18),""),"")</f>
        <v/>
      </c>
      <c r="V347">
        <f>IFERROR(IF(ISNUMBER(INDEX(SPPR!$E:$Z,MATCH($A347,SPPR!$A:$A,0),19)),$C347*INDEX(SPPR!$E:$Z,MATCH($A347,SPPR!$A:$A,0),19),""),"")</f>
        <v/>
      </c>
      <c r="W347">
        <f>IFERROR(IF(ISNUMBER(INDEX(SPPR!$E:$Z,MATCH($A347,SPPR!$A:$A,0),20)),$C347*INDEX(SPPR!$E:$Z,MATCH($A347,SPPR!$A:$A,0),20),""),"")</f>
        <v/>
      </c>
      <c r="X347">
        <f>IFERROR(IF(ISNUMBER(INDEX(SPPR!$E:$Z,MATCH($A347,SPPR!$A:$A,0),21)),$C347*INDEX(SPPR!$E:$Z,MATCH($A347,SPPR!$A:$A,0),21),""),"")</f>
        <v/>
      </c>
      <c r="Y347">
        <f>IFERROR(IF(ISNUMBER(INDEX(SPPR!$E:$Z,MATCH($A347,SPPR!$A:$A,0),22)),$C347*INDEX(SPPR!$E:$Z,MATCH($A347,SPPR!$A:$A,0),22),""),"")</f>
        <v/>
      </c>
    </row>
    <row r="348">
      <c r="A348" t="inlineStr">
        <is>
          <t>Liza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IFERROR(IF(ISNUMBER(INDEX(SPPR!$E:$Z,MATCH($A348,SPPR!$A:$A,0),1)),$C348*INDEX(SPPR!$E:$Z,MATCH($A348,SPPR!$A:$A,0),1),""),"")</f>
        <v/>
      </c>
      <c r="E348">
        <f>IFERROR(IF(ISNUMBER(INDEX(SPPR!$E:$Z,MATCH($A348,SPPR!$A:$A,0),2)),$C348*INDEX(SPPR!$E:$Z,MATCH($A348,SPPR!$A:$A,0),2),""),"")</f>
        <v/>
      </c>
      <c r="F348">
        <f>IFERROR(IF(ISNUMBER(INDEX(SPPR!$E:$Z,MATCH($A348,SPPR!$A:$A,0),3)),$C348*INDEX(SPPR!$E:$Z,MATCH($A348,SPPR!$A:$A,0),3),""),"")</f>
        <v/>
      </c>
      <c r="G348">
        <f>IFERROR(IF(ISNUMBER(INDEX(SPPR!$E:$Z,MATCH($A348,SPPR!$A:$A,0),4)),$C348*INDEX(SPPR!$E:$Z,MATCH($A348,SPPR!$A:$A,0),4),""),"")</f>
        <v/>
      </c>
      <c r="H348">
        <f>IFERROR(IF(ISNUMBER(INDEX(SPPR!$E:$Z,MATCH($A348,SPPR!$A:$A,0),5)),$C348*INDEX(SPPR!$E:$Z,MATCH($A348,SPPR!$A:$A,0),5),""),"")</f>
        <v/>
      </c>
      <c r="I348">
        <f>IFERROR(IF(ISNUMBER(INDEX(SPPR!$E:$Z,MATCH($A348,SPPR!$A:$A,0),6)),$C348*INDEX(SPPR!$E:$Z,MATCH($A348,SPPR!$A:$A,0),6),""),"")</f>
        <v/>
      </c>
      <c r="J348">
        <f>IFERROR(IF(ISNUMBER(INDEX(SPPR!$E:$Z,MATCH($A348,SPPR!$A:$A,0),7)),$C348*INDEX(SPPR!$E:$Z,MATCH($A348,SPPR!$A:$A,0),7),""),"")</f>
        <v/>
      </c>
      <c r="K348">
        <f>IFERROR(IF(ISNUMBER(INDEX(SPPR!$E:$Z,MATCH($A348,SPPR!$A:$A,0),8)),$C348*INDEX(SPPR!$E:$Z,MATCH($A348,SPPR!$A:$A,0),8),""),"")</f>
        <v/>
      </c>
      <c r="L348">
        <f>IFERROR(IF(ISNUMBER(INDEX(SPPR!$E:$Z,MATCH($A348,SPPR!$A:$A,0),9)),$C348*INDEX(SPPR!$E:$Z,MATCH($A348,SPPR!$A:$A,0),9),""),"")</f>
        <v/>
      </c>
      <c r="M348">
        <f>IFERROR(IF(ISNUMBER(INDEX(SPPR!$E:$Z,MATCH($A348,SPPR!$A:$A,0),10)),$C348*INDEX(SPPR!$E:$Z,MATCH($A348,SPPR!$A:$A,0),10),""),"")</f>
        <v/>
      </c>
      <c r="N348">
        <f>IFERROR(IF(ISNUMBER(INDEX(SPPR!$E:$Z,MATCH($A348,SPPR!$A:$A,0),11)),$C348*INDEX(SPPR!$E:$Z,MATCH($A348,SPPR!$A:$A,0),11),""),"")</f>
        <v/>
      </c>
      <c r="O348">
        <f>IFERROR(IF(ISNUMBER(INDEX(SPPR!$E:$Z,MATCH($A348,SPPR!$A:$A,0),12)),$C348*INDEX(SPPR!$E:$Z,MATCH($A348,SPPR!$A:$A,0),12),""),"")</f>
        <v/>
      </c>
      <c r="P348">
        <f>IFERROR(IF(ISNUMBER(INDEX(SPPR!$E:$Z,MATCH($A348,SPPR!$A:$A,0),13)),$C348*INDEX(SPPR!$E:$Z,MATCH($A348,SPPR!$A:$A,0),13),""),"")</f>
        <v/>
      </c>
      <c r="Q348">
        <f>IFERROR(IF(ISNUMBER(INDEX(SPPR!$E:$Z,MATCH($A348,SPPR!$A:$A,0),14)),$C348*INDEX(SPPR!$E:$Z,MATCH($A348,SPPR!$A:$A,0),14),""),"")</f>
        <v/>
      </c>
      <c r="R348">
        <f>IFERROR(IF(ISNUMBER(INDEX(SPPR!$E:$Z,MATCH($A348,SPPR!$A:$A,0),15)),$C348*INDEX(SPPR!$E:$Z,MATCH($A348,SPPR!$A:$A,0),15),""),"")</f>
        <v/>
      </c>
      <c r="S348">
        <f>IFERROR(IF(ISNUMBER(INDEX(SPPR!$E:$Z,MATCH($A348,SPPR!$A:$A,0),16)),$C348*INDEX(SPPR!$E:$Z,MATCH($A348,SPPR!$A:$A,0),16),""),"")</f>
        <v/>
      </c>
      <c r="T348">
        <f>IFERROR(IF(ISNUMBER(INDEX(SPPR!$E:$Z,MATCH($A348,SPPR!$A:$A,0),17)),$C348*INDEX(SPPR!$E:$Z,MATCH($A348,SPPR!$A:$A,0),17),""),"")</f>
        <v/>
      </c>
      <c r="U348">
        <f>IFERROR(IF(ISNUMBER(INDEX(SPPR!$E:$Z,MATCH($A348,SPPR!$A:$A,0),18)),$C348*INDEX(SPPR!$E:$Z,MATCH($A348,SPPR!$A:$A,0),18),""),"")</f>
        <v/>
      </c>
      <c r="V348">
        <f>IFERROR(IF(ISNUMBER(INDEX(SPPR!$E:$Z,MATCH($A348,SPPR!$A:$A,0),19)),$C348*INDEX(SPPR!$E:$Z,MATCH($A348,SPPR!$A:$A,0),19),""),"")</f>
        <v/>
      </c>
      <c r="W348">
        <f>IFERROR(IF(ISNUMBER(INDEX(SPPR!$E:$Z,MATCH($A348,SPPR!$A:$A,0),20)),$C348*INDEX(SPPR!$E:$Z,MATCH($A348,SPPR!$A:$A,0),20),""),"")</f>
        <v/>
      </c>
      <c r="X348">
        <f>IFERROR(IF(ISNUMBER(INDEX(SPPR!$E:$Z,MATCH($A348,SPPR!$A:$A,0),21)),$C348*INDEX(SPPR!$E:$Z,MATCH($A348,SPPR!$A:$A,0),21),""),"")</f>
        <v/>
      </c>
      <c r="Y348">
        <f>IFERROR(IF(ISNUMBER(INDEX(SPPR!$E:$Z,MATCH($A348,SPPR!$A:$A,0),22)),$C348*INDEX(SPPR!$E:$Z,MATCH($A348,SPPR!$A:$A,0),22),""),"")</f>
        <v/>
      </c>
    </row>
    <row r="349">
      <c r="A349" t="inlineStr">
        <is>
          <t>Alepisaurus ferox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IFERROR(IF(ISNUMBER(INDEX(SPPR!$E:$Z,MATCH($A349,SPPR!$A:$A,0),1)),$C349*INDEX(SPPR!$E:$Z,MATCH($A349,SPPR!$A:$A,0),1),""),"")</f>
        <v/>
      </c>
      <c r="E349">
        <f>IFERROR(IF(ISNUMBER(INDEX(SPPR!$E:$Z,MATCH($A349,SPPR!$A:$A,0),2)),$C349*INDEX(SPPR!$E:$Z,MATCH($A349,SPPR!$A:$A,0),2),""),"")</f>
        <v/>
      </c>
      <c r="F349">
        <f>IFERROR(IF(ISNUMBER(INDEX(SPPR!$E:$Z,MATCH($A349,SPPR!$A:$A,0),3)),$C349*INDEX(SPPR!$E:$Z,MATCH($A349,SPPR!$A:$A,0),3),""),"")</f>
        <v/>
      </c>
      <c r="G349">
        <f>IFERROR(IF(ISNUMBER(INDEX(SPPR!$E:$Z,MATCH($A349,SPPR!$A:$A,0),4)),$C349*INDEX(SPPR!$E:$Z,MATCH($A349,SPPR!$A:$A,0),4),""),"")</f>
        <v/>
      </c>
      <c r="H349">
        <f>IFERROR(IF(ISNUMBER(INDEX(SPPR!$E:$Z,MATCH($A349,SPPR!$A:$A,0),5)),$C349*INDEX(SPPR!$E:$Z,MATCH($A349,SPPR!$A:$A,0),5),""),"")</f>
        <v/>
      </c>
      <c r="I349">
        <f>IFERROR(IF(ISNUMBER(INDEX(SPPR!$E:$Z,MATCH($A349,SPPR!$A:$A,0),6)),$C349*INDEX(SPPR!$E:$Z,MATCH($A349,SPPR!$A:$A,0),6),""),"")</f>
        <v/>
      </c>
      <c r="J349">
        <f>IFERROR(IF(ISNUMBER(INDEX(SPPR!$E:$Z,MATCH($A349,SPPR!$A:$A,0),7)),$C349*INDEX(SPPR!$E:$Z,MATCH($A349,SPPR!$A:$A,0),7),""),"")</f>
        <v/>
      </c>
      <c r="K349">
        <f>IFERROR(IF(ISNUMBER(INDEX(SPPR!$E:$Z,MATCH($A349,SPPR!$A:$A,0),8)),$C349*INDEX(SPPR!$E:$Z,MATCH($A349,SPPR!$A:$A,0),8),""),"")</f>
        <v/>
      </c>
      <c r="L349">
        <f>IFERROR(IF(ISNUMBER(INDEX(SPPR!$E:$Z,MATCH($A349,SPPR!$A:$A,0),9)),$C349*INDEX(SPPR!$E:$Z,MATCH($A349,SPPR!$A:$A,0),9),""),"")</f>
        <v/>
      </c>
      <c r="M349">
        <f>IFERROR(IF(ISNUMBER(INDEX(SPPR!$E:$Z,MATCH($A349,SPPR!$A:$A,0),10)),$C349*INDEX(SPPR!$E:$Z,MATCH($A349,SPPR!$A:$A,0),10),""),"")</f>
        <v/>
      </c>
      <c r="N349">
        <f>IFERROR(IF(ISNUMBER(INDEX(SPPR!$E:$Z,MATCH($A349,SPPR!$A:$A,0),11)),$C349*INDEX(SPPR!$E:$Z,MATCH($A349,SPPR!$A:$A,0),11),""),"")</f>
        <v/>
      </c>
      <c r="O349">
        <f>IFERROR(IF(ISNUMBER(INDEX(SPPR!$E:$Z,MATCH($A349,SPPR!$A:$A,0),12)),$C349*INDEX(SPPR!$E:$Z,MATCH($A349,SPPR!$A:$A,0),12),""),"")</f>
        <v/>
      </c>
      <c r="P349">
        <f>IFERROR(IF(ISNUMBER(INDEX(SPPR!$E:$Z,MATCH($A349,SPPR!$A:$A,0),13)),$C349*INDEX(SPPR!$E:$Z,MATCH($A349,SPPR!$A:$A,0),13),""),"")</f>
        <v/>
      </c>
      <c r="Q349">
        <f>IFERROR(IF(ISNUMBER(INDEX(SPPR!$E:$Z,MATCH($A349,SPPR!$A:$A,0),14)),$C349*INDEX(SPPR!$E:$Z,MATCH($A349,SPPR!$A:$A,0),14),""),"")</f>
        <v/>
      </c>
      <c r="R349">
        <f>IFERROR(IF(ISNUMBER(INDEX(SPPR!$E:$Z,MATCH($A349,SPPR!$A:$A,0),15)),$C349*INDEX(SPPR!$E:$Z,MATCH($A349,SPPR!$A:$A,0),15),""),"")</f>
        <v/>
      </c>
      <c r="S349">
        <f>IFERROR(IF(ISNUMBER(INDEX(SPPR!$E:$Z,MATCH($A349,SPPR!$A:$A,0),16)),$C349*INDEX(SPPR!$E:$Z,MATCH($A349,SPPR!$A:$A,0),16),""),"")</f>
        <v/>
      </c>
      <c r="T349">
        <f>IFERROR(IF(ISNUMBER(INDEX(SPPR!$E:$Z,MATCH($A349,SPPR!$A:$A,0),17)),$C349*INDEX(SPPR!$E:$Z,MATCH($A349,SPPR!$A:$A,0),17),""),"")</f>
        <v/>
      </c>
      <c r="U349">
        <f>IFERROR(IF(ISNUMBER(INDEX(SPPR!$E:$Z,MATCH($A349,SPPR!$A:$A,0),18)),$C349*INDEX(SPPR!$E:$Z,MATCH($A349,SPPR!$A:$A,0),18),""),"")</f>
        <v/>
      </c>
      <c r="V349">
        <f>IFERROR(IF(ISNUMBER(INDEX(SPPR!$E:$Z,MATCH($A349,SPPR!$A:$A,0),19)),$C349*INDEX(SPPR!$E:$Z,MATCH($A349,SPPR!$A:$A,0),19),""),"")</f>
        <v/>
      </c>
      <c r="W349">
        <f>IFERROR(IF(ISNUMBER(INDEX(SPPR!$E:$Z,MATCH($A349,SPPR!$A:$A,0),20)),$C349*INDEX(SPPR!$E:$Z,MATCH($A349,SPPR!$A:$A,0),20),""),"")</f>
        <v/>
      </c>
      <c r="X349">
        <f>IFERROR(IF(ISNUMBER(INDEX(SPPR!$E:$Z,MATCH($A349,SPPR!$A:$A,0),21)),$C349*INDEX(SPPR!$E:$Z,MATCH($A349,SPPR!$A:$A,0),21),""),"")</f>
        <v/>
      </c>
      <c r="Y349">
        <f>IFERROR(IF(ISNUMBER(INDEX(SPPR!$E:$Z,MATCH($A349,SPPR!$A:$A,0),22)),$C349*INDEX(SPPR!$E:$Z,MATCH($A349,SPPR!$A:$A,0),22),""),"")</f>
        <v/>
      </c>
    </row>
    <row r="350">
      <c r="A350" t="inlineStr">
        <is>
          <t>Dicentrarchus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IFERROR(IF(ISNUMBER(INDEX(SPPR!$E:$Z,MATCH($A350,SPPR!$A:$A,0),1)),$C350*INDEX(SPPR!$E:$Z,MATCH($A350,SPPR!$A:$A,0),1),""),"")</f>
        <v/>
      </c>
      <c r="E350">
        <f>IFERROR(IF(ISNUMBER(INDEX(SPPR!$E:$Z,MATCH($A350,SPPR!$A:$A,0),2)),$C350*INDEX(SPPR!$E:$Z,MATCH($A350,SPPR!$A:$A,0),2),""),"")</f>
        <v/>
      </c>
      <c r="F350">
        <f>IFERROR(IF(ISNUMBER(INDEX(SPPR!$E:$Z,MATCH($A350,SPPR!$A:$A,0),3)),$C350*INDEX(SPPR!$E:$Z,MATCH($A350,SPPR!$A:$A,0),3),""),"")</f>
        <v/>
      </c>
      <c r="G350">
        <f>IFERROR(IF(ISNUMBER(INDEX(SPPR!$E:$Z,MATCH($A350,SPPR!$A:$A,0),4)),$C350*INDEX(SPPR!$E:$Z,MATCH($A350,SPPR!$A:$A,0),4),""),"")</f>
        <v/>
      </c>
      <c r="H350">
        <f>IFERROR(IF(ISNUMBER(INDEX(SPPR!$E:$Z,MATCH($A350,SPPR!$A:$A,0),5)),$C350*INDEX(SPPR!$E:$Z,MATCH($A350,SPPR!$A:$A,0),5),""),"")</f>
        <v/>
      </c>
      <c r="I350">
        <f>IFERROR(IF(ISNUMBER(INDEX(SPPR!$E:$Z,MATCH($A350,SPPR!$A:$A,0),6)),$C350*INDEX(SPPR!$E:$Z,MATCH($A350,SPPR!$A:$A,0),6),""),"")</f>
        <v/>
      </c>
      <c r="J350">
        <f>IFERROR(IF(ISNUMBER(INDEX(SPPR!$E:$Z,MATCH($A350,SPPR!$A:$A,0),7)),$C350*INDEX(SPPR!$E:$Z,MATCH($A350,SPPR!$A:$A,0),7),""),"")</f>
        <v/>
      </c>
      <c r="K350">
        <f>IFERROR(IF(ISNUMBER(INDEX(SPPR!$E:$Z,MATCH($A350,SPPR!$A:$A,0),8)),$C350*INDEX(SPPR!$E:$Z,MATCH($A350,SPPR!$A:$A,0),8),""),"")</f>
        <v/>
      </c>
      <c r="L350">
        <f>IFERROR(IF(ISNUMBER(INDEX(SPPR!$E:$Z,MATCH($A350,SPPR!$A:$A,0),9)),$C350*INDEX(SPPR!$E:$Z,MATCH($A350,SPPR!$A:$A,0),9),""),"")</f>
        <v/>
      </c>
      <c r="M350">
        <f>IFERROR(IF(ISNUMBER(INDEX(SPPR!$E:$Z,MATCH($A350,SPPR!$A:$A,0),10)),$C350*INDEX(SPPR!$E:$Z,MATCH($A350,SPPR!$A:$A,0),10),""),"")</f>
        <v/>
      </c>
      <c r="N350">
        <f>IFERROR(IF(ISNUMBER(INDEX(SPPR!$E:$Z,MATCH($A350,SPPR!$A:$A,0),11)),$C350*INDEX(SPPR!$E:$Z,MATCH($A350,SPPR!$A:$A,0),11),""),"")</f>
        <v/>
      </c>
      <c r="O350">
        <f>IFERROR(IF(ISNUMBER(INDEX(SPPR!$E:$Z,MATCH($A350,SPPR!$A:$A,0),12)),$C350*INDEX(SPPR!$E:$Z,MATCH($A350,SPPR!$A:$A,0),12),""),"")</f>
        <v/>
      </c>
      <c r="P350">
        <f>IFERROR(IF(ISNUMBER(INDEX(SPPR!$E:$Z,MATCH($A350,SPPR!$A:$A,0),13)),$C350*INDEX(SPPR!$E:$Z,MATCH($A350,SPPR!$A:$A,0),13),""),"")</f>
        <v/>
      </c>
      <c r="Q350">
        <f>IFERROR(IF(ISNUMBER(INDEX(SPPR!$E:$Z,MATCH($A350,SPPR!$A:$A,0),14)),$C350*INDEX(SPPR!$E:$Z,MATCH($A350,SPPR!$A:$A,0),14),""),"")</f>
        <v/>
      </c>
      <c r="R350">
        <f>IFERROR(IF(ISNUMBER(INDEX(SPPR!$E:$Z,MATCH($A350,SPPR!$A:$A,0),15)),$C350*INDEX(SPPR!$E:$Z,MATCH($A350,SPPR!$A:$A,0),15),""),"")</f>
        <v/>
      </c>
      <c r="S350">
        <f>IFERROR(IF(ISNUMBER(INDEX(SPPR!$E:$Z,MATCH($A350,SPPR!$A:$A,0),16)),$C350*INDEX(SPPR!$E:$Z,MATCH($A350,SPPR!$A:$A,0),16),""),"")</f>
        <v/>
      </c>
      <c r="T350">
        <f>IFERROR(IF(ISNUMBER(INDEX(SPPR!$E:$Z,MATCH($A350,SPPR!$A:$A,0),17)),$C350*INDEX(SPPR!$E:$Z,MATCH($A350,SPPR!$A:$A,0),17),""),"")</f>
        <v/>
      </c>
      <c r="U350">
        <f>IFERROR(IF(ISNUMBER(INDEX(SPPR!$E:$Z,MATCH($A350,SPPR!$A:$A,0),18)),$C350*INDEX(SPPR!$E:$Z,MATCH($A350,SPPR!$A:$A,0),18),""),"")</f>
        <v/>
      </c>
      <c r="V350">
        <f>IFERROR(IF(ISNUMBER(INDEX(SPPR!$E:$Z,MATCH($A350,SPPR!$A:$A,0),19)),$C350*INDEX(SPPR!$E:$Z,MATCH($A350,SPPR!$A:$A,0),19),""),"")</f>
        <v/>
      </c>
      <c r="W350">
        <f>IFERROR(IF(ISNUMBER(INDEX(SPPR!$E:$Z,MATCH($A350,SPPR!$A:$A,0),20)),$C350*INDEX(SPPR!$E:$Z,MATCH($A350,SPPR!$A:$A,0),20),""),"")</f>
        <v/>
      </c>
      <c r="X350">
        <f>IFERROR(IF(ISNUMBER(INDEX(SPPR!$E:$Z,MATCH($A350,SPPR!$A:$A,0),21)),$C350*INDEX(SPPR!$E:$Z,MATCH($A350,SPPR!$A:$A,0),21),""),"")</f>
        <v/>
      </c>
      <c r="Y350">
        <f>IFERROR(IF(ISNUMBER(INDEX(SPPR!$E:$Z,MATCH($A350,SPPR!$A:$A,0),22)),$C350*INDEX(SPPR!$E:$Z,MATCH($A350,SPPR!$A:$A,0),22),""),"")</f>
        <v/>
      </c>
    </row>
    <row r="351">
      <c r="A351" t="inlineStr">
        <is>
          <t>Gephyroberyx darwinii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IFERROR(IF(ISNUMBER(INDEX(SPPR!$E:$Z,MATCH($A351,SPPR!$A:$A,0),1)),$C351*INDEX(SPPR!$E:$Z,MATCH($A351,SPPR!$A:$A,0),1),""),"")</f>
        <v/>
      </c>
      <c r="E351">
        <f>IFERROR(IF(ISNUMBER(INDEX(SPPR!$E:$Z,MATCH($A351,SPPR!$A:$A,0),2)),$C351*INDEX(SPPR!$E:$Z,MATCH($A351,SPPR!$A:$A,0),2),""),"")</f>
        <v/>
      </c>
      <c r="F351">
        <f>IFERROR(IF(ISNUMBER(INDEX(SPPR!$E:$Z,MATCH($A351,SPPR!$A:$A,0),3)),$C351*INDEX(SPPR!$E:$Z,MATCH($A351,SPPR!$A:$A,0),3),""),"")</f>
        <v/>
      </c>
      <c r="G351">
        <f>IFERROR(IF(ISNUMBER(INDEX(SPPR!$E:$Z,MATCH($A351,SPPR!$A:$A,0),4)),$C351*INDEX(SPPR!$E:$Z,MATCH($A351,SPPR!$A:$A,0),4),""),"")</f>
        <v/>
      </c>
      <c r="H351">
        <f>IFERROR(IF(ISNUMBER(INDEX(SPPR!$E:$Z,MATCH($A351,SPPR!$A:$A,0),5)),$C351*INDEX(SPPR!$E:$Z,MATCH($A351,SPPR!$A:$A,0),5),""),"")</f>
        <v/>
      </c>
      <c r="I351">
        <f>IFERROR(IF(ISNUMBER(INDEX(SPPR!$E:$Z,MATCH($A351,SPPR!$A:$A,0),6)),$C351*INDEX(SPPR!$E:$Z,MATCH($A351,SPPR!$A:$A,0),6),""),"")</f>
        <v/>
      </c>
      <c r="J351">
        <f>IFERROR(IF(ISNUMBER(INDEX(SPPR!$E:$Z,MATCH($A351,SPPR!$A:$A,0),7)),$C351*INDEX(SPPR!$E:$Z,MATCH($A351,SPPR!$A:$A,0),7),""),"")</f>
        <v/>
      </c>
      <c r="K351">
        <f>IFERROR(IF(ISNUMBER(INDEX(SPPR!$E:$Z,MATCH($A351,SPPR!$A:$A,0),8)),$C351*INDEX(SPPR!$E:$Z,MATCH($A351,SPPR!$A:$A,0),8),""),"")</f>
        <v/>
      </c>
      <c r="L351">
        <f>IFERROR(IF(ISNUMBER(INDEX(SPPR!$E:$Z,MATCH($A351,SPPR!$A:$A,0),9)),$C351*INDEX(SPPR!$E:$Z,MATCH($A351,SPPR!$A:$A,0),9),""),"")</f>
        <v/>
      </c>
      <c r="M351">
        <f>IFERROR(IF(ISNUMBER(INDEX(SPPR!$E:$Z,MATCH($A351,SPPR!$A:$A,0),10)),$C351*INDEX(SPPR!$E:$Z,MATCH($A351,SPPR!$A:$A,0),10),""),"")</f>
        <v/>
      </c>
      <c r="N351">
        <f>IFERROR(IF(ISNUMBER(INDEX(SPPR!$E:$Z,MATCH($A351,SPPR!$A:$A,0),11)),$C351*INDEX(SPPR!$E:$Z,MATCH($A351,SPPR!$A:$A,0),11),""),"")</f>
        <v/>
      </c>
      <c r="O351">
        <f>IFERROR(IF(ISNUMBER(INDEX(SPPR!$E:$Z,MATCH($A351,SPPR!$A:$A,0),12)),$C351*INDEX(SPPR!$E:$Z,MATCH($A351,SPPR!$A:$A,0),12),""),"")</f>
        <v/>
      </c>
      <c r="P351">
        <f>IFERROR(IF(ISNUMBER(INDEX(SPPR!$E:$Z,MATCH($A351,SPPR!$A:$A,0),13)),$C351*INDEX(SPPR!$E:$Z,MATCH($A351,SPPR!$A:$A,0),13),""),"")</f>
        <v/>
      </c>
      <c r="Q351">
        <f>IFERROR(IF(ISNUMBER(INDEX(SPPR!$E:$Z,MATCH($A351,SPPR!$A:$A,0),14)),$C351*INDEX(SPPR!$E:$Z,MATCH($A351,SPPR!$A:$A,0),14),""),"")</f>
        <v/>
      </c>
      <c r="R351">
        <f>IFERROR(IF(ISNUMBER(INDEX(SPPR!$E:$Z,MATCH($A351,SPPR!$A:$A,0),15)),$C351*INDEX(SPPR!$E:$Z,MATCH($A351,SPPR!$A:$A,0),15),""),"")</f>
        <v/>
      </c>
      <c r="S351">
        <f>IFERROR(IF(ISNUMBER(INDEX(SPPR!$E:$Z,MATCH($A351,SPPR!$A:$A,0),16)),$C351*INDEX(SPPR!$E:$Z,MATCH($A351,SPPR!$A:$A,0),16),""),"")</f>
        <v/>
      </c>
      <c r="T351">
        <f>IFERROR(IF(ISNUMBER(INDEX(SPPR!$E:$Z,MATCH($A351,SPPR!$A:$A,0),17)),$C351*INDEX(SPPR!$E:$Z,MATCH($A351,SPPR!$A:$A,0),17),""),"")</f>
        <v/>
      </c>
      <c r="U351">
        <f>IFERROR(IF(ISNUMBER(INDEX(SPPR!$E:$Z,MATCH($A351,SPPR!$A:$A,0),18)),$C351*INDEX(SPPR!$E:$Z,MATCH($A351,SPPR!$A:$A,0),18),""),"")</f>
        <v/>
      </c>
      <c r="V351">
        <f>IFERROR(IF(ISNUMBER(INDEX(SPPR!$E:$Z,MATCH($A351,SPPR!$A:$A,0),19)),$C351*INDEX(SPPR!$E:$Z,MATCH($A351,SPPR!$A:$A,0),19),""),"")</f>
        <v/>
      </c>
      <c r="W351">
        <f>IFERROR(IF(ISNUMBER(INDEX(SPPR!$E:$Z,MATCH($A351,SPPR!$A:$A,0),20)),$C351*INDEX(SPPR!$E:$Z,MATCH($A351,SPPR!$A:$A,0),20),""),"")</f>
        <v/>
      </c>
      <c r="X351">
        <f>IFERROR(IF(ISNUMBER(INDEX(SPPR!$E:$Z,MATCH($A351,SPPR!$A:$A,0),21)),$C351*INDEX(SPPR!$E:$Z,MATCH($A351,SPPR!$A:$A,0),21),""),"")</f>
        <v/>
      </c>
      <c r="Y351">
        <f>IFERROR(IF(ISNUMBER(INDEX(SPPR!$E:$Z,MATCH($A351,SPPR!$A:$A,0),22)),$C351*INDEX(SPPR!$E:$Z,MATCH($A351,SPPR!$A:$A,0),22),""),"")</f>
        <v/>
      </c>
    </row>
    <row r="352">
      <c r="A352" t="inlineStr">
        <is>
          <t>Aphanopus intermedius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IFERROR(IF(ISNUMBER(INDEX(SPPR!$E:$Z,MATCH($A352,SPPR!$A:$A,0),1)),$C352*INDEX(SPPR!$E:$Z,MATCH($A352,SPPR!$A:$A,0),1),""),"")</f>
        <v/>
      </c>
      <c r="E352">
        <f>IFERROR(IF(ISNUMBER(INDEX(SPPR!$E:$Z,MATCH($A352,SPPR!$A:$A,0),2)),$C352*INDEX(SPPR!$E:$Z,MATCH($A352,SPPR!$A:$A,0),2),""),"")</f>
        <v/>
      </c>
      <c r="F352">
        <f>IFERROR(IF(ISNUMBER(INDEX(SPPR!$E:$Z,MATCH($A352,SPPR!$A:$A,0),3)),$C352*INDEX(SPPR!$E:$Z,MATCH($A352,SPPR!$A:$A,0),3),""),"")</f>
        <v/>
      </c>
      <c r="G352">
        <f>IFERROR(IF(ISNUMBER(INDEX(SPPR!$E:$Z,MATCH($A352,SPPR!$A:$A,0),4)),$C352*INDEX(SPPR!$E:$Z,MATCH($A352,SPPR!$A:$A,0),4),""),"")</f>
        <v/>
      </c>
      <c r="H352">
        <f>IFERROR(IF(ISNUMBER(INDEX(SPPR!$E:$Z,MATCH($A352,SPPR!$A:$A,0),5)),$C352*INDEX(SPPR!$E:$Z,MATCH($A352,SPPR!$A:$A,0),5),""),"")</f>
        <v/>
      </c>
      <c r="I352">
        <f>IFERROR(IF(ISNUMBER(INDEX(SPPR!$E:$Z,MATCH($A352,SPPR!$A:$A,0),6)),$C352*INDEX(SPPR!$E:$Z,MATCH($A352,SPPR!$A:$A,0),6),""),"")</f>
        <v/>
      </c>
      <c r="J352">
        <f>IFERROR(IF(ISNUMBER(INDEX(SPPR!$E:$Z,MATCH($A352,SPPR!$A:$A,0),7)),$C352*INDEX(SPPR!$E:$Z,MATCH($A352,SPPR!$A:$A,0),7),""),"")</f>
        <v/>
      </c>
      <c r="K352">
        <f>IFERROR(IF(ISNUMBER(INDEX(SPPR!$E:$Z,MATCH($A352,SPPR!$A:$A,0),8)),$C352*INDEX(SPPR!$E:$Z,MATCH($A352,SPPR!$A:$A,0),8),""),"")</f>
        <v/>
      </c>
      <c r="L352">
        <f>IFERROR(IF(ISNUMBER(INDEX(SPPR!$E:$Z,MATCH($A352,SPPR!$A:$A,0),9)),$C352*INDEX(SPPR!$E:$Z,MATCH($A352,SPPR!$A:$A,0),9),""),"")</f>
        <v/>
      </c>
      <c r="M352">
        <f>IFERROR(IF(ISNUMBER(INDEX(SPPR!$E:$Z,MATCH($A352,SPPR!$A:$A,0),10)),$C352*INDEX(SPPR!$E:$Z,MATCH($A352,SPPR!$A:$A,0),10),""),"")</f>
        <v/>
      </c>
      <c r="N352">
        <f>IFERROR(IF(ISNUMBER(INDEX(SPPR!$E:$Z,MATCH($A352,SPPR!$A:$A,0),11)),$C352*INDEX(SPPR!$E:$Z,MATCH($A352,SPPR!$A:$A,0),11),""),"")</f>
        <v/>
      </c>
      <c r="O352">
        <f>IFERROR(IF(ISNUMBER(INDEX(SPPR!$E:$Z,MATCH($A352,SPPR!$A:$A,0),12)),$C352*INDEX(SPPR!$E:$Z,MATCH($A352,SPPR!$A:$A,0),12),""),"")</f>
        <v/>
      </c>
      <c r="P352">
        <f>IFERROR(IF(ISNUMBER(INDEX(SPPR!$E:$Z,MATCH($A352,SPPR!$A:$A,0),13)),$C352*INDEX(SPPR!$E:$Z,MATCH($A352,SPPR!$A:$A,0),13),""),"")</f>
        <v/>
      </c>
      <c r="Q352">
        <f>IFERROR(IF(ISNUMBER(INDEX(SPPR!$E:$Z,MATCH($A352,SPPR!$A:$A,0),14)),$C352*INDEX(SPPR!$E:$Z,MATCH($A352,SPPR!$A:$A,0),14),""),"")</f>
        <v/>
      </c>
      <c r="R352">
        <f>IFERROR(IF(ISNUMBER(INDEX(SPPR!$E:$Z,MATCH($A352,SPPR!$A:$A,0),15)),$C352*INDEX(SPPR!$E:$Z,MATCH($A352,SPPR!$A:$A,0),15),""),"")</f>
        <v/>
      </c>
      <c r="S352">
        <f>IFERROR(IF(ISNUMBER(INDEX(SPPR!$E:$Z,MATCH($A352,SPPR!$A:$A,0),16)),$C352*INDEX(SPPR!$E:$Z,MATCH($A352,SPPR!$A:$A,0),16),""),"")</f>
        <v/>
      </c>
      <c r="T352">
        <f>IFERROR(IF(ISNUMBER(INDEX(SPPR!$E:$Z,MATCH($A352,SPPR!$A:$A,0),17)),$C352*INDEX(SPPR!$E:$Z,MATCH($A352,SPPR!$A:$A,0),17),""),"")</f>
        <v/>
      </c>
      <c r="U352">
        <f>IFERROR(IF(ISNUMBER(INDEX(SPPR!$E:$Z,MATCH($A352,SPPR!$A:$A,0),18)),$C352*INDEX(SPPR!$E:$Z,MATCH($A352,SPPR!$A:$A,0),18),""),"")</f>
        <v/>
      </c>
      <c r="V352">
        <f>IFERROR(IF(ISNUMBER(INDEX(SPPR!$E:$Z,MATCH($A352,SPPR!$A:$A,0),19)),$C352*INDEX(SPPR!$E:$Z,MATCH($A352,SPPR!$A:$A,0),19),""),"")</f>
        <v/>
      </c>
      <c r="W352">
        <f>IFERROR(IF(ISNUMBER(INDEX(SPPR!$E:$Z,MATCH($A352,SPPR!$A:$A,0),20)),$C352*INDEX(SPPR!$E:$Z,MATCH($A352,SPPR!$A:$A,0),20),""),"")</f>
        <v/>
      </c>
      <c r="X352">
        <f>IFERROR(IF(ISNUMBER(INDEX(SPPR!$E:$Z,MATCH($A352,SPPR!$A:$A,0),21)),$C352*INDEX(SPPR!$E:$Z,MATCH($A352,SPPR!$A:$A,0),21),""),"")</f>
        <v/>
      </c>
      <c r="Y352">
        <f>IFERROR(IF(ISNUMBER(INDEX(SPPR!$E:$Z,MATCH($A352,SPPR!$A:$A,0),22)),$C352*INDEX(SPPR!$E:$Z,MATCH($A352,SPPR!$A:$A,0),22),""),"")</f>
        <v/>
      </c>
    </row>
    <row r="353">
      <c r="A353" t="inlineStr">
        <is>
          <t>Parapristipoma octolineatum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IFERROR(IF(ISNUMBER(INDEX(SPPR!$E:$Z,MATCH($A353,SPPR!$A:$A,0),1)),$C353*INDEX(SPPR!$E:$Z,MATCH($A353,SPPR!$A:$A,0),1),""),"")</f>
        <v/>
      </c>
      <c r="E353">
        <f>IFERROR(IF(ISNUMBER(INDEX(SPPR!$E:$Z,MATCH($A353,SPPR!$A:$A,0),2)),$C353*INDEX(SPPR!$E:$Z,MATCH($A353,SPPR!$A:$A,0),2),""),"")</f>
        <v/>
      </c>
      <c r="F353">
        <f>IFERROR(IF(ISNUMBER(INDEX(SPPR!$E:$Z,MATCH($A353,SPPR!$A:$A,0),3)),$C353*INDEX(SPPR!$E:$Z,MATCH($A353,SPPR!$A:$A,0),3),""),"")</f>
        <v/>
      </c>
      <c r="G353">
        <f>IFERROR(IF(ISNUMBER(INDEX(SPPR!$E:$Z,MATCH($A353,SPPR!$A:$A,0),4)),$C353*INDEX(SPPR!$E:$Z,MATCH($A353,SPPR!$A:$A,0),4),""),"")</f>
        <v/>
      </c>
      <c r="H353">
        <f>IFERROR(IF(ISNUMBER(INDEX(SPPR!$E:$Z,MATCH($A353,SPPR!$A:$A,0),5)),$C353*INDEX(SPPR!$E:$Z,MATCH($A353,SPPR!$A:$A,0),5),""),"")</f>
        <v/>
      </c>
      <c r="I353">
        <f>IFERROR(IF(ISNUMBER(INDEX(SPPR!$E:$Z,MATCH($A353,SPPR!$A:$A,0),6)),$C353*INDEX(SPPR!$E:$Z,MATCH($A353,SPPR!$A:$A,0),6),""),"")</f>
        <v/>
      </c>
      <c r="J353">
        <f>IFERROR(IF(ISNUMBER(INDEX(SPPR!$E:$Z,MATCH($A353,SPPR!$A:$A,0),7)),$C353*INDEX(SPPR!$E:$Z,MATCH($A353,SPPR!$A:$A,0),7),""),"")</f>
        <v/>
      </c>
      <c r="K353">
        <f>IFERROR(IF(ISNUMBER(INDEX(SPPR!$E:$Z,MATCH($A353,SPPR!$A:$A,0),8)),$C353*INDEX(SPPR!$E:$Z,MATCH($A353,SPPR!$A:$A,0),8),""),"")</f>
        <v/>
      </c>
      <c r="L353">
        <f>IFERROR(IF(ISNUMBER(INDEX(SPPR!$E:$Z,MATCH($A353,SPPR!$A:$A,0),9)),$C353*INDEX(SPPR!$E:$Z,MATCH($A353,SPPR!$A:$A,0),9),""),"")</f>
        <v/>
      </c>
      <c r="M353">
        <f>IFERROR(IF(ISNUMBER(INDEX(SPPR!$E:$Z,MATCH($A353,SPPR!$A:$A,0),10)),$C353*INDEX(SPPR!$E:$Z,MATCH($A353,SPPR!$A:$A,0),10),""),"")</f>
        <v/>
      </c>
      <c r="N353">
        <f>IFERROR(IF(ISNUMBER(INDEX(SPPR!$E:$Z,MATCH($A353,SPPR!$A:$A,0),11)),$C353*INDEX(SPPR!$E:$Z,MATCH($A353,SPPR!$A:$A,0),11),""),"")</f>
        <v/>
      </c>
      <c r="O353">
        <f>IFERROR(IF(ISNUMBER(INDEX(SPPR!$E:$Z,MATCH($A353,SPPR!$A:$A,0),12)),$C353*INDEX(SPPR!$E:$Z,MATCH($A353,SPPR!$A:$A,0),12),""),"")</f>
        <v/>
      </c>
      <c r="P353">
        <f>IFERROR(IF(ISNUMBER(INDEX(SPPR!$E:$Z,MATCH($A353,SPPR!$A:$A,0),13)),$C353*INDEX(SPPR!$E:$Z,MATCH($A353,SPPR!$A:$A,0),13),""),"")</f>
        <v/>
      </c>
      <c r="Q353">
        <f>IFERROR(IF(ISNUMBER(INDEX(SPPR!$E:$Z,MATCH($A353,SPPR!$A:$A,0),14)),$C353*INDEX(SPPR!$E:$Z,MATCH($A353,SPPR!$A:$A,0),14),""),"")</f>
        <v/>
      </c>
      <c r="R353">
        <f>IFERROR(IF(ISNUMBER(INDEX(SPPR!$E:$Z,MATCH($A353,SPPR!$A:$A,0),15)),$C353*INDEX(SPPR!$E:$Z,MATCH($A353,SPPR!$A:$A,0),15),""),"")</f>
        <v/>
      </c>
      <c r="S353">
        <f>IFERROR(IF(ISNUMBER(INDEX(SPPR!$E:$Z,MATCH($A353,SPPR!$A:$A,0),16)),$C353*INDEX(SPPR!$E:$Z,MATCH($A353,SPPR!$A:$A,0),16),""),"")</f>
        <v/>
      </c>
      <c r="T353">
        <f>IFERROR(IF(ISNUMBER(INDEX(SPPR!$E:$Z,MATCH($A353,SPPR!$A:$A,0),17)),$C353*INDEX(SPPR!$E:$Z,MATCH($A353,SPPR!$A:$A,0),17),""),"")</f>
        <v/>
      </c>
      <c r="U353">
        <f>IFERROR(IF(ISNUMBER(INDEX(SPPR!$E:$Z,MATCH($A353,SPPR!$A:$A,0),18)),$C353*INDEX(SPPR!$E:$Z,MATCH($A353,SPPR!$A:$A,0),18),""),"")</f>
        <v/>
      </c>
      <c r="V353">
        <f>IFERROR(IF(ISNUMBER(INDEX(SPPR!$E:$Z,MATCH($A353,SPPR!$A:$A,0),19)),$C353*INDEX(SPPR!$E:$Z,MATCH($A353,SPPR!$A:$A,0),19),""),"")</f>
        <v/>
      </c>
      <c r="W353">
        <f>IFERROR(IF(ISNUMBER(INDEX(SPPR!$E:$Z,MATCH($A353,SPPR!$A:$A,0),20)),$C353*INDEX(SPPR!$E:$Z,MATCH($A353,SPPR!$A:$A,0),20),""),"")</f>
        <v/>
      </c>
      <c r="X353">
        <f>IFERROR(IF(ISNUMBER(INDEX(SPPR!$E:$Z,MATCH($A353,SPPR!$A:$A,0),21)),$C353*INDEX(SPPR!$E:$Z,MATCH($A353,SPPR!$A:$A,0),21),""),"")</f>
        <v/>
      </c>
      <c r="Y353">
        <f>IFERROR(IF(ISNUMBER(INDEX(SPPR!$E:$Z,MATCH($A353,SPPR!$A:$A,0),22)),$C353*INDEX(SPPR!$E:$Z,MATCH($A353,SPPR!$A:$A,0),22),""),"")</f>
        <v/>
      </c>
    </row>
    <row r="354">
      <c r="A354" t="inlineStr">
        <is>
          <t>Priacanthidae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IFERROR(IF(ISNUMBER(INDEX(SPPR!$E:$Z,MATCH($A354,SPPR!$A:$A,0),1)),$C354*INDEX(SPPR!$E:$Z,MATCH($A354,SPPR!$A:$A,0),1),""),"")</f>
        <v/>
      </c>
      <c r="E354">
        <f>IFERROR(IF(ISNUMBER(INDEX(SPPR!$E:$Z,MATCH($A354,SPPR!$A:$A,0),2)),$C354*INDEX(SPPR!$E:$Z,MATCH($A354,SPPR!$A:$A,0),2),""),"")</f>
        <v/>
      </c>
      <c r="F354">
        <f>IFERROR(IF(ISNUMBER(INDEX(SPPR!$E:$Z,MATCH($A354,SPPR!$A:$A,0),3)),$C354*INDEX(SPPR!$E:$Z,MATCH($A354,SPPR!$A:$A,0),3),""),"")</f>
        <v/>
      </c>
      <c r="G354">
        <f>IFERROR(IF(ISNUMBER(INDEX(SPPR!$E:$Z,MATCH($A354,SPPR!$A:$A,0),4)),$C354*INDEX(SPPR!$E:$Z,MATCH($A354,SPPR!$A:$A,0),4),""),"")</f>
        <v/>
      </c>
      <c r="H354">
        <f>IFERROR(IF(ISNUMBER(INDEX(SPPR!$E:$Z,MATCH($A354,SPPR!$A:$A,0),5)),$C354*INDEX(SPPR!$E:$Z,MATCH($A354,SPPR!$A:$A,0),5),""),"")</f>
        <v/>
      </c>
      <c r="I354">
        <f>IFERROR(IF(ISNUMBER(INDEX(SPPR!$E:$Z,MATCH($A354,SPPR!$A:$A,0),6)),$C354*INDEX(SPPR!$E:$Z,MATCH($A354,SPPR!$A:$A,0),6),""),"")</f>
        <v/>
      </c>
      <c r="J354">
        <f>IFERROR(IF(ISNUMBER(INDEX(SPPR!$E:$Z,MATCH($A354,SPPR!$A:$A,0),7)),$C354*INDEX(SPPR!$E:$Z,MATCH($A354,SPPR!$A:$A,0),7),""),"")</f>
        <v/>
      </c>
      <c r="K354">
        <f>IFERROR(IF(ISNUMBER(INDEX(SPPR!$E:$Z,MATCH($A354,SPPR!$A:$A,0),8)),$C354*INDEX(SPPR!$E:$Z,MATCH($A354,SPPR!$A:$A,0),8),""),"")</f>
        <v/>
      </c>
      <c r="L354">
        <f>IFERROR(IF(ISNUMBER(INDEX(SPPR!$E:$Z,MATCH($A354,SPPR!$A:$A,0),9)),$C354*INDEX(SPPR!$E:$Z,MATCH($A354,SPPR!$A:$A,0),9),""),"")</f>
        <v/>
      </c>
      <c r="M354">
        <f>IFERROR(IF(ISNUMBER(INDEX(SPPR!$E:$Z,MATCH($A354,SPPR!$A:$A,0),10)),$C354*INDEX(SPPR!$E:$Z,MATCH($A354,SPPR!$A:$A,0),10),""),"")</f>
        <v/>
      </c>
      <c r="N354">
        <f>IFERROR(IF(ISNUMBER(INDEX(SPPR!$E:$Z,MATCH($A354,SPPR!$A:$A,0),11)),$C354*INDEX(SPPR!$E:$Z,MATCH($A354,SPPR!$A:$A,0),11),""),"")</f>
        <v/>
      </c>
      <c r="O354">
        <f>IFERROR(IF(ISNUMBER(INDEX(SPPR!$E:$Z,MATCH($A354,SPPR!$A:$A,0),12)),$C354*INDEX(SPPR!$E:$Z,MATCH($A354,SPPR!$A:$A,0),12),""),"")</f>
        <v/>
      </c>
      <c r="P354">
        <f>IFERROR(IF(ISNUMBER(INDEX(SPPR!$E:$Z,MATCH($A354,SPPR!$A:$A,0),13)),$C354*INDEX(SPPR!$E:$Z,MATCH($A354,SPPR!$A:$A,0),13),""),"")</f>
        <v/>
      </c>
      <c r="Q354">
        <f>IFERROR(IF(ISNUMBER(INDEX(SPPR!$E:$Z,MATCH($A354,SPPR!$A:$A,0),14)),$C354*INDEX(SPPR!$E:$Z,MATCH($A354,SPPR!$A:$A,0),14),""),"")</f>
        <v/>
      </c>
      <c r="R354">
        <f>IFERROR(IF(ISNUMBER(INDEX(SPPR!$E:$Z,MATCH($A354,SPPR!$A:$A,0),15)),$C354*INDEX(SPPR!$E:$Z,MATCH($A354,SPPR!$A:$A,0),15),""),"")</f>
        <v/>
      </c>
      <c r="S354">
        <f>IFERROR(IF(ISNUMBER(INDEX(SPPR!$E:$Z,MATCH($A354,SPPR!$A:$A,0),16)),$C354*INDEX(SPPR!$E:$Z,MATCH($A354,SPPR!$A:$A,0),16),""),"")</f>
        <v/>
      </c>
      <c r="T354">
        <f>IFERROR(IF(ISNUMBER(INDEX(SPPR!$E:$Z,MATCH($A354,SPPR!$A:$A,0),17)),$C354*INDEX(SPPR!$E:$Z,MATCH($A354,SPPR!$A:$A,0),17),""),"")</f>
        <v/>
      </c>
      <c r="U354">
        <f>IFERROR(IF(ISNUMBER(INDEX(SPPR!$E:$Z,MATCH($A354,SPPR!$A:$A,0),18)),$C354*INDEX(SPPR!$E:$Z,MATCH($A354,SPPR!$A:$A,0),18),""),"")</f>
        <v/>
      </c>
      <c r="V354">
        <f>IFERROR(IF(ISNUMBER(INDEX(SPPR!$E:$Z,MATCH($A354,SPPR!$A:$A,0),19)),$C354*INDEX(SPPR!$E:$Z,MATCH($A354,SPPR!$A:$A,0),19),""),"")</f>
        <v/>
      </c>
      <c r="W354">
        <f>IFERROR(IF(ISNUMBER(INDEX(SPPR!$E:$Z,MATCH($A354,SPPR!$A:$A,0),20)),$C354*INDEX(SPPR!$E:$Z,MATCH($A354,SPPR!$A:$A,0),20),""),"")</f>
        <v/>
      </c>
      <c r="X354">
        <f>IFERROR(IF(ISNUMBER(INDEX(SPPR!$E:$Z,MATCH($A354,SPPR!$A:$A,0),21)),$C354*INDEX(SPPR!$E:$Z,MATCH($A354,SPPR!$A:$A,0),21),""),"")</f>
        <v/>
      </c>
      <c r="Y354">
        <f>IFERROR(IF(ISNUMBER(INDEX(SPPR!$E:$Z,MATCH($A354,SPPR!$A:$A,0),22)),$C354*INDEX(SPPR!$E:$Z,MATCH($A354,SPPR!$A:$A,0),22),""),"")</f>
        <v/>
      </c>
    </row>
    <row r="355">
      <c r="A355" t="inlineStr">
        <is>
          <t>Psettodes bennettii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IFERROR(IF(ISNUMBER(INDEX(SPPR!$E:$Z,MATCH($A355,SPPR!$A:$A,0),1)),$C355*INDEX(SPPR!$E:$Z,MATCH($A355,SPPR!$A:$A,0),1),""),"")</f>
        <v/>
      </c>
      <c r="E355">
        <f>IFERROR(IF(ISNUMBER(INDEX(SPPR!$E:$Z,MATCH($A355,SPPR!$A:$A,0),2)),$C355*INDEX(SPPR!$E:$Z,MATCH($A355,SPPR!$A:$A,0),2),""),"")</f>
        <v/>
      </c>
      <c r="F355">
        <f>IFERROR(IF(ISNUMBER(INDEX(SPPR!$E:$Z,MATCH($A355,SPPR!$A:$A,0),3)),$C355*INDEX(SPPR!$E:$Z,MATCH($A355,SPPR!$A:$A,0),3),""),"")</f>
        <v/>
      </c>
      <c r="G355">
        <f>IFERROR(IF(ISNUMBER(INDEX(SPPR!$E:$Z,MATCH($A355,SPPR!$A:$A,0),4)),$C355*INDEX(SPPR!$E:$Z,MATCH($A355,SPPR!$A:$A,0),4),""),"")</f>
        <v/>
      </c>
      <c r="H355">
        <f>IFERROR(IF(ISNUMBER(INDEX(SPPR!$E:$Z,MATCH($A355,SPPR!$A:$A,0),5)),$C355*INDEX(SPPR!$E:$Z,MATCH($A355,SPPR!$A:$A,0),5),""),"")</f>
        <v/>
      </c>
      <c r="I355">
        <f>IFERROR(IF(ISNUMBER(INDEX(SPPR!$E:$Z,MATCH($A355,SPPR!$A:$A,0),6)),$C355*INDEX(SPPR!$E:$Z,MATCH($A355,SPPR!$A:$A,0),6),""),"")</f>
        <v/>
      </c>
      <c r="J355">
        <f>IFERROR(IF(ISNUMBER(INDEX(SPPR!$E:$Z,MATCH($A355,SPPR!$A:$A,0),7)),$C355*INDEX(SPPR!$E:$Z,MATCH($A355,SPPR!$A:$A,0),7),""),"")</f>
        <v/>
      </c>
      <c r="K355">
        <f>IFERROR(IF(ISNUMBER(INDEX(SPPR!$E:$Z,MATCH($A355,SPPR!$A:$A,0),8)),$C355*INDEX(SPPR!$E:$Z,MATCH($A355,SPPR!$A:$A,0),8),""),"")</f>
        <v/>
      </c>
      <c r="L355">
        <f>IFERROR(IF(ISNUMBER(INDEX(SPPR!$E:$Z,MATCH($A355,SPPR!$A:$A,0),9)),$C355*INDEX(SPPR!$E:$Z,MATCH($A355,SPPR!$A:$A,0),9),""),"")</f>
        <v/>
      </c>
      <c r="M355">
        <f>IFERROR(IF(ISNUMBER(INDEX(SPPR!$E:$Z,MATCH($A355,SPPR!$A:$A,0),10)),$C355*INDEX(SPPR!$E:$Z,MATCH($A355,SPPR!$A:$A,0),10),""),"")</f>
        <v/>
      </c>
      <c r="N355">
        <f>IFERROR(IF(ISNUMBER(INDEX(SPPR!$E:$Z,MATCH($A355,SPPR!$A:$A,0),11)),$C355*INDEX(SPPR!$E:$Z,MATCH($A355,SPPR!$A:$A,0),11),""),"")</f>
        <v/>
      </c>
      <c r="O355">
        <f>IFERROR(IF(ISNUMBER(INDEX(SPPR!$E:$Z,MATCH($A355,SPPR!$A:$A,0),12)),$C355*INDEX(SPPR!$E:$Z,MATCH($A355,SPPR!$A:$A,0),12),""),"")</f>
        <v/>
      </c>
      <c r="P355">
        <f>IFERROR(IF(ISNUMBER(INDEX(SPPR!$E:$Z,MATCH($A355,SPPR!$A:$A,0),13)),$C355*INDEX(SPPR!$E:$Z,MATCH($A355,SPPR!$A:$A,0),13),""),"")</f>
        <v/>
      </c>
      <c r="Q355">
        <f>IFERROR(IF(ISNUMBER(INDEX(SPPR!$E:$Z,MATCH($A355,SPPR!$A:$A,0),14)),$C355*INDEX(SPPR!$E:$Z,MATCH($A355,SPPR!$A:$A,0),14),""),"")</f>
        <v/>
      </c>
      <c r="R355">
        <f>IFERROR(IF(ISNUMBER(INDEX(SPPR!$E:$Z,MATCH($A355,SPPR!$A:$A,0),15)),$C355*INDEX(SPPR!$E:$Z,MATCH($A355,SPPR!$A:$A,0),15),""),"")</f>
        <v/>
      </c>
      <c r="S355">
        <f>IFERROR(IF(ISNUMBER(INDEX(SPPR!$E:$Z,MATCH($A355,SPPR!$A:$A,0),16)),$C355*INDEX(SPPR!$E:$Z,MATCH($A355,SPPR!$A:$A,0),16),""),"")</f>
        <v/>
      </c>
      <c r="T355">
        <f>IFERROR(IF(ISNUMBER(INDEX(SPPR!$E:$Z,MATCH($A355,SPPR!$A:$A,0),17)),$C355*INDEX(SPPR!$E:$Z,MATCH($A355,SPPR!$A:$A,0),17),""),"")</f>
        <v/>
      </c>
      <c r="U355">
        <f>IFERROR(IF(ISNUMBER(INDEX(SPPR!$E:$Z,MATCH($A355,SPPR!$A:$A,0),18)),$C355*INDEX(SPPR!$E:$Z,MATCH($A355,SPPR!$A:$A,0),18),""),"")</f>
        <v/>
      </c>
      <c r="V355">
        <f>IFERROR(IF(ISNUMBER(INDEX(SPPR!$E:$Z,MATCH($A355,SPPR!$A:$A,0),19)),$C355*INDEX(SPPR!$E:$Z,MATCH($A355,SPPR!$A:$A,0),19),""),"")</f>
        <v/>
      </c>
      <c r="W355">
        <f>IFERROR(IF(ISNUMBER(INDEX(SPPR!$E:$Z,MATCH($A355,SPPR!$A:$A,0),20)),$C355*INDEX(SPPR!$E:$Z,MATCH($A355,SPPR!$A:$A,0),20),""),"")</f>
        <v/>
      </c>
      <c r="X355">
        <f>IFERROR(IF(ISNUMBER(INDEX(SPPR!$E:$Z,MATCH($A355,SPPR!$A:$A,0),21)),$C355*INDEX(SPPR!$E:$Z,MATCH($A355,SPPR!$A:$A,0),21),""),"")</f>
        <v/>
      </c>
      <c r="Y355">
        <f>IFERROR(IF(ISNUMBER(INDEX(SPPR!$E:$Z,MATCH($A355,SPPR!$A:$A,0),22)),$C355*INDEX(SPPR!$E:$Z,MATCH($A355,SPPR!$A:$A,0),22),""),"")</f>
        <v/>
      </c>
    </row>
    <row r="356">
      <c r="A356" t="inlineStr">
        <is>
          <t>Scymnodon ringens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IFERROR(IF(ISNUMBER(INDEX(SPPR!$E:$Z,MATCH($A356,SPPR!$A:$A,0),1)),$C356*INDEX(SPPR!$E:$Z,MATCH($A356,SPPR!$A:$A,0),1),""),"")</f>
        <v/>
      </c>
      <c r="E356">
        <f>IFERROR(IF(ISNUMBER(INDEX(SPPR!$E:$Z,MATCH($A356,SPPR!$A:$A,0),2)),$C356*INDEX(SPPR!$E:$Z,MATCH($A356,SPPR!$A:$A,0),2),""),"")</f>
        <v/>
      </c>
      <c r="F356">
        <f>IFERROR(IF(ISNUMBER(INDEX(SPPR!$E:$Z,MATCH($A356,SPPR!$A:$A,0),3)),$C356*INDEX(SPPR!$E:$Z,MATCH($A356,SPPR!$A:$A,0),3),""),"")</f>
        <v/>
      </c>
      <c r="G356">
        <f>IFERROR(IF(ISNUMBER(INDEX(SPPR!$E:$Z,MATCH($A356,SPPR!$A:$A,0),4)),$C356*INDEX(SPPR!$E:$Z,MATCH($A356,SPPR!$A:$A,0),4),""),"")</f>
        <v/>
      </c>
      <c r="H356">
        <f>IFERROR(IF(ISNUMBER(INDEX(SPPR!$E:$Z,MATCH($A356,SPPR!$A:$A,0),5)),$C356*INDEX(SPPR!$E:$Z,MATCH($A356,SPPR!$A:$A,0),5),""),"")</f>
        <v/>
      </c>
      <c r="I356">
        <f>IFERROR(IF(ISNUMBER(INDEX(SPPR!$E:$Z,MATCH($A356,SPPR!$A:$A,0),6)),$C356*INDEX(SPPR!$E:$Z,MATCH($A356,SPPR!$A:$A,0),6),""),"")</f>
        <v/>
      </c>
      <c r="J356">
        <f>IFERROR(IF(ISNUMBER(INDEX(SPPR!$E:$Z,MATCH($A356,SPPR!$A:$A,0),7)),$C356*INDEX(SPPR!$E:$Z,MATCH($A356,SPPR!$A:$A,0),7),""),"")</f>
        <v/>
      </c>
      <c r="K356">
        <f>IFERROR(IF(ISNUMBER(INDEX(SPPR!$E:$Z,MATCH($A356,SPPR!$A:$A,0),8)),$C356*INDEX(SPPR!$E:$Z,MATCH($A356,SPPR!$A:$A,0),8),""),"")</f>
        <v/>
      </c>
      <c r="L356">
        <f>IFERROR(IF(ISNUMBER(INDEX(SPPR!$E:$Z,MATCH($A356,SPPR!$A:$A,0),9)),$C356*INDEX(SPPR!$E:$Z,MATCH($A356,SPPR!$A:$A,0),9),""),"")</f>
        <v/>
      </c>
      <c r="M356">
        <f>IFERROR(IF(ISNUMBER(INDEX(SPPR!$E:$Z,MATCH($A356,SPPR!$A:$A,0),10)),$C356*INDEX(SPPR!$E:$Z,MATCH($A356,SPPR!$A:$A,0),10),""),"")</f>
        <v/>
      </c>
      <c r="N356">
        <f>IFERROR(IF(ISNUMBER(INDEX(SPPR!$E:$Z,MATCH($A356,SPPR!$A:$A,0),11)),$C356*INDEX(SPPR!$E:$Z,MATCH($A356,SPPR!$A:$A,0),11),""),"")</f>
        <v/>
      </c>
      <c r="O356">
        <f>IFERROR(IF(ISNUMBER(INDEX(SPPR!$E:$Z,MATCH($A356,SPPR!$A:$A,0),12)),$C356*INDEX(SPPR!$E:$Z,MATCH($A356,SPPR!$A:$A,0),12),""),"")</f>
        <v/>
      </c>
      <c r="P356">
        <f>IFERROR(IF(ISNUMBER(INDEX(SPPR!$E:$Z,MATCH($A356,SPPR!$A:$A,0),13)),$C356*INDEX(SPPR!$E:$Z,MATCH($A356,SPPR!$A:$A,0),13),""),"")</f>
        <v/>
      </c>
      <c r="Q356">
        <f>IFERROR(IF(ISNUMBER(INDEX(SPPR!$E:$Z,MATCH($A356,SPPR!$A:$A,0),14)),$C356*INDEX(SPPR!$E:$Z,MATCH($A356,SPPR!$A:$A,0),14),""),"")</f>
        <v/>
      </c>
      <c r="R356">
        <f>IFERROR(IF(ISNUMBER(INDEX(SPPR!$E:$Z,MATCH($A356,SPPR!$A:$A,0),15)),$C356*INDEX(SPPR!$E:$Z,MATCH($A356,SPPR!$A:$A,0),15),""),"")</f>
        <v/>
      </c>
      <c r="S356">
        <f>IFERROR(IF(ISNUMBER(INDEX(SPPR!$E:$Z,MATCH($A356,SPPR!$A:$A,0),16)),$C356*INDEX(SPPR!$E:$Z,MATCH($A356,SPPR!$A:$A,0),16),""),"")</f>
        <v/>
      </c>
      <c r="T356">
        <f>IFERROR(IF(ISNUMBER(INDEX(SPPR!$E:$Z,MATCH($A356,SPPR!$A:$A,0),17)),$C356*INDEX(SPPR!$E:$Z,MATCH($A356,SPPR!$A:$A,0),17),""),"")</f>
        <v/>
      </c>
      <c r="U356">
        <f>IFERROR(IF(ISNUMBER(INDEX(SPPR!$E:$Z,MATCH($A356,SPPR!$A:$A,0),18)),$C356*INDEX(SPPR!$E:$Z,MATCH($A356,SPPR!$A:$A,0),18),""),"")</f>
        <v/>
      </c>
      <c r="V356">
        <f>IFERROR(IF(ISNUMBER(INDEX(SPPR!$E:$Z,MATCH($A356,SPPR!$A:$A,0),19)),$C356*INDEX(SPPR!$E:$Z,MATCH($A356,SPPR!$A:$A,0),19),""),"")</f>
        <v/>
      </c>
      <c r="W356">
        <f>IFERROR(IF(ISNUMBER(INDEX(SPPR!$E:$Z,MATCH($A356,SPPR!$A:$A,0),20)),$C356*INDEX(SPPR!$E:$Z,MATCH($A356,SPPR!$A:$A,0),20),""),"")</f>
        <v/>
      </c>
      <c r="X356">
        <f>IFERROR(IF(ISNUMBER(INDEX(SPPR!$E:$Z,MATCH($A356,SPPR!$A:$A,0),21)),$C356*INDEX(SPPR!$E:$Z,MATCH($A356,SPPR!$A:$A,0),21),""),"")</f>
        <v/>
      </c>
      <c r="Y356">
        <f>IFERROR(IF(ISNUMBER(INDEX(SPPR!$E:$Z,MATCH($A356,SPPR!$A:$A,0),22)),$C356*INDEX(SPPR!$E:$Z,MATCH($A356,SPPR!$A:$A,0),22),""),"")</f>
        <v/>
      </c>
    </row>
    <row r="357">
      <c r="A357" t="inlineStr">
        <is>
          <t>Beryx decadactylus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IFERROR(IF(ISNUMBER(INDEX(SPPR!$E:$Z,MATCH($A357,SPPR!$A:$A,0),1)),$C357*INDEX(SPPR!$E:$Z,MATCH($A357,SPPR!$A:$A,0),1),""),"")</f>
        <v/>
      </c>
      <c r="E357">
        <f>IFERROR(IF(ISNUMBER(INDEX(SPPR!$E:$Z,MATCH($A357,SPPR!$A:$A,0),2)),$C357*INDEX(SPPR!$E:$Z,MATCH($A357,SPPR!$A:$A,0),2),""),"")</f>
        <v/>
      </c>
      <c r="F357">
        <f>IFERROR(IF(ISNUMBER(INDEX(SPPR!$E:$Z,MATCH($A357,SPPR!$A:$A,0),3)),$C357*INDEX(SPPR!$E:$Z,MATCH($A357,SPPR!$A:$A,0),3),""),"")</f>
        <v/>
      </c>
      <c r="G357">
        <f>IFERROR(IF(ISNUMBER(INDEX(SPPR!$E:$Z,MATCH($A357,SPPR!$A:$A,0),4)),$C357*INDEX(SPPR!$E:$Z,MATCH($A357,SPPR!$A:$A,0),4),""),"")</f>
        <v/>
      </c>
      <c r="H357">
        <f>IFERROR(IF(ISNUMBER(INDEX(SPPR!$E:$Z,MATCH($A357,SPPR!$A:$A,0),5)),$C357*INDEX(SPPR!$E:$Z,MATCH($A357,SPPR!$A:$A,0),5),""),"")</f>
        <v/>
      </c>
      <c r="I357">
        <f>IFERROR(IF(ISNUMBER(INDEX(SPPR!$E:$Z,MATCH($A357,SPPR!$A:$A,0),6)),$C357*INDEX(SPPR!$E:$Z,MATCH($A357,SPPR!$A:$A,0),6),""),"")</f>
        <v/>
      </c>
      <c r="J357">
        <f>IFERROR(IF(ISNUMBER(INDEX(SPPR!$E:$Z,MATCH($A357,SPPR!$A:$A,0),7)),$C357*INDEX(SPPR!$E:$Z,MATCH($A357,SPPR!$A:$A,0),7),""),"")</f>
        <v/>
      </c>
      <c r="K357">
        <f>IFERROR(IF(ISNUMBER(INDEX(SPPR!$E:$Z,MATCH($A357,SPPR!$A:$A,0),8)),$C357*INDEX(SPPR!$E:$Z,MATCH($A357,SPPR!$A:$A,0),8),""),"")</f>
        <v/>
      </c>
      <c r="L357">
        <f>IFERROR(IF(ISNUMBER(INDEX(SPPR!$E:$Z,MATCH($A357,SPPR!$A:$A,0),9)),$C357*INDEX(SPPR!$E:$Z,MATCH($A357,SPPR!$A:$A,0),9),""),"")</f>
        <v/>
      </c>
      <c r="M357">
        <f>IFERROR(IF(ISNUMBER(INDEX(SPPR!$E:$Z,MATCH($A357,SPPR!$A:$A,0),10)),$C357*INDEX(SPPR!$E:$Z,MATCH($A357,SPPR!$A:$A,0),10),""),"")</f>
        <v/>
      </c>
      <c r="N357">
        <f>IFERROR(IF(ISNUMBER(INDEX(SPPR!$E:$Z,MATCH($A357,SPPR!$A:$A,0),11)),$C357*INDEX(SPPR!$E:$Z,MATCH($A357,SPPR!$A:$A,0),11),""),"")</f>
        <v/>
      </c>
      <c r="O357">
        <f>IFERROR(IF(ISNUMBER(INDEX(SPPR!$E:$Z,MATCH($A357,SPPR!$A:$A,0),12)),$C357*INDEX(SPPR!$E:$Z,MATCH($A357,SPPR!$A:$A,0),12),""),"")</f>
        <v/>
      </c>
      <c r="P357">
        <f>IFERROR(IF(ISNUMBER(INDEX(SPPR!$E:$Z,MATCH($A357,SPPR!$A:$A,0),13)),$C357*INDEX(SPPR!$E:$Z,MATCH($A357,SPPR!$A:$A,0),13),""),"")</f>
        <v/>
      </c>
      <c r="Q357">
        <f>IFERROR(IF(ISNUMBER(INDEX(SPPR!$E:$Z,MATCH($A357,SPPR!$A:$A,0),14)),$C357*INDEX(SPPR!$E:$Z,MATCH($A357,SPPR!$A:$A,0),14),""),"")</f>
        <v/>
      </c>
      <c r="R357">
        <f>IFERROR(IF(ISNUMBER(INDEX(SPPR!$E:$Z,MATCH($A357,SPPR!$A:$A,0),15)),$C357*INDEX(SPPR!$E:$Z,MATCH($A357,SPPR!$A:$A,0),15),""),"")</f>
        <v/>
      </c>
      <c r="S357">
        <f>IFERROR(IF(ISNUMBER(INDEX(SPPR!$E:$Z,MATCH($A357,SPPR!$A:$A,0),16)),$C357*INDEX(SPPR!$E:$Z,MATCH($A357,SPPR!$A:$A,0),16),""),"")</f>
        <v/>
      </c>
      <c r="T357">
        <f>IFERROR(IF(ISNUMBER(INDEX(SPPR!$E:$Z,MATCH($A357,SPPR!$A:$A,0),17)),$C357*INDEX(SPPR!$E:$Z,MATCH($A357,SPPR!$A:$A,0),17),""),"")</f>
        <v/>
      </c>
      <c r="U357">
        <f>IFERROR(IF(ISNUMBER(INDEX(SPPR!$E:$Z,MATCH($A357,SPPR!$A:$A,0),18)),$C357*INDEX(SPPR!$E:$Z,MATCH($A357,SPPR!$A:$A,0),18),""),"")</f>
        <v/>
      </c>
      <c r="V357">
        <f>IFERROR(IF(ISNUMBER(INDEX(SPPR!$E:$Z,MATCH($A357,SPPR!$A:$A,0),19)),$C357*INDEX(SPPR!$E:$Z,MATCH($A357,SPPR!$A:$A,0),19),""),"")</f>
        <v/>
      </c>
      <c r="W357">
        <f>IFERROR(IF(ISNUMBER(INDEX(SPPR!$E:$Z,MATCH($A357,SPPR!$A:$A,0),20)),$C357*INDEX(SPPR!$E:$Z,MATCH($A357,SPPR!$A:$A,0),20),""),"")</f>
        <v/>
      </c>
      <c r="X357">
        <f>IFERROR(IF(ISNUMBER(INDEX(SPPR!$E:$Z,MATCH($A357,SPPR!$A:$A,0),21)),$C357*INDEX(SPPR!$E:$Z,MATCH($A357,SPPR!$A:$A,0),21),""),"")</f>
        <v/>
      </c>
      <c r="Y357">
        <f>IFERROR(IF(ISNUMBER(INDEX(SPPR!$E:$Z,MATCH($A357,SPPR!$A:$A,0),22)),$C357*INDEX(SPPR!$E:$Z,MATCH($A357,SPPR!$A:$A,0),22),""),"")</f>
        <v/>
      </c>
    </row>
    <row r="358">
      <c r="A358" t="inlineStr">
        <is>
          <t>Squalus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IFERROR(IF(ISNUMBER(INDEX(SPPR!$E:$Z,MATCH($A358,SPPR!$A:$A,0),1)),$C358*INDEX(SPPR!$E:$Z,MATCH($A358,SPPR!$A:$A,0),1),""),"")</f>
        <v/>
      </c>
      <c r="E358">
        <f>IFERROR(IF(ISNUMBER(INDEX(SPPR!$E:$Z,MATCH($A358,SPPR!$A:$A,0),2)),$C358*INDEX(SPPR!$E:$Z,MATCH($A358,SPPR!$A:$A,0),2),""),"")</f>
        <v/>
      </c>
      <c r="F358">
        <f>IFERROR(IF(ISNUMBER(INDEX(SPPR!$E:$Z,MATCH($A358,SPPR!$A:$A,0),3)),$C358*INDEX(SPPR!$E:$Z,MATCH($A358,SPPR!$A:$A,0),3),""),"")</f>
        <v/>
      </c>
      <c r="G358">
        <f>IFERROR(IF(ISNUMBER(INDEX(SPPR!$E:$Z,MATCH($A358,SPPR!$A:$A,0),4)),$C358*INDEX(SPPR!$E:$Z,MATCH($A358,SPPR!$A:$A,0),4),""),"")</f>
        <v/>
      </c>
      <c r="H358">
        <f>IFERROR(IF(ISNUMBER(INDEX(SPPR!$E:$Z,MATCH($A358,SPPR!$A:$A,0),5)),$C358*INDEX(SPPR!$E:$Z,MATCH($A358,SPPR!$A:$A,0),5),""),"")</f>
        <v/>
      </c>
      <c r="I358">
        <f>IFERROR(IF(ISNUMBER(INDEX(SPPR!$E:$Z,MATCH($A358,SPPR!$A:$A,0),6)),$C358*INDEX(SPPR!$E:$Z,MATCH($A358,SPPR!$A:$A,0),6),""),"")</f>
        <v/>
      </c>
      <c r="J358">
        <f>IFERROR(IF(ISNUMBER(INDEX(SPPR!$E:$Z,MATCH($A358,SPPR!$A:$A,0),7)),$C358*INDEX(SPPR!$E:$Z,MATCH($A358,SPPR!$A:$A,0),7),""),"")</f>
        <v/>
      </c>
      <c r="K358">
        <f>IFERROR(IF(ISNUMBER(INDEX(SPPR!$E:$Z,MATCH($A358,SPPR!$A:$A,0),8)),$C358*INDEX(SPPR!$E:$Z,MATCH($A358,SPPR!$A:$A,0),8),""),"")</f>
        <v/>
      </c>
      <c r="L358">
        <f>IFERROR(IF(ISNUMBER(INDEX(SPPR!$E:$Z,MATCH($A358,SPPR!$A:$A,0),9)),$C358*INDEX(SPPR!$E:$Z,MATCH($A358,SPPR!$A:$A,0),9),""),"")</f>
        <v/>
      </c>
      <c r="M358">
        <f>IFERROR(IF(ISNUMBER(INDEX(SPPR!$E:$Z,MATCH($A358,SPPR!$A:$A,0),10)),$C358*INDEX(SPPR!$E:$Z,MATCH($A358,SPPR!$A:$A,0),10),""),"")</f>
        <v/>
      </c>
      <c r="N358">
        <f>IFERROR(IF(ISNUMBER(INDEX(SPPR!$E:$Z,MATCH($A358,SPPR!$A:$A,0),11)),$C358*INDEX(SPPR!$E:$Z,MATCH($A358,SPPR!$A:$A,0),11),""),"")</f>
        <v/>
      </c>
      <c r="O358">
        <f>IFERROR(IF(ISNUMBER(INDEX(SPPR!$E:$Z,MATCH($A358,SPPR!$A:$A,0),12)),$C358*INDEX(SPPR!$E:$Z,MATCH($A358,SPPR!$A:$A,0),12),""),"")</f>
        <v/>
      </c>
      <c r="P358">
        <f>IFERROR(IF(ISNUMBER(INDEX(SPPR!$E:$Z,MATCH($A358,SPPR!$A:$A,0),13)),$C358*INDEX(SPPR!$E:$Z,MATCH($A358,SPPR!$A:$A,0),13),""),"")</f>
        <v/>
      </c>
      <c r="Q358">
        <f>IFERROR(IF(ISNUMBER(INDEX(SPPR!$E:$Z,MATCH($A358,SPPR!$A:$A,0),14)),$C358*INDEX(SPPR!$E:$Z,MATCH($A358,SPPR!$A:$A,0),14),""),"")</f>
        <v/>
      </c>
      <c r="R358">
        <f>IFERROR(IF(ISNUMBER(INDEX(SPPR!$E:$Z,MATCH($A358,SPPR!$A:$A,0),15)),$C358*INDEX(SPPR!$E:$Z,MATCH($A358,SPPR!$A:$A,0),15),""),"")</f>
        <v/>
      </c>
      <c r="S358">
        <f>IFERROR(IF(ISNUMBER(INDEX(SPPR!$E:$Z,MATCH($A358,SPPR!$A:$A,0),16)),$C358*INDEX(SPPR!$E:$Z,MATCH($A358,SPPR!$A:$A,0),16),""),"")</f>
        <v/>
      </c>
      <c r="T358">
        <f>IFERROR(IF(ISNUMBER(INDEX(SPPR!$E:$Z,MATCH($A358,SPPR!$A:$A,0),17)),$C358*INDEX(SPPR!$E:$Z,MATCH($A358,SPPR!$A:$A,0),17),""),"")</f>
        <v/>
      </c>
      <c r="U358">
        <f>IFERROR(IF(ISNUMBER(INDEX(SPPR!$E:$Z,MATCH($A358,SPPR!$A:$A,0),18)),$C358*INDEX(SPPR!$E:$Z,MATCH($A358,SPPR!$A:$A,0),18),""),"")</f>
        <v/>
      </c>
      <c r="V358">
        <f>IFERROR(IF(ISNUMBER(INDEX(SPPR!$E:$Z,MATCH($A358,SPPR!$A:$A,0),19)),$C358*INDEX(SPPR!$E:$Z,MATCH($A358,SPPR!$A:$A,0),19),""),"")</f>
        <v/>
      </c>
      <c r="W358">
        <f>IFERROR(IF(ISNUMBER(INDEX(SPPR!$E:$Z,MATCH($A358,SPPR!$A:$A,0),20)),$C358*INDEX(SPPR!$E:$Z,MATCH($A358,SPPR!$A:$A,0),20),""),"")</f>
        <v/>
      </c>
      <c r="X358">
        <f>IFERROR(IF(ISNUMBER(INDEX(SPPR!$E:$Z,MATCH($A358,SPPR!$A:$A,0),21)),$C358*INDEX(SPPR!$E:$Z,MATCH($A358,SPPR!$A:$A,0),21),""),"")</f>
        <v/>
      </c>
      <c r="Y358">
        <f>IFERROR(IF(ISNUMBER(INDEX(SPPR!$E:$Z,MATCH($A358,SPPR!$A:$A,0),22)),$C358*INDEX(SPPR!$E:$Z,MATCH($A358,SPPR!$A:$A,0),22),""),"")</f>
        <v/>
      </c>
    </row>
    <row r="359">
      <c r="A359" t="inlineStr">
        <is>
          <t>Carcharhinus plumbeus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IFERROR(IF(ISNUMBER(INDEX(SPPR!$E:$Z,MATCH($A359,SPPR!$A:$A,0),1)),$C359*INDEX(SPPR!$E:$Z,MATCH($A359,SPPR!$A:$A,0),1),""),"")</f>
        <v/>
      </c>
      <c r="E359">
        <f>IFERROR(IF(ISNUMBER(INDEX(SPPR!$E:$Z,MATCH($A359,SPPR!$A:$A,0),2)),$C359*INDEX(SPPR!$E:$Z,MATCH($A359,SPPR!$A:$A,0),2),""),"")</f>
        <v/>
      </c>
      <c r="F359">
        <f>IFERROR(IF(ISNUMBER(INDEX(SPPR!$E:$Z,MATCH($A359,SPPR!$A:$A,0),3)),$C359*INDEX(SPPR!$E:$Z,MATCH($A359,SPPR!$A:$A,0),3),""),"")</f>
        <v/>
      </c>
      <c r="G359">
        <f>IFERROR(IF(ISNUMBER(INDEX(SPPR!$E:$Z,MATCH($A359,SPPR!$A:$A,0),4)),$C359*INDEX(SPPR!$E:$Z,MATCH($A359,SPPR!$A:$A,0),4),""),"")</f>
        <v/>
      </c>
      <c r="H359">
        <f>IFERROR(IF(ISNUMBER(INDEX(SPPR!$E:$Z,MATCH($A359,SPPR!$A:$A,0),5)),$C359*INDEX(SPPR!$E:$Z,MATCH($A359,SPPR!$A:$A,0),5),""),"")</f>
        <v/>
      </c>
      <c r="I359">
        <f>IFERROR(IF(ISNUMBER(INDEX(SPPR!$E:$Z,MATCH($A359,SPPR!$A:$A,0),6)),$C359*INDEX(SPPR!$E:$Z,MATCH($A359,SPPR!$A:$A,0),6),""),"")</f>
        <v/>
      </c>
      <c r="J359">
        <f>IFERROR(IF(ISNUMBER(INDEX(SPPR!$E:$Z,MATCH($A359,SPPR!$A:$A,0),7)),$C359*INDEX(SPPR!$E:$Z,MATCH($A359,SPPR!$A:$A,0),7),""),"")</f>
        <v/>
      </c>
      <c r="K359">
        <f>IFERROR(IF(ISNUMBER(INDEX(SPPR!$E:$Z,MATCH($A359,SPPR!$A:$A,0),8)),$C359*INDEX(SPPR!$E:$Z,MATCH($A359,SPPR!$A:$A,0),8),""),"")</f>
        <v/>
      </c>
      <c r="L359">
        <f>IFERROR(IF(ISNUMBER(INDEX(SPPR!$E:$Z,MATCH($A359,SPPR!$A:$A,0),9)),$C359*INDEX(SPPR!$E:$Z,MATCH($A359,SPPR!$A:$A,0),9),""),"")</f>
        <v/>
      </c>
      <c r="M359">
        <f>IFERROR(IF(ISNUMBER(INDEX(SPPR!$E:$Z,MATCH($A359,SPPR!$A:$A,0),10)),$C359*INDEX(SPPR!$E:$Z,MATCH($A359,SPPR!$A:$A,0),10),""),"")</f>
        <v/>
      </c>
      <c r="N359">
        <f>IFERROR(IF(ISNUMBER(INDEX(SPPR!$E:$Z,MATCH($A359,SPPR!$A:$A,0),11)),$C359*INDEX(SPPR!$E:$Z,MATCH($A359,SPPR!$A:$A,0),11),""),"")</f>
        <v/>
      </c>
      <c r="O359">
        <f>IFERROR(IF(ISNUMBER(INDEX(SPPR!$E:$Z,MATCH($A359,SPPR!$A:$A,0),12)),$C359*INDEX(SPPR!$E:$Z,MATCH($A359,SPPR!$A:$A,0),12),""),"")</f>
        <v/>
      </c>
      <c r="P359">
        <f>IFERROR(IF(ISNUMBER(INDEX(SPPR!$E:$Z,MATCH($A359,SPPR!$A:$A,0),13)),$C359*INDEX(SPPR!$E:$Z,MATCH($A359,SPPR!$A:$A,0),13),""),"")</f>
        <v/>
      </c>
      <c r="Q359">
        <f>IFERROR(IF(ISNUMBER(INDEX(SPPR!$E:$Z,MATCH($A359,SPPR!$A:$A,0),14)),$C359*INDEX(SPPR!$E:$Z,MATCH($A359,SPPR!$A:$A,0),14),""),"")</f>
        <v/>
      </c>
      <c r="R359">
        <f>IFERROR(IF(ISNUMBER(INDEX(SPPR!$E:$Z,MATCH($A359,SPPR!$A:$A,0),15)),$C359*INDEX(SPPR!$E:$Z,MATCH($A359,SPPR!$A:$A,0),15),""),"")</f>
        <v/>
      </c>
      <c r="S359">
        <f>IFERROR(IF(ISNUMBER(INDEX(SPPR!$E:$Z,MATCH($A359,SPPR!$A:$A,0),16)),$C359*INDEX(SPPR!$E:$Z,MATCH($A359,SPPR!$A:$A,0),16),""),"")</f>
        <v/>
      </c>
      <c r="T359">
        <f>IFERROR(IF(ISNUMBER(INDEX(SPPR!$E:$Z,MATCH($A359,SPPR!$A:$A,0),17)),$C359*INDEX(SPPR!$E:$Z,MATCH($A359,SPPR!$A:$A,0),17),""),"")</f>
        <v/>
      </c>
      <c r="U359">
        <f>IFERROR(IF(ISNUMBER(INDEX(SPPR!$E:$Z,MATCH($A359,SPPR!$A:$A,0),18)),$C359*INDEX(SPPR!$E:$Z,MATCH($A359,SPPR!$A:$A,0),18),""),"")</f>
        <v/>
      </c>
      <c r="V359">
        <f>IFERROR(IF(ISNUMBER(INDEX(SPPR!$E:$Z,MATCH($A359,SPPR!$A:$A,0),19)),$C359*INDEX(SPPR!$E:$Z,MATCH($A359,SPPR!$A:$A,0),19),""),"")</f>
        <v/>
      </c>
      <c r="W359">
        <f>IFERROR(IF(ISNUMBER(INDEX(SPPR!$E:$Z,MATCH($A359,SPPR!$A:$A,0),20)),$C359*INDEX(SPPR!$E:$Z,MATCH($A359,SPPR!$A:$A,0),20),""),"")</f>
        <v/>
      </c>
      <c r="X359">
        <f>IFERROR(IF(ISNUMBER(INDEX(SPPR!$E:$Z,MATCH($A359,SPPR!$A:$A,0),21)),$C359*INDEX(SPPR!$E:$Z,MATCH($A359,SPPR!$A:$A,0),21),""),"")</f>
        <v/>
      </c>
      <c r="Y359">
        <f>IFERROR(IF(ISNUMBER(INDEX(SPPR!$E:$Z,MATCH($A359,SPPR!$A:$A,0),22)),$C359*INDEX(SPPR!$E:$Z,MATCH($A359,SPPR!$A:$A,0),22),""),"")</f>
        <v/>
      </c>
    </row>
    <row r="360">
      <c r="A360" t="inlineStr">
        <is>
          <t>Geryon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IFERROR(IF(ISNUMBER(INDEX(SPPR!$E:$Z,MATCH($A360,SPPR!$A:$A,0),1)),$C360*INDEX(SPPR!$E:$Z,MATCH($A360,SPPR!$A:$A,0),1),""),"")</f>
        <v/>
      </c>
      <c r="E360">
        <f>IFERROR(IF(ISNUMBER(INDEX(SPPR!$E:$Z,MATCH($A360,SPPR!$A:$A,0),2)),$C360*INDEX(SPPR!$E:$Z,MATCH($A360,SPPR!$A:$A,0),2),""),"")</f>
        <v/>
      </c>
      <c r="F360">
        <f>IFERROR(IF(ISNUMBER(INDEX(SPPR!$E:$Z,MATCH($A360,SPPR!$A:$A,0),3)),$C360*INDEX(SPPR!$E:$Z,MATCH($A360,SPPR!$A:$A,0),3),""),"")</f>
        <v/>
      </c>
      <c r="G360">
        <f>IFERROR(IF(ISNUMBER(INDEX(SPPR!$E:$Z,MATCH($A360,SPPR!$A:$A,0),4)),$C360*INDEX(SPPR!$E:$Z,MATCH($A360,SPPR!$A:$A,0),4),""),"")</f>
        <v/>
      </c>
      <c r="H360">
        <f>IFERROR(IF(ISNUMBER(INDEX(SPPR!$E:$Z,MATCH($A360,SPPR!$A:$A,0),5)),$C360*INDEX(SPPR!$E:$Z,MATCH($A360,SPPR!$A:$A,0),5),""),"")</f>
        <v/>
      </c>
      <c r="I360">
        <f>IFERROR(IF(ISNUMBER(INDEX(SPPR!$E:$Z,MATCH($A360,SPPR!$A:$A,0),6)),$C360*INDEX(SPPR!$E:$Z,MATCH($A360,SPPR!$A:$A,0),6),""),"")</f>
        <v/>
      </c>
      <c r="J360">
        <f>IFERROR(IF(ISNUMBER(INDEX(SPPR!$E:$Z,MATCH($A360,SPPR!$A:$A,0),7)),$C360*INDEX(SPPR!$E:$Z,MATCH($A360,SPPR!$A:$A,0),7),""),"")</f>
        <v/>
      </c>
      <c r="K360">
        <f>IFERROR(IF(ISNUMBER(INDEX(SPPR!$E:$Z,MATCH($A360,SPPR!$A:$A,0),8)),$C360*INDEX(SPPR!$E:$Z,MATCH($A360,SPPR!$A:$A,0),8),""),"")</f>
        <v/>
      </c>
      <c r="L360">
        <f>IFERROR(IF(ISNUMBER(INDEX(SPPR!$E:$Z,MATCH($A360,SPPR!$A:$A,0),9)),$C360*INDEX(SPPR!$E:$Z,MATCH($A360,SPPR!$A:$A,0),9),""),"")</f>
        <v/>
      </c>
      <c r="M360">
        <f>IFERROR(IF(ISNUMBER(INDEX(SPPR!$E:$Z,MATCH($A360,SPPR!$A:$A,0),10)),$C360*INDEX(SPPR!$E:$Z,MATCH($A360,SPPR!$A:$A,0),10),""),"")</f>
        <v/>
      </c>
      <c r="N360">
        <f>IFERROR(IF(ISNUMBER(INDEX(SPPR!$E:$Z,MATCH($A360,SPPR!$A:$A,0),11)),$C360*INDEX(SPPR!$E:$Z,MATCH($A360,SPPR!$A:$A,0),11),""),"")</f>
        <v/>
      </c>
      <c r="O360">
        <f>IFERROR(IF(ISNUMBER(INDEX(SPPR!$E:$Z,MATCH($A360,SPPR!$A:$A,0),12)),$C360*INDEX(SPPR!$E:$Z,MATCH($A360,SPPR!$A:$A,0),12),""),"")</f>
        <v/>
      </c>
      <c r="P360">
        <f>IFERROR(IF(ISNUMBER(INDEX(SPPR!$E:$Z,MATCH($A360,SPPR!$A:$A,0),13)),$C360*INDEX(SPPR!$E:$Z,MATCH($A360,SPPR!$A:$A,0),13),""),"")</f>
        <v/>
      </c>
      <c r="Q360">
        <f>IFERROR(IF(ISNUMBER(INDEX(SPPR!$E:$Z,MATCH($A360,SPPR!$A:$A,0),14)),$C360*INDEX(SPPR!$E:$Z,MATCH($A360,SPPR!$A:$A,0),14),""),"")</f>
        <v/>
      </c>
      <c r="R360">
        <f>IFERROR(IF(ISNUMBER(INDEX(SPPR!$E:$Z,MATCH($A360,SPPR!$A:$A,0),15)),$C360*INDEX(SPPR!$E:$Z,MATCH($A360,SPPR!$A:$A,0),15),""),"")</f>
        <v/>
      </c>
      <c r="S360">
        <f>IFERROR(IF(ISNUMBER(INDEX(SPPR!$E:$Z,MATCH($A360,SPPR!$A:$A,0),16)),$C360*INDEX(SPPR!$E:$Z,MATCH($A360,SPPR!$A:$A,0),16),""),"")</f>
        <v/>
      </c>
      <c r="T360">
        <f>IFERROR(IF(ISNUMBER(INDEX(SPPR!$E:$Z,MATCH($A360,SPPR!$A:$A,0),17)),$C360*INDEX(SPPR!$E:$Z,MATCH($A360,SPPR!$A:$A,0),17),""),"")</f>
        <v/>
      </c>
      <c r="U360">
        <f>IFERROR(IF(ISNUMBER(INDEX(SPPR!$E:$Z,MATCH($A360,SPPR!$A:$A,0),18)),$C360*INDEX(SPPR!$E:$Z,MATCH($A360,SPPR!$A:$A,0),18),""),"")</f>
        <v/>
      </c>
      <c r="V360">
        <f>IFERROR(IF(ISNUMBER(INDEX(SPPR!$E:$Z,MATCH($A360,SPPR!$A:$A,0),19)),$C360*INDEX(SPPR!$E:$Z,MATCH($A360,SPPR!$A:$A,0),19),""),"")</f>
        <v/>
      </c>
      <c r="W360">
        <f>IFERROR(IF(ISNUMBER(INDEX(SPPR!$E:$Z,MATCH($A360,SPPR!$A:$A,0),20)),$C360*INDEX(SPPR!$E:$Z,MATCH($A360,SPPR!$A:$A,0),20),""),"")</f>
        <v/>
      </c>
      <c r="X360">
        <f>IFERROR(IF(ISNUMBER(INDEX(SPPR!$E:$Z,MATCH($A360,SPPR!$A:$A,0),21)),$C360*INDEX(SPPR!$E:$Z,MATCH($A360,SPPR!$A:$A,0),21),""),"")</f>
        <v/>
      </c>
      <c r="Y360">
        <f>IFERROR(IF(ISNUMBER(INDEX(SPPR!$E:$Z,MATCH($A360,SPPR!$A:$A,0),22)),$C360*INDEX(SPPR!$E:$Z,MATCH($A360,SPPR!$A:$A,0),22),""),"")</f>
        <v/>
      </c>
    </row>
    <row r="361">
      <c r="A361" t="inlineStr">
        <is>
          <t>Lampris guttatus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IFERROR(IF(ISNUMBER(INDEX(SPPR!$E:$Z,MATCH($A361,SPPR!$A:$A,0),1)),$C361*INDEX(SPPR!$E:$Z,MATCH($A361,SPPR!$A:$A,0),1),""),"")</f>
        <v/>
      </c>
      <c r="E361">
        <f>IFERROR(IF(ISNUMBER(INDEX(SPPR!$E:$Z,MATCH($A361,SPPR!$A:$A,0),2)),$C361*INDEX(SPPR!$E:$Z,MATCH($A361,SPPR!$A:$A,0),2),""),"")</f>
        <v/>
      </c>
      <c r="F361">
        <f>IFERROR(IF(ISNUMBER(INDEX(SPPR!$E:$Z,MATCH($A361,SPPR!$A:$A,0),3)),$C361*INDEX(SPPR!$E:$Z,MATCH($A361,SPPR!$A:$A,0),3),""),"")</f>
        <v/>
      </c>
      <c r="G361">
        <f>IFERROR(IF(ISNUMBER(INDEX(SPPR!$E:$Z,MATCH($A361,SPPR!$A:$A,0),4)),$C361*INDEX(SPPR!$E:$Z,MATCH($A361,SPPR!$A:$A,0),4),""),"")</f>
        <v/>
      </c>
      <c r="H361">
        <f>IFERROR(IF(ISNUMBER(INDEX(SPPR!$E:$Z,MATCH($A361,SPPR!$A:$A,0),5)),$C361*INDEX(SPPR!$E:$Z,MATCH($A361,SPPR!$A:$A,0),5),""),"")</f>
        <v/>
      </c>
      <c r="I361">
        <f>IFERROR(IF(ISNUMBER(INDEX(SPPR!$E:$Z,MATCH($A361,SPPR!$A:$A,0),6)),$C361*INDEX(SPPR!$E:$Z,MATCH($A361,SPPR!$A:$A,0),6),""),"")</f>
        <v/>
      </c>
      <c r="J361">
        <f>IFERROR(IF(ISNUMBER(INDEX(SPPR!$E:$Z,MATCH($A361,SPPR!$A:$A,0),7)),$C361*INDEX(SPPR!$E:$Z,MATCH($A361,SPPR!$A:$A,0),7),""),"")</f>
        <v/>
      </c>
      <c r="K361">
        <f>IFERROR(IF(ISNUMBER(INDEX(SPPR!$E:$Z,MATCH($A361,SPPR!$A:$A,0),8)),$C361*INDEX(SPPR!$E:$Z,MATCH($A361,SPPR!$A:$A,0),8),""),"")</f>
        <v/>
      </c>
      <c r="L361">
        <f>IFERROR(IF(ISNUMBER(INDEX(SPPR!$E:$Z,MATCH($A361,SPPR!$A:$A,0),9)),$C361*INDEX(SPPR!$E:$Z,MATCH($A361,SPPR!$A:$A,0),9),""),"")</f>
        <v/>
      </c>
      <c r="M361">
        <f>IFERROR(IF(ISNUMBER(INDEX(SPPR!$E:$Z,MATCH($A361,SPPR!$A:$A,0),10)),$C361*INDEX(SPPR!$E:$Z,MATCH($A361,SPPR!$A:$A,0),10),""),"")</f>
        <v/>
      </c>
      <c r="N361">
        <f>IFERROR(IF(ISNUMBER(INDEX(SPPR!$E:$Z,MATCH($A361,SPPR!$A:$A,0),11)),$C361*INDEX(SPPR!$E:$Z,MATCH($A361,SPPR!$A:$A,0),11),""),"")</f>
        <v/>
      </c>
      <c r="O361">
        <f>IFERROR(IF(ISNUMBER(INDEX(SPPR!$E:$Z,MATCH($A361,SPPR!$A:$A,0),12)),$C361*INDEX(SPPR!$E:$Z,MATCH($A361,SPPR!$A:$A,0),12),""),"")</f>
        <v/>
      </c>
      <c r="P361">
        <f>IFERROR(IF(ISNUMBER(INDEX(SPPR!$E:$Z,MATCH($A361,SPPR!$A:$A,0),13)),$C361*INDEX(SPPR!$E:$Z,MATCH($A361,SPPR!$A:$A,0),13),""),"")</f>
        <v/>
      </c>
      <c r="Q361">
        <f>IFERROR(IF(ISNUMBER(INDEX(SPPR!$E:$Z,MATCH($A361,SPPR!$A:$A,0),14)),$C361*INDEX(SPPR!$E:$Z,MATCH($A361,SPPR!$A:$A,0),14),""),"")</f>
        <v/>
      </c>
      <c r="R361">
        <f>IFERROR(IF(ISNUMBER(INDEX(SPPR!$E:$Z,MATCH($A361,SPPR!$A:$A,0),15)),$C361*INDEX(SPPR!$E:$Z,MATCH($A361,SPPR!$A:$A,0),15),""),"")</f>
        <v/>
      </c>
      <c r="S361">
        <f>IFERROR(IF(ISNUMBER(INDEX(SPPR!$E:$Z,MATCH($A361,SPPR!$A:$A,0),16)),$C361*INDEX(SPPR!$E:$Z,MATCH($A361,SPPR!$A:$A,0),16),""),"")</f>
        <v/>
      </c>
      <c r="T361">
        <f>IFERROR(IF(ISNUMBER(INDEX(SPPR!$E:$Z,MATCH($A361,SPPR!$A:$A,0),17)),$C361*INDEX(SPPR!$E:$Z,MATCH($A361,SPPR!$A:$A,0),17),""),"")</f>
        <v/>
      </c>
      <c r="U361">
        <f>IFERROR(IF(ISNUMBER(INDEX(SPPR!$E:$Z,MATCH($A361,SPPR!$A:$A,0),18)),$C361*INDEX(SPPR!$E:$Z,MATCH($A361,SPPR!$A:$A,0),18),""),"")</f>
        <v/>
      </c>
      <c r="V361">
        <f>IFERROR(IF(ISNUMBER(INDEX(SPPR!$E:$Z,MATCH($A361,SPPR!$A:$A,0),19)),$C361*INDEX(SPPR!$E:$Z,MATCH($A361,SPPR!$A:$A,0),19),""),"")</f>
        <v/>
      </c>
      <c r="W361">
        <f>IFERROR(IF(ISNUMBER(INDEX(SPPR!$E:$Z,MATCH($A361,SPPR!$A:$A,0),20)),$C361*INDEX(SPPR!$E:$Z,MATCH($A361,SPPR!$A:$A,0),20),""),"")</f>
        <v/>
      </c>
      <c r="X361">
        <f>IFERROR(IF(ISNUMBER(INDEX(SPPR!$E:$Z,MATCH($A361,SPPR!$A:$A,0),21)),$C361*INDEX(SPPR!$E:$Z,MATCH($A361,SPPR!$A:$A,0),21),""),"")</f>
        <v/>
      </c>
      <c r="Y361">
        <f>IFERROR(IF(ISNUMBER(INDEX(SPPR!$E:$Z,MATCH($A361,SPPR!$A:$A,0),22)),$C361*INDEX(SPPR!$E:$Z,MATCH($A361,SPPR!$A:$A,0),22),""),"")</f>
        <v/>
      </c>
    </row>
    <row r="362">
      <c r="A362" t="inlineStr">
        <is>
          <t>Carcharias taurus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IFERROR(IF(ISNUMBER(INDEX(SPPR!$E:$Z,MATCH($A362,SPPR!$A:$A,0),1)),$C362*INDEX(SPPR!$E:$Z,MATCH($A362,SPPR!$A:$A,0),1),""),"")</f>
        <v/>
      </c>
      <c r="E362">
        <f>IFERROR(IF(ISNUMBER(INDEX(SPPR!$E:$Z,MATCH($A362,SPPR!$A:$A,0),2)),$C362*INDEX(SPPR!$E:$Z,MATCH($A362,SPPR!$A:$A,0),2),""),"")</f>
        <v/>
      </c>
      <c r="F362">
        <f>IFERROR(IF(ISNUMBER(INDEX(SPPR!$E:$Z,MATCH($A362,SPPR!$A:$A,0),3)),$C362*INDEX(SPPR!$E:$Z,MATCH($A362,SPPR!$A:$A,0),3),""),"")</f>
        <v/>
      </c>
      <c r="G362">
        <f>IFERROR(IF(ISNUMBER(INDEX(SPPR!$E:$Z,MATCH($A362,SPPR!$A:$A,0),4)),$C362*INDEX(SPPR!$E:$Z,MATCH($A362,SPPR!$A:$A,0),4),""),"")</f>
        <v/>
      </c>
      <c r="H362">
        <f>IFERROR(IF(ISNUMBER(INDEX(SPPR!$E:$Z,MATCH($A362,SPPR!$A:$A,0),5)),$C362*INDEX(SPPR!$E:$Z,MATCH($A362,SPPR!$A:$A,0),5),""),"")</f>
        <v/>
      </c>
      <c r="I362">
        <f>IFERROR(IF(ISNUMBER(INDEX(SPPR!$E:$Z,MATCH($A362,SPPR!$A:$A,0),6)),$C362*INDEX(SPPR!$E:$Z,MATCH($A362,SPPR!$A:$A,0),6),""),"")</f>
        <v/>
      </c>
      <c r="J362">
        <f>IFERROR(IF(ISNUMBER(INDEX(SPPR!$E:$Z,MATCH($A362,SPPR!$A:$A,0),7)),$C362*INDEX(SPPR!$E:$Z,MATCH($A362,SPPR!$A:$A,0),7),""),"")</f>
        <v/>
      </c>
      <c r="K362">
        <f>IFERROR(IF(ISNUMBER(INDEX(SPPR!$E:$Z,MATCH($A362,SPPR!$A:$A,0),8)),$C362*INDEX(SPPR!$E:$Z,MATCH($A362,SPPR!$A:$A,0),8),""),"")</f>
        <v/>
      </c>
      <c r="L362">
        <f>IFERROR(IF(ISNUMBER(INDEX(SPPR!$E:$Z,MATCH($A362,SPPR!$A:$A,0),9)),$C362*INDEX(SPPR!$E:$Z,MATCH($A362,SPPR!$A:$A,0),9),""),"")</f>
        <v/>
      </c>
      <c r="M362">
        <f>IFERROR(IF(ISNUMBER(INDEX(SPPR!$E:$Z,MATCH($A362,SPPR!$A:$A,0),10)),$C362*INDEX(SPPR!$E:$Z,MATCH($A362,SPPR!$A:$A,0),10),""),"")</f>
        <v/>
      </c>
      <c r="N362">
        <f>IFERROR(IF(ISNUMBER(INDEX(SPPR!$E:$Z,MATCH($A362,SPPR!$A:$A,0),11)),$C362*INDEX(SPPR!$E:$Z,MATCH($A362,SPPR!$A:$A,0),11),""),"")</f>
        <v/>
      </c>
      <c r="O362">
        <f>IFERROR(IF(ISNUMBER(INDEX(SPPR!$E:$Z,MATCH($A362,SPPR!$A:$A,0),12)),$C362*INDEX(SPPR!$E:$Z,MATCH($A362,SPPR!$A:$A,0),12),""),"")</f>
        <v/>
      </c>
      <c r="P362">
        <f>IFERROR(IF(ISNUMBER(INDEX(SPPR!$E:$Z,MATCH($A362,SPPR!$A:$A,0),13)),$C362*INDEX(SPPR!$E:$Z,MATCH($A362,SPPR!$A:$A,0),13),""),"")</f>
        <v/>
      </c>
      <c r="Q362">
        <f>IFERROR(IF(ISNUMBER(INDEX(SPPR!$E:$Z,MATCH($A362,SPPR!$A:$A,0),14)),$C362*INDEX(SPPR!$E:$Z,MATCH($A362,SPPR!$A:$A,0),14),""),"")</f>
        <v/>
      </c>
      <c r="R362">
        <f>IFERROR(IF(ISNUMBER(INDEX(SPPR!$E:$Z,MATCH($A362,SPPR!$A:$A,0),15)),$C362*INDEX(SPPR!$E:$Z,MATCH($A362,SPPR!$A:$A,0),15),""),"")</f>
        <v/>
      </c>
      <c r="S362">
        <f>IFERROR(IF(ISNUMBER(INDEX(SPPR!$E:$Z,MATCH($A362,SPPR!$A:$A,0),16)),$C362*INDEX(SPPR!$E:$Z,MATCH($A362,SPPR!$A:$A,0),16),""),"")</f>
        <v/>
      </c>
      <c r="T362">
        <f>IFERROR(IF(ISNUMBER(INDEX(SPPR!$E:$Z,MATCH($A362,SPPR!$A:$A,0),17)),$C362*INDEX(SPPR!$E:$Z,MATCH($A362,SPPR!$A:$A,0),17),""),"")</f>
        <v/>
      </c>
      <c r="U362">
        <f>IFERROR(IF(ISNUMBER(INDEX(SPPR!$E:$Z,MATCH($A362,SPPR!$A:$A,0),18)),$C362*INDEX(SPPR!$E:$Z,MATCH($A362,SPPR!$A:$A,0),18),""),"")</f>
        <v/>
      </c>
      <c r="V362">
        <f>IFERROR(IF(ISNUMBER(INDEX(SPPR!$E:$Z,MATCH($A362,SPPR!$A:$A,0),19)),$C362*INDEX(SPPR!$E:$Z,MATCH($A362,SPPR!$A:$A,0),19),""),"")</f>
        <v/>
      </c>
      <c r="W362">
        <f>IFERROR(IF(ISNUMBER(INDEX(SPPR!$E:$Z,MATCH($A362,SPPR!$A:$A,0),20)),$C362*INDEX(SPPR!$E:$Z,MATCH($A362,SPPR!$A:$A,0),20),""),"")</f>
        <v/>
      </c>
      <c r="X362">
        <f>IFERROR(IF(ISNUMBER(INDEX(SPPR!$E:$Z,MATCH($A362,SPPR!$A:$A,0),21)),$C362*INDEX(SPPR!$E:$Z,MATCH($A362,SPPR!$A:$A,0),21),""),"")</f>
        <v/>
      </c>
      <c r="Y362">
        <f>IFERROR(IF(ISNUMBER(INDEX(SPPR!$E:$Z,MATCH($A362,SPPR!$A:$A,0),22)),$C362*INDEX(SPPR!$E:$Z,MATCH($A362,SPPR!$A:$A,0),22),""),"")</f>
        <v/>
      </c>
    </row>
    <row r="363">
      <c r="A363" t="inlineStr">
        <is>
          <t>Chimaeriformes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IFERROR(IF(ISNUMBER(INDEX(SPPR!$E:$Z,MATCH($A363,SPPR!$A:$A,0),1)),$C363*INDEX(SPPR!$E:$Z,MATCH($A363,SPPR!$A:$A,0),1),""),"")</f>
        <v/>
      </c>
      <c r="E363">
        <f>IFERROR(IF(ISNUMBER(INDEX(SPPR!$E:$Z,MATCH($A363,SPPR!$A:$A,0),2)),$C363*INDEX(SPPR!$E:$Z,MATCH($A363,SPPR!$A:$A,0),2),""),"")</f>
        <v/>
      </c>
      <c r="F363">
        <f>IFERROR(IF(ISNUMBER(INDEX(SPPR!$E:$Z,MATCH($A363,SPPR!$A:$A,0),3)),$C363*INDEX(SPPR!$E:$Z,MATCH($A363,SPPR!$A:$A,0),3),""),"")</f>
        <v/>
      </c>
      <c r="G363">
        <f>IFERROR(IF(ISNUMBER(INDEX(SPPR!$E:$Z,MATCH($A363,SPPR!$A:$A,0),4)),$C363*INDEX(SPPR!$E:$Z,MATCH($A363,SPPR!$A:$A,0),4),""),"")</f>
        <v/>
      </c>
      <c r="H363">
        <f>IFERROR(IF(ISNUMBER(INDEX(SPPR!$E:$Z,MATCH($A363,SPPR!$A:$A,0),5)),$C363*INDEX(SPPR!$E:$Z,MATCH($A363,SPPR!$A:$A,0),5),""),"")</f>
        <v/>
      </c>
      <c r="I363">
        <f>IFERROR(IF(ISNUMBER(INDEX(SPPR!$E:$Z,MATCH($A363,SPPR!$A:$A,0),6)),$C363*INDEX(SPPR!$E:$Z,MATCH($A363,SPPR!$A:$A,0),6),""),"")</f>
        <v/>
      </c>
      <c r="J363">
        <f>IFERROR(IF(ISNUMBER(INDEX(SPPR!$E:$Z,MATCH($A363,SPPR!$A:$A,0),7)),$C363*INDEX(SPPR!$E:$Z,MATCH($A363,SPPR!$A:$A,0),7),""),"")</f>
        <v/>
      </c>
      <c r="K363">
        <f>IFERROR(IF(ISNUMBER(INDEX(SPPR!$E:$Z,MATCH($A363,SPPR!$A:$A,0),8)),$C363*INDEX(SPPR!$E:$Z,MATCH($A363,SPPR!$A:$A,0),8),""),"")</f>
        <v/>
      </c>
      <c r="L363">
        <f>IFERROR(IF(ISNUMBER(INDEX(SPPR!$E:$Z,MATCH($A363,SPPR!$A:$A,0),9)),$C363*INDEX(SPPR!$E:$Z,MATCH($A363,SPPR!$A:$A,0),9),""),"")</f>
        <v/>
      </c>
      <c r="M363">
        <f>IFERROR(IF(ISNUMBER(INDEX(SPPR!$E:$Z,MATCH($A363,SPPR!$A:$A,0),10)),$C363*INDEX(SPPR!$E:$Z,MATCH($A363,SPPR!$A:$A,0),10),""),"")</f>
        <v/>
      </c>
      <c r="N363">
        <f>IFERROR(IF(ISNUMBER(INDEX(SPPR!$E:$Z,MATCH($A363,SPPR!$A:$A,0),11)),$C363*INDEX(SPPR!$E:$Z,MATCH($A363,SPPR!$A:$A,0),11),""),"")</f>
        <v/>
      </c>
      <c r="O363">
        <f>IFERROR(IF(ISNUMBER(INDEX(SPPR!$E:$Z,MATCH($A363,SPPR!$A:$A,0),12)),$C363*INDEX(SPPR!$E:$Z,MATCH($A363,SPPR!$A:$A,0),12),""),"")</f>
        <v/>
      </c>
      <c r="P363">
        <f>IFERROR(IF(ISNUMBER(INDEX(SPPR!$E:$Z,MATCH($A363,SPPR!$A:$A,0),13)),$C363*INDEX(SPPR!$E:$Z,MATCH($A363,SPPR!$A:$A,0),13),""),"")</f>
        <v/>
      </c>
      <c r="Q363">
        <f>IFERROR(IF(ISNUMBER(INDEX(SPPR!$E:$Z,MATCH($A363,SPPR!$A:$A,0),14)),$C363*INDEX(SPPR!$E:$Z,MATCH($A363,SPPR!$A:$A,0),14),""),"")</f>
        <v/>
      </c>
      <c r="R363">
        <f>IFERROR(IF(ISNUMBER(INDEX(SPPR!$E:$Z,MATCH($A363,SPPR!$A:$A,0),15)),$C363*INDEX(SPPR!$E:$Z,MATCH($A363,SPPR!$A:$A,0),15),""),"")</f>
        <v/>
      </c>
      <c r="S363">
        <f>IFERROR(IF(ISNUMBER(INDEX(SPPR!$E:$Z,MATCH($A363,SPPR!$A:$A,0),16)),$C363*INDEX(SPPR!$E:$Z,MATCH($A363,SPPR!$A:$A,0),16),""),"")</f>
        <v/>
      </c>
      <c r="T363">
        <f>IFERROR(IF(ISNUMBER(INDEX(SPPR!$E:$Z,MATCH($A363,SPPR!$A:$A,0),17)),$C363*INDEX(SPPR!$E:$Z,MATCH($A363,SPPR!$A:$A,0),17),""),"")</f>
        <v/>
      </c>
      <c r="U363">
        <f>IFERROR(IF(ISNUMBER(INDEX(SPPR!$E:$Z,MATCH($A363,SPPR!$A:$A,0),18)),$C363*INDEX(SPPR!$E:$Z,MATCH($A363,SPPR!$A:$A,0),18),""),"")</f>
        <v/>
      </c>
      <c r="V363">
        <f>IFERROR(IF(ISNUMBER(INDEX(SPPR!$E:$Z,MATCH($A363,SPPR!$A:$A,0),19)),$C363*INDEX(SPPR!$E:$Z,MATCH($A363,SPPR!$A:$A,0),19),""),"")</f>
        <v/>
      </c>
      <c r="W363">
        <f>IFERROR(IF(ISNUMBER(INDEX(SPPR!$E:$Z,MATCH($A363,SPPR!$A:$A,0),20)),$C363*INDEX(SPPR!$E:$Z,MATCH($A363,SPPR!$A:$A,0),20),""),"")</f>
        <v/>
      </c>
      <c r="X363">
        <f>IFERROR(IF(ISNUMBER(INDEX(SPPR!$E:$Z,MATCH($A363,SPPR!$A:$A,0),21)),$C363*INDEX(SPPR!$E:$Z,MATCH($A363,SPPR!$A:$A,0),21),""),"")</f>
        <v/>
      </c>
      <c r="Y363">
        <f>IFERROR(IF(ISNUMBER(INDEX(SPPR!$E:$Z,MATCH($A363,SPPR!$A:$A,0),22)),$C363*INDEX(SPPR!$E:$Z,MATCH($A363,SPPR!$A:$A,0),22),""),"")</f>
        <v/>
      </c>
    </row>
    <row r="364">
      <c r="A364" t="inlineStr">
        <is>
          <t>Scyliorhinidae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IFERROR(IF(ISNUMBER(INDEX(SPPR!$E:$Z,MATCH($A364,SPPR!$A:$A,0),1)),$C364*INDEX(SPPR!$E:$Z,MATCH($A364,SPPR!$A:$A,0),1),""),"")</f>
        <v/>
      </c>
      <c r="E364">
        <f>IFERROR(IF(ISNUMBER(INDEX(SPPR!$E:$Z,MATCH($A364,SPPR!$A:$A,0),2)),$C364*INDEX(SPPR!$E:$Z,MATCH($A364,SPPR!$A:$A,0),2),""),"")</f>
        <v/>
      </c>
      <c r="F364">
        <f>IFERROR(IF(ISNUMBER(INDEX(SPPR!$E:$Z,MATCH($A364,SPPR!$A:$A,0),3)),$C364*INDEX(SPPR!$E:$Z,MATCH($A364,SPPR!$A:$A,0),3),""),"")</f>
        <v/>
      </c>
      <c r="G364">
        <f>IFERROR(IF(ISNUMBER(INDEX(SPPR!$E:$Z,MATCH($A364,SPPR!$A:$A,0),4)),$C364*INDEX(SPPR!$E:$Z,MATCH($A364,SPPR!$A:$A,0),4),""),"")</f>
        <v/>
      </c>
      <c r="H364">
        <f>IFERROR(IF(ISNUMBER(INDEX(SPPR!$E:$Z,MATCH($A364,SPPR!$A:$A,0),5)),$C364*INDEX(SPPR!$E:$Z,MATCH($A364,SPPR!$A:$A,0),5),""),"")</f>
        <v/>
      </c>
      <c r="I364">
        <f>IFERROR(IF(ISNUMBER(INDEX(SPPR!$E:$Z,MATCH($A364,SPPR!$A:$A,0),6)),$C364*INDEX(SPPR!$E:$Z,MATCH($A364,SPPR!$A:$A,0),6),""),"")</f>
        <v/>
      </c>
      <c r="J364">
        <f>IFERROR(IF(ISNUMBER(INDEX(SPPR!$E:$Z,MATCH($A364,SPPR!$A:$A,0),7)),$C364*INDEX(SPPR!$E:$Z,MATCH($A364,SPPR!$A:$A,0),7),""),"")</f>
        <v/>
      </c>
      <c r="K364">
        <f>IFERROR(IF(ISNUMBER(INDEX(SPPR!$E:$Z,MATCH($A364,SPPR!$A:$A,0),8)),$C364*INDEX(SPPR!$E:$Z,MATCH($A364,SPPR!$A:$A,0),8),""),"")</f>
        <v/>
      </c>
      <c r="L364">
        <f>IFERROR(IF(ISNUMBER(INDEX(SPPR!$E:$Z,MATCH($A364,SPPR!$A:$A,0),9)),$C364*INDEX(SPPR!$E:$Z,MATCH($A364,SPPR!$A:$A,0),9),""),"")</f>
        <v/>
      </c>
      <c r="M364">
        <f>IFERROR(IF(ISNUMBER(INDEX(SPPR!$E:$Z,MATCH($A364,SPPR!$A:$A,0),10)),$C364*INDEX(SPPR!$E:$Z,MATCH($A364,SPPR!$A:$A,0),10),""),"")</f>
        <v/>
      </c>
      <c r="N364">
        <f>IFERROR(IF(ISNUMBER(INDEX(SPPR!$E:$Z,MATCH($A364,SPPR!$A:$A,0),11)),$C364*INDEX(SPPR!$E:$Z,MATCH($A364,SPPR!$A:$A,0),11),""),"")</f>
        <v/>
      </c>
      <c r="O364">
        <f>IFERROR(IF(ISNUMBER(INDEX(SPPR!$E:$Z,MATCH($A364,SPPR!$A:$A,0),12)),$C364*INDEX(SPPR!$E:$Z,MATCH($A364,SPPR!$A:$A,0),12),""),"")</f>
        <v/>
      </c>
      <c r="P364">
        <f>IFERROR(IF(ISNUMBER(INDEX(SPPR!$E:$Z,MATCH($A364,SPPR!$A:$A,0),13)),$C364*INDEX(SPPR!$E:$Z,MATCH($A364,SPPR!$A:$A,0),13),""),"")</f>
        <v/>
      </c>
      <c r="Q364">
        <f>IFERROR(IF(ISNUMBER(INDEX(SPPR!$E:$Z,MATCH($A364,SPPR!$A:$A,0),14)),$C364*INDEX(SPPR!$E:$Z,MATCH($A364,SPPR!$A:$A,0),14),""),"")</f>
        <v/>
      </c>
      <c r="R364">
        <f>IFERROR(IF(ISNUMBER(INDEX(SPPR!$E:$Z,MATCH($A364,SPPR!$A:$A,0),15)),$C364*INDEX(SPPR!$E:$Z,MATCH($A364,SPPR!$A:$A,0),15),""),"")</f>
        <v/>
      </c>
      <c r="S364">
        <f>IFERROR(IF(ISNUMBER(INDEX(SPPR!$E:$Z,MATCH($A364,SPPR!$A:$A,0),16)),$C364*INDEX(SPPR!$E:$Z,MATCH($A364,SPPR!$A:$A,0),16),""),"")</f>
        <v/>
      </c>
      <c r="T364">
        <f>IFERROR(IF(ISNUMBER(INDEX(SPPR!$E:$Z,MATCH($A364,SPPR!$A:$A,0),17)),$C364*INDEX(SPPR!$E:$Z,MATCH($A364,SPPR!$A:$A,0),17),""),"")</f>
        <v/>
      </c>
      <c r="U364">
        <f>IFERROR(IF(ISNUMBER(INDEX(SPPR!$E:$Z,MATCH($A364,SPPR!$A:$A,0),18)),$C364*INDEX(SPPR!$E:$Z,MATCH($A364,SPPR!$A:$A,0),18),""),"")</f>
        <v/>
      </c>
      <c r="V364">
        <f>IFERROR(IF(ISNUMBER(INDEX(SPPR!$E:$Z,MATCH($A364,SPPR!$A:$A,0),19)),$C364*INDEX(SPPR!$E:$Z,MATCH($A364,SPPR!$A:$A,0),19),""),"")</f>
        <v/>
      </c>
      <c r="W364">
        <f>IFERROR(IF(ISNUMBER(INDEX(SPPR!$E:$Z,MATCH($A364,SPPR!$A:$A,0),20)),$C364*INDEX(SPPR!$E:$Z,MATCH($A364,SPPR!$A:$A,0),20),""),"")</f>
        <v/>
      </c>
      <c r="X364">
        <f>IFERROR(IF(ISNUMBER(INDEX(SPPR!$E:$Z,MATCH($A364,SPPR!$A:$A,0),21)),$C364*INDEX(SPPR!$E:$Z,MATCH($A364,SPPR!$A:$A,0),21),""),"")</f>
        <v/>
      </c>
      <c r="Y364">
        <f>IFERROR(IF(ISNUMBER(INDEX(SPPR!$E:$Z,MATCH($A364,SPPR!$A:$A,0),22)),$C364*INDEX(SPPR!$E:$Z,MATCH($A364,SPPR!$A:$A,0),22),""),"")</f>
        <v/>
      </c>
    </row>
    <row r="365">
      <c r="A365" t="inlineStr">
        <is>
          <t>Epigonus telescopus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IFERROR(IF(ISNUMBER(INDEX(SPPR!$E:$Z,MATCH($A365,SPPR!$A:$A,0),1)),$C365*INDEX(SPPR!$E:$Z,MATCH($A365,SPPR!$A:$A,0),1),""),"")</f>
        <v/>
      </c>
      <c r="E365">
        <f>IFERROR(IF(ISNUMBER(INDEX(SPPR!$E:$Z,MATCH($A365,SPPR!$A:$A,0),2)),$C365*INDEX(SPPR!$E:$Z,MATCH($A365,SPPR!$A:$A,0),2),""),"")</f>
        <v/>
      </c>
      <c r="F365">
        <f>IFERROR(IF(ISNUMBER(INDEX(SPPR!$E:$Z,MATCH($A365,SPPR!$A:$A,0),3)),$C365*INDEX(SPPR!$E:$Z,MATCH($A365,SPPR!$A:$A,0),3),""),"")</f>
        <v/>
      </c>
      <c r="G365">
        <f>IFERROR(IF(ISNUMBER(INDEX(SPPR!$E:$Z,MATCH($A365,SPPR!$A:$A,0),4)),$C365*INDEX(SPPR!$E:$Z,MATCH($A365,SPPR!$A:$A,0),4),""),"")</f>
        <v/>
      </c>
      <c r="H365">
        <f>IFERROR(IF(ISNUMBER(INDEX(SPPR!$E:$Z,MATCH($A365,SPPR!$A:$A,0),5)),$C365*INDEX(SPPR!$E:$Z,MATCH($A365,SPPR!$A:$A,0),5),""),"")</f>
        <v/>
      </c>
      <c r="I365">
        <f>IFERROR(IF(ISNUMBER(INDEX(SPPR!$E:$Z,MATCH($A365,SPPR!$A:$A,0),6)),$C365*INDEX(SPPR!$E:$Z,MATCH($A365,SPPR!$A:$A,0),6),""),"")</f>
        <v/>
      </c>
      <c r="J365">
        <f>IFERROR(IF(ISNUMBER(INDEX(SPPR!$E:$Z,MATCH($A365,SPPR!$A:$A,0),7)),$C365*INDEX(SPPR!$E:$Z,MATCH($A365,SPPR!$A:$A,0),7),""),"")</f>
        <v/>
      </c>
      <c r="K365">
        <f>IFERROR(IF(ISNUMBER(INDEX(SPPR!$E:$Z,MATCH($A365,SPPR!$A:$A,0),8)),$C365*INDEX(SPPR!$E:$Z,MATCH($A365,SPPR!$A:$A,0),8),""),"")</f>
        <v/>
      </c>
      <c r="L365">
        <f>IFERROR(IF(ISNUMBER(INDEX(SPPR!$E:$Z,MATCH($A365,SPPR!$A:$A,0),9)),$C365*INDEX(SPPR!$E:$Z,MATCH($A365,SPPR!$A:$A,0),9),""),"")</f>
        <v/>
      </c>
      <c r="M365">
        <f>IFERROR(IF(ISNUMBER(INDEX(SPPR!$E:$Z,MATCH($A365,SPPR!$A:$A,0),10)),$C365*INDEX(SPPR!$E:$Z,MATCH($A365,SPPR!$A:$A,0),10),""),"")</f>
        <v/>
      </c>
      <c r="N365">
        <f>IFERROR(IF(ISNUMBER(INDEX(SPPR!$E:$Z,MATCH($A365,SPPR!$A:$A,0),11)),$C365*INDEX(SPPR!$E:$Z,MATCH($A365,SPPR!$A:$A,0),11),""),"")</f>
        <v/>
      </c>
      <c r="O365">
        <f>IFERROR(IF(ISNUMBER(INDEX(SPPR!$E:$Z,MATCH($A365,SPPR!$A:$A,0),12)),$C365*INDEX(SPPR!$E:$Z,MATCH($A365,SPPR!$A:$A,0),12),""),"")</f>
        <v/>
      </c>
      <c r="P365">
        <f>IFERROR(IF(ISNUMBER(INDEX(SPPR!$E:$Z,MATCH($A365,SPPR!$A:$A,0),13)),$C365*INDEX(SPPR!$E:$Z,MATCH($A365,SPPR!$A:$A,0),13),""),"")</f>
        <v/>
      </c>
      <c r="Q365">
        <f>IFERROR(IF(ISNUMBER(INDEX(SPPR!$E:$Z,MATCH($A365,SPPR!$A:$A,0),14)),$C365*INDEX(SPPR!$E:$Z,MATCH($A365,SPPR!$A:$A,0),14),""),"")</f>
        <v/>
      </c>
      <c r="R365">
        <f>IFERROR(IF(ISNUMBER(INDEX(SPPR!$E:$Z,MATCH($A365,SPPR!$A:$A,0),15)),$C365*INDEX(SPPR!$E:$Z,MATCH($A365,SPPR!$A:$A,0),15),""),"")</f>
        <v/>
      </c>
      <c r="S365">
        <f>IFERROR(IF(ISNUMBER(INDEX(SPPR!$E:$Z,MATCH($A365,SPPR!$A:$A,0),16)),$C365*INDEX(SPPR!$E:$Z,MATCH($A365,SPPR!$A:$A,0),16),""),"")</f>
        <v/>
      </c>
      <c r="T365">
        <f>IFERROR(IF(ISNUMBER(INDEX(SPPR!$E:$Z,MATCH($A365,SPPR!$A:$A,0),17)),$C365*INDEX(SPPR!$E:$Z,MATCH($A365,SPPR!$A:$A,0),17),""),"")</f>
        <v/>
      </c>
      <c r="U365">
        <f>IFERROR(IF(ISNUMBER(INDEX(SPPR!$E:$Z,MATCH($A365,SPPR!$A:$A,0),18)),$C365*INDEX(SPPR!$E:$Z,MATCH($A365,SPPR!$A:$A,0),18),""),"")</f>
        <v/>
      </c>
      <c r="V365">
        <f>IFERROR(IF(ISNUMBER(INDEX(SPPR!$E:$Z,MATCH($A365,SPPR!$A:$A,0),19)),$C365*INDEX(SPPR!$E:$Z,MATCH($A365,SPPR!$A:$A,0),19),""),"")</f>
        <v/>
      </c>
      <c r="W365">
        <f>IFERROR(IF(ISNUMBER(INDEX(SPPR!$E:$Z,MATCH($A365,SPPR!$A:$A,0),20)),$C365*INDEX(SPPR!$E:$Z,MATCH($A365,SPPR!$A:$A,0),20),""),"")</f>
        <v/>
      </c>
      <c r="X365">
        <f>IFERROR(IF(ISNUMBER(INDEX(SPPR!$E:$Z,MATCH($A365,SPPR!$A:$A,0),21)),$C365*INDEX(SPPR!$E:$Z,MATCH($A365,SPPR!$A:$A,0),21),""),"")</f>
        <v/>
      </c>
      <c r="Y365">
        <f>IFERROR(IF(ISNUMBER(INDEX(SPPR!$E:$Z,MATCH($A365,SPPR!$A:$A,0),22)),$C365*INDEX(SPPR!$E:$Z,MATCH($A365,SPPR!$A:$A,0),22),""),"")</f>
        <v/>
      </c>
    </row>
    <row r="366">
      <c r="A366" t="inlineStr">
        <is>
          <t>Bathytoshia centroura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IFERROR(IF(ISNUMBER(INDEX(SPPR!$E:$Z,MATCH($A366,SPPR!$A:$A,0),1)),$C366*INDEX(SPPR!$E:$Z,MATCH($A366,SPPR!$A:$A,0),1),""),"")</f>
        <v/>
      </c>
      <c r="E366">
        <f>IFERROR(IF(ISNUMBER(INDEX(SPPR!$E:$Z,MATCH($A366,SPPR!$A:$A,0),2)),$C366*INDEX(SPPR!$E:$Z,MATCH($A366,SPPR!$A:$A,0),2),""),"")</f>
        <v/>
      </c>
      <c r="F366">
        <f>IFERROR(IF(ISNUMBER(INDEX(SPPR!$E:$Z,MATCH($A366,SPPR!$A:$A,0),3)),$C366*INDEX(SPPR!$E:$Z,MATCH($A366,SPPR!$A:$A,0),3),""),"")</f>
        <v/>
      </c>
      <c r="G366">
        <f>IFERROR(IF(ISNUMBER(INDEX(SPPR!$E:$Z,MATCH($A366,SPPR!$A:$A,0),4)),$C366*INDEX(SPPR!$E:$Z,MATCH($A366,SPPR!$A:$A,0),4),""),"")</f>
        <v/>
      </c>
      <c r="H366">
        <f>IFERROR(IF(ISNUMBER(INDEX(SPPR!$E:$Z,MATCH($A366,SPPR!$A:$A,0),5)),$C366*INDEX(SPPR!$E:$Z,MATCH($A366,SPPR!$A:$A,0),5),""),"")</f>
        <v/>
      </c>
      <c r="I366">
        <f>IFERROR(IF(ISNUMBER(INDEX(SPPR!$E:$Z,MATCH($A366,SPPR!$A:$A,0),6)),$C366*INDEX(SPPR!$E:$Z,MATCH($A366,SPPR!$A:$A,0),6),""),"")</f>
        <v/>
      </c>
      <c r="J366">
        <f>IFERROR(IF(ISNUMBER(INDEX(SPPR!$E:$Z,MATCH($A366,SPPR!$A:$A,0),7)),$C366*INDEX(SPPR!$E:$Z,MATCH($A366,SPPR!$A:$A,0),7),""),"")</f>
        <v/>
      </c>
      <c r="K366">
        <f>IFERROR(IF(ISNUMBER(INDEX(SPPR!$E:$Z,MATCH($A366,SPPR!$A:$A,0),8)),$C366*INDEX(SPPR!$E:$Z,MATCH($A366,SPPR!$A:$A,0),8),""),"")</f>
        <v/>
      </c>
      <c r="L366">
        <f>IFERROR(IF(ISNUMBER(INDEX(SPPR!$E:$Z,MATCH($A366,SPPR!$A:$A,0),9)),$C366*INDEX(SPPR!$E:$Z,MATCH($A366,SPPR!$A:$A,0),9),""),"")</f>
        <v/>
      </c>
      <c r="M366">
        <f>IFERROR(IF(ISNUMBER(INDEX(SPPR!$E:$Z,MATCH($A366,SPPR!$A:$A,0),10)),$C366*INDEX(SPPR!$E:$Z,MATCH($A366,SPPR!$A:$A,0),10),""),"")</f>
        <v/>
      </c>
      <c r="N366">
        <f>IFERROR(IF(ISNUMBER(INDEX(SPPR!$E:$Z,MATCH($A366,SPPR!$A:$A,0),11)),$C366*INDEX(SPPR!$E:$Z,MATCH($A366,SPPR!$A:$A,0),11),""),"")</f>
        <v/>
      </c>
      <c r="O366">
        <f>IFERROR(IF(ISNUMBER(INDEX(SPPR!$E:$Z,MATCH($A366,SPPR!$A:$A,0),12)),$C366*INDEX(SPPR!$E:$Z,MATCH($A366,SPPR!$A:$A,0),12),""),"")</f>
        <v/>
      </c>
      <c r="P366">
        <f>IFERROR(IF(ISNUMBER(INDEX(SPPR!$E:$Z,MATCH($A366,SPPR!$A:$A,0),13)),$C366*INDEX(SPPR!$E:$Z,MATCH($A366,SPPR!$A:$A,0),13),""),"")</f>
        <v/>
      </c>
      <c r="Q366">
        <f>IFERROR(IF(ISNUMBER(INDEX(SPPR!$E:$Z,MATCH($A366,SPPR!$A:$A,0),14)),$C366*INDEX(SPPR!$E:$Z,MATCH($A366,SPPR!$A:$A,0),14),""),"")</f>
        <v/>
      </c>
      <c r="R366">
        <f>IFERROR(IF(ISNUMBER(INDEX(SPPR!$E:$Z,MATCH($A366,SPPR!$A:$A,0),15)),$C366*INDEX(SPPR!$E:$Z,MATCH($A366,SPPR!$A:$A,0),15),""),"")</f>
        <v/>
      </c>
      <c r="S366">
        <f>IFERROR(IF(ISNUMBER(INDEX(SPPR!$E:$Z,MATCH($A366,SPPR!$A:$A,0),16)),$C366*INDEX(SPPR!$E:$Z,MATCH($A366,SPPR!$A:$A,0),16),""),"")</f>
        <v/>
      </c>
      <c r="T366">
        <f>IFERROR(IF(ISNUMBER(INDEX(SPPR!$E:$Z,MATCH($A366,SPPR!$A:$A,0),17)),$C366*INDEX(SPPR!$E:$Z,MATCH($A366,SPPR!$A:$A,0),17),""),"")</f>
        <v/>
      </c>
      <c r="U366">
        <f>IFERROR(IF(ISNUMBER(INDEX(SPPR!$E:$Z,MATCH($A366,SPPR!$A:$A,0),18)),$C366*INDEX(SPPR!$E:$Z,MATCH($A366,SPPR!$A:$A,0),18),""),"")</f>
        <v/>
      </c>
      <c r="V366">
        <f>IFERROR(IF(ISNUMBER(INDEX(SPPR!$E:$Z,MATCH($A366,SPPR!$A:$A,0),19)),$C366*INDEX(SPPR!$E:$Z,MATCH($A366,SPPR!$A:$A,0),19),""),"")</f>
        <v/>
      </c>
      <c r="W366">
        <f>IFERROR(IF(ISNUMBER(INDEX(SPPR!$E:$Z,MATCH($A366,SPPR!$A:$A,0),20)),$C366*INDEX(SPPR!$E:$Z,MATCH($A366,SPPR!$A:$A,0),20),""),"")</f>
        <v/>
      </c>
      <c r="X366">
        <f>IFERROR(IF(ISNUMBER(INDEX(SPPR!$E:$Z,MATCH($A366,SPPR!$A:$A,0),21)),$C366*INDEX(SPPR!$E:$Z,MATCH($A366,SPPR!$A:$A,0),21),""),"")</f>
        <v/>
      </c>
      <c r="Y366">
        <f>IFERROR(IF(ISNUMBER(INDEX(SPPR!$E:$Z,MATCH($A366,SPPR!$A:$A,0),22)),$C366*INDEX(SPPR!$E:$Z,MATCH($A366,SPPR!$A:$A,0),22),""),"")</f>
        <v/>
      </c>
    </row>
    <row r="367">
      <c r="A367" t="inlineStr">
        <is>
          <t>Labridae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IFERROR(IF(ISNUMBER(INDEX(SPPR!$E:$Z,MATCH($A367,SPPR!$A:$A,0),1)),$C367*INDEX(SPPR!$E:$Z,MATCH($A367,SPPR!$A:$A,0),1),""),"")</f>
        <v/>
      </c>
      <c r="E367">
        <f>IFERROR(IF(ISNUMBER(INDEX(SPPR!$E:$Z,MATCH($A367,SPPR!$A:$A,0),2)),$C367*INDEX(SPPR!$E:$Z,MATCH($A367,SPPR!$A:$A,0),2),""),"")</f>
        <v/>
      </c>
      <c r="F367">
        <f>IFERROR(IF(ISNUMBER(INDEX(SPPR!$E:$Z,MATCH($A367,SPPR!$A:$A,0),3)),$C367*INDEX(SPPR!$E:$Z,MATCH($A367,SPPR!$A:$A,0),3),""),"")</f>
        <v/>
      </c>
      <c r="G367">
        <f>IFERROR(IF(ISNUMBER(INDEX(SPPR!$E:$Z,MATCH($A367,SPPR!$A:$A,0),4)),$C367*INDEX(SPPR!$E:$Z,MATCH($A367,SPPR!$A:$A,0),4),""),"")</f>
        <v/>
      </c>
      <c r="H367">
        <f>IFERROR(IF(ISNUMBER(INDEX(SPPR!$E:$Z,MATCH($A367,SPPR!$A:$A,0),5)),$C367*INDEX(SPPR!$E:$Z,MATCH($A367,SPPR!$A:$A,0),5),""),"")</f>
        <v/>
      </c>
      <c r="I367">
        <f>IFERROR(IF(ISNUMBER(INDEX(SPPR!$E:$Z,MATCH($A367,SPPR!$A:$A,0),6)),$C367*INDEX(SPPR!$E:$Z,MATCH($A367,SPPR!$A:$A,0),6),""),"")</f>
        <v/>
      </c>
      <c r="J367">
        <f>IFERROR(IF(ISNUMBER(INDEX(SPPR!$E:$Z,MATCH($A367,SPPR!$A:$A,0),7)),$C367*INDEX(SPPR!$E:$Z,MATCH($A367,SPPR!$A:$A,0),7),""),"")</f>
        <v/>
      </c>
      <c r="K367">
        <f>IFERROR(IF(ISNUMBER(INDEX(SPPR!$E:$Z,MATCH($A367,SPPR!$A:$A,0),8)),$C367*INDEX(SPPR!$E:$Z,MATCH($A367,SPPR!$A:$A,0),8),""),"")</f>
        <v/>
      </c>
      <c r="L367">
        <f>IFERROR(IF(ISNUMBER(INDEX(SPPR!$E:$Z,MATCH($A367,SPPR!$A:$A,0),9)),$C367*INDEX(SPPR!$E:$Z,MATCH($A367,SPPR!$A:$A,0),9),""),"")</f>
        <v/>
      </c>
      <c r="M367">
        <f>IFERROR(IF(ISNUMBER(INDEX(SPPR!$E:$Z,MATCH($A367,SPPR!$A:$A,0),10)),$C367*INDEX(SPPR!$E:$Z,MATCH($A367,SPPR!$A:$A,0),10),""),"")</f>
        <v/>
      </c>
      <c r="N367">
        <f>IFERROR(IF(ISNUMBER(INDEX(SPPR!$E:$Z,MATCH($A367,SPPR!$A:$A,0),11)),$C367*INDEX(SPPR!$E:$Z,MATCH($A367,SPPR!$A:$A,0),11),""),"")</f>
        <v/>
      </c>
      <c r="O367">
        <f>IFERROR(IF(ISNUMBER(INDEX(SPPR!$E:$Z,MATCH($A367,SPPR!$A:$A,0),12)),$C367*INDEX(SPPR!$E:$Z,MATCH($A367,SPPR!$A:$A,0),12),""),"")</f>
        <v/>
      </c>
      <c r="P367">
        <f>IFERROR(IF(ISNUMBER(INDEX(SPPR!$E:$Z,MATCH($A367,SPPR!$A:$A,0),13)),$C367*INDEX(SPPR!$E:$Z,MATCH($A367,SPPR!$A:$A,0),13),""),"")</f>
        <v/>
      </c>
      <c r="Q367">
        <f>IFERROR(IF(ISNUMBER(INDEX(SPPR!$E:$Z,MATCH($A367,SPPR!$A:$A,0),14)),$C367*INDEX(SPPR!$E:$Z,MATCH($A367,SPPR!$A:$A,0),14),""),"")</f>
        <v/>
      </c>
      <c r="R367">
        <f>IFERROR(IF(ISNUMBER(INDEX(SPPR!$E:$Z,MATCH($A367,SPPR!$A:$A,0),15)),$C367*INDEX(SPPR!$E:$Z,MATCH($A367,SPPR!$A:$A,0),15),""),"")</f>
        <v/>
      </c>
      <c r="S367">
        <f>IFERROR(IF(ISNUMBER(INDEX(SPPR!$E:$Z,MATCH($A367,SPPR!$A:$A,0),16)),$C367*INDEX(SPPR!$E:$Z,MATCH($A367,SPPR!$A:$A,0),16),""),"")</f>
        <v/>
      </c>
      <c r="T367">
        <f>IFERROR(IF(ISNUMBER(INDEX(SPPR!$E:$Z,MATCH($A367,SPPR!$A:$A,0),17)),$C367*INDEX(SPPR!$E:$Z,MATCH($A367,SPPR!$A:$A,0),17),""),"")</f>
        <v/>
      </c>
      <c r="U367">
        <f>IFERROR(IF(ISNUMBER(INDEX(SPPR!$E:$Z,MATCH($A367,SPPR!$A:$A,0),18)),$C367*INDEX(SPPR!$E:$Z,MATCH($A367,SPPR!$A:$A,0),18),""),"")</f>
        <v/>
      </c>
      <c r="V367">
        <f>IFERROR(IF(ISNUMBER(INDEX(SPPR!$E:$Z,MATCH($A367,SPPR!$A:$A,0),19)),$C367*INDEX(SPPR!$E:$Z,MATCH($A367,SPPR!$A:$A,0),19),""),"")</f>
        <v/>
      </c>
      <c r="W367">
        <f>IFERROR(IF(ISNUMBER(INDEX(SPPR!$E:$Z,MATCH($A367,SPPR!$A:$A,0),20)),$C367*INDEX(SPPR!$E:$Z,MATCH($A367,SPPR!$A:$A,0),20),""),"")</f>
        <v/>
      </c>
      <c r="X367">
        <f>IFERROR(IF(ISNUMBER(INDEX(SPPR!$E:$Z,MATCH($A367,SPPR!$A:$A,0),21)),$C367*INDEX(SPPR!$E:$Z,MATCH($A367,SPPR!$A:$A,0),21),""),"")</f>
        <v/>
      </c>
      <c r="Y367">
        <f>IFERROR(IF(ISNUMBER(INDEX(SPPR!$E:$Z,MATCH($A367,SPPR!$A:$A,0),22)),$C367*INDEX(SPPR!$E:$Z,MATCH($A367,SPPR!$A:$A,0),22),""),"")</f>
        <v/>
      </c>
    </row>
    <row r="368">
      <c r="A368" t="inlineStr">
        <is>
          <t>Malacostraca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IFERROR(IF(ISNUMBER(INDEX(SPPR!$E:$Z,MATCH($A368,SPPR!$A:$A,0),1)),$C368*INDEX(SPPR!$E:$Z,MATCH($A368,SPPR!$A:$A,0),1),""),"")</f>
        <v/>
      </c>
      <c r="E368">
        <f>IFERROR(IF(ISNUMBER(INDEX(SPPR!$E:$Z,MATCH($A368,SPPR!$A:$A,0),2)),$C368*INDEX(SPPR!$E:$Z,MATCH($A368,SPPR!$A:$A,0),2),""),"")</f>
        <v/>
      </c>
      <c r="F368">
        <f>IFERROR(IF(ISNUMBER(INDEX(SPPR!$E:$Z,MATCH($A368,SPPR!$A:$A,0),3)),$C368*INDEX(SPPR!$E:$Z,MATCH($A368,SPPR!$A:$A,0),3),""),"")</f>
        <v/>
      </c>
      <c r="G368">
        <f>IFERROR(IF(ISNUMBER(INDEX(SPPR!$E:$Z,MATCH($A368,SPPR!$A:$A,0),4)),$C368*INDEX(SPPR!$E:$Z,MATCH($A368,SPPR!$A:$A,0),4),""),"")</f>
        <v/>
      </c>
      <c r="H368">
        <f>IFERROR(IF(ISNUMBER(INDEX(SPPR!$E:$Z,MATCH($A368,SPPR!$A:$A,0),5)),$C368*INDEX(SPPR!$E:$Z,MATCH($A368,SPPR!$A:$A,0),5),""),"")</f>
        <v/>
      </c>
      <c r="I368">
        <f>IFERROR(IF(ISNUMBER(INDEX(SPPR!$E:$Z,MATCH($A368,SPPR!$A:$A,0),6)),$C368*INDEX(SPPR!$E:$Z,MATCH($A368,SPPR!$A:$A,0),6),""),"")</f>
        <v/>
      </c>
      <c r="J368">
        <f>IFERROR(IF(ISNUMBER(INDEX(SPPR!$E:$Z,MATCH($A368,SPPR!$A:$A,0),7)),$C368*INDEX(SPPR!$E:$Z,MATCH($A368,SPPR!$A:$A,0),7),""),"")</f>
        <v/>
      </c>
      <c r="K368">
        <f>IFERROR(IF(ISNUMBER(INDEX(SPPR!$E:$Z,MATCH($A368,SPPR!$A:$A,0),8)),$C368*INDEX(SPPR!$E:$Z,MATCH($A368,SPPR!$A:$A,0),8),""),"")</f>
        <v/>
      </c>
      <c r="L368">
        <f>IFERROR(IF(ISNUMBER(INDEX(SPPR!$E:$Z,MATCH($A368,SPPR!$A:$A,0),9)),$C368*INDEX(SPPR!$E:$Z,MATCH($A368,SPPR!$A:$A,0),9),""),"")</f>
        <v/>
      </c>
      <c r="M368">
        <f>IFERROR(IF(ISNUMBER(INDEX(SPPR!$E:$Z,MATCH($A368,SPPR!$A:$A,0),10)),$C368*INDEX(SPPR!$E:$Z,MATCH($A368,SPPR!$A:$A,0),10),""),"")</f>
        <v/>
      </c>
      <c r="N368">
        <f>IFERROR(IF(ISNUMBER(INDEX(SPPR!$E:$Z,MATCH($A368,SPPR!$A:$A,0),11)),$C368*INDEX(SPPR!$E:$Z,MATCH($A368,SPPR!$A:$A,0),11),""),"")</f>
        <v/>
      </c>
      <c r="O368">
        <f>IFERROR(IF(ISNUMBER(INDEX(SPPR!$E:$Z,MATCH($A368,SPPR!$A:$A,0),12)),$C368*INDEX(SPPR!$E:$Z,MATCH($A368,SPPR!$A:$A,0),12),""),"")</f>
        <v/>
      </c>
      <c r="P368">
        <f>IFERROR(IF(ISNUMBER(INDEX(SPPR!$E:$Z,MATCH($A368,SPPR!$A:$A,0),13)),$C368*INDEX(SPPR!$E:$Z,MATCH($A368,SPPR!$A:$A,0),13),""),"")</f>
        <v/>
      </c>
      <c r="Q368">
        <f>IFERROR(IF(ISNUMBER(INDEX(SPPR!$E:$Z,MATCH($A368,SPPR!$A:$A,0),14)),$C368*INDEX(SPPR!$E:$Z,MATCH($A368,SPPR!$A:$A,0),14),""),"")</f>
        <v/>
      </c>
      <c r="R368">
        <f>IFERROR(IF(ISNUMBER(INDEX(SPPR!$E:$Z,MATCH($A368,SPPR!$A:$A,0),15)),$C368*INDEX(SPPR!$E:$Z,MATCH($A368,SPPR!$A:$A,0),15),""),"")</f>
        <v/>
      </c>
      <c r="S368">
        <f>IFERROR(IF(ISNUMBER(INDEX(SPPR!$E:$Z,MATCH($A368,SPPR!$A:$A,0),16)),$C368*INDEX(SPPR!$E:$Z,MATCH($A368,SPPR!$A:$A,0),16),""),"")</f>
        <v/>
      </c>
      <c r="T368">
        <f>IFERROR(IF(ISNUMBER(INDEX(SPPR!$E:$Z,MATCH($A368,SPPR!$A:$A,0),17)),$C368*INDEX(SPPR!$E:$Z,MATCH($A368,SPPR!$A:$A,0),17),""),"")</f>
        <v/>
      </c>
      <c r="U368">
        <f>IFERROR(IF(ISNUMBER(INDEX(SPPR!$E:$Z,MATCH($A368,SPPR!$A:$A,0),18)),$C368*INDEX(SPPR!$E:$Z,MATCH($A368,SPPR!$A:$A,0),18),""),"")</f>
        <v/>
      </c>
      <c r="V368">
        <f>IFERROR(IF(ISNUMBER(INDEX(SPPR!$E:$Z,MATCH($A368,SPPR!$A:$A,0),19)),$C368*INDEX(SPPR!$E:$Z,MATCH($A368,SPPR!$A:$A,0),19),""),"")</f>
        <v/>
      </c>
      <c r="W368">
        <f>IFERROR(IF(ISNUMBER(INDEX(SPPR!$E:$Z,MATCH($A368,SPPR!$A:$A,0),20)),$C368*INDEX(SPPR!$E:$Z,MATCH($A368,SPPR!$A:$A,0),20),""),"")</f>
        <v/>
      </c>
      <c r="X368">
        <f>IFERROR(IF(ISNUMBER(INDEX(SPPR!$E:$Z,MATCH($A368,SPPR!$A:$A,0),21)),$C368*INDEX(SPPR!$E:$Z,MATCH($A368,SPPR!$A:$A,0),21),""),"")</f>
        <v/>
      </c>
      <c r="Y368">
        <f>IFERROR(IF(ISNUMBER(INDEX(SPPR!$E:$Z,MATCH($A368,SPPR!$A:$A,0),22)),$C368*INDEX(SPPR!$E:$Z,MATCH($A368,SPPR!$A:$A,0),22),""),"")</f>
        <v/>
      </c>
    </row>
    <row r="369">
      <c r="A369" t="inlineStr">
        <is>
          <t>Gymnothorax maderensis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IFERROR(IF(ISNUMBER(INDEX(SPPR!$E:$Z,MATCH($A369,SPPR!$A:$A,0),1)),$C369*INDEX(SPPR!$E:$Z,MATCH($A369,SPPR!$A:$A,0),1),""),"")</f>
        <v/>
      </c>
      <c r="E369">
        <f>IFERROR(IF(ISNUMBER(INDEX(SPPR!$E:$Z,MATCH($A369,SPPR!$A:$A,0),2)),$C369*INDEX(SPPR!$E:$Z,MATCH($A369,SPPR!$A:$A,0),2),""),"")</f>
        <v/>
      </c>
      <c r="F369">
        <f>IFERROR(IF(ISNUMBER(INDEX(SPPR!$E:$Z,MATCH($A369,SPPR!$A:$A,0),3)),$C369*INDEX(SPPR!$E:$Z,MATCH($A369,SPPR!$A:$A,0),3),""),"")</f>
        <v/>
      </c>
      <c r="G369">
        <f>IFERROR(IF(ISNUMBER(INDEX(SPPR!$E:$Z,MATCH($A369,SPPR!$A:$A,0),4)),$C369*INDEX(SPPR!$E:$Z,MATCH($A369,SPPR!$A:$A,0),4),""),"")</f>
        <v/>
      </c>
      <c r="H369">
        <f>IFERROR(IF(ISNUMBER(INDEX(SPPR!$E:$Z,MATCH($A369,SPPR!$A:$A,0),5)),$C369*INDEX(SPPR!$E:$Z,MATCH($A369,SPPR!$A:$A,0),5),""),"")</f>
        <v/>
      </c>
      <c r="I369">
        <f>IFERROR(IF(ISNUMBER(INDEX(SPPR!$E:$Z,MATCH($A369,SPPR!$A:$A,0),6)),$C369*INDEX(SPPR!$E:$Z,MATCH($A369,SPPR!$A:$A,0),6),""),"")</f>
        <v/>
      </c>
      <c r="J369">
        <f>IFERROR(IF(ISNUMBER(INDEX(SPPR!$E:$Z,MATCH($A369,SPPR!$A:$A,0),7)),$C369*INDEX(SPPR!$E:$Z,MATCH($A369,SPPR!$A:$A,0),7),""),"")</f>
        <v/>
      </c>
      <c r="K369">
        <f>IFERROR(IF(ISNUMBER(INDEX(SPPR!$E:$Z,MATCH($A369,SPPR!$A:$A,0),8)),$C369*INDEX(SPPR!$E:$Z,MATCH($A369,SPPR!$A:$A,0),8),""),"")</f>
        <v/>
      </c>
      <c r="L369">
        <f>IFERROR(IF(ISNUMBER(INDEX(SPPR!$E:$Z,MATCH($A369,SPPR!$A:$A,0),9)),$C369*INDEX(SPPR!$E:$Z,MATCH($A369,SPPR!$A:$A,0),9),""),"")</f>
        <v/>
      </c>
      <c r="M369">
        <f>IFERROR(IF(ISNUMBER(INDEX(SPPR!$E:$Z,MATCH($A369,SPPR!$A:$A,0),10)),$C369*INDEX(SPPR!$E:$Z,MATCH($A369,SPPR!$A:$A,0),10),""),"")</f>
        <v/>
      </c>
      <c r="N369">
        <f>IFERROR(IF(ISNUMBER(INDEX(SPPR!$E:$Z,MATCH($A369,SPPR!$A:$A,0),11)),$C369*INDEX(SPPR!$E:$Z,MATCH($A369,SPPR!$A:$A,0),11),""),"")</f>
        <v/>
      </c>
      <c r="O369">
        <f>IFERROR(IF(ISNUMBER(INDEX(SPPR!$E:$Z,MATCH($A369,SPPR!$A:$A,0),12)),$C369*INDEX(SPPR!$E:$Z,MATCH($A369,SPPR!$A:$A,0),12),""),"")</f>
        <v/>
      </c>
      <c r="P369">
        <f>IFERROR(IF(ISNUMBER(INDEX(SPPR!$E:$Z,MATCH($A369,SPPR!$A:$A,0),13)),$C369*INDEX(SPPR!$E:$Z,MATCH($A369,SPPR!$A:$A,0),13),""),"")</f>
        <v/>
      </c>
      <c r="Q369">
        <f>IFERROR(IF(ISNUMBER(INDEX(SPPR!$E:$Z,MATCH($A369,SPPR!$A:$A,0),14)),$C369*INDEX(SPPR!$E:$Z,MATCH($A369,SPPR!$A:$A,0),14),""),"")</f>
        <v/>
      </c>
      <c r="R369">
        <f>IFERROR(IF(ISNUMBER(INDEX(SPPR!$E:$Z,MATCH($A369,SPPR!$A:$A,0),15)),$C369*INDEX(SPPR!$E:$Z,MATCH($A369,SPPR!$A:$A,0),15),""),"")</f>
        <v/>
      </c>
      <c r="S369">
        <f>IFERROR(IF(ISNUMBER(INDEX(SPPR!$E:$Z,MATCH($A369,SPPR!$A:$A,0),16)),$C369*INDEX(SPPR!$E:$Z,MATCH($A369,SPPR!$A:$A,0),16),""),"")</f>
        <v/>
      </c>
      <c r="T369">
        <f>IFERROR(IF(ISNUMBER(INDEX(SPPR!$E:$Z,MATCH($A369,SPPR!$A:$A,0),17)),$C369*INDEX(SPPR!$E:$Z,MATCH($A369,SPPR!$A:$A,0),17),""),"")</f>
        <v/>
      </c>
      <c r="U369">
        <f>IFERROR(IF(ISNUMBER(INDEX(SPPR!$E:$Z,MATCH($A369,SPPR!$A:$A,0),18)),$C369*INDEX(SPPR!$E:$Z,MATCH($A369,SPPR!$A:$A,0),18),""),"")</f>
        <v/>
      </c>
      <c r="V369">
        <f>IFERROR(IF(ISNUMBER(INDEX(SPPR!$E:$Z,MATCH($A369,SPPR!$A:$A,0),19)),$C369*INDEX(SPPR!$E:$Z,MATCH($A369,SPPR!$A:$A,0),19),""),"")</f>
        <v/>
      </c>
      <c r="W369">
        <f>IFERROR(IF(ISNUMBER(INDEX(SPPR!$E:$Z,MATCH($A369,SPPR!$A:$A,0),20)),$C369*INDEX(SPPR!$E:$Z,MATCH($A369,SPPR!$A:$A,0),20),""),"")</f>
        <v/>
      </c>
      <c r="X369">
        <f>IFERROR(IF(ISNUMBER(INDEX(SPPR!$E:$Z,MATCH($A369,SPPR!$A:$A,0),21)),$C369*INDEX(SPPR!$E:$Z,MATCH($A369,SPPR!$A:$A,0),21),""),"")</f>
        <v/>
      </c>
      <c r="Y369">
        <f>IFERROR(IF(ISNUMBER(INDEX(SPPR!$E:$Z,MATCH($A369,SPPR!$A:$A,0),22)),$C369*INDEX(SPPR!$E:$Z,MATCH($A369,SPPR!$A:$A,0),22),""),"")</f>
        <v/>
      </c>
    </row>
    <row r="370">
      <c r="A370" t="inlineStr">
        <is>
          <t>Centroselachus crepidater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IFERROR(IF(ISNUMBER(INDEX(SPPR!$E:$Z,MATCH($A370,SPPR!$A:$A,0),1)),$C370*INDEX(SPPR!$E:$Z,MATCH($A370,SPPR!$A:$A,0),1),""),"")</f>
        <v/>
      </c>
      <c r="E370">
        <f>IFERROR(IF(ISNUMBER(INDEX(SPPR!$E:$Z,MATCH($A370,SPPR!$A:$A,0),2)),$C370*INDEX(SPPR!$E:$Z,MATCH($A370,SPPR!$A:$A,0),2),""),"")</f>
        <v/>
      </c>
      <c r="F370">
        <f>IFERROR(IF(ISNUMBER(INDEX(SPPR!$E:$Z,MATCH($A370,SPPR!$A:$A,0),3)),$C370*INDEX(SPPR!$E:$Z,MATCH($A370,SPPR!$A:$A,0),3),""),"")</f>
        <v/>
      </c>
      <c r="G370">
        <f>IFERROR(IF(ISNUMBER(INDEX(SPPR!$E:$Z,MATCH($A370,SPPR!$A:$A,0),4)),$C370*INDEX(SPPR!$E:$Z,MATCH($A370,SPPR!$A:$A,0),4),""),"")</f>
        <v/>
      </c>
      <c r="H370">
        <f>IFERROR(IF(ISNUMBER(INDEX(SPPR!$E:$Z,MATCH($A370,SPPR!$A:$A,0),5)),$C370*INDEX(SPPR!$E:$Z,MATCH($A370,SPPR!$A:$A,0),5),""),"")</f>
        <v/>
      </c>
      <c r="I370">
        <f>IFERROR(IF(ISNUMBER(INDEX(SPPR!$E:$Z,MATCH($A370,SPPR!$A:$A,0),6)),$C370*INDEX(SPPR!$E:$Z,MATCH($A370,SPPR!$A:$A,0),6),""),"")</f>
        <v/>
      </c>
      <c r="J370">
        <f>IFERROR(IF(ISNUMBER(INDEX(SPPR!$E:$Z,MATCH($A370,SPPR!$A:$A,0),7)),$C370*INDEX(SPPR!$E:$Z,MATCH($A370,SPPR!$A:$A,0),7),""),"")</f>
        <v/>
      </c>
      <c r="K370">
        <f>IFERROR(IF(ISNUMBER(INDEX(SPPR!$E:$Z,MATCH($A370,SPPR!$A:$A,0),8)),$C370*INDEX(SPPR!$E:$Z,MATCH($A370,SPPR!$A:$A,0),8),""),"")</f>
        <v/>
      </c>
      <c r="L370">
        <f>IFERROR(IF(ISNUMBER(INDEX(SPPR!$E:$Z,MATCH($A370,SPPR!$A:$A,0),9)),$C370*INDEX(SPPR!$E:$Z,MATCH($A370,SPPR!$A:$A,0),9),""),"")</f>
        <v/>
      </c>
      <c r="M370">
        <f>IFERROR(IF(ISNUMBER(INDEX(SPPR!$E:$Z,MATCH($A370,SPPR!$A:$A,0),10)),$C370*INDEX(SPPR!$E:$Z,MATCH($A370,SPPR!$A:$A,0),10),""),"")</f>
        <v/>
      </c>
      <c r="N370">
        <f>IFERROR(IF(ISNUMBER(INDEX(SPPR!$E:$Z,MATCH($A370,SPPR!$A:$A,0),11)),$C370*INDEX(SPPR!$E:$Z,MATCH($A370,SPPR!$A:$A,0),11),""),"")</f>
        <v/>
      </c>
      <c r="O370">
        <f>IFERROR(IF(ISNUMBER(INDEX(SPPR!$E:$Z,MATCH($A370,SPPR!$A:$A,0),12)),$C370*INDEX(SPPR!$E:$Z,MATCH($A370,SPPR!$A:$A,0),12),""),"")</f>
        <v/>
      </c>
      <c r="P370">
        <f>IFERROR(IF(ISNUMBER(INDEX(SPPR!$E:$Z,MATCH($A370,SPPR!$A:$A,0),13)),$C370*INDEX(SPPR!$E:$Z,MATCH($A370,SPPR!$A:$A,0),13),""),"")</f>
        <v/>
      </c>
      <c r="Q370">
        <f>IFERROR(IF(ISNUMBER(INDEX(SPPR!$E:$Z,MATCH($A370,SPPR!$A:$A,0),14)),$C370*INDEX(SPPR!$E:$Z,MATCH($A370,SPPR!$A:$A,0),14),""),"")</f>
        <v/>
      </c>
      <c r="R370">
        <f>IFERROR(IF(ISNUMBER(INDEX(SPPR!$E:$Z,MATCH($A370,SPPR!$A:$A,0),15)),$C370*INDEX(SPPR!$E:$Z,MATCH($A370,SPPR!$A:$A,0),15),""),"")</f>
        <v/>
      </c>
      <c r="S370">
        <f>IFERROR(IF(ISNUMBER(INDEX(SPPR!$E:$Z,MATCH($A370,SPPR!$A:$A,0),16)),$C370*INDEX(SPPR!$E:$Z,MATCH($A370,SPPR!$A:$A,0),16),""),"")</f>
        <v/>
      </c>
      <c r="T370">
        <f>IFERROR(IF(ISNUMBER(INDEX(SPPR!$E:$Z,MATCH($A370,SPPR!$A:$A,0),17)),$C370*INDEX(SPPR!$E:$Z,MATCH($A370,SPPR!$A:$A,0),17),""),"")</f>
        <v/>
      </c>
      <c r="U370">
        <f>IFERROR(IF(ISNUMBER(INDEX(SPPR!$E:$Z,MATCH($A370,SPPR!$A:$A,0),18)),$C370*INDEX(SPPR!$E:$Z,MATCH($A370,SPPR!$A:$A,0),18),""),"")</f>
        <v/>
      </c>
      <c r="V370">
        <f>IFERROR(IF(ISNUMBER(INDEX(SPPR!$E:$Z,MATCH($A370,SPPR!$A:$A,0),19)),$C370*INDEX(SPPR!$E:$Z,MATCH($A370,SPPR!$A:$A,0),19),""),"")</f>
        <v/>
      </c>
      <c r="W370">
        <f>IFERROR(IF(ISNUMBER(INDEX(SPPR!$E:$Z,MATCH($A370,SPPR!$A:$A,0),20)),$C370*INDEX(SPPR!$E:$Z,MATCH($A370,SPPR!$A:$A,0),20),""),"")</f>
        <v/>
      </c>
      <c r="X370">
        <f>IFERROR(IF(ISNUMBER(INDEX(SPPR!$E:$Z,MATCH($A370,SPPR!$A:$A,0),21)),$C370*INDEX(SPPR!$E:$Z,MATCH($A370,SPPR!$A:$A,0),21),""),"")</f>
        <v/>
      </c>
      <c r="Y370">
        <f>IFERROR(IF(ISNUMBER(INDEX(SPPR!$E:$Z,MATCH($A370,SPPR!$A:$A,0),22)),$C370*INDEX(SPPR!$E:$Z,MATCH($A370,SPPR!$A:$A,0),22),""),"")</f>
        <v/>
      </c>
    </row>
    <row r="371">
      <c r="A371" t="inlineStr">
        <is>
          <t>Carcharhinus obscurus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IFERROR(IF(ISNUMBER(INDEX(SPPR!$E:$Z,MATCH($A371,SPPR!$A:$A,0),1)),$C371*INDEX(SPPR!$E:$Z,MATCH($A371,SPPR!$A:$A,0),1),""),"")</f>
        <v/>
      </c>
      <c r="E371">
        <f>IFERROR(IF(ISNUMBER(INDEX(SPPR!$E:$Z,MATCH($A371,SPPR!$A:$A,0),2)),$C371*INDEX(SPPR!$E:$Z,MATCH($A371,SPPR!$A:$A,0),2),""),"")</f>
        <v/>
      </c>
      <c r="F371">
        <f>IFERROR(IF(ISNUMBER(INDEX(SPPR!$E:$Z,MATCH($A371,SPPR!$A:$A,0),3)),$C371*INDEX(SPPR!$E:$Z,MATCH($A371,SPPR!$A:$A,0),3),""),"")</f>
        <v/>
      </c>
      <c r="G371">
        <f>IFERROR(IF(ISNUMBER(INDEX(SPPR!$E:$Z,MATCH($A371,SPPR!$A:$A,0),4)),$C371*INDEX(SPPR!$E:$Z,MATCH($A371,SPPR!$A:$A,0),4),""),"")</f>
        <v/>
      </c>
      <c r="H371">
        <f>IFERROR(IF(ISNUMBER(INDEX(SPPR!$E:$Z,MATCH($A371,SPPR!$A:$A,0),5)),$C371*INDEX(SPPR!$E:$Z,MATCH($A371,SPPR!$A:$A,0),5),""),"")</f>
        <v/>
      </c>
      <c r="I371">
        <f>IFERROR(IF(ISNUMBER(INDEX(SPPR!$E:$Z,MATCH($A371,SPPR!$A:$A,0),6)),$C371*INDEX(SPPR!$E:$Z,MATCH($A371,SPPR!$A:$A,0),6),""),"")</f>
        <v/>
      </c>
      <c r="J371">
        <f>IFERROR(IF(ISNUMBER(INDEX(SPPR!$E:$Z,MATCH($A371,SPPR!$A:$A,0),7)),$C371*INDEX(SPPR!$E:$Z,MATCH($A371,SPPR!$A:$A,0),7),""),"")</f>
        <v/>
      </c>
      <c r="K371">
        <f>IFERROR(IF(ISNUMBER(INDEX(SPPR!$E:$Z,MATCH($A371,SPPR!$A:$A,0),8)),$C371*INDEX(SPPR!$E:$Z,MATCH($A371,SPPR!$A:$A,0),8),""),"")</f>
        <v/>
      </c>
      <c r="L371">
        <f>IFERROR(IF(ISNUMBER(INDEX(SPPR!$E:$Z,MATCH($A371,SPPR!$A:$A,0),9)),$C371*INDEX(SPPR!$E:$Z,MATCH($A371,SPPR!$A:$A,0),9),""),"")</f>
        <v/>
      </c>
      <c r="M371">
        <f>IFERROR(IF(ISNUMBER(INDEX(SPPR!$E:$Z,MATCH($A371,SPPR!$A:$A,0),10)),$C371*INDEX(SPPR!$E:$Z,MATCH($A371,SPPR!$A:$A,0),10),""),"")</f>
        <v/>
      </c>
      <c r="N371">
        <f>IFERROR(IF(ISNUMBER(INDEX(SPPR!$E:$Z,MATCH($A371,SPPR!$A:$A,0),11)),$C371*INDEX(SPPR!$E:$Z,MATCH($A371,SPPR!$A:$A,0),11),""),"")</f>
        <v/>
      </c>
      <c r="O371">
        <f>IFERROR(IF(ISNUMBER(INDEX(SPPR!$E:$Z,MATCH($A371,SPPR!$A:$A,0),12)),$C371*INDEX(SPPR!$E:$Z,MATCH($A371,SPPR!$A:$A,0),12),""),"")</f>
        <v/>
      </c>
      <c r="P371">
        <f>IFERROR(IF(ISNUMBER(INDEX(SPPR!$E:$Z,MATCH($A371,SPPR!$A:$A,0),13)),$C371*INDEX(SPPR!$E:$Z,MATCH($A371,SPPR!$A:$A,0),13),""),"")</f>
        <v/>
      </c>
      <c r="Q371">
        <f>IFERROR(IF(ISNUMBER(INDEX(SPPR!$E:$Z,MATCH($A371,SPPR!$A:$A,0),14)),$C371*INDEX(SPPR!$E:$Z,MATCH($A371,SPPR!$A:$A,0),14),""),"")</f>
        <v/>
      </c>
      <c r="R371">
        <f>IFERROR(IF(ISNUMBER(INDEX(SPPR!$E:$Z,MATCH($A371,SPPR!$A:$A,0),15)),$C371*INDEX(SPPR!$E:$Z,MATCH($A371,SPPR!$A:$A,0),15),""),"")</f>
        <v/>
      </c>
      <c r="S371">
        <f>IFERROR(IF(ISNUMBER(INDEX(SPPR!$E:$Z,MATCH($A371,SPPR!$A:$A,0),16)),$C371*INDEX(SPPR!$E:$Z,MATCH($A371,SPPR!$A:$A,0),16),""),"")</f>
        <v/>
      </c>
      <c r="T371">
        <f>IFERROR(IF(ISNUMBER(INDEX(SPPR!$E:$Z,MATCH($A371,SPPR!$A:$A,0),17)),$C371*INDEX(SPPR!$E:$Z,MATCH($A371,SPPR!$A:$A,0),17),""),"")</f>
        <v/>
      </c>
      <c r="U371">
        <f>IFERROR(IF(ISNUMBER(INDEX(SPPR!$E:$Z,MATCH($A371,SPPR!$A:$A,0),18)),$C371*INDEX(SPPR!$E:$Z,MATCH($A371,SPPR!$A:$A,0),18),""),"")</f>
        <v/>
      </c>
      <c r="V371">
        <f>IFERROR(IF(ISNUMBER(INDEX(SPPR!$E:$Z,MATCH($A371,SPPR!$A:$A,0),19)),$C371*INDEX(SPPR!$E:$Z,MATCH($A371,SPPR!$A:$A,0),19),""),"")</f>
        <v/>
      </c>
      <c r="W371">
        <f>IFERROR(IF(ISNUMBER(INDEX(SPPR!$E:$Z,MATCH($A371,SPPR!$A:$A,0),20)),$C371*INDEX(SPPR!$E:$Z,MATCH($A371,SPPR!$A:$A,0),20),""),"")</f>
        <v/>
      </c>
      <c r="X371">
        <f>IFERROR(IF(ISNUMBER(INDEX(SPPR!$E:$Z,MATCH($A371,SPPR!$A:$A,0),21)),$C371*INDEX(SPPR!$E:$Z,MATCH($A371,SPPR!$A:$A,0),21),""),"")</f>
        <v/>
      </c>
      <c r="Y371">
        <f>IFERROR(IF(ISNUMBER(INDEX(SPPR!$E:$Z,MATCH($A371,SPPR!$A:$A,0),22)),$C371*INDEX(SPPR!$E:$Z,MATCH($A371,SPPR!$A:$A,0),22),""),"")</f>
        <v/>
      </c>
    </row>
    <row r="372">
      <c r="A372" t="inlineStr">
        <is>
          <t>Fistulariidae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IFERROR(IF(ISNUMBER(INDEX(SPPR!$E:$Z,MATCH($A372,SPPR!$A:$A,0),1)),$C372*INDEX(SPPR!$E:$Z,MATCH($A372,SPPR!$A:$A,0),1),""),"")</f>
        <v/>
      </c>
      <c r="E372">
        <f>IFERROR(IF(ISNUMBER(INDEX(SPPR!$E:$Z,MATCH($A372,SPPR!$A:$A,0),2)),$C372*INDEX(SPPR!$E:$Z,MATCH($A372,SPPR!$A:$A,0),2),""),"")</f>
        <v/>
      </c>
      <c r="F372">
        <f>IFERROR(IF(ISNUMBER(INDEX(SPPR!$E:$Z,MATCH($A372,SPPR!$A:$A,0),3)),$C372*INDEX(SPPR!$E:$Z,MATCH($A372,SPPR!$A:$A,0),3),""),"")</f>
        <v/>
      </c>
      <c r="G372">
        <f>IFERROR(IF(ISNUMBER(INDEX(SPPR!$E:$Z,MATCH($A372,SPPR!$A:$A,0),4)),$C372*INDEX(SPPR!$E:$Z,MATCH($A372,SPPR!$A:$A,0),4),""),"")</f>
        <v/>
      </c>
      <c r="H372">
        <f>IFERROR(IF(ISNUMBER(INDEX(SPPR!$E:$Z,MATCH($A372,SPPR!$A:$A,0),5)),$C372*INDEX(SPPR!$E:$Z,MATCH($A372,SPPR!$A:$A,0),5),""),"")</f>
        <v/>
      </c>
      <c r="I372">
        <f>IFERROR(IF(ISNUMBER(INDEX(SPPR!$E:$Z,MATCH($A372,SPPR!$A:$A,0),6)),$C372*INDEX(SPPR!$E:$Z,MATCH($A372,SPPR!$A:$A,0),6),""),"")</f>
        <v/>
      </c>
      <c r="J372">
        <f>IFERROR(IF(ISNUMBER(INDEX(SPPR!$E:$Z,MATCH($A372,SPPR!$A:$A,0),7)),$C372*INDEX(SPPR!$E:$Z,MATCH($A372,SPPR!$A:$A,0),7),""),"")</f>
        <v/>
      </c>
      <c r="K372">
        <f>IFERROR(IF(ISNUMBER(INDEX(SPPR!$E:$Z,MATCH($A372,SPPR!$A:$A,0),8)),$C372*INDEX(SPPR!$E:$Z,MATCH($A372,SPPR!$A:$A,0),8),""),"")</f>
        <v/>
      </c>
      <c r="L372">
        <f>IFERROR(IF(ISNUMBER(INDEX(SPPR!$E:$Z,MATCH($A372,SPPR!$A:$A,0),9)),$C372*INDEX(SPPR!$E:$Z,MATCH($A372,SPPR!$A:$A,0),9),""),"")</f>
        <v/>
      </c>
      <c r="M372">
        <f>IFERROR(IF(ISNUMBER(INDEX(SPPR!$E:$Z,MATCH($A372,SPPR!$A:$A,0),10)),$C372*INDEX(SPPR!$E:$Z,MATCH($A372,SPPR!$A:$A,0),10),""),"")</f>
        <v/>
      </c>
      <c r="N372">
        <f>IFERROR(IF(ISNUMBER(INDEX(SPPR!$E:$Z,MATCH($A372,SPPR!$A:$A,0),11)),$C372*INDEX(SPPR!$E:$Z,MATCH($A372,SPPR!$A:$A,0),11),""),"")</f>
        <v/>
      </c>
      <c r="O372">
        <f>IFERROR(IF(ISNUMBER(INDEX(SPPR!$E:$Z,MATCH($A372,SPPR!$A:$A,0),12)),$C372*INDEX(SPPR!$E:$Z,MATCH($A372,SPPR!$A:$A,0),12),""),"")</f>
        <v/>
      </c>
      <c r="P372">
        <f>IFERROR(IF(ISNUMBER(INDEX(SPPR!$E:$Z,MATCH($A372,SPPR!$A:$A,0),13)),$C372*INDEX(SPPR!$E:$Z,MATCH($A372,SPPR!$A:$A,0),13),""),"")</f>
        <v/>
      </c>
      <c r="Q372">
        <f>IFERROR(IF(ISNUMBER(INDEX(SPPR!$E:$Z,MATCH($A372,SPPR!$A:$A,0),14)),$C372*INDEX(SPPR!$E:$Z,MATCH($A372,SPPR!$A:$A,0),14),""),"")</f>
        <v/>
      </c>
      <c r="R372">
        <f>IFERROR(IF(ISNUMBER(INDEX(SPPR!$E:$Z,MATCH($A372,SPPR!$A:$A,0),15)),$C372*INDEX(SPPR!$E:$Z,MATCH($A372,SPPR!$A:$A,0),15),""),"")</f>
        <v/>
      </c>
      <c r="S372">
        <f>IFERROR(IF(ISNUMBER(INDEX(SPPR!$E:$Z,MATCH($A372,SPPR!$A:$A,0),16)),$C372*INDEX(SPPR!$E:$Z,MATCH($A372,SPPR!$A:$A,0),16),""),"")</f>
        <v/>
      </c>
      <c r="T372">
        <f>IFERROR(IF(ISNUMBER(INDEX(SPPR!$E:$Z,MATCH($A372,SPPR!$A:$A,0),17)),$C372*INDEX(SPPR!$E:$Z,MATCH($A372,SPPR!$A:$A,0),17),""),"")</f>
        <v/>
      </c>
      <c r="U372">
        <f>IFERROR(IF(ISNUMBER(INDEX(SPPR!$E:$Z,MATCH($A372,SPPR!$A:$A,0),18)),$C372*INDEX(SPPR!$E:$Z,MATCH($A372,SPPR!$A:$A,0),18),""),"")</f>
        <v/>
      </c>
      <c r="V372">
        <f>IFERROR(IF(ISNUMBER(INDEX(SPPR!$E:$Z,MATCH($A372,SPPR!$A:$A,0),19)),$C372*INDEX(SPPR!$E:$Z,MATCH($A372,SPPR!$A:$A,0),19),""),"")</f>
        <v/>
      </c>
      <c r="W372">
        <f>IFERROR(IF(ISNUMBER(INDEX(SPPR!$E:$Z,MATCH($A372,SPPR!$A:$A,0),20)),$C372*INDEX(SPPR!$E:$Z,MATCH($A372,SPPR!$A:$A,0),20),""),"")</f>
        <v/>
      </c>
      <c r="X372">
        <f>IFERROR(IF(ISNUMBER(INDEX(SPPR!$E:$Z,MATCH($A372,SPPR!$A:$A,0),21)),$C372*INDEX(SPPR!$E:$Z,MATCH($A372,SPPR!$A:$A,0),21),""),"")</f>
        <v/>
      </c>
      <c r="Y372">
        <f>IFERROR(IF(ISNUMBER(INDEX(SPPR!$E:$Z,MATCH($A372,SPPR!$A:$A,0),22)),$C372*INDEX(SPPR!$E:$Z,MATCH($A372,SPPR!$A:$A,0),22),""),"")</f>
        <v/>
      </c>
    </row>
    <row r="373">
      <c r="A373" t="inlineStr">
        <is>
          <t>Cetorhinus maximus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IFERROR(IF(ISNUMBER(INDEX(SPPR!$E:$Z,MATCH($A373,SPPR!$A:$A,0),1)),$C373*INDEX(SPPR!$E:$Z,MATCH($A373,SPPR!$A:$A,0),1),""),"")</f>
        <v/>
      </c>
      <c r="E373">
        <f>IFERROR(IF(ISNUMBER(INDEX(SPPR!$E:$Z,MATCH($A373,SPPR!$A:$A,0),2)),$C373*INDEX(SPPR!$E:$Z,MATCH($A373,SPPR!$A:$A,0),2),""),"")</f>
        <v/>
      </c>
      <c r="F373">
        <f>IFERROR(IF(ISNUMBER(INDEX(SPPR!$E:$Z,MATCH($A373,SPPR!$A:$A,0),3)),$C373*INDEX(SPPR!$E:$Z,MATCH($A373,SPPR!$A:$A,0),3),""),"")</f>
        <v/>
      </c>
      <c r="G373">
        <f>IFERROR(IF(ISNUMBER(INDEX(SPPR!$E:$Z,MATCH($A373,SPPR!$A:$A,0),4)),$C373*INDEX(SPPR!$E:$Z,MATCH($A373,SPPR!$A:$A,0),4),""),"")</f>
        <v/>
      </c>
      <c r="H373">
        <f>IFERROR(IF(ISNUMBER(INDEX(SPPR!$E:$Z,MATCH($A373,SPPR!$A:$A,0),5)),$C373*INDEX(SPPR!$E:$Z,MATCH($A373,SPPR!$A:$A,0),5),""),"")</f>
        <v/>
      </c>
      <c r="I373">
        <f>IFERROR(IF(ISNUMBER(INDEX(SPPR!$E:$Z,MATCH($A373,SPPR!$A:$A,0),6)),$C373*INDEX(SPPR!$E:$Z,MATCH($A373,SPPR!$A:$A,0),6),""),"")</f>
        <v/>
      </c>
      <c r="J373">
        <f>IFERROR(IF(ISNUMBER(INDEX(SPPR!$E:$Z,MATCH($A373,SPPR!$A:$A,0),7)),$C373*INDEX(SPPR!$E:$Z,MATCH($A373,SPPR!$A:$A,0),7),""),"")</f>
        <v/>
      </c>
      <c r="K373">
        <f>IFERROR(IF(ISNUMBER(INDEX(SPPR!$E:$Z,MATCH($A373,SPPR!$A:$A,0),8)),$C373*INDEX(SPPR!$E:$Z,MATCH($A373,SPPR!$A:$A,0),8),""),"")</f>
        <v/>
      </c>
      <c r="L373">
        <f>IFERROR(IF(ISNUMBER(INDEX(SPPR!$E:$Z,MATCH($A373,SPPR!$A:$A,0),9)),$C373*INDEX(SPPR!$E:$Z,MATCH($A373,SPPR!$A:$A,0),9),""),"")</f>
        <v/>
      </c>
      <c r="M373">
        <f>IFERROR(IF(ISNUMBER(INDEX(SPPR!$E:$Z,MATCH($A373,SPPR!$A:$A,0),10)),$C373*INDEX(SPPR!$E:$Z,MATCH($A373,SPPR!$A:$A,0),10),""),"")</f>
        <v/>
      </c>
      <c r="N373">
        <f>IFERROR(IF(ISNUMBER(INDEX(SPPR!$E:$Z,MATCH($A373,SPPR!$A:$A,0),11)),$C373*INDEX(SPPR!$E:$Z,MATCH($A373,SPPR!$A:$A,0),11),""),"")</f>
        <v/>
      </c>
      <c r="O373">
        <f>IFERROR(IF(ISNUMBER(INDEX(SPPR!$E:$Z,MATCH($A373,SPPR!$A:$A,0),12)),$C373*INDEX(SPPR!$E:$Z,MATCH($A373,SPPR!$A:$A,0),12),""),"")</f>
        <v/>
      </c>
      <c r="P373">
        <f>IFERROR(IF(ISNUMBER(INDEX(SPPR!$E:$Z,MATCH($A373,SPPR!$A:$A,0),13)),$C373*INDEX(SPPR!$E:$Z,MATCH($A373,SPPR!$A:$A,0),13),""),"")</f>
        <v/>
      </c>
      <c r="Q373">
        <f>IFERROR(IF(ISNUMBER(INDEX(SPPR!$E:$Z,MATCH($A373,SPPR!$A:$A,0),14)),$C373*INDEX(SPPR!$E:$Z,MATCH($A373,SPPR!$A:$A,0),14),""),"")</f>
        <v/>
      </c>
      <c r="R373">
        <f>IFERROR(IF(ISNUMBER(INDEX(SPPR!$E:$Z,MATCH($A373,SPPR!$A:$A,0),15)),$C373*INDEX(SPPR!$E:$Z,MATCH($A373,SPPR!$A:$A,0),15),""),"")</f>
        <v/>
      </c>
      <c r="S373">
        <f>IFERROR(IF(ISNUMBER(INDEX(SPPR!$E:$Z,MATCH($A373,SPPR!$A:$A,0),16)),$C373*INDEX(SPPR!$E:$Z,MATCH($A373,SPPR!$A:$A,0),16),""),"")</f>
        <v/>
      </c>
      <c r="T373">
        <f>IFERROR(IF(ISNUMBER(INDEX(SPPR!$E:$Z,MATCH($A373,SPPR!$A:$A,0),17)),$C373*INDEX(SPPR!$E:$Z,MATCH($A373,SPPR!$A:$A,0),17),""),"")</f>
        <v/>
      </c>
      <c r="U373">
        <f>IFERROR(IF(ISNUMBER(INDEX(SPPR!$E:$Z,MATCH($A373,SPPR!$A:$A,0),18)),$C373*INDEX(SPPR!$E:$Z,MATCH($A373,SPPR!$A:$A,0),18),""),"")</f>
        <v/>
      </c>
      <c r="V373">
        <f>IFERROR(IF(ISNUMBER(INDEX(SPPR!$E:$Z,MATCH($A373,SPPR!$A:$A,0),19)),$C373*INDEX(SPPR!$E:$Z,MATCH($A373,SPPR!$A:$A,0),19),""),"")</f>
        <v/>
      </c>
      <c r="W373">
        <f>IFERROR(IF(ISNUMBER(INDEX(SPPR!$E:$Z,MATCH($A373,SPPR!$A:$A,0),20)),$C373*INDEX(SPPR!$E:$Z,MATCH($A373,SPPR!$A:$A,0),20),""),"")</f>
        <v/>
      </c>
      <c r="X373">
        <f>IFERROR(IF(ISNUMBER(INDEX(SPPR!$E:$Z,MATCH($A373,SPPR!$A:$A,0),21)),$C373*INDEX(SPPR!$E:$Z,MATCH($A373,SPPR!$A:$A,0),21),""),"")</f>
        <v/>
      </c>
      <c r="Y373">
        <f>IFERROR(IF(ISNUMBER(INDEX(SPPR!$E:$Z,MATCH($A373,SPPR!$A:$A,0),22)),$C373*INDEX(SPPR!$E:$Z,MATCH($A373,SPPR!$A:$A,0),22),""),"")</f>
        <v/>
      </c>
    </row>
    <row r="374">
      <c r="A374" t="inlineStr">
        <is>
          <t>Cephalopholis taeniops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IFERROR(IF(ISNUMBER(INDEX(SPPR!$E:$Z,MATCH($A374,SPPR!$A:$A,0),1)),$C374*INDEX(SPPR!$E:$Z,MATCH($A374,SPPR!$A:$A,0),1),""),"")</f>
        <v/>
      </c>
      <c r="E374">
        <f>IFERROR(IF(ISNUMBER(INDEX(SPPR!$E:$Z,MATCH($A374,SPPR!$A:$A,0),2)),$C374*INDEX(SPPR!$E:$Z,MATCH($A374,SPPR!$A:$A,0),2),""),"")</f>
        <v/>
      </c>
      <c r="F374">
        <f>IFERROR(IF(ISNUMBER(INDEX(SPPR!$E:$Z,MATCH($A374,SPPR!$A:$A,0),3)),$C374*INDEX(SPPR!$E:$Z,MATCH($A374,SPPR!$A:$A,0),3),""),"")</f>
        <v/>
      </c>
      <c r="G374">
        <f>IFERROR(IF(ISNUMBER(INDEX(SPPR!$E:$Z,MATCH($A374,SPPR!$A:$A,0),4)),$C374*INDEX(SPPR!$E:$Z,MATCH($A374,SPPR!$A:$A,0),4),""),"")</f>
        <v/>
      </c>
      <c r="H374">
        <f>IFERROR(IF(ISNUMBER(INDEX(SPPR!$E:$Z,MATCH($A374,SPPR!$A:$A,0),5)),$C374*INDEX(SPPR!$E:$Z,MATCH($A374,SPPR!$A:$A,0),5),""),"")</f>
        <v/>
      </c>
      <c r="I374">
        <f>IFERROR(IF(ISNUMBER(INDEX(SPPR!$E:$Z,MATCH($A374,SPPR!$A:$A,0),6)),$C374*INDEX(SPPR!$E:$Z,MATCH($A374,SPPR!$A:$A,0),6),""),"")</f>
        <v/>
      </c>
      <c r="J374">
        <f>IFERROR(IF(ISNUMBER(INDEX(SPPR!$E:$Z,MATCH($A374,SPPR!$A:$A,0),7)),$C374*INDEX(SPPR!$E:$Z,MATCH($A374,SPPR!$A:$A,0),7),""),"")</f>
        <v/>
      </c>
      <c r="K374">
        <f>IFERROR(IF(ISNUMBER(INDEX(SPPR!$E:$Z,MATCH($A374,SPPR!$A:$A,0),8)),$C374*INDEX(SPPR!$E:$Z,MATCH($A374,SPPR!$A:$A,0),8),""),"")</f>
        <v/>
      </c>
      <c r="L374">
        <f>IFERROR(IF(ISNUMBER(INDEX(SPPR!$E:$Z,MATCH($A374,SPPR!$A:$A,0),9)),$C374*INDEX(SPPR!$E:$Z,MATCH($A374,SPPR!$A:$A,0),9),""),"")</f>
        <v/>
      </c>
      <c r="M374">
        <f>IFERROR(IF(ISNUMBER(INDEX(SPPR!$E:$Z,MATCH($A374,SPPR!$A:$A,0),10)),$C374*INDEX(SPPR!$E:$Z,MATCH($A374,SPPR!$A:$A,0),10),""),"")</f>
        <v/>
      </c>
      <c r="N374">
        <f>IFERROR(IF(ISNUMBER(INDEX(SPPR!$E:$Z,MATCH($A374,SPPR!$A:$A,0),11)),$C374*INDEX(SPPR!$E:$Z,MATCH($A374,SPPR!$A:$A,0),11),""),"")</f>
        <v/>
      </c>
      <c r="O374">
        <f>IFERROR(IF(ISNUMBER(INDEX(SPPR!$E:$Z,MATCH($A374,SPPR!$A:$A,0),12)),$C374*INDEX(SPPR!$E:$Z,MATCH($A374,SPPR!$A:$A,0),12),""),"")</f>
        <v/>
      </c>
      <c r="P374">
        <f>IFERROR(IF(ISNUMBER(INDEX(SPPR!$E:$Z,MATCH($A374,SPPR!$A:$A,0),13)),$C374*INDEX(SPPR!$E:$Z,MATCH($A374,SPPR!$A:$A,0),13),""),"")</f>
        <v/>
      </c>
      <c r="Q374">
        <f>IFERROR(IF(ISNUMBER(INDEX(SPPR!$E:$Z,MATCH($A374,SPPR!$A:$A,0),14)),$C374*INDEX(SPPR!$E:$Z,MATCH($A374,SPPR!$A:$A,0),14),""),"")</f>
        <v/>
      </c>
      <c r="R374">
        <f>IFERROR(IF(ISNUMBER(INDEX(SPPR!$E:$Z,MATCH($A374,SPPR!$A:$A,0),15)),$C374*INDEX(SPPR!$E:$Z,MATCH($A374,SPPR!$A:$A,0),15),""),"")</f>
        <v/>
      </c>
      <c r="S374">
        <f>IFERROR(IF(ISNUMBER(INDEX(SPPR!$E:$Z,MATCH($A374,SPPR!$A:$A,0),16)),$C374*INDEX(SPPR!$E:$Z,MATCH($A374,SPPR!$A:$A,0),16),""),"")</f>
        <v/>
      </c>
      <c r="T374">
        <f>IFERROR(IF(ISNUMBER(INDEX(SPPR!$E:$Z,MATCH($A374,SPPR!$A:$A,0),17)),$C374*INDEX(SPPR!$E:$Z,MATCH($A374,SPPR!$A:$A,0),17),""),"")</f>
        <v/>
      </c>
      <c r="U374">
        <f>IFERROR(IF(ISNUMBER(INDEX(SPPR!$E:$Z,MATCH($A374,SPPR!$A:$A,0),18)),$C374*INDEX(SPPR!$E:$Z,MATCH($A374,SPPR!$A:$A,0),18),""),"")</f>
        <v/>
      </c>
      <c r="V374">
        <f>IFERROR(IF(ISNUMBER(INDEX(SPPR!$E:$Z,MATCH($A374,SPPR!$A:$A,0),19)),$C374*INDEX(SPPR!$E:$Z,MATCH($A374,SPPR!$A:$A,0),19),""),"")</f>
        <v/>
      </c>
      <c r="W374">
        <f>IFERROR(IF(ISNUMBER(INDEX(SPPR!$E:$Z,MATCH($A374,SPPR!$A:$A,0),20)),$C374*INDEX(SPPR!$E:$Z,MATCH($A374,SPPR!$A:$A,0),20),""),"")</f>
        <v/>
      </c>
      <c r="X374">
        <f>IFERROR(IF(ISNUMBER(INDEX(SPPR!$E:$Z,MATCH($A374,SPPR!$A:$A,0),21)),$C374*INDEX(SPPR!$E:$Z,MATCH($A374,SPPR!$A:$A,0),21),""),"")</f>
        <v/>
      </c>
      <c r="Y374">
        <f>IFERROR(IF(ISNUMBER(INDEX(SPPR!$E:$Z,MATCH($A374,SPPR!$A:$A,0),22)),$C374*INDEX(SPPR!$E:$Z,MATCH($A374,SPPR!$A:$A,0),22),""),"")</f>
        <v/>
      </c>
    </row>
    <row r="375">
      <c r="A375" t="inlineStr">
        <is>
          <t>Oxynotus centrina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IFERROR(IF(ISNUMBER(INDEX(SPPR!$E:$Z,MATCH($A375,SPPR!$A:$A,0),1)),$C375*INDEX(SPPR!$E:$Z,MATCH($A375,SPPR!$A:$A,0),1),""),"")</f>
        <v/>
      </c>
      <c r="E375">
        <f>IFERROR(IF(ISNUMBER(INDEX(SPPR!$E:$Z,MATCH($A375,SPPR!$A:$A,0),2)),$C375*INDEX(SPPR!$E:$Z,MATCH($A375,SPPR!$A:$A,0),2),""),"")</f>
        <v/>
      </c>
      <c r="F375">
        <f>IFERROR(IF(ISNUMBER(INDEX(SPPR!$E:$Z,MATCH($A375,SPPR!$A:$A,0),3)),$C375*INDEX(SPPR!$E:$Z,MATCH($A375,SPPR!$A:$A,0),3),""),"")</f>
        <v/>
      </c>
      <c r="G375">
        <f>IFERROR(IF(ISNUMBER(INDEX(SPPR!$E:$Z,MATCH($A375,SPPR!$A:$A,0),4)),$C375*INDEX(SPPR!$E:$Z,MATCH($A375,SPPR!$A:$A,0),4),""),"")</f>
        <v/>
      </c>
      <c r="H375">
        <f>IFERROR(IF(ISNUMBER(INDEX(SPPR!$E:$Z,MATCH($A375,SPPR!$A:$A,0),5)),$C375*INDEX(SPPR!$E:$Z,MATCH($A375,SPPR!$A:$A,0),5),""),"")</f>
        <v/>
      </c>
      <c r="I375">
        <f>IFERROR(IF(ISNUMBER(INDEX(SPPR!$E:$Z,MATCH($A375,SPPR!$A:$A,0),6)),$C375*INDEX(SPPR!$E:$Z,MATCH($A375,SPPR!$A:$A,0),6),""),"")</f>
        <v/>
      </c>
      <c r="J375">
        <f>IFERROR(IF(ISNUMBER(INDEX(SPPR!$E:$Z,MATCH($A375,SPPR!$A:$A,0),7)),$C375*INDEX(SPPR!$E:$Z,MATCH($A375,SPPR!$A:$A,0),7),""),"")</f>
        <v/>
      </c>
      <c r="K375">
        <f>IFERROR(IF(ISNUMBER(INDEX(SPPR!$E:$Z,MATCH($A375,SPPR!$A:$A,0),8)),$C375*INDEX(SPPR!$E:$Z,MATCH($A375,SPPR!$A:$A,0),8),""),"")</f>
        <v/>
      </c>
      <c r="L375">
        <f>IFERROR(IF(ISNUMBER(INDEX(SPPR!$E:$Z,MATCH($A375,SPPR!$A:$A,0),9)),$C375*INDEX(SPPR!$E:$Z,MATCH($A375,SPPR!$A:$A,0),9),""),"")</f>
        <v/>
      </c>
      <c r="M375">
        <f>IFERROR(IF(ISNUMBER(INDEX(SPPR!$E:$Z,MATCH($A375,SPPR!$A:$A,0),10)),$C375*INDEX(SPPR!$E:$Z,MATCH($A375,SPPR!$A:$A,0),10),""),"")</f>
        <v/>
      </c>
      <c r="N375">
        <f>IFERROR(IF(ISNUMBER(INDEX(SPPR!$E:$Z,MATCH($A375,SPPR!$A:$A,0),11)),$C375*INDEX(SPPR!$E:$Z,MATCH($A375,SPPR!$A:$A,0),11),""),"")</f>
        <v/>
      </c>
      <c r="O375">
        <f>IFERROR(IF(ISNUMBER(INDEX(SPPR!$E:$Z,MATCH($A375,SPPR!$A:$A,0),12)),$C375*INDEX(SPPR!$E:$Z,MATCH($A375,SPPR!$A:$A,0),12),""),"")</f>
        <v/>
      </c>
      <c r="P375">
        <f>IFERROR(IF(ISNUMBER(INDEX(SPPR!$E:$Z,MATCH($A375,SPPR!$A:$A,0),13)),$C375*INDEX(SPPR!$E:$Z,MATCH($A375,SPPR!$A:$A,0),13),""),"")</f>
        <v/>
      </c>
      <c r="Q375">
        <f>IFERROR(IF(ISNUMBER(INDEX(SPPR!$E:$Z,MATCH($A375,SPPR!$A:$A,0),14)),$C375*INDEX(SPPR!$E:$Z,MATCH($A375,SPPR!$A:$A,0),14),""),"")</f>
        <v/>
      </c>
      <c r="R375">
        <f>IFERROR(IF(ISNUMBER(INDEX(SPPR!$E:$Z,MATCH($A375,SPPR!$A:$A,0),15)),$C375*INDEX(SPPR!$E:$Z,MATCH($A375,SPPR!$A:$A,0),15),""),"")</f>
        <v/>
      </c>
      <c r="S375">
        <f>IFERROR(IF(ISNUMBER(INDEX(SPPR!$E:$Z,MATCH($A375,SPPR!$A:$A,0),16)),$C375*INDEX(SPPR!$E:$Z,MATCH($A375,SPPR!$A:$A,0),16),""),"")</f>
        <v/>
      </c>
      <c r="T375">
        <f>IFERROR(IF(ISNUMBER(INDEX(SPPR!$E:$Z,MATCH($A375,SPPR!$A:$A,0),17)),$C375*INDEX(SPPR!$E:$Z,MATCH($A375,SPPR!$A:$A,0),17),""),"")</f>
        <v/>
      </c>
      <c r="U375">
        <f>IFERROR(IF(ISNUMBER(INDEX(SPPR!$E:$Z,MATCH($A375,SPPR!$A:$A,0),18)),$C375*INDEX(SPPR!$E:$Z,MATCH($A375,SPPR!$A:$A,0),18),""),"")</f>
        <v/>
      </c>
      <c r="V375">
        <f>IFERROR(IF(ISNUMBER(INDEX(SPPR!$E:$Z,MATCH($A375,SPPR!$A:$A,0),19)),$C375*INDEX(SPPR!$E:$Z,MATCH($A375,SPPR!$A:$A,0),19),""),"")</f>
        <v/>
      </c>
      <c r="W375">
        <f>IFERROR(IF(ISNUMBER(INDEX(SPPR!$E:$Z,MATCH($A375,SPPR!$A:$A,0),20)),$C375*INDEX(SPPR!$E:$Z,MATCH($A375,SPPR!$A:$A,0),20),""),"")</f>
        <v/>
      </c>
      <c r="X375">
        <f>IFERROR(IF(ISNUMBER(INDEX(SPPR!$E:$Z,MATCH($A375,SPPR!$A:$A,0),21)),$C375*INDEX(SPPR!$E:$Z,MATCH($A375,SPPR!$A:$A,0),21),""),"")</f>
        <v/>
      </c>
      <c r="Y375">
        <f>IFERROR(IF(ISNUMBER(INDEX(SPPR!$E:$Z,MATCH($A375,SPPR!$A:$A,0),22)),$C375*INDEX(SPPR!$E:$Z,MATCH($A375,SPPR!$A:$A,0),22),""),"")</f>
        <v/>
      </c>
    </row>
    <row r="376">
      <c r="A376" t="inlineStr">
        <is>
          <t>Thunnus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IFERROR(IF(ISNUMBER(INDEX(SPPR!$E:$Z,MATCH($A376,SPPR!$A:$A,0),1)),$C376*INDEX(SPPR!$E:$Z,MATCH($A376,SPPR!$A:$A,0),1),""),"")</f>
        <v/>
      </c>
      <c r="E376">
        <f>IFERROR(IF(ISNUMBER(INDEX(SPPR!$E:$Z,MATCH($A376,SPPR!$A:$A,0),2)),$C376*INDEX(SPPR!$E:$Z,MATCH($A376,SPPR!$A:$A,0),2),""),"")</f>
        <v/>
      </c>
      <c r="F376">
        <f>IFERROR(IF(ISNUMBER(INDEX(SPPR!$E:$Z,MATCH($A376,SPPR!$A:$A,0),3)),$C376*INDEX(SPPR!$E:$Z,MATCH($A376,SPPR!$A:$A,0),3),""),"")</f>
        <v/>
      </c>
      <c r="G376">
        <f>IFERROR(IF(ISNUMBER(INDEX(SPPR!$E:$Z,MATCH($A376,SPPR!$A:$A,0),4)),$C376*INDEX(SPPR!$E:$Z,MATCH($A376,SPPR!$A:$A,0),4),""),"")</f>
        <v/>
      </c>
      <c r="H376">
        <f>IFERROR(IF(ISNUMBER(INDEX(SPPR!$E:$Z,MATCH($A376,SPPR!$A:$A,0),5)),$C376*INDEX(SPPR!$E:$Z,MATCH($A376,SPPR!$A:$A,0),5),""),"")</f>
        <v/>
      </c>
      <c r="I376">
        <f>IFERROR(IF(ISNUMBER(INDEX(SPPR!$E:$Z,MATCH($A376,SPPR!$A:$A,0),6)),$C376*INDEX(SPPR!$E:$Z,MATCH($A376,SPPR!$A:$A,0),6),""),"")</f>
        <v/>
      </c>
      <c r="J376">
        <f>IFERROR(IF(ISNUMBER(INDEX(SPPR!$E:$Z,MATCH($A376,SPPR!$A:$A,0),7)),$C376*INDEX(SPPR!$E:$Z,MATCH($A376,SPPR!$A:$A,0),7),""),"")</f>
        <v/>
      </c>
      <c r="K376">
        <f>IFERROR(IF(ISNUMBER(INDEX(SPPR!$E:$Z,MATCH($A376,SPPR!$A:$A,0),8)),$C376*INDEX(SPPR!$E:$Z,MATCH($A376,SPPR!$A:$A,0),8),""),"")</f>
        <v/>
      </c>
      <c r="L376">
        <f>IFERROR(IF(ISNUMBER(INDEX(SPPR!$E:$Z,MATCH($A376,SPPR!$A:$A,0),9)),$C376*INDEX(SPPR!$E:$Z,MATCH($A376,SPPR!$A:$A,0),9),""),"")</f>
        <v/>
      </c>
      <c r="M376">
        <f>IFERROR(IF(ISNUMBER(INDEX(SPPR!$E:$Z,MATCH($A376,SPPR!$A:$A,0),10)),$C376*INDEX(SPPR!$E:$Z,MATCH($A376,SPPR!$A:$A,0),10),""),"")</f>
        <v/>
      </c>
      <c r="N376">
        <f>IFERROR(IF(ISNUMBER(INDEX(SPPR!$E:$Z,MATCH($A376,SPPR!$A:$A,0),11)),$C376*INDEX(SPPR!$E:$Z,MATCH($A376,SPPR!$A:$A,0),11),""),"")</f>
        <v/>
      </c>
      <c r="O376">
        <f>IFERROR(IF(ISNUMBER(INDEX(SPPR!$E:$Z,MATCH($A376,SPPR!$A:$A,0),12)),$C376*INDEX(SPPR!$E:$Z,MATCH($A376,SPPR!$A:$A,0),12),""),"")</f>
        <v/>
      </c>
      <c r="P376">
        <f>IFERROR(IF(ISNUMBER(INDEX(SPPR!$E:$Z,MATCH($A376,SPPR!$A:$A,0),13)),$C376*INDEX(SPPR!$E:$Z,MATCH($A376,SPPR!$A:$A,0),13),""),"")</f>
        <v/>
      </c>
      <c r="Q376">
        <f>IFERROR(IF(ISNUMBER(INDEX(SPPR!$E:$Z,MATCH($A376,SPPR!$A:$A,0),14)),$C376*INDEX(SPPR!$E:$Z,MATCH($A376,SPPR!$A:$A,0),14),""),"")</f>
        <v/>
      </c>
      <c r="R376">
        <f>IFERROR(IF(ISNUMBER(INDEX(SPPR!$E:$Z,MATCH($A376,SPPR!$A:$A,0),15)),$C376*INDEX(SPPR!$E:$Z,MATCH($A376,SPPR!$A:$A,0),15),""),"")</f>
        <v/>
      </c>
      <c r="S376">
        <f>IFERROR(IF(ISNUMBER(INDEX(SPPR!$E:$Z,MATCH($A376,SPPR!$A:$A,0),16)),$C376*INDEX(SPPR!$E:$Z,MATCH($A376,SPPR!$A:$A,0),16),""),"")</f>
        <v/>
      </c>
      <c r="T376">
        <f>IFERROR(IF(ISNUMBER(INDEX(SPPR!$E:$Z,MATCH($A376,SPPR!$A:$A,0),17)),$C376*INDEX(SPPR!$E:$Z,MATCH($A376,SPPR!$A:$A,0),17),""),"")</f>
        <v/>
      </c>
      <c r="U376">
        <f>IFERROR(IF(ISNUMBER(INDEX(SPPR!$E:$Z,MATCH($A376,SPPR!$A:$A,0),18)),$C376*INDEX(SPPR!$E:$Z,MATCH($A376,SPPR!$A:$A,0),18),""),"")</f>
        <v/>
      </c>
      <c r="V376">
        <f>IFERROR(IF(ISNUMBER(INDEX(SPPR!$E:$Z,MATCH($A376,SPPR!$A:$A,0),19)),$C376*INDEX(SPPR!$E:$Z,MATCH($A376,SPPR!$A:$A,0),19),""),"")</f>
        <v/>
      </c>
      <c r="W376">
        <f>IFERROR(IF(ISNUMBER(INDEX(SPPR!$E:$Z,MATCH($A376,SPPR!$A:$A,0),20)),$C376*INDEX(SPPR!$E:$Z,MATCH($A376,SPPR!$A:$A,0),20),""),"")</f>
        <v/>
      </c>
      <c r="X376">
        <f>IFERROR(IF(ISNUMBER(INDEX(SPPR!$E:$Z,MATCH($A376,SPPR!$A:$A,0),21)),$C376*INDEX(SPPR!$E:$Z,MATCH($A376,SPPR!$A:$A,0),21),""),"")</f>
        <v/>
      </c>
      <c r="Y376">
        <f>IFERROR(IF(ISNUMBER(INDEX(SPPR!$E:$Z,MATCH($A376,SPPR!$A:$A,0),22)),$C376*INDEX(SPPR!$E:$Z,MATCH($A376,SPPR!$A:$A,0),22),""),"")</f>
        <v/>
      </c>
    </row>
    <row r="377">
      <c r="A377" t="inlineStr">
        <is>
          <t>Etmopterus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IFERROR(IF(ISNUMBER(INDEX(SPPR!$E:$Z,MATCH($A377,SPPR!$A:$A,0),1)),$C377*INDEX(SPPR!$E:$Z,MATCH($A377,SPPR!$A:$A,0),1),""),"")</f>
        <v/>
      </c>
      <c r="E377">
        <f>IFERROR(IF(ISNUMBER(INDEX(SPPR!$E:$Z,MATCH($A377,SPPR!$A:$A,0),2)),$C377*INDEX(SPPR!$E:$Z,MATCH($A377,SPPR!$A:$A,0),2),""),"")</f>
        <v/>
      </c>
      <c r="F377">
        <f>IFERROR(IF(ISNUMBER(INDEX(SPPR!$E:$Z,MATCH($A377,SPPR!$A:$A,0),3)),$C377*INDEX(SPPR!$E:$Z,MATCH($A377,SPPR!$A:$A,0),3),""),"")</f>
        <v/>
      </c>
      <c r="G377">
        <f>IFERROR(IF(ISNUMBER(INDEX(SPPR!$E:$Z,MATCH($A377,SPPR!$A:$A,0),4)),$C377*INDEX(SPPR!$E:$Z,MATCH($A377,SPPR!$A:$A,0),4),""),"")</f>
        <v/>
      </c>
      <c r="H377">
        <f>IFERROR(IF(ISNUMBER(INDEX(SPPR!$E:$Z,MATCH($A377,SPPR!$A:$A,0),5)),$C377*INDEX(SPPR!$E:$Z,MATCH($A377,SPPR!$A:$A,0),5),""),"")</f>
        <v/>
      </c>
      <c r="I377">
        <f>IFERROR(IF(ISNUMBER(INDEX(SPPR!$E:$Z,MATCH($A377,SPPR!$A:$A,0),6)),$C377*INDEX(SPPR!$E:$Z,MATCH($A377,SPPR!$A:$A,0),6),""),"")</f>
        <v/>
      </c>
      <c r="J377">
        <f>IFERROR(IF(ISNUMBER(INDEX(SPPR!$E:$Z,MATCH($A377,SPPR!$A:$A,0),7)),$C377*INDEX(SPPR!$E:$Z,MATCH($A377,SPPR!$A:$A,0),7),""),"")</f>
        <v/>
      </c>
      <c r="K377">
        <f>IFERROR(IF(ISNUMBER(INDEX(SPPR!$E:$Z,MATCH($A377,SPPR!$A:$A,0),8)),$C377*INDEX(SPPR!$E:$Z,MATCH($A377,SPPR!$A:$A,0),8),""),"")</f>
        <v/>
      </c>
      <c r="L377">
        <f>IFERROR(IF(ISNUMBER(INDEX(SPPR!$E:$Z,MATCH($A377,SPPR!$A:$A,0),9)),$C377*INDEX(SPPR!$E:$Z,MATCH($A377,SPPR!$A:$A,0),9),""),"")</f>
        <v/>
      </c>
      <c r="M377">
        <f>IFERROR(IF(ISNUMBER(INDEX(SPPR!$E:$Z,MATCH($A377,SPPR!$A:$A,0),10)),$C377*INDEX(SPPR!$E:$Z,MATCH($A377,SPPR!$A:$A,0),10),""),"")</f>
        <v/>
      </c>
      <c r="N377">
        <f>IFERROR(IF(ISNUMBER(INDEX(SPPR!$E:$Z,MATCH($A377,SPPR!$A:$A,0),11)),$C377*INDEX(SPPR!$E:$Z,MATCH($A377,SPPR!$A:$A,0),11),""),"")</f>
        <v/>
      </c>
      <c r="O377">
        <f>IFERROR(IF(ISNUMBER(INDEX(SPPR!$E:$Z,MATCH($A377,SPPR!$A:$A,0),12)),$C377*INDEX(SPPR!$E:$Z,MATCH($A377,SPPR!$A:$A,0),12),""),"")</f>
        <v/>
      </c>
      <c r="P377">
        <f>IFERROR(IF(ISNUMBER(INDEX(SPPR!$E:$Z,MATCH($A377,SPPR!$A:$A,0),13)),$C377*INDEX(SPPR!$E:$Z,MATCH($A377,SPPR!$A:$A,0),13),""),"")</f>
        <v/>
      </c>
      <c r="Q377">
        <f>IFERROR(IF(ISNUMBER(INDEX(SPPR!$E:$Z,MATCH($A377,SPPR!$A:$A,0),14)),$C377*INDEX(SPPR!$E:$Z,MATCH($A377,SPPR!$A:$A,0),14),""),"")</f>
        <v/>
      </c>
      <c r="R377">
        <f>IFERROR(IF(ISNUMBER(INDEX(SPPR!$E:$Z,MATCH($A377,SPPR!$A:$A,0),15)),$C377*INDEX(SPPR!$E:$Z,MATCH($A377,SPPR!$A:$A,0),15),""),"")</f>
        <v/>
      </c>
      <c r="S377">
        <f>IFERROR(IF(ISNUMBER(INDEX(SPPR!$E:$Z,MATCH($A377,SPPR!$A:$A,0),16)),$C377*INDEX(SPPR!$E:$Z,MATCH($A377,SPPR!$A:$A,0),16),""),"")</f>
        <v/>
      </c>
      <c r="T377">
        <f>IFERROR(IF(ISNUMBER(INDEX(SPPR!$E:$Z,MATCH($A377,SPPR!$A:$A,0),17)),$C377*INDEX(SPPR!$E:$Z,MATCH($A377,SPPR!$A:$A,0),17),""),"")</f>
        <v/>
      </c>
      <c r="U377">
        <f>IFERROR(IF(ISNUMBER(INDEX(SPPR!$E:$Z,MATCH($A377,SPPR!$A:$A,0),18)),$C377*INDEX(SPPR!$E:$Z,MATCH($A377,SPPR!$A:$A,0),18),""),"")</f>
        <v/>
      </c>
      <c r="V377">
        <f>IFERROR(IF(ISNUMBER(INDEX(SPPR!$E:$Z,MATCH($A377,SPPR!$A:$A,0),19)),$C377*INDEX(SPPR!$E:$Z,MATCH($A377,SPPR!$A:$A,0),19),""),"")</f>
        <v/>
      </c>
      <c r="W377">
        <f>IFERROR(IF(ISNUMBER(INDEX(SPPR!$E:$Z,MATCH($A377,SPPR!$A:$A,0),20)),$C377*INDEX(SPPR!$E:$Z,MATCH($A377,SPPR!$A:$A,0),20),""),"")</f>
        <v/>
      </c>
      <c r="X377">
        <f>IFERROR(IF(ISNUMBER(INDEX(SPPR!$E:$Z,MATCH($A377,SPPR!$A:$A,0),21)),$C377*INDEX(SPPR!$E:$Z,MATCH($A377,SPPR!$A:$A,0),21),""),"")</f>
        <v/>
      </c>
      <c r="Y377">
        <f>IFERROR(IF(ISNUMBER(INDEX(SPPR!$E:$Z,MATCH($A377,SPPR!$A:$A,0),22)),$C377*INDEX(SPPR!$E:$Z,MATCH($A377,SPPR!$A:$A,0),22),""),"")</f>
        <v/>
      </c>
    </row>
    <row r="378">
      <c r="A378" t="inlineStr">
        <is>
          <t>Carcharhinus galapagensis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IFERROR(IF(ISNUMBER(INDEX(SPPR!$E:$Z,MATCH($A378,SPPR!$A:$A,0),1)),$C378*INDEX(SPPR!$E:$Z,MATCH($A378,SPPR!$A:$A,0),1),""),"")</f>
        <v/>
      </c>
      <c r="E378">
        <f>IFERROR(IF(ISNUMBER(INDEX(SPPR!$E:$Z,MATCH($A378,SPPR!$A:$A,0),2)),$C378*INDEX(SPPR!$E:$Z,MATCH($A378,SPPR!$A:$A,0),2),""),"")</f>
        <v/>
      </c>
      <c r="F378">
        <f>IFERROR(IF(ISNUMBER(INDEX(SPPR!$E:$Z,MATCH($A378,SPPR!$A:$A,0),3)),$C378*INDEX(SPPR!$E:$Z,MATCH($A378,SPPR!$A:$A,0),3),""),"")</f>
        <v/>
      </c>
      <c r="G378">
        <f>IFERROR(IF(ISNUMBER(INDEX(SPPR!$E:$Z,MATCH($A378,SPPR!$A:$A,0),4)),$C378*INDEX(SPPR!$E:$Z,MATCH($A378,SPPR!$A:$A,0),4),""),"")</f>
        <v/>
      </c>
      <c r="H378">
        <f>IFERROR(IF(ISNUMBER(INDEX(SPPR!$E:$Z,MATCH($A378,SPPR!$A:$A,0),5)),$C378*INDEX(SPPR!$E:$Z,MATCH($A378,SPPR!$A:$A,0),5),""),"")</f>
        <v/>
      </c>
      <c r="I378">
        <f>IFERROR(IF(ISNUMBER(INDEX(SPPR!$E:$Z,MATCH($A378,SPPR!$A:$A,0),6)),$C378*INDEX(SPPR!$E:$Z,MATCH($A378,SPPR!$A:$A,0),6),""),"")</f>
        <v/>
      </c>
      <c r="J378">
        <f>IFERROR(IF(ISNUMBER(INDEX(SPPR!$E:$Z,MATCH($A378,SPPR!$A:$A,0),7)),$C378*INDEX(SPPR!$E:$Z,MATCH($A378,SPPR!$A:$A,0),7),""),"")</f>
        <v/>
      </c>
      <c r="K378">
        <f>IFERROR(IF(ISNUMBER(INDEX(SPPR!$E:$Z,MATCH($A378,SPPR!$A:$A,0),8)),$C378*INDEX(SPPR!$E:$Z,MATCH($A378,SPPR!$A:$A,0),8),""),"")</f>
        <v/>
      </c>
      <c r="L378">
        <f>IFERROR(IF(ISNUMBER(INDEX(SPPR!$E:$Z,MATCH($A378,SPPR!$A:$A,0),9)),$C378*INDEX(SPPR!$E:$Z,MATCH($A378,SPPR!$A:$A,0),9),""),"")</f>
        <v/>
      </c>
      <c r="M378">
        <f>IFERROR(IF(ISNUMBER(INDEX(SPPR!$E:$Z,MATCH($A378,SPPR!$A:$A,0),10)),$C378*INDEX(SPPR!$E:$Z,MATCH($A378,SPPR!$A:$A,0),10),""),"")</f>
        <v/>
      </c>
      <c r="N378">
        <f>IFERROR(IF(ISNUMBER(INDEX(SPPR!$E:$Z,MATCH($A378,SPPR!$A:$A,0),11)),$C378*INDEX(SPPR!$E:$Z,MATCH($A378,SPPR!$A:$A,0),11),""),"")</f>
        <v/>
      </c>
      <c r="O378">
        <f>IFERROR(IF(ISNUMBER(INDEX(SPPR!$E:$Z,MATCH($A378,SPPR!$A:$A,0),12)),$C378*INDEX(SPPR!$E:$Z,MATCH($A378,SPPR!$A:$A,0),12),""),"")</f>
        <v/>
      </c>
      <c r="P378">
        <f>IFERROR(IF(ISNUMBER(INDEX(SPPR!$E:$Z,MATCH($A378,SPPR!$A:$A,0),13)),$C378*INDEX(SPPR!$E:$Z,MATCH($A378,SPPR!$A:$A,0),13),""),"")</f>
        <v/>
      </c>
      <c r="Q378">
        <f>IFERROR(IF(ISNUMBER(INDEX(SPPR!$E:$Z,MATCH($A378,SPPR!$A:$A,0),14)),$C378*INDEX(SPPR!$E:$Z,MATCH($A378,SPPR!$A:$A,0),14),""),"")</f>
        <v/>
      </c>
      <c r="R378">
        <f>IFERROR(IF(ISNUMBER(INDEX(SPPR!$E:$Z,MATCH($A378,SPPR!$A:$A,0),15)),$C378*INDEX(SPPR!$E:$Z,MATCH($A378,SPPR!$A:$A,0),15),""),"")</f>
        <v/>
      </c>
      <c r="S378">
        <f>IFERROR(IF(ISNUMBER(INDEX(SPPR!$E:$Z,MATCH($A378,SPPR!$A:$A,0),16)),$C378*INDEX(SPPR!$E:$Z,MATCH($A378,SPPR!$A:$A,0),16),""),"")</f>
        <v/>
      </c>
      <c r="T378">
        <f>IFERROR(IF(ISNUMBER(INDEX(SPPR!$E:$Z,MATCH($A378,SPPR!$A:$A,0),17)),$C378*INDEX(SPPR!$E:$Z,MATCH($A378,SPPR!$A:$A,0),17),""),"")</f>
        <v/>
      </c>
      <c r="U378">
        <f>IFERROR(IF(ISNUMBER(INDEX(SPPR!$E:$Z,MATCH($A378,SPPR!$A:$A,0),18)),$C378*INDEX(SPPR!$E:$Z,MATCH($A378,SPPR!$A:$A,0),18),""),"")</f>
        <v/>
      </c>
      <c r="V378">
        <f>IFERROR(IF(ISNUMBER(INDEX(SPPR!$E:$Z,MATCH($A378,SPPR!$A:$A,0),19)),$C378*INDEX(SPPR!$E:$Z,MATCH($A378,SPPR!$A:$A,0),19),""),"")</f>
        <v/>
      </c>
      <c r="W378">
        <f>IFERROR(IF(ISNUMBER(INDEX(SPPR!$E:$Z,MATCH($A378,SPPR!$A:$A,0),20)),$C378*INDEX(SPPR!$E:$Z,MATCH($A378,SPPR!$A:$A,0),20),""),"")</f>
        <v/>
      </c>
      <c r="X378">
        <f>IFERROR(IF(ISNUMBER(INDEX(SPPR!$E:$Z,MATCH($A378,SPPR!$A:$A,0),21)),$C378*INDEX(SPPR!$E:$Z,MATCH($A378,SPPR!$A:$A,0),21),""),"")</f>
        <v/>
      </c>
      <c r="Y378">
        <f>IFERROR(IF(ISNUMBER(INDEX(SPPR!$E:$Z,MATCH($A378,SPPR!$A:$A,0),22)),$C378*INDEX(SPPR!$E:$Z,MATCH($A378,SPPR!$A:$A,0),22),""),"")</f>
        <v/>
      </c>
    </row>
    <row r="379">
      <c r="A379" t="inlineStr">
        <is>
          <t>Echinorhinus brucus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IFERROR(IF(ISNUMBER(INDEX(SPPR!$E:$Z,MATCH($A379,SPPR!$A:$A,0),1)),$C379*INDEX(SPPR!$E:$Z,MATCH($A379,SPPR!$A:$A,0),1),""),"")</f>
        <v/>
      </c>
      <c r="E379">
        <f>IFERROR(IF(ISNUMBER(INDEX(SPPR!$E:$Z,MATCH($A379,SPPR!$A:$A,0),2)),$C379*INDEX(SPPR!$E:$Z,MATCH($A379,SPPR!$A:$A,0),2),""),"")</f>
        <v/>
      </c>
      <c r="F379">
        <f>IFERROR(IF(ISNUMBER(INDEX(SPPR!$E:$Z,MATCH($A379,SPPR!$A:$A,0),3)),$C379*INDEX(SPPR!$E:$Z,MATCH($A379,SPPR!$A:$A,0),3),""),"")</f>
        <v/>
      </c>
      <c r="G379">
        <f>IFERROR(IF(ISNUMBER(INDEX(SPPR!$E:$Z,MATCH($A379,SPPR!$A:$A,0),4)),$C379*INDEX(SPPR!$E:$Z,MATCH($A379,SPPR!$A:$A,0),4),""),"")</f>
        <v/>
      </c>
      <c r="H379">
        <f>IFERROR(IF(ISNUMBER(INDEX(SPPR!$E:$Z,MATCH($A379,SPPR!$A:$A,0),5)),$C379*INDEX(SPPR!$E:$Z,MATCH($A379,SPPR!$A:$A,0),5),""),"")</f>
        <v/>
      </c>
      <c r="I379">
        <f>IFERROR(IF(ISNUMBER(INDEX(SPPR!$E:$Z,MATCH($A379,SPPR!$A:$A,0),6)),$C379*INDEX(SPPR!$E:$Z,MATCH($A379,SPPR!$A:$A,0),6),""),"")</f>
        <v/>
      </c>
      <c r="J379">
        <f>IFERROR(IF(ISNUMBER(INDEX(SPPR!$E:$Z,MATCH($A379,SPPR!$A:$A,0),7)),$C379*INDEX(SPPR!$E:$Z,MATCH($A379,SPPR!$A:$A,0),7),""),"")</f>
        <v/>
      </c>
      <c r="K379">
        <f>IFERROR(IF(ISNUMBER(INDEX(SPPR!$E:$Z,MATCH($A379,SPPR!$A:$A,0),8)),$C379*INDEX(SPPR!$E:$Z,MATCH($A379,SPPR!$A:$A,0),8),""),"")</f>
        <v/>
      </c>
      <c r="L379">
        <f>IFERROR(IF(ISNUMBER(INDEX(SPPR!$E:$Z,MATCH($A379,SPPR!$A:$A,0),9)),$C379*INDEX(SPPR!$E:$Z,MATCH($A379,SPPR!$A:$A,0),9),""),"")</f>
        <v/>
      </c>
      <c r="M379">
        <f>IFERROR(IF(ISNUMBER(INDEX(SPPR!$E:$Z,MATCH($A379,SPPR!$A:$A,0),10)),$C379*INDEX(SPPR!$E:$Z,MATCH($A379,SPPR!$A:$A,0),10),""),"")</f>
        <v/>
      </c>
      <c r="N379">
        <f>IFERROR(IF(ISNUMBER(INDEX(SPPR!$E:$Z,MATCH($A379,SPPR!$A:$A,0),11)),$C379*INDEX(SPPR!$E:$Z,MATCH($A379,SPPR!$A:$A,0),11),""),"")</f>
        <v/>
      </c>
      <c r="O379">
        <f>IFERROR(IF(ISNUMBER(INDEX(SPPR!$E:$Z,MATCH($A379,SPPR!$A:$A,0),12)),$C379*INDEX(SPPR!$E:$Z,MATCH($A379,SPPR!$A:$A,0),12),""),"")</f>
        <v/>
      </c>
      <c r="P379">
        <f>IFERROR(IF(ISNUMBER(INDEX(SPPR!$E:$Z,MATCH($A379,SPPR!$A:$A,0),13)),$C379*INDEX(SPPR!$E:$Z,MATCH($A379,SPPR!$A:$A,0),13),""),"")</f>
        <v/>
      </c>
      <c r="Q379">
        <f>IFERROR(IF(ISNUMBER(INDEX(SPPR!$E:$Z,MATCH($A379,SPPR!$A:$A,0),14)),$C379*INDEX(SPPR!$E:$Z,MATCH($A379,SPPR!$A:$A,0),14),""),"")</f>
        <v/>
      </c>
      <c r="R379">
        <f>IFERROR(IF(ISNUMBER(INDEX(SPPR!$E:$Z,MATCH($A379,SPPR!$A:$A,0),15)),$C379*INDEX(SPPR!$E:$Z,MATCH($A379,SPPR!$A:$A,0),15),""),"")</f>
        <v/>
      </c>
      <c r="S379">
        <f>IFERROR(IF(ISNUMBER(INDEX(SPPR!$E:$Z,MATCH($A379,SPPR!$A:$A,0),16)),$C379*INDEX(SPPR!$E:$Z,MATCH($A379,SPPR!$A:$A,0),16),""),"")</f>
        <v/>
      </c>
      <c r="T379">
        <f>IFERROR(IF(ISNUMBER(INDEX(SPPR!$E:$Z,MATCH($A379,SPPR!$A:$A,0),17)),$C379*INDEX(SPPR!$E:$Z,MATCH($A379,SPPR!$A:$A,0),17),""),"")</f>
        <v/>
      </c>
      <c r="U379">
        <f>IFERROR(IF(ISNUMBER(INDEX(SPPR!$E:$Z,MATCH($A379,SPPR!$A:$A,0),18)),$C379*INDEX(SPPR!$E:$Z,MATCH($A379,SPPR!$A:$A,0),18),""),"")</f>
        <v/>
      </c>
      <c r="V379">
        <f>IFERROR(IF(ISNUMBER(INDEX(SPPR!$E:$Z,MATCH($A379,SPPR!$A:$A,0),19)),$C379*INDEX(SPPR!$E:$Z,MATCH($A379,SPPR!$A:$A,0),19),""),"")</f>
        <v/>
      </c>
      <c r="W379">
        <f>IFERROR(IF(ISNUMBER(INDEX(SPPR!$E:$Z,MATCH($A379,SPPR!$A:$A,0),20)),$C379*INDEX(SPPR!$E:$Z,MATCH($A379,SPPR!$A:$A,0),20),""),"")</f>
        <v/>
      </c>
      <c r="X379">
        <f>IFERROR(IF(ISNUMBER(INDEX(SPPR!$E:$Z,MATCH($A379,SPPR!$A:$A,0),21)),$C379*INDEX(SPPR!$E:$Z,MATCH($A379,SPPR!$A:$A,0),21),""),"")</f>
        <v/>
      </c>
      <c r="Y379">
        <f>IFERROR(IF(ISNUMBER(INDEX(SPPR!$E:$Z,MATCH($A379,SPPR!$A:$A,0),22)),$C379*INDEX(SPPR!$E:$Z,MATCH($A379,SPPR!$A:$A,0),22),""),"")</f>
        <v/>
      </c>
    </row>
    <row r="380">
      <c r="A380" t="inlineStr">
        <is>
          <t>Bramidae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IFERROR(IF(ISNUMBER(INDEX(SPPR!$E:$Z,MATCH($A380,SPPR!$A:$A,0),1)),$C380*INDEX(SPPR!$E:$Z,MATCH($A380,SPPR!$A:$A,0),1),""),"")</f>
        <v/>
      </c>
      <c r="E380">
        <f>IFERROR(IF(ISNUMBER(INDEX(SPPR!$E:$Z,MATCH($A380,SPPR!$A:$A,0),2)),$C380*INDEX(SPPR!$E:$Z,MATCH($A380,SPPR!$A:$A,0),2),""),"")</f>
        <v/>
      </c>
      <c r="F380">
        <f>IFERROR(IF(ISNUMBER(INDEX(SPPR!$E:$Z,MATCH($A380,SPPR!$A:$A,0),3)),$C380*INDEX(SPPR!$E:$Z,MATCH($A380,SPPR!$A:$A,0),3),""),"")</f>
        <v/>
      </c>
      <c r="G380">
        <f>IFERROR(IF(ISNUMBER(INDEX(SPPR!$E:$Z,MATCH($A380,SPPR!$A:$A,0),4)),$C380*INDEX(SPPR!$E:$Z,MATCH($A380,SPPR!$A:$A,0),4),""),"")</f>
        <v/>
      </c>
      <c r="H380">
        <f>IFERROR(IF(ISNUMBER(INDEX(SPPR!$E:$Z,MATCH($A380,SPPR!$A:$A,0),5)),$C380*INDEX(SPPR!$E:$Z,MATCH($A380,SPPR!$A:$A,0),5),""),"")</f>
        <v/>
      </c>
      <c r="I380">
        <f>IFERROR(IF(ISNUMBER(INDEX(SPPR!$E:$Z,MATCH($A380,SPPR!$A:$A,0),6)),$C380*INDEX(SPPR!$E:$Z,MATCH($A380,SPPR!$A:$A,0),6),""),"")</f>
        <v/>
      </c>
      <c r="J380">
        <f>IFERROR(IF(ISNUMBER(INDEX(SPPR!$E:$Z,MATCH($A380,SPPR!$A:$A,0),7)),$C380*INDEX(SPPR!$E:$Z,MATCH($A380,SPPR!$A:$A,0),7),""),"")</f>
        <v/>
      </c>
      <c r="K380">
        <f>IFERROR(IF(ISNUMBER(INDEX(SPPR!$E:$Z,MATCH($A380,SPPR!$A:$A,0),8)),$C380*INDEX(SPPR!$E:$Z,MATCH($A380,SPPR!$A:$A,0),8),""),"")</f>
        <v/>
      </c>
      <c r="L380">
        <f>IFERROR(IF(ISNUMBER(INDEX(SPPR!$E:$Z,MATCH($A380,SPPR!$A:$A,0),9)),$C380*INDEX(SPPR!$E:$Z,MATCH($A380,SPPR!$A:$A,0),9),""),"")</f>
        <v/>
      </c>
      <c r="M380">
        <f>IFERROR(IF(ISNUMBER(INDEX(SPPR!$E:$Z,MATCH($A380,SPPR!$A:$A,0),10)),$C380*INDEX(SPPR!$E:$Z,MATCH($A380,SPPR!$A:$A,0),10),""),"")</f>
        <v/>
      </c>
      <c r="N380">
        <f>IFERROR(IF(ISNUMBER(INDEX(SPPR!$E:$Z,MATCH($A380,SPPR!$A:$A,0),11)),$C380*INDEX(SPPR!$E:$Z,MATCH($A380,SPPR!$A:$A,0),11),""),"")</f>
        <v/>
      </c>
      <c r="O380">
        <f>IFERROR(IF(ISNUMBER(INDEX(SPPR!$E:$Z,MATCH($A380,SPPR!$A:$A,0),12)),$C380*INDEX(SPPR!$E:$Z,MATCH($A380,SPPR!$A:$A,0),12),""),"")</f>
        <v/>
      </c>
      <c r="P380">
        <f>IFERROR(IF(ISNUMBER(INDEX(SPPR!$E:$Z,MATCH($A380,SPPR!$A:$A,0),13)),$C380*INDEX(SPPR!$E:$Z,MATCH($A380,SPPR!$A:$A,0),13),""),"")</f>
        <v/>
      </c>
      <c r="Q380">
        <f>IFERROR(IF(ISNUMBER(INDEX(SPPR!$E:$Z,MATCH($A380,SPPR!$A:$A,0),14)),$C380*INDEX(SPPR!$E:$Z,MATCH($A380,SPPR!$A:$A,0),14),""),"")</f>
        <v/>
      </c>
      <c r="R380">
        <f>IFERROR(IF(ISNUMBER(INDEX(SPPR!$E:$Z,MATCH($A380,SPPR!$A:$A,0),15)),$C380*INDEX(SPPR!$E:$Z,MATCH($A380,SPPR!$A:$A,0),15),""),"")</f>
        <v/>
      </c>
      <c r="S380">
        <f>IFERROR(IF(ISNUMBER(INDEX(SPPR!$E:$Z,MATCH($A380,SPPR!$A:$A,0),16)),$C380*INDEX(SPPR!$E:$Z,MATCH($A380,SPPR!$A:$A,0),16),""),"")</f>
        <v/>
      </c>
      <c r="T380">
        <f>IFERROR(IF(ISNUMBER(INDEX(SPPR!$E:$Z,MATCH($A380,SPPR!$A:$A,0),17)),$C380*INDEX(SPPR!$E:$Z,MATCH($A380,SPPR!$A:$A,0),17),""),"")</f>
        <v/>
      </c>
      <c r="U380">
        <f>IFERROR(IF(ISNUMBER(INDEX(SPPR!$E:$Z,MATCH($A380,SPPR!$A:$A,0),18)),$C380*INDEX(SPPR!$E:$Z,MATCH($A380,SPPR!$A:$A,0),18),""),"")</f>
        <v/>
      </c>
      <c r="V380">
        <f>IFERROR(IF(ISNUMBER(INDEX(SPPR!$E:$Z,MATCH($A380,SPPR!$A:$A,0),19)),$C380*INDEX(SPPR!$E:$Z,MATCH($A380,SPPR!$A:$A,0),19),""),"")</f>
        <v/>
      </c>
      <c r="W380">
        <f>IFERROR(IF(ISNUMBER(INDEX(SPPR!$E:$Z,MATCH($A380,SPPR!$A:$A,0),20)),$C380*INDEX(SPPR!$E:$Z,MATCH($A380,SPPR!$A:$A,0),20),""),"")</f>
        <v/>
      </c>
      <c r="X380">
        <f>IFERROR(IF(ISNUMBER(INDEX(SPPR!$E:$Z,MATCH($A380,SPPR!$A:$A,0),21)),$C380*INDEX(SPPR!$E:$Z,MATCH($A380,SPPR!$A:$A,0),21),""),"")</f>
        <v/>
      </c>
      <c r="Y380">
        <f>IFERROR(IF(ISNUMBER(INDEX(SPPR!$E:$Z,MATCH($A380,SPPR!$A:$A,0),22)),$C380*INDEX(SPPR!$E:$Z,MATCH($A380,SPPR!$A:$A,0),22),""),"")</f>
        <v/>
      </c>
    </row>
    <row r="381">
      <c r="A381" t="inlineStr">
        <is>
          <t>Carcharhinus brachyurus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IFERROR(IF(ISNUMBER(INDEX(SPPR!$E:$Z,MATCH($A381,SPPR!$A:$A,0),1)),$C381*INDEX(SPPR!$E:$Z,MATCH($A381,SPPR!$A:$A,0),1),""),"")</f>
        <v/>
      </c>
      <c r="E381">
        <f>IFERROR(IF(ISNUMBER(INDEX(SPPR!$E:$Z,MATCH($A381,SPPR!$A:$A,0),2)),$C381*INDEX(SPPR!$E:$Z,MATCH($A381,SPPR!$A:$A,0),2),""),"")</f>
        <v/>
      </c>
      <c r="F381">
        <f>IFERROR(IF(ISNUMBER(INDEX(SPPR!$E:$Z,MATCH($A381,SPPR!$A:$A,0),3)),$C381*INDEX(SPPR!$E:$Z,MATCH($A381,SPPR!$A:$A,0),3),""),"")</f>
        <v/>
      </c>
      <c r="G381">
        <f>IFERROR(IF(ISNUMBER(INDEX(SPPR!$E:$Z,MATCH($A381,SPPR!$A:$A,0),4)),$C381*INDEX(SPPR!$E:$Z,MATCH($A381,SPPR!$A:$A,0),4),""),"")</f>
        <v/>
      </c>
      <c r="H381">
        <f>IFERROR(IF(ISNUMBER(INDEX(SPPR!$E:$Z,MATCH($A381,SPPR!$A:$A,0),5)),$C381*INDEX(SPPR!$E:$Z,MATCH($A381,SPPR!$A:$A,0),5),""),"")</f>
        <v/>
      </c>
      <c r="I381">
        <f>IFERROR(IF(ISNUMBER(INDEX(SPPR!$E:$Z,MATCH($A381,SPPR!$A:$A,0),6)),$C381*INDEX(SPPR!$E:$Z,MATCH($A381,SPPR!$A:$A,0),6),""),"")</f>
        <v/>
      </c>
      <c r="J381">
        <f>IFERROR(IF(ISNUMBER(INDEX(SPPR!$E:$Z,MATCH($A381,SPPR!$A:$A,0),7)),$C381*INDEX(SPPR!$E:$Z,MATCH($A381,SPPR!$A:$A,0),7),""),"")</f>
        <v/>
      </c>
      <c r="K381">
        <f>IFERROR(IF(ISNUMBER(INDEX(SPPR!$E:$Z,MATCH($A381,SPPR!$A:$A,0),8)),$C381*INDEX(SPPR!$E:$Z,MATCH($A381,SPPR!$A:$A,0),8),""),"")</f>
        <v/>
      </c>
      <c r="L381">
        <f>IFERROR(IF(ISNUMBER(INDEX(SPPR!$E:$Z,MATCH($A381,SPPR!$A:$A,0),9)),$C381*INDEX(SPPR!$E:$Z,MATCH($A381,SPPR!$A:$A,0),9),""),"")</f>
        <v/>
      </c>
      <c r="M381">
        <f>IFERROR(IF(ISNUMBER(INDEX(SPPR!$E:$Z,MATCH($A381,SPPR!$A:$A,0),10)),$C381*INDEX(SPPR!$E:$Z,MATCH($A381,SPPR!$A:$A,0),10),""),"")</f>
        <v/>
      </c>
      <c r="N381">
        <f>IFERROR(IF(ISNUMBER(INDEX(SPPR!$E:$Z,MATCH($A381,SPPR!$A:$A,0),11)),$C381*INDEX(SPPR!$E:$Z,MATCH($A381,SPPR!$A:$A,0),11),""),"")</f>
        <v/>
      </c>
      <c r="O381">
        <f>IFERROR(IF(ISNUMBER(INDEX(SPPR!$E:$Z,MATCH($A381,SPPR!$A:$A,0),12)),$C381*INDEX(SPPR!$E:$Z,MATCH($A381,SPPR!$A:$A,0),12),""),"")</f>
        <v/>
      </c>
      <c r="P381">
        <f>IFERROR(IF(ISNUMBER(INDEX(SPPR!$E:$Z,MATCH($A381,SPPR!$A:$A,0),13)),$C381*INDEX(SPPR!$E:$Z,MATCH($A381,SPPR!$A:$A,0),13),""),"")</f>
        <v/>
      </c>
      <c r="Q381">
        <f>IFERROR(IF(ISNUMBER(INDEX(SPPR!$E:$Z,MATCH($A381,SPPR!$A:$A,0),14)),$C381*INDEX(SPPR!$E:$Z,MATCH($A381,SPPR!$A:$A,0),14),""),"")</f>
        <v/>
      </c>
      <c r="R381">
        <f>IFERROR(IF(ISNUMBER(INDEX(SPPR!$E:$Z,MATCH($A381,SPPR!$A:$A,0),15)),$C381*INDEX(SPPR!$E:$Z,MATCH($A381,SPPR!$A:$A,0),15),""),"")</f>
        <v/>
      </c>
      <c r="S381">
        <f>IFERROR(IF(ISNUMBER(INDEX(SPPR!$E:$Z,MATCH($A381,SPPR!$A:$A,0),16)),$C381*INDEX(SPPR!$E:$Z,MATCH($A381,SPPR!$A:$A,0),16),""),"")</f>
        <v/>
      </c>
      <c r="T381">
        <f>IFERROR(IF(ISNUMBER(INDEX(SPPR!$E:$Z,MATCH($A381,SPPR!$A:$A,0),17)),$C381*INDEX(SPPR!$E:$Z,MATCH($A381,SPPR!$A:$A,0),17),""),"")</f>
        <v/>
      </c>
      <c r="U381">
        <f>IFERROR(IF(ISNUMBER(INDEX(SPPR!$E:$Z,MATCH($A381,SPPR!$A:$A,0),18)),$C381*INDEX(SPPR!$E:$Z,MATCH($A381,SPPR!$A:$A,0),18),""),"")</f>
        <v/>
      </c>
      <c r="V381">
        <f>IFERROR(IF(ISNUMBER(INDEX(SPPR!$E:$Z,MATCH($A381,SPPR!$A:$A,0),19)),$C381*INDEX(SPPR!$E:$Z,MATCH($A381,SPPR!$A:$A,0),19),""),"")</f>
        <v/>
      </c>
      <c r="W381">
        <f>IFERROR(IF(ISNUMBER(INDEX(SPPR!$E:$Z,MATCH($A381,SPPR!$A:$A,0),20)),$C381*INDEX(SPPR!$E:$Z,MATCH($A381,SPPR!$A:$A,0),20),""),"")</f>
        <v/>
      </c>
      <c r="X381">
        <f>IFERROR(IF(ISNUMBER(INDEX(SPPR!$E:$Z,MATCH($A381,SPPR!$A:$A,0),21)),$C381*INDEX(SPPR!$E:$Z,MATCH($A381,SPPR!$A:$A,0),21),""),"")</f>
        <v/>
      </c>
      <c r="Y381">
        <f>IFERROR(IF(ISNUMBER(INDEX(SPPR!$E:$Z,MATCH($A381,SPPR!$A:$A,0),22)),$C381*INDEX(SPPR!$E:$Z,MATCH($A381,SPPR!$A:$A,0),22),""),"")</f>
        <v/>
      </c>
    </row>
    <row r="382">
      <c r="A382" t="inlineStr">
        <is>
          <t>Somniosus rostratus</t>
        </is>
      </c>
      <c r="B382">
        <f>IFERROR(INDEX(SPPR!$D:$D,MATCH($A382,SPPR!$A:$A,0)),"")</f>
        <v/>
      </c>
      <c r="C382">
        <f>IFERROR(INDEX(Catch!$E:$BV,MATCH($A382,Catch!$A:$A,0),MATCH($B$4,Catch!$E$1:$BV$1,0)),0)</f>
        <v/>
      </c>
      <c r="D382">
        <f>IFERROR(IF(ISNUMBER(INDEX(SPPR!$E:$Z,MATCH($A382,SPPR!$A:$A,0),1)),$C382*INDEX(SPPR!$E:$Z,MATCH($A382,SPPR!$A:$A,0),1),""),"")</f>
        <v/>
      </c>
      <c r="E382">
        <f>IFERROR(IF(ISNUMBER(INDEX(SPPR!$E:$Z,MATCH($A382,SPPR!$A:$A,0),2)),$C382*INDEX(SPPR!$E:$Z,MATCH($A382,SPPR!$A:$A,0),2),""),"")</f>
        <v/>
      </c>
      <c r="F382">
        <f>IFERROR(IF(ISNUMBER(INDEX(SPPR!$E:$Z,MATCH($A382,SPPR!$A:$A,0),3)),$C382*INDEX(SPPR!$E:$Z,MATCH($A382,SPPR!$A:$A,0),3),""),"")</f>
        <v/>
      </c>
      <c r="G382">
        <f>IFERROR(IF(ISNUMBER(INDEX(SPPR!$E:$Z,MATCH($A382,SPPR!$A:$A,0),4)),$C382*INDEX(SPPR!$E:$Z,MATCH($A382,SPPR!$A:$A,0),4),""),"")</f>
        <v/>
      </c>
      <c r="H382">
        <f>IFERROR(IF(ISNUMBER(INDEX(SPPR!$E:$Z,MATCH($A382,SPPR!$A:$A,0),5)),$C382*INDEX(SPPR!$E:$Z,MATCH($A382,SPPR!$A:$A,0),5),""),"")</f>
        <v/>
      </c>
      <c r="I382">
        <f>IFERROR(IF(ISNUMBER(INDEX(SPPR!$E:$Z,MATCH($A382,SPPR!$A:$A,0),6)),$C382*INDEX(SPPR!$E:$Z,MATCH($A382,SPPR!$A:$A,0),6),""),"")</f>
        <v/>
      </c>
      <c r="J382">
        <f>IFERROR(IF(ISNUMBER(INDEX(SPPR!$E:$Z,MATCH($A382,SPPR!$A:$A,0),7)),$C382*INDEX(SPPR!$E:$Z,MATCH($A382,SPPR!$A:$A,0),7),""),"")</f>
        <v/>
      </c>
      <c r="K382">
        <f>IFERROR(IF(ISNUMBER(INDEX(SPPR!$E:$Z,MATCH($A382,SPPR!$A:$A,0),8)),$C382*INDEX(SPPR!$E:$Z,MATCH($A382,SPPR!$A:$A,0),8),""),"")</f>
        <v/>
      </c>
      <c r="L382">
        <f>IFERROR(IF(ISNUMBER(INDEX(SPPR!$E:$Z,MATCH($A382,SPPR!$A:$A,0),9)),$C382*INDEX(SPPR!$E:$Z,MATCH($A382,SPPR!$A:$A,0),9),""),"")</f>
        <v/>
      </c>
      <c r="M382">
        <f>IFERROR(IF(ISNUMBER(INDEX(SPPR!$E:$Z,MATCH($A382,SPPR!$A:$A,0),10)),$C382*INDEX(SPPR!$E:$Z,MATCH($A382,SPPR!$A:$A,0),10),""),"")</f>
        <v/>
      </c>
      <c r="N382">
        <f>IFERROR(IF(ISNUMBER(INDEX(SPPR!$E:$Z,MATCH($A382,SPPR!$A:$A,0),11)),$C382*INDEX(SPPR!$E:$Z,MATCH($A382,SPPR!$A:$A,0),11),""),"")</f>
        <v/>
      </c>
      <c r="O382">
        <f>IFERROR(IF(ISNUMBER(INDEX(SPPR!$E:$Z,MATCH($A382,SPPR!$A:$A,0),12)),$C382*INDEX(SPPR!$E:$Z,MATCH($A382,SPPR!$A:$A,0),12),""),"")</f>
        <v/>
      </c>
      <c r="P382">
        <f>IFERROR(IF(ISNUMBER(INDEX(SPPR!$E:$Z,MATCH($A382,SPPR!$A:$A,0),13)),$C382*INDEX(SPPR!$E:$Z,MATCH($A382,SPPR!$A:$A,0),13),""),"")</f>
        <v/>
      </c>
      <c r="Q382">
        <f>IFERROR(IF(ISNUMBER(INDEX(SPPR!$E:$Z,MATCH($A382,SPPR!$A:$A,0),14)),$C382*INDEX(SPPR!$E:$Z,MATCH($A382,SPPR!$A:$A,0),14),""),"")</f>
        <v/>
      </c>
      <c r="R382">
        <f>IFERROR(IF(ISNUMBER(INDEX(SPPR!$E:$Z,MATCH($A382,SPPR!$A:$A,0),15)),$C382*INDEX(SPPR!$E:$Z,MATCH($A382,SPPR!$A:$A,0),15),""),"")</f>
        <v/>
      </c>
      <c r="S382">
        <f>IFERROR(IF(ISNUMBER(INDEX(SPPR!$E:$Z,MATCH($A382,SPPR!$A:$A,0),16)),$C382*INDEX(SPPR!$E:$Z,MATCH($A382,SPPR!$A:$A,0),16),""),"")</f>
        <v/>
      </c>
      <c r="T382">
        <f>IFERROR(IF(ISNUMBER(INDEX(SPPR!$E:$Z,MATCH($A382,SPPR!$A:$A,0),17)),$C382*INDEX(SPPR!$E:$Z,MATCH($A382,SPPR!$A:$A,0),17),""),"")</f>
        <v/>
      </c>
      <c r="U382">
        <f>IFERROR(IF(ISNUMBER(INDEX(SPPR!$E:$Z,MATCH($A382,SPPR!$A:$A,0),18)),$C382*INDEX(SPPR!$E:$Z,MATCH($A382,SPPR!$A:$A,0),18),""),"")</f>
        <v/>
      </c>
      <c r="V382">
        <f>IFERROR(IF(ISNUMBER(INDEX(SPPR!$E:$Z,MATCH($A382,SPPR!$A:$A,0),19)),$C382*INDEX(SPPR!$E:$Z,MATCH($A382,SPPR!$A:$A,0),19),""),"")</f>
        <v/>
      </c>
      <c r="W382">
        <f>IFERROR(IF(ISNUMBER(INDEX(SPPR!$E:$Z,MATCH($A382,SPPR!$A:$A,0),20)),$C382*INDEX(SPPR!$E:$Z,MATCH($A382,SPPR!$A:$A,0),20),""),"")</f>
        <v/>
      </c>
      <c r="X382">
        <f>IFERROR(IF(ISNUMBER(INDEX(SPPR!$E:$Z,MATCH($A382,SPPR!$A:$A,0),21)),$C382*INDEX(SPPR!$E:$Z,MATCH($A382,SPPR!$A:$A,0),21),""),"")</f>
        <v/>
      </c>
      <c r="Y382">
        <f>IFERROR(IF(ISNUMBER(INDEX(SPPR!$E:$Z,MATCH($A382,SPPR!$A:$A,0),22)),$C382*INDEX(SPPR!$E:$Z,MATCH($A382,SPPR!$A:$A,0),22),""),"")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  <c r="AC4" s="4" t="inlineStr">
        <is>
          <t>SPPR_1995_TEmean_catch</t>
        </is>
      </c>
      <c r="AD4" s="4" t="inlineStr">
        <is>
          <t>Ulanowicz_globalTEmean_catch</t>
        </is>
      </c>
    </row>
    <row r="5">
      <c r="A5" t="n">
        <v>1</v>
      </c>
      <c r="B5" t="inlineStr">
        <is>
          <t>Baleines</t>
        </is>
      </c>
      <c r="C5" t="inlineStr">
        <is>
          <t>Regular</t>
        </is>
      </c>
      <c r="D5" t="n">
        <v>3.979562356563989</v>
      </c>
      <c r="E5" t="n">
        <v>0.00429914069248744</v>
      </c>
      <c r="F5" t="n">
        <v>0.5434175</v>
      </c>
      <c r="G5" t="n">
        <v>0.0309011377</v>
      </c>
      <c r="H5" t="n">
        <v>0</v>
      </c>
      <c r="I5" t="n">
        <v>163.765772</v>
      </c>
      <c r="J5" t="n">
        <v>901.670217</v>
      </c>
      <c r="K5" t="n">
        <v>856.830744</v>
      </c>
      <c r="L5" t="n">
        <v>6476.583862</v>
      </c>
      <c r="M5" t="n">
        <v>149658.728406</v>
      </c>
      <c r="N5" t="n">
        <v>169489.395078</v>
      </c>
      <c r="O5" t="n">
        <v>92103.50335</v>
      </c>
      <c r="P5" t="n">
        <v>274250.20794</v>
      </c>
      <c r="Q5" t="n">
        <v>274250.20794</v>
      </c>
      <c r="R5" t="n">
        <v>274250.20794</v>
      </c>
      <c r="S5" t="n">
        <v>66716.888466</v>
      </c>
      <c r="T5" t="n">
        <v>19362.484196</v>
      </c>
      <c r="U5" t="n">
        <v>274250.20794</v>
      </c>
      <c r="V5" t="n">
        <v>-739171.2841779999</v>
      </c>
      <c r="W5" t="n">
        <v>66716.888466</v>
      </c>
      <c r="X5" t="n">
        <v>66751.724842</v>
      </c>
      <c r="Y5" t="n">
        <v>19362.484196</v>
      </c>
      <c r="Z5" t="n">
        <v>-1839436.879</v>
      </c>
      <c r="AA5" t="n">
        <v>74741.76208</v>
      </c>
      <c r="AB5" t="n">
        <v>295988.933001</v>
      </c>
      <c r="AC5" t="n">
        <v>503.287849</v>
      </c>
      <c r="AD5" t="n">
        <v>2450.865466</v>
      </c>
    </row>
    <row r="6">
      <c r="A6" t="n">
        <v>2</v>
      </c>
      <c r="B6" t="inlineStr">
        <is>
          <t>Dauphins</t>
        </is>
      </c>
      <c r="C6" t="inlineStr">
        <is>
          <t>Regular</t>
        </is>
      </c>
      <c r="D6" t="n">
        <v>4.717188474794793</v>
      </c>
      <c r="E6" t="n">
        <v>0.005777608825822419</v>
      </c>
      <c r="F6" t="n">
        <v>0.388148755</v>
      </c>
      <c r="G6" t="n">
        <v>0.0618033148</v>
      </c>
      <c r="H6" t="n">
        <v>0</v>
      </c>
      <c r="I6" t="n">
        <v>163.765772</v>
      </c>
      <c r="J6" t="n">
        <v>4539.216284</v>
      </c>
      <c r="K6" t="n">
        <v>4261.535504</v>
      </c>
      <c r="L6" t="n">
        <v>23034.705894</v>
      </c>
      <c r="M6" t="n">
        <v>327273.24624</v>
      </c>
      <c r="N6" t="n">
        <v>333585.274847</v>
      </c>
      <c r="O6" t="n">
        <v>129480.709118</v>
      </c>
      <c r="P6" t="n">
        <v>517730.43698</v>
      </c>
      <c r="Q6" t="n">
        <v>517730.43698</v>
      </c>
      <c r="R6" t="n">
        <v>517730.43698</v>
      </c>
      <c r="S6" t="n">
        <v>102666.449607</v>
      </c>
      <c r="T6" t="n">
        <v>33618.542893</v>
      </c>
      <c r="U6" t="n">
        <v>517730.43698</v>
      </c>
      <c r="V6" t="n">
        <v>-426884.253345</v>
      </c>
      <c r="W6" t="n">
        <v>102666.449607</v>
      </c>
      <c r="X6" t="n">
        <v>102701.879074</v>
      </c>
      <c r="Y6" t="n">
        <v>33618.542893</v>
      </c>
      <c r="Z6" t="n">
        <v>-1521455.619228</v>
      </c>
      <c r="AA6" t="n">
        <v>113956.617173</v>
      </c>
      <c r="AB6" t="n">
        <v>559823.640546</v>
      </c>
      <c r="AC6" t="n">
        <v>2205.960849</v>
      </c>
      <c r="AD6" t="n">
        <v>9097.473581</v>
      </c>
    </row>
    <row r="7">
      <c r="A7" t="n">
        <v>3</v>
      </c>
      <c r="B7" t="inlineStr">
        <is>
          <t>Tortues</t>
        </is>
      </c>
      <c r="C7" t="inlineStr">
        <is>
          <t>Regular</t>
        </is>
      </c>
      <c r="D7" t="n">
        <v>2.181632653061225</v>
      </c>
      <c r="E7" t="n">
        <v>0.04285714285714286</v>
      </c>
      <c r="F7" t="n">
        <v>0.5</v>
      </c>
      <c r="G7" t="n">
        <v>0.149811372</v>
      </c>
      <c r="H7" t="n">
        <v>0</v>
      </c>
      <c r="I7" t="n">
        <v>163.765772</v>
      </c>
      <c r="J7" t="n">
        <v>15.121394</v>
      </c>
      <c r="K7" t="n">
        <v>14.816614</v>
      </c>
      <c r="L7" t="n">
        <v>84.84173199999999</v>
      </c>
      <c r="M7" t="n">
        <v>237.416667</v>
      </c>
      <c r="N7" t="n">
        <v>237.416667</v>
      </c>
      <c r="O7" t="n">
        <v>118.708333</v>
      </c>
      <c r="P7" t="n">
        <v>250.982026</v>
      </c>
      <c r="Q7" t="n">
        <v>250.982026</v>
      </c>
      <c r="R7" t="n">
        <v>250.982026</v>
      </c>
      <c r="S7" t="n">
        <v>79.097593</v>
      </c>
      <c r="T7" t="n">
        <v>40.729531</v>
      </c>
      <c r="U7" t="n">
        <v>250.982026</v>
      </c>
      <c r="V7" t="n">
        <v>250.982026</v>
      </c>
      <c r="W7" t="n">
        <v>79.097593</v>
      </c>
      <c r="X7" t="n">
        <v>79.100983</v>
      </c>
      <c r="Y7" t="n">
        <v>40.729531</v>
      </c>
      <c r="Z7" t="n">
        <v>-52.36495</v>
      </c>
      <c r="AA7" t="n">
        <v>82.88324</v>
      </c>
      <c r="AB7" t="n">
        <v>254.060878</v>
      </c>
      <c r="AC7" t="n">
        <v>11.981393</v>
      </c>
      <c r="AD7" t="n">
        <v>51.889225</v>
      </c>
    </row>
    <row r="8">
      <c r="A8" t="n">
        <v>4</v>
      </c>
      <c r="B8" t="inlineStr">
        <is>
          <t>Oiseaux</t>
        </is>
      </c>
      <c r="C8" t="inlineStr">
        <is>
          <t>Regular</t>
        </is>
      </c>
      <c r="D8" t="n">
        <v>3.545462130271481</v>
      </c>
      <c r="E8" t="n">
        <v>0.003502178413342739</v>
      </c>
      <c r="F8" t="n">
        <v>0.359297365</v>
      </c>
      <c r="G8" t="n">
        <v>0.0004</v>
      </c>
      <c r="H8" t="n">
        <v>0</v>
      </c>
      <c r="I8" t="n">
        <v>163.765772</v>
      </c>
      <c r="J8" t="n">
        <v>331.28998</v>
      </c>
      <c r="K8" t="n">
        <v>317.187027</v>
      </c>
      <c r="L8" t="n">
        <v>6142.085342</v>
      </c>
      <c r="M8" t="n">
        <v>209966.382437</v>
      </c>
      <c r="N8" t="n">
        <v>224046.578624</v>
      </c>
      <c r="O8" t="n">
        <v>80499.34533700001</v>
      </c>
      <c r="P8" t="n">
        <v>346061.441424</v>
      </c>
      <c r="Q8" t="n">
        <v>346061.441424</v>
      </c>
      <c r="R8" t="n">
        <v>346061.441424</v>
      </c>
      <c r="S8" t="n">
        <v>66736.646782</v>
      </c>
      <c r="T8" t="n">
        <v>22443.854771</v>
      </c>
      <c r="U8" t="n">
        <v>346061.441424</v>
      </c>
      <c r="V8" t="n">
        <v>-863801.4003569999</v>
      </c>
      <c r="W8" t="n">
        <v>66736.646782</v>
      </c>
      <c r="X8" t="n">
        <v>76537.726949</v>
      </c>
      <c r="Y8" t="n">
        <v>22443.854771</v>
      </c>
      <c r="Z8" t="n">
        <v>-1350008.074882</v>
      </c>
      <c r="AA8" t="n">
        <v>73009.30267200001</v>
      </c>
      <c r="AB8" t="n">
        <v>370247.573914</v>
      </c>
      <c r="AC8" t="n">
        <v>201.483905</v>
      </c>
      <c r="AD8" t="n">
        <v>2386.159487</v>
      </c>
    </row>
    <row r="9">
      <c r="A9" t="n">
        <v>5</v>
      </c>
      <c r="B9" t="inlineStr">
        <is>
          <t>Sélaciens L prof</t>
        </is>
      </c>
      <c r="C9" t="inlineStr">
        <is>
          <t>Regular</t>
        </is>
      </c>
      <c r="D9" t="n">
        <v>4.545730475051753</v>
      </c>
      <c r="E9" t="n">
        <v>0.06004140786749482</v>
      </c>
      <c r="F9" t="n">
        <v>0.5</v>
      </c>
      <c r="G9" t="n">
        <v>0.02488941</v>
      </c>
      <c r="H9" t="n">
        <v>0</v>
      </c>
      <c r="I9" t="n">
        <v>163.765772</v>
      </c>
      <c r="J9" t="n">
        <v>2984.356694</v>
      </c>
      <c r="K9" t="n">
        <v>2810.614697</v>
      </c>
      <c r="L9" t="n">
        <v>33756.075827</v>
      </c>
      <c r="M9" t="n">
        <v>124489.068835</v>
      </c>
      <c r="N9" t="n">
        <v>128867.658555</v>
      </c>
      <c r="O9" t="n">
        <v>64433.829278</v>
      </c>
      <c r="P9" t="n">
        <v>630808.944285</v>
      </c>
      <c r="Q9" t="n">
        <v>630808.944285</v>
      </c>
      <c r="R9" t="n">
        <v>630808.944285</v>
      </c>
      <c r="S9" t="n">
        <v>51235.427712</v>
      </c>
      <c r="T9" t="n">
        <v>12872.10487</v>
      </c>
      <c r="U9" t="n">
        <v>630808.944285</v>
      </c>
      <c r="V9" t="n">
        <v>-1411467.842509</v>
      </c>
      <c r="W9" t="n">
        <v>51235.427712</v>
      </c>
      <c r="X9" t="n">
        <v>51258.187051</v>
      </c>
      <c r="Y9" t="n">
        <v>12872.10487</v>
      </c>
      <c r="Z9" t="n">
        <v>-997628.83218</v>
      </c>
      <c r="AA9" t="n">
        <v>58369.961914</v>
      </c>
      <c r="AB9" t="n">
        <v>764652.412024</v>
      </c>
      <c r="AC9" t="n">
        <v>1503.40227</v>
      </c>
      <c r="AD9" t="n">
        <v>11832.505589</v>
      </c>
    </row>
    <row r="10">
      <c r="A10" t="n">
        <v>6</v>
      </c>
      <c r="B10" t="inlineStr">
        <is>
          <t>Sélaciens L côtiers</t>
        </is>
      </c>
      <c r="C10" t="inlineStr">
        <is>
          <t>Regular</t>
        </is>
      </c>
      <c r="D10" t="n">
        <v>4.122550944059172</v>
      </c>
      <c r="E10" t="n">
        <v>0.07852193995381063</v>
      </c>
      <c r="F10" t="n">
        <v>0.8958221669999999</v>
      </c>
      <c r="G10" t="n">
        <v>0.05</v>
      </c>
      <c r="H10" t="n">
        <v>0.009999693</v>
      </c>
      <c r="I10" t="n">
        <v>163.765772</v>
      </c>
      <c r="J10" t="n">
        <v>1149.132987</v>
      </c>
      <c r="K10" t="n">
        <v>1090.003899</v>
      </c>
      <c r="L10" t="n">
        <v>26127.395566</v>
      </c>
      <c r="M10" t="n">
        <v>60050.075009</v>
      </c>
      <c r="N10" t="n">
        <v>53916.35667</v>
      </c>
      <c r="O10" t="n">
        <v>48299.467469</v>
      </c>
      <c r="P10" t="n">
        <v>144843.028709</v>
      </c>
      <c r="Q10" t="n">
        <v>144843.028709</v>
      </c>
      <c r="R10" t="n">
        <v>144843.028709</v>
      </c>
      <c r="S10" t="n">
        <v>27575.4076</v>
      </c>
      <c r="T10" t="n">
        <v>7327.206978</v>
      </c>
      <c r="U10" t="n">
        <v>144843.028709</v>
      </c>
      <c r="V10" t="n">
        <v>-325556.764098</v>
      </c>
      <c r="W10" t="n">
        <v>27575.4076</v>
      </c>
      <c r="X10" t="n">
        <v>27614.770708</v>
      </c>
      <c r="Y10" t="n">
        <v>7327.206978</v>
      </c>
      <c r="Z10" t="n">
        <v>-737148.930634</v>
      </c>
      <c r="AA10" t="n">
        <v>30898.696538</v>
      </c>
      <c r="AB10" t="n">
        <v>163594.27594</v>
      </c>
      <c r="AC10" t="n">
        <v>628.222446</v>
      </c>
      <c r="AD10" t="n">
        <v>9215.010265999999</v>
      </c>
    </row>
    <row r="11">
      <c r="A11" t="n">
        <v>7</v>
      </c>
      <c r="B11" t="inlineStr">
        <is>
          <t>Sélaciens M prof</t>
        </is>
      </c>
      <c r="C11" t="inlineStr">
        <is>
          <t>Regular</t>
        </is>
      </c>
      <c r="D11" t="n">
        <v>4.485871887330383</v>
      </c>
      <c r="E11" t="n">
        <v>0.05256570713391739</v>
      </c>
      <c r="F11" t="n">
        <v>0.5</v>
      </c>
      <c r="G11" t="n">
        <v>0.0533118881</v>
      </c>
      <c r="H11" t="n">
        <v>0.005621521</v>
      </c>
      <c r="I11" t="n">
        <v>163.765772</v>
      </c>
      <c r="J11" t="n">
        <v>2768.40081</v>
      </c>
      <c r="K11" t="n">
        <v>2608.699784</v>
      </c>
      <c r="L11" t="n">
        <v>15804.802398</v>
      </c>
      <c r="M11" t="n">
        <v>29649.259219</v>
      </c>
      <c r="N11" t="n">
        <v>30156.732119</v>
      </c>
      <c r="O11" t="n">
        <v>15078.36606</v>
      </c>
      <c r="P11" t="n">
        <v>43428.986164</v>
      </c>
      <c r="Q11" t="n">
        <v>43428.986164</v>
      </c>
      <c r="R11" t="n">
        <v>43428.986164</v>
      </c>
      <c r="S11" t="n">
        <v>11692.022484</v>
      </c>
      <c r="T11" t="n">
        <v>4034.874429</v>
      </c>
      <c r="U11" t="n">
        <v>43428.986164</v>
      </c>
      <c r="V11" t="n">
        <v>43435.067863</v>
      </c>
      <c r="W11" t="n">
        <v>11692.022484</v>
      </c>
      <c r="X11" t="n">
        <v>11696.249172</v>
      </c>
      <c r="Y11" t="n">
        <v>4034.874429</v>
      </c>
      <c r="Z11" t="n">
        <v>-41513.751621</v>
      </c>
      <c r="AA11" t="n">
        <v>13278.704635</v>
      </c>
      <c r="AB11" t="n">
        <v>47003.341511</v>
      </c>
      <c r="AC11" t="n">
        <v>1403.618052</v>
      </c>
      <c r="AD11" t="n">
        <v>6258.794187</v>
      </c>
    </row>
    <row r="12">
      <c r="A12" t="n">
        <v>8</v>
      </c>
      <c r="B12" t="inlineStr">
        <is>
          <t>Sélaciens M côtiers</t>
        </is>
      </c>
      <c r="C12" t="inlineStr">
        <is>
          <t>Regular</t>
        </is>
      </c>
      <c r="D12" t="n">
        <v>4.117796713578526</v>
      </c>
      <c r="E12" t="n">
        <v>0.07259073842302878</v>
      </c>
      <c r="F12" t="n">
        <v>0.5</v>
      </c>
      <c r="G12" t="n">
        <v>0.0661986843</v>
      </c>
      <c r="H12" t="n">
        <v>0.0124656232</v>
      </c>
      <c r="I12" t="n">
        <v>163.765772</v>
      </c>
      <c r="J12" t="n">
        <v>1208.786277</v>
      </c>
      <c r="K12" t="n">
        <v>1146.152781</v>
      </c>
      <c r="L12" t="n">
        <v>11499.065322</v>
      </c>
      <c r="M12" t="n">
        <v>16016.843936</v>
      </c>
      <c r="N12" t="n">
        <v>17312.490663</v>
      </c>
      <c r="O12" t="n">
        <v>8656.245332</v>
      </c>
      <c r="P12" t="n">
        <v>27660.981631</v>
      </c>
      <c r="Q12" t="n">
        <v>27660.981631</v>
      </c>
      <c r="R12" t="n">
        <v>27660.981631</v>
      </c>
      <c r="S12" t="n">
        <v>7319.01389</v>
      </c>
      <c r="T12" t="n">
        <v>2401.003797</v>
      </c>
      <c r="U12" t="n">
        <v>27660.981631</v>
      </c>
      <c r="V12" t="n">
        <v>-121234.118574</v>
      </c>
      <c r="W12" t="n">
        <v>7319.01389</v>
      </c>
      <c r="X12" t="n">
        <v>7322.729198</v>
      </c>
      <c r="Y12" t="n">
        <v>2401.003797</v>
      </c>
      <c r="Z12" t="n">
        <v>-248214.509275</v>
      </c>
      <c r="AA12" t="n">
        <v>8174.210058</v>
      </c>
      <c r="AB12" t="n">
        <v>30078.890949</v>
      </c>
      <c r="AC12" t="n">
        <v>657.974678</v>
      </c>
      <c r="AD12" t="n">
        <v>4429.175463</v>
      </c>
    </row>
    <row r="13">
      <c r="A13" t="n">
        <v>9</v>
      </c>
      <c r="B13" t="inlineStr">
        <is>
          <t>Thons majeurs</t>
        </is>
      </c>
      <c r="C13" t="inlineStr">
        <is>
          <t>Regular</t>
        </is>
      </c>
      <c r="D13" t="n">
        <v>4.477694868523266</v>
      </c>
      <c r="E13" t="n">
        <v>0.1938144329896907</v>
      </c>
      <c r="F13" t="n">
        <v>0.5</v>
      </c>
      <c r="G13" t="n">
        <v>0.005890911</v>
      </c>
      <c r="H13" t="n">
        <v>6.19128e-05</v>
      </c>
      <c r="I13" t="n">
        <v>163.765772</v>
      </c>
      <c r="J13" t="n">
        <v>2736.422785</v>
      </c>
      <c r="K13" t="n">
        <v>2578.791074</v>
      </c>
      <c r="L13" t="n">
        <v>17894.357856</v>
      </c>
      <c r="M13" t="n">
        <v>8524.661732</v>
      </c>
      <c r="N13" t="n">
        <v>8877.094804</v>
      </c>
      <c r="O13" t="n">
        <v>4438.547402</v>
      </c>
      <c r="P13" t="n">
        <v>13559.45898</v>
      </c>
      <c r="Q13" t="n">
        <v>13559.45898</v>
      </c>
      <c r="R13" t="n">
        <v>13559.45898</v>
      </c>
      <c r="S13" t="n">
        <v>3620.876362</v>
      </c>
      <c r="T13" t="n">
        <v>1183.597755</v>
      </c>
      <c r="U13" t="n">
        <v>13559.45898</v>
      </c>
      <c r="V13" t="n">
        <v>-35797.700389</v>
      </c>
      <c r="W13" t="n">
        <v>3620.876362</v>
      </c>
      <c r="X13" t="n">
        <v>3622.234339</v>
      </c>
      <c r="Y13" t="n">
        <v>1183.597755</v>
      </c>
      <c r="Z13" t="n">
        <v>-69439.82694100001</v>
      </c>
      <c r="AA13" t="n">
        <v>4014.207129</v>
      </c>
      <c r="AB13" t="n">
        <v>14860.336328</v>
      </c>
      <c r="AC13" t="n">
        <v>1388.786767</v>
      </c>
      <c r="AD13" t="n">
        <v>6982.262246</v>
      </c>
    </row>
    <row r="14">
      <c r="A14" t="n">
        <v>10</v>
      </c>
      <c r="B14" t="inlineStr">
        <is>
          <t>Thons mineurs</t>
        </is>
      </c>
      <c r="C14" t="inlineStr">
        <is>
          <t>Regular</t>
        </is>
      </c>
      <c r="D14" t="n">
        <v>4.181473980164887</v>
      </c>
      <c r="E14" t="n">
        <v>0.2030303030303031</v>
      </c>
      <c r="F14" t="n">
        <v>0.5761902</v>
      </c>
      <c r="G14" t="n">
        <v>0.03025945</v>
      </c>
      <c r="H14" t="n">
        <v>0.002621422</v>
      </c>
      <c r="I14" t="n">
        <v>163.765772</v>
      </c>
      <c r="J14" t="n">
        <v>1395.634937</v>
      </c>
      <c r="K14" t="n">
        <v>1321.894731</v>
      </c>
      <c r="L14" t="n">
        <v>9241.41209</v>
      </c>
      <c r="M14" t="n">
        <v>2965.086479</v>
      </c>
      <c r="N14" t="n">
        <v>2997.818641</v>
      </c>
      <c r="O14" t="n">
        <v>1727.313722</v>
      </c>
      <c r="P14" t="n">
        <v>4278.69855</v>
      </c>
      <c r="Q14" t="n">
        <v>4278.69855</v>
      </c>
      <c r="R14" t="n">
        <v>4278.69855</v>
      </c>
      <c r="S14" t="n">
        <v>1413.60711</v>
      </c>
      <c r="T14" t="n">
        <v>516.926347</v>
      </c>
      <c r="U14" t="n">
        <v>4278.69855</v>
      </c>
      <c r="V14" t="n">
        <v>4279.691205</v>
      </c>
      <c r="W14" t="n">
        <v>1413.60711</v>
      </c>
      <c r="X14" t="n">
        <v>1414.29973</v>
      </c>
      <c r="Y14" t="n">
        <v>516.926347</v>
      </c>
      <c r="Z14" t="n">
        <v>-5162.630056</v>
      </c>
      <c r="AA14" t="n">
        <v>1554.151413</v>
      </c>
      <c r="AB14" t="n">
        <v>4550.096146</v>
      </c>
      <c r="AC14" t="n">
        <v>750.381718</v>
      </c>
      <c r="AD14" t="n">
        <v>3860.227378</v>
      </c>
    </row>
    <row r="15">
      <c r="A15" t="n">
        <v>11</v>
      </c>
      <c r="B15" t="inlineStr">
        <is>
          <t>Côtier pel L pred</t>
        </is>
      </c>
      <c r="C15" t="inlineStr">
        <is>
          <t>Regular</t>
        </is>
      </c>
      <c r="D15" t="n">
        <v>4.070766630902783</v>
      </c>
      <c r="E15" t="n">
        <v>0.09779179810725552</v>
      </c>
      <c r="F15" t="n">
        <v>0.95840466</v>
      </c>
      <c r="G15" t="n">
        <v>0.06</v>
      </c>
      <c r="H15" t="n">
        <v>0.0198441483</v>
      </c>
      <c r="I15" t="n">
        <v>163.765772</v>
      </c>
      <c r="J15" t="n">
        <v>1052.557933</v>
      </c>
      <c r="K15" t="n">
        <v>999.055395</v>
      </c>
      <c r="L15" t="n">
        <v>11777.423523</v>
      </c>
      <c r="M15" t="n">
        <v>6532.776468</v>
      </c>
      <c r="N15" t="n">
        <v>7781.630289</v>
      </c>
      <c r="O15" t="n">
        <v>7457.950731</v>
      </c>
      <c r="P15" t="n">
        <v>14096.896099</v>
      </c>
      <c r="Q15" t="n">
        <v>14096.896099</v>
      </c>
      <c r="R15" t="n">
        <v>14096.896099</v>
      </c>
      <c r="S15" t="n">
        <v>6109.578522</v>
      </c>
      <c r="T15" t="n">
        <v>1921.956368</v>
      </c>
      <c r="U15" t="n">
        <v>14096.896099</v>
      </c>
      <c r="V15" t="n">
        <v>-57719.913078</v>
      </c>
      <c r="W15" t="n">
        <v>6109.578522</v>
      </c>
      <c r="X15" t="n">
        <v>6113.693041</v>
      </c>
      <c r="Y15" t="n">
        <v>1921.956368</v>
      </c>
      <c r="Z15" t="n">
        <v>-289813.58612</v>
      </c>
      <c r="AA15" t="n">
        <v>6783.158943</v>
      </c>
      <c r="AB15" t="n">
        <v>15274.306707</v>
      </c>
      <c r="AC15" t="n">
        <v>579.770625</v>
      </c>
      <c r="AD15" t="n">
        <v>4535.549158</v>
      </c>
    </row>
    <row r="16">
      <c r="A16" t="n">
        <v>12</v>
      </c>
      <c r="B16" t="inlineStr">
        <is>
          <t>Côtier pel S inv</t>
        </is>
      </c>
      <c r="C16" t="inlineStr">
        <is>
          <t>Regular</t>
        </is>
      </c>
      <c r="D16" t="n">
        <v>2.851867999236284</v>
      </c>
      <c r="E16" t="n">
        <v>0.1885382059800665</v>
      </c>
      <c r="F16" t="n">
        <v>0.9041779639999999</v>
      </c>
      <c r="G16" t="n">
        <v>1.1</v>
      </c>
      <c r="H16" t="n">
        <v>0.0463841632</v>
      </c>
      <c r="I16" t="n">
        <v>163.765772</v>
      </c>
      <c r="J16" t="n">
        <v>63.371783</v>
      </c>
      <c r="K16" t="n">
        <v>61.431046</v>
      </c>
      <c r="L16" t="n">
        <v>318.709045</v>
      </c>
      <c r="M16" t="n">
        <v>117.871263</v>
      </c>
      <c r="N16" t="n">
        <v>118.151769</v>
      </c>
      <c r="O16" t="n">
        <v>106.830226</v>
      </c>
      <c r="P16" t="n">
        <v>182.678519</v>
      </c>
      <c r="Q16" t="n">
        <v>182.678519</v>
      </c>
      <c r="R16" t="n">
        <v>182.678519</v>
      </c>
      <c r="S16" t="n">
        <v>118.787049</v>
      </c>
      <c r="T16" t="n">
        <v>55.817264</v>
      </c>
      <c r="U16" t="n">
        <v>182.678519</v>
      </c>
      <c r="V16" t="n">
        <v>182.678573</v>
      </c>
      <c r="W16" t="n">
        <v>118.787049</v>
      </c>
      <c r="X16" t="n">
        <v>118.805172</v>
      </c>
      <c r="Y16" t="n">
        <v>55.817264</v>
      </c>
      <c r="Z16" t="n">
        <v>-489.077361</v>
      </c>
      <c r="AA16" t="n">
        <v>128.847647</v>
      </c>
      <c r="AB16" t="n">
        <v>189.690717</v>
      </c>
      <c r="AC16" t="n">
        <v>44.410268</v>
      </c>
      <c r="AD16" t="n">
        <v>180.282129</v>
      </c>
    </row>
    <row r="17">
      <c r="A17" t="n">
        <v>13</v>
      </c>
      <c r="B17" t="inlineStr">
        <is>
          <t>Ethmalose</t>
        </is>
      </c>
      <c r="C17" t="inlineStr">
        <is>
          <t>Regular</t>
        </is>
      </c>
      <c r="D17" t="n">
        <v>2.517346938775511</v>
      </c>
      <c r="E17" t="n">
        <v>0.09548482605477424</v>
      </c>
      <c r="F17" t="n">
        <v>0.95</v>
      </c>
      <c r="G17" t="n">
        <v>0.5060456</v>
      </c>
      <c r="H17" t="n">
        <v>0.248826936</v>
      </c>
      <c r="I17" t="n">
        <v>163.765772</v>
      </c>
      <c r="J17" t="n">
        <v>32.757151</v>
      </c>
      <c r="K17" t="n">
        <v>31.91145</v>
      </c>
      <c r="L17" t="n">
        <v>65.818434</v>
      </c>
      <c r="M17" t="n">
        <v>85.31189000000001</v>
      </c>
      <c r="N17" t="n">
        <v>85.31189000000001</v>
      </c>
      <c r="O17" t="n">
        <v>81.046295</v>
      </c>
      <c r="P17" t="n">
        <v>91.491097</v>
      </c>
      <c r="Q17" t="n">
        <v>91.491097</v>
      </c>
      <c r="R17" t="n">
        <v>91.491097</v>
      </c>
      <c r="S17" t="n">
        <v>73.367465</v>
      </c>
      <c r="T17" t="n">
        <v>43.161455</v>
      </c>
      <c r="U17" t="n">
        <v>91.491097</v>
      </c>
      <c r="V17" t="n">
        <v>91.491097</v>
      </c>
      <c r="W17" t="n">
        <v>73.367465</v>
      </c>
      <c r="X17" t="n">
        <v>73.377987</v>
      </c>
      <c r="Y17" t="n">
        <v>43.161455</v>
      </c>
      <c r="Z17" t="n">
        <v>-338.705282</v>
      </c>
      <c r="AA17" t="n">
        <v>77.44595099999999</v>
      </c>
      <c r="AB17" t="n">
        <v>95.672556</v>
      </c>
      <c r="AC17" t="n">
        <v>24.291412</v>
      </c>
      <c r="AD17" t="n">
        <v>44.953839</v>
      </c>
    </row>
    <row r="18">
      <c r="A18" t="n">
        <v>14</v>
      </c>
      <c r="B18" t="inlineStr">
        <is>
          <t>Pel L pred</t>
        </is>
      </c>
      <c r="C18" t="inlineStr">
        <is>
          <t>Regular</t>
        </is>
      </c>
      <c r="D18" t="n">
        <v>4.100191369575258</v>
      </c>
      <c r="E18" t="n">
        <v>0.09612817089452604</v>
      </c>
      <c r="F18" t="n">
        <v>0.95</v>
      </c>
      <c r="G18" t="n">
        <v>0.0432176553</v>
      </c>
      <c r="H18" t="n">
        <v>0</v>
      </c>
      <c r="I18" t="n">
        <v>163.765772</v>
      </c>
      <c r="J18" t="n">
        <v>1087.886765</v>
      </c>
      <c r="K18" t="n">
        <v>1032.332906</v>
      </c>
      <c r="L18" t="n">
        <v>5007.06664</v>
      </c>
      <c r="M18" t="n">
        <v>3058.871294</v>
      </c>
      <c r="N18" t="n">
        <v>3141.852848</v>
      </c>
      <c r="O18" t="n">
        <v>2984.760205</v>
      </c>
      <c r="P18" t="n">
        <v>5671.231047</v>
      </c>
      <c r="Q18" t="n">
        <v>5671.231047</v>
      </c>
      <c r="R18" t="n">
        <v>5671.231047</v>
      </c>
      <c r="S18" t="n">
        <v>2818.57099</v>
      </c>
      <c r="T18" t="n">
        <v>998.224983</v>
      </c>
      <c r="U18" t="n">
        <v>5671.231047</v>
      </c>
      <c r="V18" t="n">
        <v>-68817.83068299999</v>
      </c>
      <c r="W18" t="n">
        <v>2818.57099</v>
      </c>
      <c r="X18" t="n">
        <v>2819.301833</v>
      </c>
      <c r="Y18" t="n">
        <v>998.224983</v>
      </c>
      <c r="Z18" t="n">
        <v>-142557.851524</v>
      </c>
      <c r="AA18" t="n">
        <v>3155.548468</v>
      </c>
      <c r="AB18" t="n">
        <v>6096.563992</v>
      </c>
      <c r="AC18" t="n">
        <v>597.537591</v>
      </c>
      <c r="AD18" t="n">
        <v>2190.300014</v>
      </c>
    </row>
    <row r="19">
      <c r="A19" t="n">
        <v>15</v>
      </c>
      <c r="B19" t="inlineStr">
        <is>
          <t>Pel S inv</t>
        </is>
      </c>
      <c r="C19" t="inlineStr">
        <is>
          <t>Regular</t>
        </is>
      </c>
      <c r="D19" t="n">
        <v>3.213549764705561</v>
      </c>
      <c r="E19" t="n">
        <v>0.1824390243902439</v>
      </c>
      <c r="F19" t="n">
        <v>0.9878919</v>
      </c>
      <c r="G19" t="n">
        <v>0.36</v>
      </c>
      <c r="H19" t="n">
        <v>0.09572245</v>
      </c>
      <c r="I19" t="n">
        <v>163.765772</v>
      </c>
      <c r="J19" t="n">
        <v>157.970864</v>
      </c>
      <c r="K19" t="n">
        <v>152.088101</v>
      </c>
      <c r="L19" t="n">
        <v>577.271661</v>
      </c>
      <c r="M19" t="n">
        <v>239.810236</v>
      </c>
      <c r="N19" t="n">
        <v>250.631699</v>
      </c>
      <c r="O19" t="n">
        <v>247.597025</v>
      </c>
      <c r="P19" t="n">
        <v>317.630863</v>
      </c>
      <c r="Q19" t="n">
        <v>317.630863</v>
      </c>
      <c r="R19" t="n">
        <v>317.630863</v>
      </c>
      <c r="S19" t="n">
        <v>109.892321</v>
      </c>
      <c r="T19" t="n">
        <v>46.754763</v>
      </c>
      <c r="U19" t="n">
        <v>317.630863</v>
      </c>
      <c r="V19" t="n">
        <v>317.632445</v>
      </c>
      <c r="W19" t="n">
        <v>109.892321</v>
      </c>
      <c r="X19" t="n">
        <v>109.904682</v>
      </c>
      <c r="Y19" t="n">
        <v>46.754763</v>
      </c>
      <c r="Z19" t="n">
        <v>-281.147296</v>
      </c>
      <c r="AA19" t="n">
        <v>116.066511</v>
      </c>
      <c r="AB19" t="n">
        <v>339.622882</v>
      </c>
      <c r="AC19" t="n">
        <v>102.369618</v>
      </c>
      <c r="AD19" t="n">
        <v>312.790013</v>
      </c>
    </row>
    <row r="20">
      <c r="A20" t="n">
        <v>16</v>
      </c>
      <c r="B20" t="inlineStr">
        <is>
          <t>Bars</t>
        </is>
      </c>
      <c r="C20" t="inlineStr">
        <is>
          <t>Regular</t>
        </is>
      </c>
      <c r="D20" t="n">
        <v>3.955340789905125</v>
      </c>
      <c r="E20" t="n">
        <v>0.1158900836320191</v>
      </c>
      <c r="F20" t="n">
        <v>0.938103735</v>
      </c>
      <c r="G20" t="n">
        <v>0.18</v>
      </c>
      <c r="H20" t="n">
        <v>0.100516438</v>
      </c>
      <c r="I20" t="n">
        <v>163.765772</v>
      </c>
      <c r="J20" t="n">
        <v>765.126208</v>
      </c>
      <c r="K20" t="n">
        <v>727.972559</v>
      </c>
      <c r="L20" t="n">
        <v>3298.268004</v>
      </c>
      <c r="M20" t="n">
        <v>1392.366618</v>
      </c>
      <c r="N20" t="n">
        <v>1698.422161</v>
      </c>
      <c r="O20" t="n">
        <v>1593.296173</v>
      </c>
      <c r="P20" t="n">
        <v>2935.678026</v>
      </c>
      <c r="Q20" t="n">
        <v>2935.678026</v>
      </c>
      <c r="R20" t="n">
        <v>2935.678026</v>
      </c>
      <c r="S20" t="n">
        <v>1750.56031</v>
      </c>
      <c r="T20" t="n">
        <v>663.608554</v>
      </c>
      <c r="U20" t="n">
        <v>2935.678026</v>
      </c>
      <c r="V20" t="n">
        <v>-12167.664034</v>
      </c>
      <c r="W20" t="n">
        <v>1750.56031</v>
      </c>
      <c r="X20" t="n">
        <v>1751.311377</v>
      </c>
      <c r="Y20" t="n">
        <v>663.608554</v>
      </c>
      <c r="Z20" t="n">
        <v>-129143.724965</v>
      </c>
      <c r="AA20" t="n">
        <v>1958.685751</v>
      </c>
      <c r="AB20" t="n">
        <v>3084.917054</v>
      </c>
      <c r="AC20" t="n">
        <v>433.124819</v>
      </c>
      <c r="AD20" t="n">
        <v>1494.31502</v>
      </c>
    </row>
    <row r="21">
      <c r="A21" t="n">
        <v>17</v>
      </c>
      <c r="B21" t="inlineStr">
        <is>
          <t>Gros capitaine</t>
        </is>
      </c>
      <c r="C21" t="inlineStr">
        <is>
          <t>Regular</t>
        </is>
      </c>
      <c r="D21" t="n">
        <v>4.074343561818063</v>
      </c>
      <c r="E21" t="n">
        <v>0.1759425493716337</v>
      </c>
      <c r="F21" t="n">
        <v>0.9893032</v>
      </c>
      <c r="G21" t="n">
        <v>0.012</v>
      </c>
      <c r="H21" t="n">
        <v>0.004137971</v>
      </c>
      <c r="I21" t="n">
        <v>163.765772</v>
      </c>
      <c r="J21" t="n">
        <v>1068.453682</v>
      </c>
      <c r="K21" t="n">
        <v>1014.029198</v>
      </c>
      <c r="L21" t="n">
        <v>8964.817454</v>
      </c>
      <c r="M21" t="n">
        <v>3381.137465</v>
      </c>
      <c r="N21" t="n">
        <v>3383.31268</v>
      </c>
      <c r="O21" t="n">
        <v>3347.122061</v>
      </c>
      <c r="P21" t="n">
        <v>4619.756956</v>
      </c>
      <c r="Q21" t="n">
        <v>4619.756956</v>
      </c>
      <c r="R21" t="n">
        <v>4619.756956</v>
      </c>
      <c r="S21" t="n">
        <v>3278.366359</v>
      </c>
      <c r="T21" t="n">
        <v>1130.329764</v>
      </c>
      <c r="U21" t="n">
        <v>4619.756956</v>
      </c>
      <c r="V21" t="n">
        <v>-489404.940642</v>
      </c>
      <c r="W21" t="n">
        <v>3278.366359</v>
      </c>
      <c r="X21" t="n">
        <v>3280.804306</v>
      </c>
      <c r="Y21" t="n">
        <v>1130.329764</v>
      </c>
      <c r="Z21" t="n">
        <v>-1276978.283423</v>
      </c>
      <c r="AA21" t="n">
        <v>3567.724626</v>
      </c>
      <c r="AB21" t="n">
        <v>4954.233599</v>
      </c>
      <c r="AC21" t="n">
        <v>587.770864</v>
      </c>
      <c r="AD21" t="n">
        <v>3503.610115</v>
      </c>
    </row>
    <row r="22">
      <c r="A22" t="n">
        <v>18</v>
      </c>
      <c r="B22" t="inlineStr">
        <is>
          <t>Côtier L pred</t>
        </is>
      </c>
      <c r="C22" t="inlineStr">
        <is>
          <t>Regular</t>
        </is>
      </c>
      <c r="D22" t="n">
        <v>3.980354589606851</v>
      </c>
      <c r="E22" t="n">
        <v>0.07164634146341463</v>
      </c>
      <c r="F22" t="n">
        <v>0.864617348</v>
      </c>
      <c r="G22" t="n">
        <v>0.12</v>
      </c>
      <c r="H22" t="n">
        <v>0.0167031847</v>
      </c>
      <c r="I22" t="n">
        <v>163.765772</v>
      </c>
      <c r="J22" t="n">
        <v>834.792702</v>
      </c>
      <c r="K22" t="n">
        <v>793.737434</v>
      </c>
      <c r="L22" t="n">
        <v>7076.97786</v>
      </c>
      <c r="M22" t="n">
        <v>5090.744396</v>
      </c>
      <c r="N22" t="n">
        <v>9568.388961000001</v>
      </c>
      <c r="O22" t="n">
        <v>8272.995088</v>
      </c>
      <c r="P22" t="n">
        <v>19279.70472</v>
      </c>
      <c r="Q22" t="n">
        <v>19279.70472</v>
      </c>
      <c r="R22" t="n">
        <v>19279.70472</v>
      </c>
      <c r="S22" t="n">
        <v>6360.723192</v>
      </c>
      <c r="T22" t="n">
        <v>2029.298348</v>
      </c>
      <c r="U22" t="n">
        <v>19279.70472</v>
      </c>
      <c r="V22" t="n">
        <v>-84799.195448</v>
      </c>
      <c r="W22" t="n">
        <v>6360.723192</v>
      </c>
      <c r="X22" t="n">
        <v>6366.23078</v>
      </c>
      <c r="Y22" t="n">
        <v>2029.298348</v>
      </c>
      <c r="Z22" t="n">
        <v>-469234.864873</v>
      </c>
      <c r="AA22" t="n">
        <v>6996.154043</v>
      </c>
      <c r="AB22" t="n">
        <v>20790.115719</v>
      </c>
      <c r="AC22" t="n">
        <v>469.046047</v>
      </c>
      <c r="AD22" t="n">
        <v>2908.726875</v>
      </c>
    </row>
    <row r="23">
      <c r="A23" t="n">
        <v>19</v>
      </c>
      <c r="B23" t="inlineStr">
        <is>
          <t>Côtier M pred</t>
        </is>
      </c>
      <c r="C23" t="inlineStr">
        <is>
          <t>Regular</t>
        </is>
      </c>
      <c r="D23" t="n">
        <v>3.602368243537031</v>
      </c>
      <c r="E23" t="n">
        <v>0.05644481887110363</v>
      </c>
      <c r="F23" t="n">
        <v>0.95</v>
      </c>
      <c r="G23" t="n">
        <v>0.0317228474</v>
      </c>
      <c r="H23" t="n">
        <v>0</v>
      </c>
      <c r="I23" t="n">
        <v>163.765772</v>
      </c>
      <c r="J23" t="n">
        <v>369.644464</v>
      </c>
      <c r="K23" t="n">
        <v>353.618246</v>
      </c>
      <c r="L23" t="n">
        <v>5618.07676</v>
      </c>
      <c r="M23" t="n">
        <v>4122.703208</v>
      </c>
      <c r="N23" t="n">
        <v>4125.865215</v>
      </c>
      <c r="O23" t="n">
        <v>3919.571954</v>
      </c>
      <c r="P23" t="n">
        <v>5709.651166</v>
      </c>
      <c r="Q23" t="n">
        <v>5709.651166</v>
      </c>
      <c r="R23" t="n">
        <v>5709.651166</v>
      </c>
      <c r="S23" t="n">
        <v>3836.132449</v>
      </c>
      <c r="T23" t="n">
        <v>1443.832495</v>
      </c>
      <c r="U23" t="n">
        <v>5709.651166</v>
      </c>
      <c r="V23" t="n">
        <v>-254579.602961</v>
      </c>
      <c r="W23" t="n">
        <v>3836.132449</v>
      </c>
      <c r="X23" t="n">
        <v>3839.420568</v>
      </c>
      <c r="Y23" t="n">
        <v>1443.832495</v>
      </c>
      <c r="Z23" t="n">
        <v>-776414.352868</v>
      </c>
      <c r="AA23" t="n">
        <v>4226.531839</v>
      </c>
      <c r="AB23" t="n">
        <v>5979.062362</v>
      </c>
      <c r="AC23" t="n">
        <v>222.709772</v>
      </c>
      <c r="AD23" t="n">
        <v>2268.177034</v>
      </c>
    </row>
    <row r="24">
      <c r="A24" t="n">
        <v>20</v>
      </c>
      <c r="B24" t="inlineStr">
        <is>
          <t>Mâchoiron</t>
        </is>
      </c>
      <c r="C24" t="inlineStr">
        <is>
          <t>Regular</t>
        </is>
      </c>
      <c r="D24" t="n">
        <v>3.692104906408646</v>
      </c>
      <c r="E24" t="n">
        <v>0.09975961538461538</v>
      </c>
      <c r="F24" t="n">
        <v>0.9590954</v>
      </c>
      <c r="G24" t="n">
        <v>0.15</v>
      </c>
      <c r="H24" t="n">
        <v>0.03797333</v>
      </c>
      <c r="I24" t="n">
        <v>163.765772</v>
      </c>
      <c r="J24" t="n">
        <v>446.273553</v>
      </c>
      <c r="K24" t="n">
        <v>426.322511</v>
      </c>
      <c r="L24" t="n">
        <v>2287.433385</v>
      </c>
      <c r="M24" t="n">
        <v>1227.287784</v>
      </c>
      <c r="N24" t="n">
        <v>1227.86025</v>
      </c>
      <c r="O24" t="n">
        <v>1177.635118</v>
      </c>
      <c r="P24" t="n">
        <v>1664.247716</v>
      </c>
      <c r="Q24" t="n">
        <v>1664.247716</v>
      </c>
      <c r="R24" t="n">
        <v>1664.247716</v>
      </c>
      <c r="S24" t="n">
        <v>1262.754118</v>
      </c>
      <c r="T24" t="n">
        <v>551.93389</v>
      </c>
      <c r="U24" t="n">
        <v>1664.247716</v>
      </c>
      <c r="V24" t="n">
        <v>12628.150861</v>
      </c>
      <c r="W24" t="n">
        <v>1262.754118</v>
      </c>
      <c r="X24" t="n">
        <v>1263.532375</v>
      </c>
      <c r="Y24" t="n">
        <v>551.93389</v>
      </c>
      <c r="Z24" t="n">
        <v>-515946.368073</v>
      </c>
      <c r="AA24" t="n">
        <v>1387.599918</v>
      </c>
      <c r="AB24" t="n">
        <v>1742.106202</v>
      </c>
      <c r="AC24" t="n">
        <v>264.572656</v>
      </c>
      <c r="AD24" t="n">
        <v>1050.626857</v>
      </c>
    </row>
    <row r="25">
      <c r="A25" t="n">
        <v>21</v>
      </c>
      <c r="B25" t="inlineStr">
        <is>
          <t>Disques</t>
        </is>
      </c>
      <c r="C25" t="inlineStr">
        <is>
          <t>Regular</t>
        </is>
      </c>
      <c r="D25" t="n">
        <v>3.346107613991568</v>
      </c>
      <c r="E25" t="n">
        <v>0.07328833172613308</v>
      </c>
      <c r="F25" t="n">
        <v>0.881118536</v>
      </c>
      <c r="G25" t="n">
        <v>0.052946493</v>
      </c>
      <c r="H25" t="n">
        <v>0.006258938</v>
      </c>
      <c r="I25" t="n">
        <v>163.765772</v>
      </c>
      <c r="J25" t="n">
        <v>207.066169</v>
      </c>
      <c r="K25" t="n">
        <v>198.951082</v>
      </c>
      <c r="L25" t="n">
        <v>810.55871</v>
      </c>
      <c r="M25" t="n">
        <v>761.664235</v>
      </c>
      <c r="N25" t="n">
        <v>761.664235</v>
      </c>
      <c r="O25" t="n">
        <v>671.116476</v>
      </c>
      <c r="P25" t="n">
        <v>999.277695</v>
      </c>
      <c r="Q25" t="n">
        <v>999.277695</v>
      </c>
      <c r="R25" t="n">
        <v>999.277695</v>
      </c>
      <c r="S25" t="n">
        <v>721.713757</v>
      </c>
      <c r="T25" t="n">
        <v>355.189635</v>
      </c>
      <c r="U25" t="n">
        <v>999.277695</v>
      </c>
      <c r="V25" t="n">
        <v>999.277695</v>
      </c>
      <c r="W25" t="n">
        <v>721.713757</v>
      </c>
      <c r="X25" t="n">
        <v>721.845766</v>
      </c>
      <c r="Y25" t="n">
        <v>355.189635</v>
      </c>
      <c r="Z25" t="n">
        <v>-3723.200094</v>
      </c>
      <c r="AA25" t="n">
        <v>792.813899</v>
      </c>
      <c r="AB25" t="n">
        <v>1031.425091</v>
      </c>
      <c r="AC25" t="n">
        <v>131.10866</v>
      </c>
      <c r="AD25" t="n">
        <v>435.067525</v>
      </c>
    </row>
    <row r="26">
      <c r="A26" t="n">
        <v>22</v>
      </c>
      <c r="B26" t="inlineStr">
        <is>
          <t>Mulets</t>
        </is>
      </c>
      <c r="C26" t="inlineStr">
        <is>
          <t>Regular</t>
        </is>
      </c>
      <c r="D26" t="n">
        <v>2.319780433270403</v>
      </c>
      <c r="E26" t="n">
        <v>0.08384615384615385</v>
      </c>
      <c r="F26" t="n">
        <v>0.95</v>
      </c>
      <c r="G26" t="n">
        <v>0.322860152</v>
      </c>
      <c r="H26" t="n">
        <v>0.013702116</v>
      </c>
      <c r="I26" t="n">
        <v>163.765772</v>
      </c>
      <c r="J26" t="n">
        <v>20.76151</v>
      </c>
      <c r="K26" t="n">
        <v>20.294765</v>
      </c>
      <c r="L26" t="n">
        <v>104.055417</v>
      </c>
      <c r="M26" t="n">
        <v>84.96705300000001</v>
      </c>
      <c r="N26" t="n">
        <v>84.96705300000001</v>
      </c>
      <c r="O26" t="n">
        <v>80.7187</v>
      </c>
      <c r="P26" t="n">
        <v>87.916766</v>
      </c>
      <c r="Q26" t="n">
        <v>87.916766</v>
      </c>
      <c r="R26" t="n">
        <v>87.916766</v>
      </c>
      <c r="S26" t="n">
        <v>58.81521</v>
      </c>
      <c r="T26" t="n">
        <v>32.075058</v>
      </c>
      <c r="U26" t="n">
        <v>87.916766</v>
      </c>
      <c r="V26" t="n">
        <v>87.916766</v>
      </c>
      <c r="W26" t="n">
        <v>58.81521</v>
      </c>
      <c r="X26" t="n">
        <v>58.820906</v>
      </c>
      <c r="Y26" t="n">
        <v>32.075058</v>
      </c>
      <c r="Z26" t="n">
        <v>-183.117525</v>
      </c>
      <c r="AA26" t="n">
        <v>61.214848</v>
      </c>
      <c r="AB26" t="n">
        <v>89.985946</v>
      </c>
      <c r="AC26" t="n">
        <v>16.009476</v>
      </c>
      <c r="AD26" t="n">
        <v>63.984768</v>
      </c>
    </row>
    <row r="27">
      <c r="A27" t="n">
        <v>23</v>
      </c>
      <c r="B27" t="inlineStr">
        <is>
          <t>Petit capitaine</t>
        </is>
      </c>
      <c r="C27" t="inlineStr">
        <is>
          <t>Regular</t>
        </is>
      </c>
      <c r="D27" t="n">
        <v>3.817576962206467</v>
      </c>
      <c r="E27" t="n">
        <v>0.1298557158712542</v>
      </c>
      <c r="F27" t="n">
        <v>0.925790668</v>
      </c>
      <c r="G27" t="n">
        <v>0.045</v>
      </c>
      <c r="H27" t="n">
        <v>0.0136735281</v>
      </c>
      <c r="I27" t="n">
        <v>163.765772</v>
      </c>
      <c r="J27" t="n">
        <v>579.424754</v>
      </c>
      <c r="K27" t="n">
        <v>552.438682</v>
      </c>
      <c r="L27" t="n">
        <v>1714.032106</v>
      </c>
      <c r="M27" t="n">
        <v>745.986339</v>
      </c>
      <c r="N27" t="n">
        <v>746.190623</v>
      </c>
      <c r="O27" t="n">
        <v>690.816315</v>
      </c>
      <c r="P27" t="n">
        <v>1044.075452</v>
      </c>
      <c r="Q27" t="n">
        <v>1044.075452</v>
      </c>
      <c r="R27" t="n">
        <v>1044.075452</v>
      </c>
      <c r="S27" t="n">
        <v>796.606433</v>
      </c>
      <c r="T27" t="n">
        <v>366.834236</v>
      </c>
      <c r="U27" t="n">
        <v>1044.075452</v>
      </c>
      <c r="V27" t="n">
        <v>1044.292752</v>
      </c>
      <c r="W27" t="n">
        <v>796.606433</v>
      </c>
      <c r="X27" t="n">
        <v>796.918269</v>
      </c>
      <c r="Y27" t="n">
        <v>366.834236</v>
      </c>
      <c r="Z27" t="n">
        <v>-3960.824758</v>
      </c>
      <c r="AA27" t="n">
        <v>881.004159</v>
      </c>
      <c r="AB27" t="n">
        <v>1074.902147</v>
      </c>
      <c r="AC27" t="n">
        <v>335.910399</v>
      </c>
      <c r="AD27" t="n">
        <v>876.607875</v>
      </c>
    </row>
    <row r="28">
      <c r="A28" t="n">
        <v>24</v>
      </c>
      <c r="B28" t="inlineStr">
        <is>
          <t>Côtier M inv</t>
        </is>
      </c>
      <c r="C28" t="inlineStr">
        <is>
          <t>Regular</t>
        </is>
      </c>
      <c r="D28" t="n">
        <v>3.259920039568824</v>
      </c>
      <c r="E28" t="n">
        <v>0.1408450704225352</v>
      </c>
      <c r="F28" t="n">
        <v>0.9951263</v>
      </c>
      <c r="G28" t="n">
        <v>0.16</v>
      </c>
      <c r="H28" t="n">
        <v>0.06601909</v>
      </c>
      <c r="I28" t="n">
        <v>163.765772</v>
      </c>
      <c r="J28" t="n">
        <v>170.837609</v>
      </c>
      <c r="K28" t="n">
        <v>164.379174</v>
      </c>
      <c r="L28" t="n">
        <v>573.174129</v>
      </c>
      <c r="M28" t="n">
        <v>332.812451</v>
      </c>
      <c r="N28" t="n">
        <v>332.812451</v>
      </c>
      <c r="O28" t="n">
        <v>331.190423</v>
      </c>
      <c r="P28" t="n">
        <v>425.732264</v>
      </c>
      <c r="Q28" t="n">
        <v>425.732264</v>
      </c>
      <c r="R28" t="n">
        <v>425.732264</v>
      </c>
      <c r="S28" t="n">
        <v>368.426453</v>
      </c>
      <c r="T28" t="n">
        <v>198.243136</v>
      </c>
      <c r="U28" t="n">
        <v>425.732264</v>
      </c>
      <c r="V28" t="n">
        <v>425.732264</v>
      </c>
      <c r="W28" t="n">
        <v>368.426453</v>
      </c>
      <c r="X28" t="n">
        <v>368.498294</v>
      </c>
      <c r="Y28" t="n">
        <v>198.243136</v>
      </c>
      <c r="Z28" t="n">
        <v>-2197.047861</v>
      </c>
      <c r="AA28" t="n">
        <v>402.613215</v>
      </c>
      <c r="AB28" t="n">
        <v>447.451967</v>
      </c>
      <c r="AC28" t="n">
        <v>109.967259</v>
      </c>
      <c r="AD28" t="n">
        <v>314.242463</v>
      </c>
    </row>
    <row r="29">
      <c r="A29" t="n">
        <v>25</v>
      </c>
      <c r="B29" t="inlineStr">
        <is>
          <t>Côtier S pred</t>
        </is>
      </c>
      <c r="C29" t="inlineStr">
        <is>
          <t>Regular</t>
        </is>
      </c>
      <c r="D29" t="n">
        <v>3.775374841579309</v>
      </c>
      <c r="E29" t="n">
        <v>0.1504649196956889</v>
      </c>
      <c r="F29" t="n">
        <v>0.901016057</v>
      </c>
      <c r="G29" t="n">
        <v>0.05119352</v>
      </c>
      <c r="H29" t="n">
        <v>0</v>
      </c>
      <c r="I29" t="n">
        <v>163.765772</v>
      </c>
      <c r="J29" t="n">
        <v>545.757696</v>
      </c>
      <c r="K29" t="n">
        <v>520.573184</v>
      </c>
      <c r="L29" t="n">
        <v>4917.222698</v>
      </c>
      <c r="M29" t="n">
        <v>1275.451871</v>
      </c>
      <c r="N29" t="n">
        <v>1276.0859</v>
      </c>
      <c r="O29" t="n">
        <v>1149.773886</v>
      </c>
      <c r="P29" t="n">
        <v>1835.857966</v>
      </c>
      <c r="Q29" t="n">
        <v>1835.857966</v>
      </c>
      <c r="R29" t="n">
        <v>1835.857966</v>
      </c>
      <c r="S29" t="n">
        <v>1067.675983</v>
      </c>
      <c r="T29" t="n">
        <v>415.50327</v>
      </c>
      <c r="U29" t="n">
        <v>1835.857966</v>
      </c>
      <c r="V29" t="n">
        <v>1836.5911</v>
      </c>
      <c r="W29" t="n">
        <v>1067.675983</v>
      </c>
      <c r="X29" t="n">
        <v>1068.391396</v>
      </c>
      <c r="Y29" t="n">
        <v>415.50327</v>
      </c>
      <c r="Z29" t="n">
        <v>-4249.608379</v>
      </c>
      <c r="AA29" t="n">
        <v>1177.743138</v>
      </c>
      <c r="AB29" t="n">
        <v>1944.131304</v>
      </c>
      <c r="AC29" t="n">
        <v>318.019746</v>
      </c>
      <c r="AD29" t="n">
        <v>2089.141318</v>
      </c>
    </row>
    <row r="30">
      <c r="A30" t="n">
        <v>26</v>
      </c>
      <c r="B30" t="inlineStr">
        <is>
          <t>Capitaine royal</t>
        </is>
      </c>
      <c r="C30" t="inlineStr">
        <is>
          <t>Regular</t>
        </is>
      </c>
      <c r="D30" t="n">
        <v>3.874411605399239</v>
      </c>
      <c r="E30" t="n">
        <v>0.1170940170940171</v>
      </c>
      <c r="F30" t="n">
        <v>0.95</v>
      </c>
      <c r="G30" t="n">
        <v>0.05260439</v>
      </c>
      <c r="H30" t="n">
        <v>0.00322339265</v>
      </c>
      <c r="I30" t="n">
        <v>163.765772</v>
      </c>
      <c r="J30" t="n">
        <v>672.707643</v>
      </c>
      <c r="K30" t="n">
        <v>640.6596919999999</v>
      </c>
      <c r="L30" t="n">
        <v>2114.203097</v>
      </c>
      <c r="M30" t="n">
        <v>1064.72098</v>
      </c>
      <c r="N30" t="n">
        <v>1065.68356</v>
      </c>
      <c r="O30" t="n">
        <v>1012.399382</v>
      </c>
      <c r="P30" t="n">
        <v>1453.039438</v>
      </c>
      <c r="Q30" t="n">
        <v>1453.039438</v>
      </c>
      <c r="R30" t="n">
        <v>1453.039438</v>
      </c>
      <c r="S30" t="n">
        <v>1093.56901</v>
      </c>
      <c r="T30" t="n">
        <v>480.845954</v>
      </c>
      <c r="U30" t="n">
        <v>1453.039438</v>
      </c>
      <c r="V30" t="n">
        <v>-277697.53438</v>
      </c>
      <c r="W30" t="n">
        <v>1093.56901</v>
      </c>
      <c r="X30" t="n">
        <v>1094.41051</v>
      </c>
      <c r="Y30" t="n">
        <v>480.845954</v>
      </c>
      <c r="Z30" t="n">
        <v>-1079545.542006</v>
      </c>
      <c r="AA30" t="n">
        <v>1199.786342</v>
      </c>
      <c r="AB30" t="n">
        <v>1524.681825</v>
      </c>
      <c r="AC30" t="n">
        <v>385.032378</v>
      </c>
      <c r="AD30" t="n">
        <v>1049.869915</v>
      </c>
    </row>
    <row r="31">
      <c r="A31" t="n">
        <v>27</v>
      </c>
      <c r="B31" t="inlineStr">
        <is>
          <t>Côtier S inv</t>
        </is>
      </c>
      <c r="C31" t="inlineStr">
        <is>
          <t>Regular</t>
        </is>
      </c>
      <c r="D31" t="n">
        <v>2.92177279738255</v>
      </c>
      <c r="E31" t="n">
        <v>0.1379310344827586</v>
      </c>
      <c r="F31" t="n">
        <v>0.9746057</v>
      </c>
      <c r="G31" t="n">
        <v>0.5</v>
      </c>
      <c r="H31" t="n">
        <v>0.002413785</v>
      </c>
      <c r="I31" t="n">
        <v>163.765772</v>
      </c>
      <c r="J31" t="n">
        <v>79.510256</v>
      </c>
      <c r="K31" t="n">
        <v>76.944312</v>
      </c>
      <c r="L31" t="n">
        <v>373.180416</v>
      </c>
      <c r="M31" t="n">
        <v>228.22673</v>
      </c>
      <c r="N31" t="n">
        <v>228.830344</v>
      </c>
      <c r="O31" t="n">
        <v>223.019358</v>
      </c>
      <c r="P31" t="n">
        <v>302.460327</v>
      </c>
      <c r="Q31" t="n">
        <v>302.460327</v>
      </c>
      <c r="R31" t="n">
        <v>302.460327</v>
      </c>
      <c r="S31" t="n">
        <v>244.226076</v>
      </c>
      <c r="T31" t="n">
        <v>127.659422</v>
      </c>
      <c r="U31" t="n">
        <v>302.460327</v>
      </c>
      <c r="V31" t="n">
        <v>303.400726</v>
      </c>
      <c r="W31" t="n">
        <v>244.226076</v>
      </c>
      <c r="X31" t="n">
        <v>245.025938</v>
      </c>
      <c r="Y31" t="n">
        <v>127.659422</v>
      </c>
      <c r="Z31" t="n">
        <v>-1352.064159</v>
      </c>
      <c r="AA31" t="n">
        <v>266.013821</v>
      </c>
      <c r="AB31" t="n">
        <v>316.479608</v>
      </c>
      <c r="AC31" t="n">
        <v>54.647132</v>
      </c>
      <c r="AD31" t="n">
        <v>203.050192</v>
      </c>
    </row>
    <row r="32">
      <c r="A32" t="n">
        <v>28</v>
      </c>
      <c r="B32" t="inlineStr">
        <is>
          <t>Dem L pred</t>
        </is>
      </c>
      <c r="C32" t="inlineStr">
        <is>
          <t>Regular</t>
        </is>
      </c>
      <c r="D32" t="n">
        <v>3.890047535908185</v>
      </c>
      <c r="E32" t="n">
        <v>0.08049113233287858</v>
      </c>
      <c r="F32" t="n">
        <v>0.842568338</v>
      </c>
      <c r="G32" t="n">
        <v>0.055</v>
      </c>
      <c r="H32" t="n">
        <v>0.003902228</v>
      </c>
      <c r="I32" t="n">
        <v>163.765772</v>
      </c>
      <c r="J32" t="n">
        <v>702.92427</v>
      </c>
      <c r="K32" t="n">
        <v>669.216325</v>
      </c>
      <c r="L32" t="n">
        <v>8905.495621</v>
      </c>
      <c r="M32" t="n">
        <v>6777.626749</v>
      </c>
      <c r="N32" t="n">
        <v>6838.543559</v>
      </c>
      <c r="O32" t="n">
        <v>5761.94028</v>
      </c>
      <c r="P32" t="n">
        <v>11046.542562</v>
      </c>
      <c r="Q32" t="n">
        <v>11046.542562</v>
      </c>
      <c r="R32" t="n">
        <v>11046.542562</v>
      </c>
      <c r="S32" t="n">
        <v>5782.706959</v>
      </c>
      <c r="T32" t="n">
        <v>2043.80318</v>
      </c>
      <c r="U32" t="n">
        <v>11046.542562</v>
      </c>
      <c r="V32" t="n">
        <v>11049.934606</v>
      </c>
      <c r="W32" t="n">
        <v>5782.706959</v>
      </c>
      <c r="X32" t="n">
        <v>5785.88935</v>
      </c>
      <c r="Y32" t="n">
        <v>2043.80318</v>
      </c>
      <c r="Z32" t="n">
        <v>-21771.784771</v>
      </c>
      <c r="AA32" t="n">
        <v>6494.006214</v>
      </c>
      <c r="AB32" t="n">
        <v>12063.058581</v>
      </c>
      <c r="AC32" t="n">
        <v>400.815207</v>
      </c>
      <c r="AD32" t="n">
        <v>3457.571618</v>
      </c>
    </row>
    <row r="33">
      <c r="A33" t="n">
        <v>29</v>
      </c>
      <c r="B33" t="inlineStr">
        <is>
          <t>Dem L inv</t>
        </is>
      </c>
      <c r="C33" t="inlineStr">
        <is>
          <t>Regular</t>
        </is>
      </c>
      <c r="D33" t="n">
        <v>3.13172663802363</v>
      </c>
      <c r="E33" t="n">
        <v>0.1160130718954248</v>
      </c>
      <c r="F33" t="n">
        <v>0.95</v>
      </c>
      <c r="G33" t="n">
        <v>0.0235138442</v>
      </c>
      <c r="H33" t="n">
        <v>0.005764287</v>
      </c>
      <c r="I33" t="n">
        <v>163.765772</v>
      </c>
      <c r="J33" t="n">
        <v>128.142544</v>
      </c>
      <c r="K33" t="n">
        <v>123.564267</v>
      </c>
      <c r="L33" t="n">
        <v>594.540571</v>
      </c>
      <c r="M33" t="n">
        <v>364.900286</v>
      </c>
      <c r="N33" t="n">
        <v>364.900286</v>
      </c>
      <c r="O33" t="n">
        <v>346.655272</v>
      </c>
      <c r="P33" t="n">
        <v>481.097618</v>
      </c>
      <c r="Q33" t="n">
        <v>481.097618</v>
      </c>
      <c r="R33" t="n">
        <v>481.097618</v>
      </c>
      <c r="S33" t="n">
        <v>394.134001</v>
      </c>
      <c r="T33" t="n">
        <v>202.522778</v>
      </c>
      <c r="U33" t="n">
        <v>481.097618</v>
      </c>
      <c r="V33" t="n">
        <v>481.097618</v>
      </c>
      <c r="W33" t="n">
        <v>394.134001</v>
      </c>
      <c r="X33" t="n">
        <v>394.210214</v>
      </c>
      <c r="Y33" t="n">
        <v>202.522778</v>
      </c>
      <c r="Z33" t="n">
        <v>-2227.375206</v>
      </c>
      <c r="AA33" t="n">
        <v>437.21542</v>
      </c>
      <c r="AB33" t="n">
        <v>511.290128</v>
      </c>
      <c r="AC33" t="n">
        <v>84.54261099999999</v>
      </c>
      <c r="AD33" t="n">
        <v>318.940827</v>
      </c>
    </row>
    <row r="34">
      <c r="A34" t="n">
        <v>30</v>
      </c>
      <c r="B34" t="inlineStr">
        <is>
          <t>Dem M pred</t>
        </is>
      </c>
      <c r="C34" t="inlineStr">
        <is>
          <t>Regular</t>
        </is>
      </c>
      <c r="D34" t="n">
        <v>3.980685424383546</v>
      </c>
      <c r="E34" t="n">
        <v>0.1021233569261881</v>
      </c>
      <c r="F34" t="n">
        <v>0.95</v>
      </c>
      <c r="G34" t="n">
        <v>0.101357728</v>
      </c>
      <c r="H34" t="n">
        <v>0.0275509749</v>
      </c>
      <c r="I34" t="n">
        <v>163.765772</v>
      </c>
      <c r="J34" t="n">
        <v>865.196085</v>
      </c>
      <c r="K34" t="n">
        <v>822.424992</v>
      </c>
      <c r="L34" t="n">
        <v>5615.493407</v>
      </c>
      <c r="M34" t="n">
        <v>2546.011711</v>
      </c>
      <c r="N34" t="n">
        <v>2549.035034</v>
      </c>
      <c r="O34" t="n">
        <v>2421.583282</v>
      </c>
      <c r="P34" t="n">
        <v>3524.187941</v>
      </c>
      <c r="Q34" t="n">
        <v>3524.187941</v>
      </c>
      <c r="R34" t="n">
        <v>3524.187941</v>
      </c>
      <c r="S34" t="n">
        <v>2342.135982</v>
      </c>
      <c r="T34" t="n">
        <v>967.00559</v>
      </c>
      <c r="U34" t="n">
        <v>3524.187941</v>
      </c>
      <c r="V34" t="n">
        <v>3525.764533</v>
      </c>
      <c r="W34" t="n">
        <v>2342.135982</v>
      </c>
      <c r="X34" t="n">
        <v>2343.769424</v>
      </c>
      <c r="Y34" t="n">
        <v>967.00559</v>
      </c>
      <c r="Z34" t="n">
        <v>-10416.992768</v>
      </c>
      <c r="AA34" t="n">
        <v>2575.217274</v>
      </c>
      <c r="AB34" t="n">
        <v>3752.05936</v>
      </c>
      <c r="AC34" t="n">
        <v>484.640876</v>
      </c>
      <c r="AD34" t="n">
        <v>2412.077537</v>
      </c>
    </row>
    <row r="35">
      <c r="A35" t="n">
        <v>31</v>
      </c>
      <c r="B35" t="inlineStr">
        <is>
          <t>Dem M inv</t>
        </is>
      </c>
      <c r="C35" t="inlineStr">
        <is>
          <t>Regular</t>
        </is>
      </c>
      <c r="D35" t="n">
        <v>3.261758427043216</v>
      </c>
      <c r="E35" t="n">
        <v>0.06538796861377506</v>
      </c>
      <c r="F35" t="n">
        <v>0.95</v>
      </c>
      <c r="G35" t="n">
        <v>0.2083389</v>
      </c>
      <c r="H35" t="n">
        <v>0.0346108563</v>
      </c>
      <c r="I35" t="n">
        <v>163.765772</v>
      </c>
      <c r="J35" t="n">
        <v>172.485056</v>
      </c>
      <c r="K35" t="n">
        <v>165.952401</v>
      </c>
      <c r="L35" t="n">
        <v>511.347723</v>
      </c>
      <c r="M35" t="n">
        <v>706.004578</v>
      </c>
      <c r="N35" t="n">
        <v>706.004578</v>
      </c>
      <c r="O35" t="n">
        <v>670.704349</v>
      </c>
      <c r="P35" t="n">
        <v>890.128168</v>
      </c>
      <c r="Q35" t="n">
        <v>890.128168</v>
      </c>
      <c r="R35" t="n">
        <v>890.128168</v>
      </c>
      <c r="S35" t="n">
        <v>735.262371</v>
      </c>
      <c r="T35" t="n">
        <v>400.351586</v>
      </c>
      <c r="U35" t="n">
        <v>890.128168</v>
      </c>
      <c r="V35" t="n">
        <v>890.128168</v>
      </c>
      <c r="W35" t="n">
        <v>735.262371</v>
      </c>
      <c r="X35" t="n">
        <v>735.404934</v>
      </c>
      <c r="Y35" t="n">
        <v>400.351586</v>
      </c>
      <c r="Z35" t="n">
        <v>-4414.739474</v>
      </c>
      <c r="AA35" t="n">
        <v>805.768964</v>
      </c>
      <c r="AB35" t="n">
        <v>945.574586</v>
      </c>
      <c r="AC35" t="n">
        <v>110.936439</v>
      </c>
      <c r="AD35" t="n">
        <v>283.97695</v>
      </c>
    </row>
    <row r="36">
      <c r="A36" t="n">
        <v>32</v>
      </c>
      <c r="B36" t="inlineStr">
        <is>
          <t>Dem S pred</t>
        </is>
      </c>
      <c r="C36" t="inlineStr">
        <is>
          <t>Regular</t>
        </is>
      </c>
      <c r="D36" t="n">
        <v>3.811781670790351</v>
      </c>
      <c r="E36" t="n">
        <v>0.1622516556291391</v>
      </c>
      <c r="F36" t="n">
        <v>0.95</v>
      </c>
      <c r="G36" t="n">
        <v>0.08282128</v>
      </c>
      <c r="H36" t="n">
        <v>0.007317936</v>
      </c>
      <c r="I36" t="n">
        <v>163.765772</v>
      </c>
      <c r="J36" t="n">
        <v>562.12163</v>
      </c>
      <c r="K36" t="n">
        <v>536.063253</v>
      </c>
      <c r="L36" t="n">
        <v>2736.257526</v>
      </c>
      <c r="M36" t="n">
        <v>1462.251251</v>
      </c>
      <c r="N36" t="n">
        <v>1490.346835</v>
      </c>
      <c r="O36" t="n">
        <v>1415.829494</v>
      </c>
      <c r="P36" t="n">
        <v>2349.767278</v>
      </c>
      <c r="Q36" t="n">
        <v>2349.767278</v>
      </c>
      <c r="R36" t="n">
        <v>2349.767278</v>
      </c>
      <c r="S36" t="n">
        <v>1392.08316</v>
      </c>
      <c r="T36" t="n">
        <v>591.67245</v>
      </c>
      <c r="U36" t="n">
        <v>2349.767278</v>
      </c>
      <c r="V36" t="n">
        <v>2350.303421</v>
      </c>
      <c r="W36" t="n">
        <v>1392.08316</v>
      </c>
      <c r="X36" t="n">
        <v>1392.740882</v>
      </c>
      <c r="Y36" t="n">
        <v>591.67245</v>
      </c>
      <c r="Z36" t="n">
        <v>-6300.958292</v>
      </c>
      <c r="AA36" t="n">
        <v>1546.315964</v>
      </c>
      <c r="AB36" t="n">
        <v>2470.640553</v>
      </c>
      <c r="AC36" t="n">
        <v>326.726995</v>
      </c>
      <c r="AD36" t="n">
        <v>1284.662742</v>
      </c>
    </row>
    <row r="37">
      <c r="A37" t="n">
        <v>33</v>
      </c>
      <c r="B37" t="inlineStr">
        <is>
          <t>Dem S inv</t>
        </is>
      </c>
      <c r="C37" t="inlineStr">
        <is>
          <t>Regular</t>
        </is>
      </c>
      <c r="D37" t="n">
        <v>3.173469387755102</v>
      </c>
      <c r="E37" t="n">
        <v>0.1139784946236559</v>
      </c>
      <c r="F37" t="n">
        <v>0.95</v>
      </c>
      <c r="G37" t="n">
        <v>0.5792858</v>
      </c>
      <c r="H37" t="n">
        <v>0.005621521</v>
      </c>
      <c r="I37" t="n">
        <v>163.765772</v>
      </c>
      <c r="J37" t="n">
        <v>142.252931</v>
      </c>
      <c r="K37" t="n">
        <v>137.06314</v>
      </c>
      <c r="L37" t="n">
        <v>222.613532</v>
      </c>
      <c r="M37" t="n">
        <v>360.673587</v>
      </c>
      <c r="N37" t="n">
        <v>360.673587</v>
      </c>
      <c r="O37" t="n">
        <v>342.639907</v>
      </c>
      <c r="P37" t="n">
        <v>430.111455</v>
      </c>
      <c r="Q37" t="n">
        <v>430.111455</v>
      </c>
      <c r="R37" t="n">
        <v>430.111455</v>
      </c>
      <c r="S37" t="n">
        <v>381.619104</v>
      </c>
      <c r="T37" t="n">
        <v>231.961509</v>
      </c>
      <c r="U37" t="n">
        <v>430.111455</v>
      </c>
      <c r="V37" t="n">
        <v>430.111455</v>
      </c>
      <c r="W37" t="n">
        <v>381.619104</v>
      </c>
      <c r="X37" t="n">
        <v>381.697883</v>
      </c>
      <c r="Y37" t="n">
        <v>231.961509</v>
      </c>
      <c r="Z37" t="n">
        <v>-2677.846065</v>
      </c>
      <c r="AA37" t="n">
        <v>415.453035</v>
      </c>
      <c r="AB37" t="n">
        <v>450.376681</v>
      </c>
      <c r="AC37" t="n">
        <v>93.01559399999999</v>
      </c>
      <c r="AD37" t="n">
        <v>138.922278</v>
      </c>
    </row>
    <row r="38">
      <c r="A38" t="n">
        <v>34</v>
      </c>
      <c r="B38" t="inlineStr">
        <is>
          <t>Bathy L pred</t>
        </is>
      </c>
      <c r="C38" t="inlineStr">
        <is>
          <t>Regular</t>
        </is>
      </c>
      <c r="D38" t="n">
        <v>4.096801257197423</v>
      </c>
      <c r="E38" t="n">
        <v>0.1222030981067126</v>
      </c>
      <c r="F38" t="n">
        <v>0.95</v>
      </c>
      <c r="G38" t="n">
        <v>0.040398825</v>
      </c>
      <c r="H38" t="n">
        <v>0</v>
      </c>
      <c r="I38" t="n">
        <v>163.765772</v>
      </c>
      <c r="J38" t="n">
        <v>1106.358887</v>
      </c>
      <c r="K38" t="n">
        <v>1049.729226</v>
      </c>
      <c r="L38" t="n">
        <v>7084.224774</v>
      </c>
      <c r="M38" t="n">
        <v>3065.63011</v>
      </c>
      <c r="N38" t="n">
        <v>3130.321128</v>
      </c>
      <c r="O38" t="n">
        <v>2973.805071</v>
      </c>
      <c r="P38" t="n">
        <v>5058.409669</v>
      </c>
      <c r="Q38" t="n">
        <v>5058.409669</v>
      </c>
      <c r="R38" t="n">
        <v>5058.409669</v>
      </c>
      <c r="S38" t="n">
        <v>2368.213267</v>
      </c>
      <c r="T38" t="n">
        <v>807.090989</v>
      </c>
      <c r="U38" t="n">
        <v>5058.409669</v>
      </c>
      <c r="V38" t="n">
        <v>5058.887376</v>
      </c>
      <c r="W38" t="n">
        <v>2368.213267</v>
      </c>
      <c r="X38" t="n">
        <v>2368.90613</v>
      </c>
      <c r="Y38" t="n">
        <v>807.090989</v>
      </c>
      <c r="Z38" t="n">
        <v>-8012.255817</v>
      </c>
      <c r="AA38" t="n">
        <v>2656.820722</v>
      </c>
      <c r="AB38" t="n">
        <v>5385.081532</v>
      </c>
      <c r="AC38" t="n">
        <v>606.8075</v>
      </c>
      <c r="AD38" t="n">
        <v>2931.579205</v>
      </c>
    </row>
    <row r="39">
      <c r="A39" t="n">
        <v>35</v>
      </c>
      <c r="B39" t="inlineStr">
        <is>
          <t>Bathy S pred</t>
        </is>
      </c>
      <c r="C39" t="inlineStr">
        <is>
          <t>Regular</t>
        </is>
      </c>
      <c r="D39" t="n">
        <v>3.754116066357739</v>
      </c>
      <c r="E39" t="n">
        <v>0.1253918495297806</v>
      </c>
      <c r="F39" t="n">
        <v>0.95</v>
      </c>
      <c r="G39" t="n">
        <v>0.411329865</v>
      </c>
      <c r="H39" t="n">
        <v>0</v>
      </c>
      <c r="I39" t="n">
        <v>163.765772</v>
      </c>
      <c r="J39" t="n">
        <v>534.286597</v>
      </c>
      <c r="K39" t="n">
        <v>509.712594</v>
      </c>
      <c r="L39" t="n">
        <v>1642.875338</v>
      </c>
      <c r="M39" t="n">
        <v>1036.424218</v>
      </c>
      <c r="N39" t="n">
        <v>1086.989045</v>
      </c>
      <c r="O39" t="n">
        <v>1032.639593</v>
      </c>
      <c r="P39" t="n">
        <v>1419.87605</v>
      </c>
      <c r="Q39" t="n">
        <v>1419.87605</v>
      </c>
      <c r="R39" t="n">
        <v>1419.87605</v>
      </c>
      <c r="S39" t="n">
        <v>490.205622</v>
      </c>
      <c r="T39" t="n">
        <v>214.306325</v>
      </c>
      <c r="U39" t="n">
        <v>1419.87605</v>
      </c>
      <c r="V39" t="n">
        <v>1419.883669</v>
      </c>
      <c r="W39" t="n">
        <v>490.205622</v>
      </c>
      <c r="X39" t="n">
        <v>490.284041</v>
      </c>
      <c r="Y39" t="n">
        <v>214.306325</v>
      </c>
      <c r="Z39" t="n">
        <v>-1962.486374</v>
      </c>
      <c r="AA39" t="n">
        <v>538.063505</v>
      </c>
      <c r="AB39" t="n">
        <v>1480.145124</v>
      </c>
      <c r="AC39" t="n">
        <v>311.902661</v>
      </c>
      <c r="AD39" t="n">
        <v>836.088699</v>
      </c>
    </row>
    <row r="40">
      <c r="A40" t="n">
        <v>36</v>
      </c>
      <c r="B40" t="inlineStr">
        <is>
          <t>Bathy SM inv</t>
        </is>
      </c>
      <c r="C40" t="inlineStr">
        <is>
          <t>Regular</t>
        </is>
      </c>
      <c r="D40" t="n">
        <v>3.556769495654368</v>
      </c>
      <c r="E40" t="n">
        <v>0.07872340425531915</v>
      </c>
      <c r="F40" t="n">
        <v>0.95</v>
      </c>
      <c r="G40" t="n">
        <v>1.1422658</v>
      </c>
      <c r="H40" t="n">
        <v>0</v>
      </c>
      <c r="I40" t="n">
        <v>163.765772</v>
      </c>
      <c r="J40" t="n">
        <v>340.467783</v>
      </c>
      <c r="K40" t="n">
        <v>325.907362</v>
      </c>
      <c r="L40" t="n">
        <v>836.570558</v>
      </c>
      <c r="M40" t="n">
        <v>876.797412</v>
      </c>
      <c r="N40" t="n">
        <v>903.128517</v>
      </c>
      <c r="O40" t="n">
        <v>857.972091</v>
      </c>
      <c r="P40" t="n">
        <v>1129.186746</v>
      </c>
      <c r="Q40" t="n">
        <v>1129.186746</v>
      </c>
      <c r="R40" t="n">
        <v>1129.186746</v>
      </c>
      <c r="S40" t="n">
        <v>576.959504</v>
      </c>
      <c r="T40" t="n">
        <v>285.646762</v>
      </c>
      <c r="U40" t="n">
        <v>1129.186746</v>
      </c>
      <c r="V40" t="n">
        <v>1129.190871</v>
      </c>
      <c r="W40" t="n">
        <v>576.959504</v>
      </c>
      <c r="X40" t="n">
        <v>577.055212</v>
      </c>
      <c r="Y40" t="n">
        <v>285.646762</v>
      </c>
      <c r="Z40" t="n">
        <v>-2740.128088</v>
      </c>
      <c r="AA40" t="n">
        <v>625.128574</v>
      </c>
      <c r="AB40" t="n">
        <v>1187.940442</v>
      </c>
      <c r="AC40" t="n">
        <v>206.581337</v>
      </c>
      <c r="AD40" t="n">
        <v>455.114195</v>
      </c>
    </row>
    <row r="41">
      <c r="A41" t="n">
        <v>37</v>
      </c>
      <c r="B41" t="inlineStr">
        <is>
          <t>Mésopélagiques</t>
        </is>
      </c>
      <c r="C41" t="inlineStr">
        <is>
          <t>Regular</t>
        </is>
      </c>
      <c r="D41" t="n">
        <v>3.231486703099204</v>
      </c>
      <c r="E41" t="n">
        <v>0.2863157894736842</v>
      </c>
      <c r="F41" t="n">
        <v>0.299378425</v>
      </c>
      <c r="G41" t="n">
        <v>3.36</v>
      </c>
      <c r="H41" t="n">
        <v>0</v>
      </c>
      <c r="I41" t="n">
        <v>163.765772</v>
      </c>
      <c r="J41" t="n">
        <v>162.374858</v>
      </c>
      <c r="K41" t="n">
        <v>156.295871</v>
      </c>
      <c r="L41" t="n">
        <v>294.923439</v>
      </c>
      <c r="M41" t="n">
        <v>261.567792</v>
      </c>
      <c r="N41" t="n">
        <v>281.548037</v>
      </c>
      <c r="O41" t="n">
        <v>84.28940799999999</v>
      </c>
      <c r="P41" t="n">
        <v>361.644525</v>
      </c>
      <c r="Q41" t="n">
        <v>361.644525</v>
      </c>
      <c r="R41" t="n">
        <v>361.644525</v>
      </c>
      <c r="S41" t="n">
        <v>73.370784</v>
      </c>
      <c r="T41" t="n">
        <v>36.159381</v>
      </c>
      <c r="U41" t="n">
        <v>361.644525</v>
      </c>
      <c r="V41" t="n">
        <v>361.647261</v>
      </c>
      <c r="W41" t="n">
        <v>73.370784</v>
      </c>
      <c r="X41" t="n">
        <v>73.381674</v>
      </c>
      <c r="Y41" t="n">
        <v>36.159381</v>
      </c>
      <c r="Z41" t="n">
        <v>-294.067088</v>
      </c>
      <c r="AA41" t="n">
        <v>78.987893</v>
      </c>
      <c r="AB41" t="n">
        <v>372.17706</v>
      </c>
      <c r="AC41" t="n">
        <v>104.97588</v>
      </c>
      <c r="AD41" t="n">
        <v>177.370423</v>
      </c>
    </row>
    <row r="42">
      <c r="A42" t="n">
        <v>38</v>
      </c>
      <c r="B42" t="inlineStr">
        <is>
          <t>Céphalopodes</t>
        </is>
      </c>
      <c r="C42" t="inlineStr">
        <is>
          <t>Regular</t>
        </is>
      </c>
      <c r="D42" t="n">
        <v>3.992010945734135</v>
      </c>
      <c r="E42" t="n">
        <v>0.25</v>
      </c>
      <c r="F42" t="n">
        <v>0.95</v>
      </c>
      <c r="G42" t="n">
        <v>0.5892204</v>
      </c>
      <c r="H42" t="n">
        <v>0.053921137</v>
      </c>
      <c r="I42" t="n">
        <v>163.765772</v>
      </c>
      <c r="J42" t="n">
        <v>822.926928</v>
      </c>
      <c r="K42" t="n">
        <v>782.5392000000001</v>
      </c>
      <c r="L42" t="n">
        <v>2911.87363</v>
      </c>
      <c r="M42" t="n">
        <v>776.133746</v>
      </c>
      <c r="N42" t="n">
        <v>776.133746</v>
      </c>
      <c r="O42" t="n">
        <v>737.327059</v>
      </c>
      <c r="P42" t="n">
        <v>1169.062418</v>
      </c>
      <c r="Q42" t="n">
        <v>1169.062418</v>
      </c>
      <c r="R42" t="n">
        <v>1169.062418</v>
      </c>
      <c r="S42" t="n">
        <v>633.532727</v>
      </c>
      <c r="T42" t="n">
        <v>262.848004</v>
      </c>
      <c r="U42" t="n">
        <v>1169.062418</v>
      </c>
      <c r="V42" t="n">
        <v>1169.12609</v>
      </c>
      <c r="W42" t="n">
        <v>633.532727</v>
      </c>
      <c r="X42" t="n">
        <v>633.690429</v>
      </c>
      <c r="Y42" t="n">
        <v>262.848004</v>
      </c>
      <c r="Z42" t="n">
        <v>-2693.977387</v>
      </c>
      <c r="AA42" t="n">
        <v>696.074883</v>
      </c>
      <c r="AB42" t="n">
        <v>1245.601022</v>
      </c>
      <c r="AC42" t="n">
        <v>462.946606</v>
      </c>
      <c r="AD42" t="n">
        <v>1388.475781</v>
      </c>
    </row>
    <row r="43">
      <c r="A43" t="n">
        <v>39</v>
      </c>
      <c r="B43" t="inlineStr">
        <is>
          <t>Crustacés</t>
        </is>
      </c>
      <c r="C43" t="inlineStr">
        <is>
          <t>Regular</t>
        </is>
      </c>
      <c r="D43" t="n">
        <v>2.966702470461869</v>
      </c>
      <c r="E43" t="n">
        <v>0.275</v>
      </c>
      <c r="F43" t="n">
        <v>0.95</v>
      </c>
      <c r="G43" t="n">
        <v>2.69018555</v>
      </c>
      <c r="H43" t="n">
        <v>0.0174720585</v>
      </c>
      <c r="I43" t="n">
        <v>163.765772</v>
      </c>
      <c r="J43" t="n">
        <v>79.64922</v>
      </c>
      <c r="K43" t="n">
        <v>77.077782</v>
      </c>
      <c r="L43" t="n">
        <v>199.420396</v>
      </c>
      <c r="M43" t="n">
        <v>94.919134</v>
      </c>
      <c r="N43" t="n">
        <v>94.919134</v>
      </c>
      <c r="O43" t="n">
        <v>90.173177</v>
      </c>
      <c r="P43" t="n">
        <v>135.651174</v>
      </c>
      <c r="Q43" t="n">
        <v>135.651174</v>
      </c>
      <c r="R43" t="n">
        <v>135.651174</v>
      </c>
      <c r="S43" t="n">
        <v>112.097094</v>
      </c>
      <c r="T43" t="n">
        <v>63.65447</v>
      </c>
      <c r="U43" t="n">
        <v>135.651174</v>
      </c>
      <c r="V43" t="n">
        <v>135.651174</v>
      </c>
      <c r="W43" t="n">
        <v>112.097094</v>
      </c>
      <c r="X43" t="n">
        <v>112.118405</v>
      </c>
      <c r="Y43" t="n">
        <v>63.65447</v>
      </c>
      <c r="Z43" t="n">
        <v>-691.708697</v>
      </c>
      <c r="AA43" t="n">
        <v>122.926325</v>
      </c>
      <c r="AB43" t="n">
        <v>140.897505</v>
      </c>
      <c r="AC43" t="n">
        <v>54.73445</v>
      </c>
      <c r="AD43" t="n">
        <v>122.753568</v>
      </c>
    </row>
    <row r="44">
      <c r="A44" t="n">
        <v>40</v>
      </c>
      <c r="B44" t="inlineStr">
        <is>
          <t>Benthos</t>
        </is>
      </c>
      <c r="C44" t="inlineStr">
        <is>
          <t>Regular</t>
        </is>
      </c>
      <c r="D44" t="n">
        <v>2.173469387755102</v>
      </c>
      <c r="E44" t="n">
        <v>0.07200000000000001</v>
      </c>
      <c r="F44" t="n">
        <v>0.739724457</v>
      </c>
      <c r="G44" t="n">
        <v>59.34608</v>
      </c>
      <c r="H44" t="n">
        <v>0.005621521</v>
      </c>
      <c r="I44" t="n">
        <v>163.765772</v>
      </c>
      <c r="J44" t="n">
        <v>14.225293</v>
      </c>
      <c r="K44" t="n">
        <v>13.944959</v>
      </c>
      <c r="L44" t="n">
        <v>22.648952</v>
      </c>
      <c r="M44" t="n">
        <v>39.053581</v>
      </c>
      <c r="N44" t="n">
        <v>39.053581</v>
      </c>
      <c r="O44" t="n">
        <v>28.888889</v>
      </c>
      <c r="P44" t="n">
        <v>46.572283</v>
      </c>
      <c r="Q44" t="n">
        <v>46.572283</v>
      </c>
      <c r="R44" t="n">
        <v>46.572283</v>
      </c>
      <c r="S44" t="n">
        <v>43.496371</v>
      </c>
      <c r="T44" t="n">
        <v>33.04828</v>
      </c>
      <c r="U44" t="n">
        <v>46.572283</v>
      </c>
      <c r="V44" t="n">
        <v>46.572283</v>
      </c>
      <c r="W44" t="n">
        <v>43.496371</v>
      </c>
      <c r="X44" t="n">
        <v>43.50535</v>
      </c>
      <c r="Y44" t="n">
        <v>33.04828</v>
      </c>
      <c r="Z44" t="n">
        <v>-381.521079</v>
      </c>
      <c r="AA44" t="n">
        <v>46.817883</v>
      </c>
      <c r="AB44" t="n">
        <v>48.197268</v>
      </c>
      <c r="AC44" t="n">
        <v>11.33053</v>
      </c>
      <c r="AD44" t="n">
        <v>16.922572</v>
      </c>
    </row>
    <row r="45">
      <c r="A45" t="n">
        <v>41</v>
      </c>
      <c r="B45" t="inlineStr">
        <is>
          <t>Zool L</t>
        </is>
      </c>
      <c r="C45" t="inlineStr">
        <is>
          <t>Regular</t>
        </is>
      </c>
      <c r="D45" t="n">
        <v>2.816326530612245</v>
      </c>
      <c r="E45" t="n">
        <v>0.2</v>
      </c>
      <c r="F45" t="n">
        <v>0.8</v>
      </c>
      <c r="G45" t="n">
        <v>2.597952</v>
      </c>
      <c r="H45" t="n">
        <v>0</v>
      </c>
      <c r="I45" t="n">
        <v>163.765772</v>
      </c>
      <c r="J45" t="n">
        <v>62.505519</v>
      </c>
      <c r="K45" t="n">
        <v>60.597564</v>
      </c>
      <c r="L45" t="n">
        <v>77.31893700000001</v>
      </c>
      <c r="M45" t="n">
        <v>41.875</v>
      </c>
      <c r="N45" t="n">
        <v>41.875</v>
      </c>
      <c r="O45" t="n">
        <v>33.5</v>
      </c>
      <c r="P45" t="n">
        <v>44.781863</v>
      </c>
      <c r="Q45" t="n">
        <v>44.781863</v>
      </c>
      <c r="R45" t="n">
        <v>44.781863</v>
      </c>
      <c r="S45" t="n">
        <v>24.898968</v>
      </c>
      <c r="T45" t="n">
        <v>12.819392</v>
      </c>
      <c r="U45" t="n">
        <v>44.781863</v>
      </c>
      <c r="V45" t="n">
        <v>44.781863</v>
      </c>
      <c r="W45" t="n">
        <v>24.898968</v>
      </c>
      <c r="X45" t="n">
        <v>24.900421</v>
      </c>
      <c r="Y45" t="n">
        <v>12.819392</v>
      </c>
      <c r="Z45" t="n">
        <v>-37.052652</v>
      </c>
      <c r="AA45" t="n">
        <v>25.855366</v>
      </c>
      <c r="AB45" t="n">
        <v>45.131902</v>
      </c>
      <c r="AC45" t="n">
        <v>43.854895</v>
      </c>
      <c r="AD45" t="n">
        <v>54.207944</v>
      </c>
    </row>
    <row r="46">
      <c r="A46" t="n">
        <v>42</v>
      </c>
      <c r="B46" t="inlineStr">
        <is>
          <t>Zool S</t>
        </is>
      </c>
      <c r="C46" t="inlineStr">
        <is>
          <t>Regular</t>
        </is>
      </c>
      <c r="D46" t="n">
        <v>2</v>
      </c>
      <c r="E46" t="n">
        <v>0.2</v>
      </c>
      <c r="F46" t="n">
        <v>0.6</v>
      </c>
      <c r="G46" t="n">
        <v>14.9455881</v>
      </c>
      <c r="H46" t="n">
        <v>0</v>
      </c>
      <c r="I46" t="n">
        <v>163.765772</v>
      </c>
      <c r="J46" t="n">
        <v>10</v>
      </c>
      <c r="K46" t="n">
        <v>9.828867000000001</v>
      </c>
      <c r="L46" t="n">
        <v>9.828867000000001</v>
      </c>
      <c r="M46" t="n">
        <v>8.333333</v>
      </c>
      <c r="N46" t="n">
        <v>8.333333</v>
      </c>
      <c r="O46" t="n">
        <v>5</v>
      </c>
      <c r="P46" t="n">
        <v>7.854956</v>
      </c>
      <c r="Q46" t="n">
        <v>7.854956</v>
      </c>
      <c r="R46" t="n">
        <v>7.854956</v>
      </c>
      <c r="S46" t="n">
        <v>5.389606</v>
      </c>
      <c r="T46" t="n">
        <v>3.36688</v>
      </c>
      <c r="U46" t="n">
        <v>7.854956</v>
      </c>
      <c r="V46" t="n">
        <v>7.854956</v>
      </c>
      <c r="W46" t="n">
        <v>5.389606</v>
      </c>
      <c r="X46" t="n">
        <v>5.389873</v>
      </c>
      <c r="Y46" t="n">
        <v>3.36688</v>
      </c>
      <c r="Z46" t="n">
        <v>-6.936027</v>
      </c>
      <c r="AA46" t="n">
        <v>5.564544</v>
      </c>
      <c r="AB46" t="n">
        <v>7.860853</v>
      </c>
      <c r="AC46" t="n">
        <v>8.209289</v>
      </c>
      <c r="AD46" t="n">
        <v>8.209289</v>
      </c>
    </row>
    <row r="47">
      <c r="A47" t="n">
        <v>43</v>
      </c>
      <c r="B47" t="inlineStr">
        <is>
          <t>Producteurs primaires</t>
        </is>
      </c>
      <c r="C47" t="inlineStr">
        <is>
          <t>PP</t>
        </is>
      </c>
      <c r="D47" t="n">
        <v>1</v>
      </c>
      <c r="E47" t="n">
        <v>1</v>
      </c>
      <c r="F47" t="n">
        <v>0.6702186999999999</v>
      </c>
      <c r="G47" t="n">
        <v>49</v>
      </c>
      <c r="H47" t="n">
        <v>0</v>
      </c>
      <c r="I47" t="n">
        <v>163.765772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0.670219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</row>
    <row r="48">
      <c r="A48" t="n">
        <v>44</v>
      </c>
      <c r="B48" t="inlineStr">
        <is>
          <t>Detritus</t>
        </is>
      </c>
      <c r="C48" t="inlineStr">
        <is>
          <t>DET</t>
        </is>
      </c>
      <c r="D48" t="n">
        <v>1</v>
      </c>
      <c r="E48" t="n">
        <v>1</v>
      </c>
      <c r="F48" t="n">
        <v>1</v>
      </c>
      <c r="G48" t="n">
        <v>290</v>
      </c>
      <c r="H48" t="n">
        <v>0</v>
      </c>
      <c r="I48" t="n">
        <v>163.765772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0.425948</v>
      </c>
      <c r="Q48" t="n">
        <v>0.425948</v>
      </c>
      <c r="R48" t="n">
        <v>0.425948</v>
      </c>
      <c r="S48" t="n">
        <v>1.779213</v>
      </c>
      <c r="T48" t="n">
        <v>2.222934</v>
      </c>
      <c r="U48" t="n">
        <v>0.425948</v>
      </c>
      <c r="V48" t="n">
        <v>0.425948</v>
      </c>
      <c r="W48" t="n">
        <v>1.779213</v>
      </c>
      <c r="X48" t="n">
        <v>1.779747</v>
      </c>
      <c r="Y48" t="n">
        <v>2.222934</v>
      </c>
      <c r="Z48" t="n">
        <v>-32.120089</v>
      </c>
      <c r="AA48" t="n">
        <v>1.878088</v>
      </c>
      <c r="AB48" t="n">
        <v>0.425948</v>
      </c>
      <c r="AC48" t="n">
        <v>1</v>
      </c>
      <c r="AD48" t="n">
        <v>1</v>
      </c>
    </row>
    <row r="49">
      <c r="A49" t="n">
        <v>45</v>
      </c>
      <c r="B49" t="inlineStr">
        <is>
          <t>diet_import</t>
        </is>
      </c>
      <c r="C49" t="inlineStr">
        <is>
          <t>Import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163.765772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W49" t="n">
        <v>1</v>
      </c>
      <c r="Y49" t="n">
        <v>1</v>
      </c>
      <c r="AA49" t="n">
        <v>1</v>
      </c>
      <c r="AB49" t="n">
        <v>1</v>
      </c>
      <c r="AC49" t="n">
        <v>1</v>
      </c>
      <c r="AD4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9" t="inlineStr">
        <is>
          <t>year</t>
        </is>
      </c>
      <c r="B3" s="19" t="inlineStr">
        <is>
          <t>npp_antoinemorel_tC_yr</t>
        </is>
      </c>
      <c r="C3" s="19" t="inlineStr">
        <is>
          <t>npp_vgpm_tC_yr</t>
        </is>
      </c>
      <c r="D3" s="19" t="inlineStr">
        <is>
          <t>npp_eppley_tC_yr</t>
        </is>
      </c>
      <c r="E3" s="19" t="inlineStr">
        <is>
          <t>npp_cbpm_tC_yr</t>
        </is>
      </c>
      <c r="F3" s="19" t="inlineStr">
        <is>
          <t>npp_cafe_tC_yr</t>
        </is>
      </c>
      <c r="G3" s="19" t="inlineStr">
        <is>
          <t>ens_median_tC_yr</t>
        </is>
      </c>
      <c r="H3" s="19" t="inlineStr">
        <is>
          <t>ens_min_tC_yr</t>
        </is>
      </c>
      <c r="I3" s="19" t="inlineStr">
        <is>
          <t>ens_max_tC_yr</t>
        </is>
      </c>
      <c r="J3" s="19" t="inlineStr">
        <is>
          <t>status</t>
        </is>
      </c>
      <c r="K3" s="19" t="inlineStr">
        <is>
          <t>reason</t>
        </is>
      </c>
      <c r="L3" s="19" t="inlineStr">
        <is>
          <t>provenance</t>
        </is>
      </c>
      <c r="M3" s="19" t="inlineStr">
        <is>
          <t>n_models</t>
        </is>
      </c>
      <c r="N3" s="19" t="inlineStr">
        <is>
          <t>available_models</t>
        </is>
      </c>
      <c r="O3" s="19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720618156.2679936</v>
      </c>
      <c r="G52" t="n">
        <v>720618156.2679936</v>
      </c>
      <c r="H52" t="n">
        <v>720618156.2679936</v>
      </c>
      <c r="I52" t="n">
        <v>720618156.2679936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708515453.832948</v>
      </c>
      <c r="G53" t="n">
        <v>708515453.832948</v>
      </c>
      <c r="H53" t="n">
        <v>708515453.832948</v>
      </c>
      <c r="I53" t="n">
        <v>708515453.832948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735182087.9258699</v>
      </c>
      <c r="G54" t="n">
        <v>735182087.9258699</v>
      </c>
      <c r="H54" t="n">
        <v>735182087.9258699</v>
      </c>
      <c r="I54" t="n">
        <v>735182087.9258699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716384731.827805</v>
      </c>
      <c r="G55" t="n">
        <v>716384731.827805</v>
      </c>
      <c r="H55" t="n">
        <v>716384731.827805</v>
      </c>
      <c r="I55" t="n">
        <v>716384731.827805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746624234.7579989</v>
      </c>
      <c r="G56" t="n">
        <v>746624234.7579989</v>
      </c>
      <c r="H56" t="n">
        <v>746624234.7579989</v>
      </c>
      <c r="I56" t="n">
        <v>746624234.7579989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814166589.1244659</v>
      </c>
      <c r="C57" t="n">
        <v>641052057.9826311</v>
      </c>
      <c r="D57" t="n">
        <v>1098613698.170848</v>
      </c>
      <c r="E57" t="n">
        <v>675307981.0571475</v>
      </c>
      <c r="F57" t="n">
        <v>389963841.9316501</v>
      </c>
      <c r="G57" t="n">
        <v>675307981.0571475</v>
      </c>
      <c r="H57" t="n">
        <v>389963841.9316501</v>
      </c>
      <c r="I57" t="n">
        <v>1098613698.170848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781554146.4671559</v>
      </c>
      <c r="C58" t="n">
        <v>640806444.7456599</v>
      </c>
      <c r="D58" t="n">
        <v>1055259433.003502</v>
      </c>
      <c r="E58" t="n">
        <v>658871180.8015091</v>
      </c>
      <c r="F58" t="n">
        <v>382282691.4923713</v>
      </c>
      <c r="G58" t="n">
        <v>658871180.8015091</v>
      </c>
      <c r="H58" t="n">
        <v>382282691.4923713</v>
      </c>
      <c r="I58" t="n">
        <v>1055259433.003502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760311665.9718516</v>
      </c>
      <c r="C59" t="n">
        <v>621453304.2165462</v>
      </c>
      <c r="D59" t="n">
        <v>988610568.8788819</v>
      </c>
      <c r="E59" t="n">
        <v>658995830.2621838</v>
      </c>
      <c r="F59" t="n">
        <v>347942824.1192347</v>
      </c>
      <c r="G59" t="n">
        <v>658995830.2621838</v>
      </c>
      <c r="H59" t="n">
        <v>347942824.1192347</v>
      </c>
      <c r="I59" t="n">
        <v>988610568.8788819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788651707.7287585</v>
      </c>
      <c r="C60" t="n">
        <v>632980906.7386122</v>
      </c>
      <c r="D60" t="n">
        <v>1038375907.012447</v>
      </c>
      <c r="E60" t="n">
        <v>664675976.3625698</v>
      </c>
      <c r="F60" t="n">
        <v>350916512.9105156</v>
      </c>
      <c r="G60" t="n">
        <v>664675976.3625698</v>
      </c>
      <c r="H60" t="n">
        <v>350916512.9105156</v>
      </c>
      <c r="I60" t="n">
        <v>1038375907.012447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769628492.5696194</v>
      </c>
      <c r="C61" t="n">
        <v>637584947.9290847</v>
      </c>
      <c r="D61" t="n">
        <v>1091934498.844666</v>
      </c>
      <c r="E61" t="n">
        <v>654021005.6197214</v>
      </c>
      <c r="F61" t="n">
        <v>351342850.1031019</v>
      </c>
      <c r="G61" t="n">
        <v>654021005.6197214</v>
      </c>
      <c r="H61" t="n">
        <v>351342850.1031019</v>
      </c>
      <c r="I61" t="n">
        <v>1091934498.844666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768083181.5116012</v>
      </c>
      <c r="C62" t="n">
        <v>613594938.7909582</v>
      </c>
      <c r="D62" t="n">
        <v>1068247068.787232</v>
      </c>
      <c r="E62" t="n">
        <v>656894590.1841428</v>
      </c>
      <c r="F62" t="n">
        <v>336281017.4576174</v>
      </c>
      <c r="G62" t="n">
        <v>656894590.1841428</v>
      </c>
      <c r="H62" t="n">
        <v>336281017.4576174</v>
      </c>
      <c r="I62" t="n">
        <v>1068247068.787232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822973883.309926</v>
      </c>
      <c r="C63" t="n">
        <v>665987532.0094661</v>
      </c>
      <c r="D63" t="n">
        <v>1066876037.618679</v>
      </c>
      <c r="E63" t="n">
        <v>662547189.172295</v>
      </c>
      <c r="F63" t="n">
        <v>321939784.7701662</v>
      </c>
      <c r="G63" t="n">
        <v>665987532.0094661</v>
      </c>
      <c r="H63" t="n">
        <v>321939784.7701662</v>
      </c>
      <c r="I63" t="n">
        <v>1066876037.618679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779904333.2020836</v>
      </c>
      <c r="C64" t="n">
        <v>590952500.7814299</v>
      </c>
      <c r="D64" t="n">
        <v>1029588739.985037</v>
      </c>
      <c r="E64" t="n">
        <v>678040140.799477</v>
      </c>
      <c r="F64" t="n">
        <v>306076413.0483307</v>
      </c>
      <c r="G64" t="n">
        <v>678040140.799477</v>
      </c>
      <c r="H64" t="n">
        <v>306076413.0483307</v>
      </c>
      <c r="I64" t="n">
        <v>1029588739.985037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746690736.6992173</v>
      </c>
      <c r="C65" t="n">
        <v>606586195.6717247</v>
      </c>
      <c r="D65" t="n">
        <v>1009863136.333312</v>
      </c>
      <c r="E65" t="n">
        <v>659649281.7375503</v>
      </c>
      <c r="F65" t="n">
        <v>322159063.6764883</v>
      </c>
      <c r="G65" t="n">
        <v>659649281.7375503</v>
      </c>
      <c r="H65" t="n">
        <v>322159063.6764883</v>
      </c>
      <c r="I65" t="n">
        <v>1009863136.333312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759697860.1253669</v>
      </c>
      <c r="C66" t="n">
        <v>616246039.7062516</v>
      </c>
      <c r="D66" t="n">
        <v>949398619.7378904</v>
      </c>
      <c r="E66" t="n">
        <v>635181910.0792369</v>
      </c>
      <c r="F66" t="n">
        <v>303038251.9849333</v>
      </c>
      <c r="G66" t="n">
        <v>635181910.0792369</v>
      </c>
      <c r="H66" t="n">
        <v>303038251.9849333</v>
      </c>
      <c r="I66" t="n">
        <v>949398619.7378904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753388917.9534718</v>
      </c>
      <c r="C67" t="n">
        <v>601363825.5308089</v>
      </c>
      <c r="D67" t="n">
        <v>990899615.1060439</v>
      </c>
      <c r="E67" t="n">
        <v>662893249.4310113</v>
      </c>
      <c r="F67" t="n">
        <v>310408179.3196763</v>
      </c>
      <c r="G67" t="n">
        <v>662893249.4310113</v>
      </c>
      <c r="H67" t="n">
        <v>310408179.3196763</v>
      </c>
      <c r="I67" t="n">
        <v>990899615.1060439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788470190.2626877</v>
      </c>
      <c r="C68" t="n">
        <v>658679276.4453907</v>
      </c>
      <c r="D68" t="n">
        <v>1051905492.816236</v>
      </c>
      <c r="E68" t="n">
        <v>636347223.2478398</v>
      </c>
      <c r="F68" t="n">
        <v>352330978.0649404</v>
      </c>
      <c r="G68" t="n">
        <v>658679276.4453907</v>
      </c>
      <c r="H68" t="n">
        <v>352330978.0649404</v>
      </c>
      <c r="I68" t="n">
        <v>1051905492.816236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788580772.5198766</v>
      </c>
      <c r="C69" t="n">
        <v>703140597.7136796</v>
      </c>
      <c r="D69" t="n">
        <v>1109017343.835673</v>
      </c>
      <c r="E69" t="n">
        <v>619737938.5141553</v>
      </c>
      <c r="F69" t="n">
        <v>326561512.1903687</v>
      </c>
      <c r="G69" t="n">
        <v>703140597.7136796</v>
      </c>
      <c r="H69" t="n">
        <v>326561512.1903687</v>
      </c>
      <c r="I69" t="n">
        <v>1109017343.835673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770260488.7472193</v>
      </c>
      <c r="C70" t="n">
        <v>674604819.0198596</v>
      </c>
      <c r="D70" t="n">
        <v>1167285706.568406</v>
      </c>
      <c r="E70" t="n">
        <v>686192426.6293215</v>
      </c>
      <c r="F70" t="n">
        <v>328311334.4663529</v>
      </c>
      <c r="G70" t="n">
        <v>686192426.6293215</v>
      </c>
      <c r="H70" t="n">
        <v>328311334.4663529</v>
      </c>
      <c r="I70" t="n">
        <v>1167285706.568406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746235386.1971087</v>
      </c>
      <c r="C71" t="n">
        <v>679192005.9207693</v>
      </c>
      <c r="D71" t="n">
        <v>1148885473.539649</v>
      </c>
      <c r="E71" t="n">
        <v>674256687.3020482</v>
      </c>
      <c r="F71" t="n">
        <v>312526904.7842889</v>
      </c>
      <c r="G71" t="n">
        <v>679192005.9207693</v>
      </c>
      <c r="H71" t="n">
        <v>312526904.7842889</v>
      </c>
      <c r="I71" t="n">
        <v>1148885473.539649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742493087.0324454</v>
      </c>
      <c r="C72" t="n">
        <v>633955604.4093964</v>
      </c>
      <c r="D72" t="n">
        <v>1060672087.340582</v>
      </c>
      <c r="E72" t="n">
        <v>659640185.5420307</v>
      </c>
      <c r="F72" t="n">
        <v>307207507.1612508</v>
      </c>
      <c r="G72" t="n">
        <v>659640185.5420307</v>
      </c>
      <c r="H72" t="n">
        <v>307207507.1612508</v>
      </c>
      <c r="I72" t="n">
        <v>1060672087.340582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772093174.0925599</v>
      </c>
      <c r="C73" t="n">
        <v>666487470.4050603</v>
      </c>
      <c r="D73" t="n">
        <v>1204563132.626024</v>
      </c>
      <c r="E73" t="n">
        <v>712813213.8828055</v>
      </c>
      <c r="F73" t="n">
        <v>291160975.5376164</v>
      </c>
      <c r="G73" t="n">
        <v>712813213.8828055</v>
      </c>
      <c r="H73" t="n">
        <v>291160975.5376164</v>
      </c>
      <c r="I73" t="n">
        <v>1204563132.626024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2026-09-11T15:48:42Z</dcterms:created>
  <dcterms:modified xsi:type="dcterms:W3CDTF">2026-09-11T15:48:44Z</dcterms:modified>
</cp:coreProperties>
</file>